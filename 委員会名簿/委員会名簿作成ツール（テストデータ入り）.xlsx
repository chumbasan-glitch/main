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児童名簿" sheetId="3" state="visible" r:id="rId3"/>
    <sheet name="希望入力" sheetId="4" state="visible" r:id="rId4"/>
    <sheet name="振り分け" sheetId="5" state="visible" r:id="rId5"/>
    <sheet name="定員チェック" sheetId="6" state="visible" r:id="rId6"/>
    <sheet name="一覧名簿" sheetId="7" state="visible" r:id="rId7"/>
    <sheet name="委員会①" sheetId="8" state="visible" r:id="rId8"/>
    <sheet name="委員会②" sheetId="9" state="visible" r:id="rId9"/>
    <sheet name="委員会③" sheetId="10" state="visible" r:id="rId10"/>
    <sheet name="委員会④" sheetId="11" state="visible" r:id="rId11"/>
    <sheet name="委員会⑤" sheetId="12" state="visible" r:id="rId12"/>
    <sheet name="委員会⑥" sheetId="13" state="visible" r:id="rId13"/>
    <sheet name="委員会⑦" sheetId="14" state="visible" r:id="rId14"/>
    <sheet name="委員会⑧" sheetId="15" state="visible" r:id="rId15"/>
    <sheet name="委員会⑨" sheetId="16" state="visible" r:id="rId16"/>
    <sheet name="委員会⑩" sheetId="17" state="visible" r:id="rId17"/>
    <sheet name="委員会⑪" sheetId="18" state="visible" r:id="rId18"/>
    <sheet name="委員会⑫" sheetId="19" state="visible" r:id="rId19"/>
    <sheet name="委員会⑬" sheetId="20" state="visible" r:id="rId20"/>
    <sheet name="委員会⑭" sheetId="21" state="visible" r:id="rId21"/>
    <sheet name="委員会⑮" sheetId="22" state="visible" r:id="rId22"/>
    <sheet name="委員会⑯" sheetId="23" state="visible" r:id="rId23"/>
    <sheet name="委員会⑰" sheetId="24" state="visible" r:id="rId24"/>
    <sheet name="委員会⑱" sheetId="25" state="visible" r:id="rId25"/>
    <sheet name="委員会⑲" sheetId="26" state="visible" r:id="rId26"/>
    <sheet name="委員会⑳" sheetId="27" state="visible" r:id="rId27"/>
    <sheet name="計算用" sheetId="28" state="hidden" r:id="rId28"/>
  </sheets>
  <definedNames>
    <definedName name="_xlnm._FilterDatabase" localSheetId="4" hidden="1">'振り分け'!$A$2:$L$302</definedName>
    <definedName name="_xlnm.Print_Titles" localSheetId="4">'振り分け'!$2:$2</definedName>
    <definedName name="_xlnm.Print_Area" localSheetId="4">'振り分け'!$A$1:$L$302</definedName>
    <definedName name="_xlnm.Print_Area" localSheetId="6">'一覧名簿'!$A$1:$T$91</definedName>
    <definedName name="_xlnm.Print_Area" localSheetId="7">'委員会①'!$A$1:$O$44</definedName>
    <definedName name="_xlnm.Print_Area" localSheetId="8">'委員会②'!$A$1:$O$44</definedName>
    <definedName name="_xlnm.Print_Area" localSheetId="9">'委員会③'!$A$1:$O$44</definedName>
    <definedName name="_xlnm.Print_Area" localSheetId="10">'委員会④'!$A$1:$O$44</definedName>
    <definedName name="_xlnm.Print_Area" localSheetId="11">'委員会⑤'!$A$1:$O$44</definedName>
    <definedName name="_xlnm.Print_Area" localSheetId="12">'委員会⑥'!$A$1:$O$44</definedName>
    <definedName name="_xlnm.Print_Area" localSheetId="13">'委員会⑦'!$A$1:$O$44</definedName>
    <definedName name="_xlnm.Print_Area" localSheetId="14">'委員会⑧'!$A$1:$O$44</definedName>
    <definedName name="_xlnm.Print_Area" localSheetId="15">'委員会⑨'!$A$1:$O$44</definedName>
    <definedName name="_xlnm.Print_Area" localSheetId="16">'委員会⑩'!$A$1:$O$44</definedName>
    <definedName name="_xlnm.Print_Area" localSheetId="17">'委員会⑪'!$A$1:$O$44</definedName>
    <definedName name="_xlnm.Print_Area" localSheetId="18">'委員会⑫'!$A$1:$O$44</definedName>
    <definedName name="_xlnm.Print_Area" localSheetId="19">'委員会⑬'!$A$1:$O$44</definedName>
    <definedName name="_xlnm.Print_Area" localSheetId="20">'委員会⑭'!$A$1:$O$44</definedName>
    <definedName name="_xlnm.Print_Area" localSheetId="21">'委員会⑮'!$A$1:$O$44</definedName>
    <definedName name="_xlnm.Print_Area" localSheetId="22">'委員会⑯'!$A$1:$O$44</definedName>
    <definedName name="_xlnm.Print_Area" localSheetId="23">'委員会⑰'!$A$1:$O$44</definedName>
    <definedName name="_xlnm.Print_Area" localSheetId="24">'委員会⑱'!$A$1:$O$44</definedName>
    <definedName name="_xlnm.Print_Area" localSheetId="25">'委員会⑲'!$A$1:$O$44</definedName>
    <definedName name="_xlnm.Print_Area" localSheetId="26">'委員会⑳'!$A$1:$O$44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sz val="11"/>
    </font>
    <font>
      <name val="游ゴシック"/>
      <b val="1"/>
      <sz val="14"/>
    </font>
    <font>
      <name val="游ゴシック"/>
      <b val="1"/>
      <sz val="11"/>
    </font>
    <font>
      <name val="游ゴシック"/>
      <color rgb="00808080"/>
      <sz val="9"/>
    </font>
    <font>
      <name val="游ゴシック"/>
      <b val="1"/>
      <sz val="9"/>
    </font>
    <font>
      <name val="游ゴシック"/>
      <color rgb="00C00000"/>
      <sz val="9"/>
    </font>
    <font>
      <name val="游ゴシック"/>
      <sz val="10"/>
    </font>
    <font>
      <name val="游ゴシック"/>
      <b val="1"/>
      <sz val="10"/>
    </font>
    <font>
      <name val="游ゴシック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5" fillId="0" borderId="0" applyAlignment="1" pivotButton="0" quotePrefix="0" xfId="0">
      <alignment horizontal="right"/>
    </xf>
    <xf numFmtId="0" fontId="5" fillId="2" borderId="1" applyAlignment="1" applyProtection="1" pivotButton="0" quotePrefix="0" xfId="0">
      <alignment horizontal="center" vertical="center"/>
      <protection locked="0" hidden="0"/>
    </xf>
    <xf numFmtId="0" fontId="5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applyProtection="1" pivotButton="0" quotePrefix="0" xfId="0">
      <alignment horizontal="center" vertical="center"/>
      <protection locked="0" hidden="0"/>
    </xf>
    <xf numFmtId="0" fontId="7" fillId="4" borderId="1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8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1" fillId="0" borderId="0" pivotButton="0" quotePrefix="0" xfId="0"/>
  </cellXfs>
  <cellStyles count="1">
    <cellStyle name="Normal" xfId="0" builtinId="0" hidden="0"/>
  </cellStyles>
  <dxfs count="13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委員会名簿作成ツール　使い方</t>
        </is>
      </c>
    </row>
    <row r="3">
      <c r="B3" s="2" t="inlineStr">
        <is>
          <t>■ 色のきまり</t>
        </is>
      </c>
    </row>
    <row r="4">
      <c r="B4" s="3" t="inlineStr">
        <is>
          <t>黄色いセル＝先生が入力する所です。それ以外のセルには数式が入っているので、変更できないように保護しています。</t>
        </is>
      </c>
    </row>
    <row r="5">
      <c r="B5" s="3" t="inlineStr">
        <is>
          <t>（保護を外すときは「校閲」→「シート保護の解除」。パスワードはありません）</t>
        </is>
      </c>
    </row>
    <row r="6">
      <c r="B6" s="3" t="inlineStr"/>
    </row>
    <row r="7">
      <c r="B7" s="2" t="inlineStr">
        <is>
          <t>■ 手順</t>
        </is>
      </c>
    </row>
    <row r="8">
      <c r="B8" s="3" t="inlineStr">
        <is>
          <t>① 【設定】年度、呼び名（委員会／クラブ）、学年、組、委員会の名前・定員・担当・活動場所を入力します。</t>
        </is>
      </c>
    </row>
    <row r="9">
      <c r="B9" s="3" t="inlineStr">
        <is>
          <t xml:space="preserve">　 ・委員会を増やす：空いている行に書きこむ　　・減らす：行の中身を消す　　・名前を変える：書きかえる</t>
        </is>
      </c>
    </row>
    <row r="10">
      <c r="B10" s="3" t="inlineStr">
        <is>
          <t xml:space="preserve">　 ・片方の学年だけの委員会は、もう片方の定員を 0 にします。</t>
        </is>
      </c>
    </row>
    <row r="11">
      <c r="B11" s="3" t="inlineStr">
        <is>
          <t>② 【児童名簿】5・6年全員の「学年・組・番号・名前」を貼り付けます（並び順はばらばらでかまいません）。</t>
        </is>
      </c>
    </row>
    <row r="12">
      <c r="B12" s="3" t="inlineStr">
        <is>
          <t xml:space="preserve">　 ・学年は数字（6、5）、組は設定シートと同じ書き方（松、竹…）で入れます。</t>
        </is>
      </c>
    </row>
    <row r="13">
      <c r="B13" s="3" t="inlineStr">
        <is>
          <t>③ 【希望入力】学年・組・番号・第1〜第3希望を入れます。</t>
        </is>
      </c>
    </row>
    <row r="14">
      <c r="B14" s="3" t="inlineStr">
        <is>
          <t xml:space="preserve">　 ・紙の場合：打ち込みます（希望はプルダウンで選べます）。</t>
        </is>
      </c>
    </row>
    <row r="15">
      <c r="B15" s="3" t="inlineStr">
        <is>
          <t xml:space="preserve">　 ・Formsの場合：結果の表から「学年〜第3希望」の6列をコピーし、A列の2行目に「値の貼り付け」をします。</t>
        </is>
      </c>
    </row>
    <row r="16">
      <c r="B16" s="3" t="inlineStr">
        <is>
          <t xml:space="preserve">　 ・右側の「チェック」欄に「名簿にいない」「2回提出」などが出たら確認してください。2回提出は下の行（後から出したほう）が使われます。</t>
        </is>
      </c>
    </row>
    <row r="17">
      <c r="B17" s="3" t="inlineStr">
        <is>
          <t>④ 【振り分け】第1希望が定員内の子は自動で決まります。定員オーバーの委員会を希望した子は「要調整」（赤）になります。</t>
        </is>
      </c>
    </row>
    <row r="18">
      <c r="B18" s="3" t="inlineStr">
        <is>
          <t xml:space="preserve">　 ・見出しのフィルター（▼）で「第1希望」を絞りこむと、同じ委員会を希望した子だけが並びます。</t>
        </is>
      </c>
    </row>
    <row r="19">
      <c r="B19" s="3" t="inlineStr">
        <is>
          <t xml:space="preserve">　 ・「第2希望の空き」「第3希望の空き」に、その学年であと何人入れるかが出ます。</t>
        </is>
      </c>
    </row>
    <row r="20">
      <c r="B20" s="3" t="inlineStr">
        <is>
          <t xml:space="preserve">　 ・話し合いなどで決まったら、残る子にも移る子にも「先生の決定」欄へ委員会を入れます（プルダウン）。</t>
        </is>
      </c>
    </row>
    <row r="21">
      <c r="B21" s="3" t="inlineStr">
        <is>
          <t xml:space="preserve">　 ・未提出の子も「先生の決定」欄に入れれば決定になります。</t>
        </is>
      </c>
    </row>
    <row r="22">
      <c r="B22" s="3" t="inlineStr">
        <is>
          <t>⑤ 【定員チェック】「未提出」「要調整」「定員オーバー」が 0 になれば完成です。</t>
        </is>
      </c>
    </row>
    <row r="23">
      <c r="B23" s="3" t="inlineStr">
        <is>
          <t>⑥ 【一覧名簿】【委員会①〜⑳】を印刷します。一覧名簿はA3横で、上段（①〜⑩）が1ページ目、下段（⑪〜⑳）が2ページ目です。</t>
        </is>
      </c>
    </row>
    <row r="24">
      <c r="B24" s="3" t="inlineStr">
        <is>
          <t xml:space="preserve">　 ・委員会が10以下のときは、1ページ目だけ印刷してください。</t>
        </is>
      </c>
    </row>
    <row r="25">
      <c r="B25" s="3" t="inlineStr">
        <is>
          <t xml:space="preserve">　 ・委員会①〜⑳のタブ名は、右クリック→「名前の変更」で「飼育」などに変えてもかまいません。</t>
        </is>
      </c>
    </row>
    <row r="26">
      <c r="B26" s="3" t="inlineStr"/>
    </row>
    <row r="27">
      <c r="B27" s="2" t="inlineStr">
        <is>
          <t>■ Microsoft Forms の作り方（希望を集める場合）</t>
        </is>
      </c>
    </row>
    <row r="28">
      <c r="B28" s="3" t="inlineStr">
        <is>
          <t>質問を次の順番で作ってください。結果をExcelで開いたときに、この6列が横に並びます。</t>
        </is>
      </c>
    </row>
    <row r="29">
      <c r="B29" s="3" t="inlineStr">
        <is>
          <t xml:space="preserve">　1. 学年（選択肢：6／5）　2. 組（選択肢：松／竹／梅／月 など設定と同じ）　3. 番号（数値）</t>
        </is>
      </c>
    </row>
    <row r="30">
      <c r="B30" s="3" t="inlineStr">
        <is>
          <t xml:space="preserve">　4. 第1希望　5. 第2希望　6. 第3希望（選択肢：委員会名を設定シートと同じ書き方で）</t>
        </is>
      </c>
    </row>
    <row r="31">
      <c r="B31" s="3" t="inlineStr">
        <is>
          <t>※ Formsのデータは学校のMicrosoft 365に保存されます。使ってよいかは学校のルールを確認してください。</t>
        </is>
      </c>
    </row>
    <row r="32">
      <c r="B32" s="3" t="inlineStr"/>
    </row>
    <row r="33">
      <c r="B33" s="2" t="inlineStr">
        <is>
          <t>■ 上限</t>
        </is>
      </c>
    </row>
    <row r="34">
      <c r="B34" s="3" t="inlineStr">
        <is>
          <t>委員会 20／1学年の組 8／児童 300人／希望入力 400行／1つの委員会 40人</t>
        </is>
      </c>
    </row>
    <row r="35">
      <c r="B35" s="3" t="inlineStr"/>
    </row>
    <row r="36">
      <c r="B36" s="2" t="inlineStr">
        <is>
          <t>■ テストデータについて</t>
        </is>
      </c>
    </row>
    <row r="37">
      <c r="B37" s="3" t="inlineStr">
        <is>
          <t>名前はすべて架空です。本番で使うときは、【児童名簿】【希望入力】のデータと、【振り分け】の「先生の決定」欄を消してから使ってください。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8" customWidth="1" min="4" max="4"/>
    <col width="3" customWidth="1" min="5" max="5"/>
    <col width="6" customWidth="1" min="6" max="6"/>
    <col width="16" customWidth="1" min="7" max="7"/>
    <col width="10" customWidth="1" min="8" max="8"/>
    <col width="10" customWidth="1" min="9" max="9"/>
    <col width="12" customWidth="1" min="10" max="10"/>
    <col width="16" customWidth="1" min="11" max="11"/>
    <col width="10" customWidth="1" min="12" max="12"/>
    <col hidden="1" width="13" customWidth="1" min="26" max="26"/>
  </cols>
  <sheetData>
    <row r="1">
      <c r="A1" s="4" t="inlineStr">
        <is>
          <t>設定（黄色いセルを入力してください）</t>
        </is>
      </c>
    </row>
    <row r="3">
      <c r="A3" s="5" t="inlineStr">
        <is>
          <t>年度など</t>
        </is>
      </c>
      <c r="B3" s="6" t="inlineStr">
        <is>
          <t>令和8年度</t>
        </is>
      </c>
      <c r="C3" s="7" t="n"/>
    </row>
    <row r="4">
      <c r="A4" s="5" t="inlineStr">
        <is>
          <t>呼び名</t>
        </is>
      </c>
      <c r="B4" s="6" t="inlineStr">
        <is>
          <t>委員会</t>
        </is>
      </c>
      <c r="D4" s="8" t="inlineStr">
        <is>
          <t>← 委員会／クラブ</t>
        </is>
      </c>
    </row>
    <row r="6">
      <c r="A6" s="5" t="inlineStr">
        <is>
          <t>組の設定（上から名簿の並び順。学年ごとに最大8組）</t>
        </is>
      </c>
      <c r="F6" s="9" t="inlineStr">
        <is>
          <t>学年 →</t>
        </is>
      </c>
      <c r="H6" s="10" t="n">
        <v>6</v>
      </c>
      <c r="I6" s="10" t="n">
        <v>5</v>
      </c>
      <c r="J6" s="8" t="inlineStr">
        <is>
          <t>← 上の学年／下の学年（数字）</t>
        </is>
      </c>
    </row>
    <row r="7">
      <c r="A7" s="11" t="inlineStr">
        <is>
          <t>学年</t>
        </is>
      </c>
      <c r="B7" s="11" t="inlineStr">
        <is>
          <t>組</t>
        </is>
      </c>
      <c r="C7" s="11" t="inlineStr">
        <is>
          <t>名簿での表示</t>
        </is>
      </c>
      <c r="D7" s="11" t="inlineStr">
        <is>
          <t>色</t>
        </is>
      </c>
      <c r="F7" s="11" t="inlineStr">
        <is>
          <t>No.</t>
        </is>
      </c>
      <c r="G7" s="11" t="inlineStr">
        <is>
          <t>委員会名</t>
        </is>
      </c>
      <c r="H7" s="11">
        <f>H6&amp;"年定員"</f>
        <v/>
      </c>
      <c r="I7" s="11">
        <f>I6&amp;"年定員"</f>
        <v/>
      </c>
      <c r="J7" s="11" t="inlineStr">
        <is>
          <t>担当</t>
        </is>
      </c>
      <c r="K7" s="11" t="inlineStr">
        <is>
          <t>活動場所</t>
        </is>
      </c>
      <c r="L7" s="11" t="inlineStr">
        <is>
          <t>定員合計</t>
        </is>
      </c>
    </row>
    <row r="8">
      <c r="A8" s="12">
        <f>$H$6</f>
        <v/>
      </c>
      <c r="B8" s="13" t="inlineStr">
        <is>
          <t>松</t>
        </is>
      </c>
      <c r="C8" s="13">
        <f>IF(B8="","",A8&amp;B8)</f>
        <v/>
      </c>
      <c r="D8" s="13" t="inlineStr">
        <is>
          <t>緑</t>
        </is>
      </c>
      <c r="F8" s="12" t="n">
        <v>1</v>
      </c>
      <c r="G8" s="13" t="inlineStr">
        <is>
          <t>代表</t>
        </is>
      </c>
      <c r="H8" s="13" t="n">
        <v>8</v>
      </c>
      <c r="I8" s="13" t="n">
        <v>8</v>
      </c>
      <c r="J8" s="13" t="inlineStr">
        <is>
          <t>6梅</t>
        </is>
      </c>
      <c r="K8" s="13" t="inlineStr">
        <is>
          <t>会議室</t>
        </is>
      </c>
      <c r="L8" s="12">
        <f>IF(G8="","",H8+I8)</f>
        <v/>
      </c>
      <c r="Z8" s="8">
        <f>IF(B8="","",A8&amp;"-"&amp;B8)</f>
        <v/>
      </c>
    </row>
    <row r="9">
      <c r="A9" s="12">
        <f>$H$6</f>
        <v/>
      </c>
      <c r="B9" s="13" t="inlineStr">
        <is>
          <t>竹</t>
        </is>
      </c>
      <c r="C9" s="13">
        <f>IF(B9="","",A9&amp;B9)</f>
        <v/>
      </c>
      <c r="D9" s="13" t="inlineStr">
        <is>
          <t>青</t>
        </is>
      </c>
      <c r="F9" s="12" t="n">
        <v>2</v>
      </c>
      <c r="G9" s="13" t="inlineStr">
        <is>
          <t>集会</t>
        </is>
      </c>
      <c r="H9" s="13" t="n">
        <v>12</v>
      </c>
      <c r="I9" s="13" t="n">
        <v>12</v>
      </c>
      <c r="J9" s="13" t="inlineStr">
        <is>
          <t>6月</t>
        </is>
      </c>
      <c r="K9" s="13" t="inlineStr">
        <is>
          <t>体育館</t>
        </is>
      </c>
      <c r="L9" s="12">
        <f>IF(G9="","",H9+I9)</f>
        <v/>
      </c>
      <c r="Z9" s="8">
        <f>IF(B9="","",A9&amp;"-"&amp;B9)</f>
        <v/>
      </c>
    </row>
    <row r="10">
      <c r="A10" s="12">
        <f>$H$6</f>
        <v/>
      </c>
      <c r="B10" s="13" t="inlineStr">
        <is>
          <t>梅</t>
        </is>
      </c>
      <c r="C10" s="13">
        <f>IF(B10="","",A10&amp;B10)</f>
        <v/>
      </c>
      <c r="D10" s="13" t="inlineStr">
        <is>
          <t>赤</t>
        </is>
      </c>
      <c r="F10" s="12" t="n">
        <v>3</v>
      </c>
      <c r="G10" s="13" t="inlineStr">
        <is>
          <t>放送</t>
        </is>
      </c>
      <c r="H10" s="13" t="n">
        <v>12</v>
      </c>
      <c r="I10" s="13" t="n">
        <v>12</v>
      </c>
      <c r="J10" s="13" t="inlineStr">
        <is>
          <t>5竹</t>
        </is>
      </c>
      <c r="K10" s="13" t="inlineStr">
        <is>
          <t>放送室</t>
        </is>
      </c>
      <c r="L10" s="12">
        <f>IF(G10="","",H10+I10)</f>
        <v/>
      </c>
      <c r="Z10" s="8">
        <f>IF(B10="","",A10&amp;"-"&amp;B10)</f>
        <v/>
      </c>
    </row>
    <row r="11">
      <c r="A11" s="12">
        <f>$H$6</f>
        <v/>
      </c>
      <c r="B11" s="13" t="inlineStr">
        <is>
          <t>月</t>
        </is>
      </c>
      <c r="C11" s="13">
        <f>IF(B11="","",A11&amp;B11)</f>
        <v/>
      </c>
      <c r="D11" s="13" t="inlineStr">
        <is>
          <t>黄</t>
        </is>
      </c>
      <c r="F11" s="12" t="n">
        <v>4</v>
      </c>
      <c r="G11" s="13" t="inlineStr">
        <is>
          <t>音楽</t>
        </is>
      </c>
      <c r="H11" s="13" t="n">
        <v>8</v>
      </c>
      <c r="I11" s="13" t="n">
        <v>8</v>
      </c>
      <c r="J11" s="13" t="inlineStr">
        <is>
          <t>5松</t>
        </is>
      </c>
      <c r="K11" s="13" t="inlineStr">
        <is>
          <t>音楽室</t>
        </is>
      </c>
      <c r="L11" s="12">
        <f>IF(G11="","",H11+I11)</f>
        <v/>
      </c>
      <c r="Z11" s="8">
        <f>IF(B11="","",A11&amp;"-"&amp;B11)</f>
        <v/>
      </c>
    </row>
    <row r="12">
      <c r="A12" s="12">
        <f>$H$6</f>
        <v/>
      </c>
      <c r="B12" s="13" t="n"/>
      <c r="C12" s="13">
        <f>IF(B12="","",A12&amp;B12)</f>
        <v/>
      </c>
      <c r="D12" s="13" t="n"/>
      <c r="F12" s="12" t="n">
        <v>5</v>
      </c>
      <c r="G12" s="13" t="inlineStr">
        <is>
          <t>飼育</t>
        </is>
      </c>
      <c r="H12" s="13" t="n">
        <v>16</v>
      </c>
      <c r="I12" s="13" t="n">
        <v>16</v>
      </c>
      <c r="J12" s="13" t="inlineStr">
        <is>
          <t>6竹</t>
        </is>
      </c>
      <c r="K12" s="13" t="inlineStr">
        <is>
          <t>飼育小屋</t>
        </is>
      </c>
      <c r="L12" s="12">
        <f>IF(G12="","",H12+I12)</f>
        <v/>
      </c>
      <c r="Z12" s="8">
        <f>IF(B12="","",A12&amp;"-"&amp;B12)</f>
        <v/>
      </c>
    </row>
    <row r="13">
      <c r="A13" s="12">
        <f>$H$6</f>
        <v/>
      </c>
      <c r="B13" s="13" t="n"/>
      <c r="C13" s="13">
        <f>IF(B13="","",A13&amp;B13)</f>
        <v/>
      </c>
      <c r="D13" s="13" t="n"/>
      <c r="F13" s="12" t="n">
        <v>6</v>
      </c>
      <c r="G13" s="13" t="inlineStr">
        <is>
          <t>図書</t>
        </is>
      </c>
      <c r="H13" s="13" t="n">
        <v>12</v>
      </c>
      <c r="I13" s="13" t="n">
        <v>12</v>
      </c>
      <c r="J13" s="13" t="inlineStr">
        <is>
          <t>5梅</t>
        </is>
      </c>
      <c r="K13" s="13" t="inlineStr">
        <is>
          <t>図書室</t>
        </is>
      </c>
      <c r="L13" s="12">
        <f>IF(G13="","",H13+I13)</f>
        <v/>
      </c>
      <c r="Z13" s="8">
        <f>IF(B13="","",A13&amp;"-"&amp;B13)</f>
        <v/>
      </c>
    </row>
    <row r="14">
      <c r="A14" s="12">
        <f>$H$6</f>
        <v/>
      </c>
      <c r="B14" s="13" t="n"/>
      <c r="C14" s="13">
        <f>IF(B14="","",A14&amp;B14)</f>
        <v/>
      </c>
      <c r="D14" s="13" t="n"/>
      <c r="F14" s="12" t="n">
        <v>7</v>
      </c>
      <c r="G14" s="13" t="inlineStr">
        <is>
          <t>体育</t>
        </is>
      </c>
      <c r="H14" s="13" t="n">
        <v>14</v>
      </c>
      <c r="I14" s="13" t="n">
        <v>13</v>
      </c>
      <c r="J14" s="13" t="inlineStr">
        <is>
          <t>6松</t>
        </is>
      </c>
      <c r="K14" s="13" t="inlineStr">
        <is>
          <t>体育倉庫前</t>
        </is>
      </c>
      <c r="L14" s="12">
        <f>IF(G14="","",H14+I14)</f>
        <v/>
      </c>
      <c r="Z14" s="8">
        <f>IF(B14="","",A14&amp;"-"&amp;B14)</f>
        <v/>
      </c>
    </row>
    <row r="15">
      <c r="A15" s="12">
        <f>$H$6</f>
        <v/>
      </c>
      <c r="B15" s="13" t="n"/>
      <c r="C15" s="13">
        <f>IF(B15="","",A15&amp;B15)</f>
        <v/>
      </c>
      <c r="D15" s="13" t="n"/>
      <c r="F15" s="12" t="n">
        <v>8</v>
      </c>
      <c r="G15" s="13" t="inlineStr">
        <is>
          <t>保健</t>
        </is>
      </c>
      <c r="H15" s="13" t="n">
        <v>8</v>
      </c>
      <c r="I15" s="13" t="n">
        <v>8</v>
      </c>
      <c r="J15" s="13" t="inlineStr">
        <is>
          <t>5月</t>
        </is>
      </c>
      <c r="K15" s="13" t="inlineStr">
        <is>
          <t>保健室</t>
        </is>
      </c>
      <c r="L15" s="12">
        <f>IF(G15="","",H15+I15)</f>
        <v/>
      </c>
      <c r="Z15" s="8">
        <f>IF(B15="","",A15&amp;"-"&amp;B15)</f>
        <v/>
      </c>
    </row>
    <row r="16">
      <c r="A16" s="12">
        <f>$I$6</f>
        <v/>
      </c>
      <c r="B16" s="13" t="inlineStr">
        <is>
          <t>松</t>
        </is>
      </c>
      <c r="C16" s="13">
        <f>IF(B16="","",A16&amp;B16)</f>
        <v/>
      </c>
      <c r="D16" s="13" t="inlineStr">
        <is>
          <t>緑</t>
        </is>
      </c>
      <c r="F16" s="12" t="n">
        <v>9</v>
      </c>
      <c r="G16" s="13" t="inlineStr">
        <is>
          <t>環境</t>
        </is>
      </c>
      <c r="H16" s="13" t="n">
        <v>10</v>
      </c>
      <c r="I16" s="13" t="n">
        <v>10</v>
      </c>
      <c r="J16" s="13" t="inlineStr">
        <is>
          <t>6竹</t>
        </is>
      </c>
      <c r="K16" s="13" t="inlineStr">
        <is>
          <t>理科室</t>
        </is>
      </c>
      <c r="L16" s="12">
        <f>IF(G16="","",H16+I16)</f>
        <v/>
      </c>
      <c r="Z16" s="8">
        <f>IF(B16="","",A16&amp;"-"&amp;B16)</f>
        <v/>
      </c>
    </row>
    <row r="17">
      <c r="A17" s="12">
        <f>$I$6</f>
        <v/>
      </c>
      <c r="B17" s="13" t="inlineStr">
        <is>
          <t>竹</t>
        </is>
      </c>
      <c r="C17" s="13">
        <f>IF(B17="","",A17&amp;B17)</f>
        <v/>
      </c>
      <c r="D17" s="13" t="inlineStr">
        <is>
          <t>青</t>
        </is>
      </c>
      <c r="F17" s="12" t="n">
        <v>10</v>
      </c>
      <c r="G17" s="13" t="inlineStr">
        <is>
          <t>給食</t>
        </is>
      </c>
      <c r="H17" s="13" t="n">
        <v>12</v>
      </c>
      <c r="I17" s="13" t="n">
        <v>12</v>
      </c>
      <c r="J17" s="13" t="inlineStr">
        <is>
          <t>5松</t>
        </is>
      </c>
      <c r="K17" s="13" t="inlineStr">
        <is>
          <t>家庭科室</t>
        </is>
      </c>
      <c r="L17" s="12">
        <f>IF(G17="","",H17+I17)</f>
        <v/>
      </c>
      <c r="Z17" s="8">
        <f>IF(B17="","",A17&amp;"-"&amp;B17)</f>
        <v/>
      </c>
    </row>
    <row r="18">
      <c r="A18" s="12">
        <f>$I$6</f>
        <v/>
      </c>
      <c r="B18" s="13" t="inlineStr">
        <is>
          <t>梅</t>
        </is>
      </c>
      <c r="C18" s="13">
        <f>IF(B18="","",A18&amp;B18)</f>
        <v/>
      </c>
      <c r="D18" s="13" t="inlineStr">
        <is>
          <t>赤</t>
        </is>
      </c>
      <c r="F18" s="12" t="n">
        <v>11</v>
      </c>
      <c r="G18" s="13" t="inlineStr">
        <is>
          <t>掲示</t>
        </is>
      </c>
      <c r="H18" s="13" t="n">
        <v>9</v>
      </c>
      <c r="I18" s="13" t="n">
        <v>9</v>
      </c>
      <c r="J18" s="13" t="inlineStr">
        <is>
          <t>6月</t>
        </is>
      </c>
      <c r="K18" s="13" t="inlineStr">
        <is>
          <t>図工室</t>
        </is>
      </c>
      <c r="L18" s="12">
        <f>IF(G18="","",H18+I18)</f>
        <v/>
      </c>
      <c r="Z18" s="8">
        <f>IF(B18="","",A18&amp;"-"&amp;B18)</f>
        <v/>
      </c>
    </row>
    <row r="19">
      <c r="A19" s="12">
        <f>$I$6</f>
        <v/>
      </c>
      <c r="B19" s="13" t="inlineStr">
        <is>
          <t>月</t>
        </is>
      </c>
      <c r="C19" s="13">
        <f>IF(B19="","",A19&amp;B19)</f>
        <v/>
      </c>
      <c r="D19" s="13" t="inlineStr">
        <is>
          <t>黄</t>
        </is>
      </c>
      <c r="F19" s="12" t="n">
        <v>12</v>
      </c>
      <c r="G19" s="13" t="inlineStr">
        <is>
          <t>広報</t>
        </is>
      </c>
      <c r="H19" s="13" t="n">
        <v>10</v>
      </c>
      <c r="I19" s="13" t="n">
        <v>10</v>
      </c>
      <c r="J19" s="13" t="inlineStr">
        <is>
          <t>5竹</t>
        </is>
      </c>
      <c r="K19" s="13" t="inlineStr">
        <is>
          <t>パソコン室</t>
        </is>
      </c>
      <c r="L19" s="12">
        <f>IF(G19="","",H19+I19)</f>
        <v/>
      </c>
      <c r="Z19" s="8">
        <f>IF(B19="","",A19&amp;"-"&amp;B19)</f>
        <v/>
      </c>
    </row>
    <row r="20">
      <c r="A20" s="12">
        <f>$I$6</f>
        <v/>
      </c>
      <c r="B20" s="13" t="n"/>
      <c r="C20" s="13">
        <f>IF(B20="","",A20&amp;B20)</f>
        <v/>
      </c>
      <c r="D20" s="13" t="n"/>
      <c r="F20" s="12" t="n">
        <v>13</v>
      </c>
      <c r="G20" s="13" t="n"/>
      <c r="H20" s="13" t="n"/>
      <c r="I20" s="13" t="n"/>
      <c r="J20" s="13" t="n"/>
      <c r="K20" s="13" t="n"/>
      <c r="L20" s="12">
        <f>IF(G20="","",H20+I20)</f>
        <v/>
      </c>
      <c r="Z20" s="8">
        <f>IF(B20="","",A20&amp;"-"&amp;B20)</f>
        <v/>
      </c>
    </row>
    <row r="21">
      <c r="A21" s="12">
        <f>$I$6</f>
        <v/>
      </c>
      <c r="B21" s="13" t="n"/>
      <c r="C21" s="13">
        <f>IF(B21="","",A21&amp;B21)</f>
        <v/>
      </c>
      <c r="D21" s="13" t="n"/>
      <c r="F21" s="12" t="n">
        <v>14</v>
      </c>
      <c r="G21" s="13" t="n"/>
      <c r="H21" s="13" t="n"/>
      <c r="I21" s="13" t="n"/>
      <c r="J21" s="13" t="n"/>
      <c r="K21" s="13" t="n"/>
      <c r="L21" s="12">
        <f>IF(G21="","",H21+I21)</f>
        <v/>
      </c>
      <c r="Z21" s="8">
        <f>IF(B21="","",A21&amp;"-"&amp;B21)</f>
        <v/>
      </c>
    </row>
    <row r="22">
      <c r="A22" s="12">
        <f>$I$6</f>
        <v/>
      </c>
      <c r="B22" s="13" t="n"/>
      <c r="C22" s="13">
        <f>IF(B22="","",A22&amp;B22)</f>
        <v/>
      </c>
      <c r="D22" s="13" t="n"/>
      <c r="F22" s="12" t="n">
        <v>15</v>
      </c>
      <c r="G22" s="13" t="n"/>
      <c r="H22" s="13" t="n"/>
      <c r="I22" s="13" t="n"/>
      <c r="J22" s="13" t="n"/>
      <c r="K22" s="13" t="n"/>
      <c r="L22" s="12">
        <f>IF(G22="","",H22+I22)</f>
        <v/>
      </c>
      <c r="Z22" s="8">
        <f>IF(B22="","",A22&amp;"-"&amp;B22)</f>
        <v/>
      </c>
    </row>
    <row r="23">
      <c r="A23" s="12">
        <f>$I$6</f>
        <v/>
      </c>
      <c r="B23" s="13" t="n"/>
      <c r="C23" s="13">
        <f>IF(B23="","",A23&amp;B23)</f>
        <v/>
      </c>
      <c r="D23" s="13" t="n"/>
      <c r="F23" s="12" t="n">
        <v>16</v>
      </c>
      <c r="G23" s="13" t="n"/>
      <c r="H23" s="13" t="n"/>
      <c r="I23" s="13" t="n"/>
      <c r="J23" s="13" t="n"/>
      <c r="K23" s="13" t="n"/>
      <c r="L23" s="12">
        <f>IF(G23="","",H23+I23)</f>
        <v/>
      </c>
      <c r="Z23" s="8">
        <f>IF(B23="","",A23&amp;"-"&amp;B23)</f>
        <v/>
      </c>
    </row>
    <row r="24">
      <c r="F24" s="12" t="n">
        <v>17</v>
      </c>
      <c r="G24" s="13" t="n"/>
      <c r="H24" s="13" t="n"/>
      <c r="I24" s="13" t="n"/>
      <c r="J24" s="13" t="n"/>
      <c r="K24" s="13" t="n"/>
      <c r="L24" s="12">
        <f>IF(G24="","",H24+I24)</f>
        <v/>
      </c>
    </row>
    <row r="25">
      <c r="A25" s="8" t="inlineStr">
        <is>
          <t>※「名簿での表示」は自動で「学年＋組」になります。「6-1」などにしたいときは書きかえてかまいません。</t>
        </is>
      </c>
      <c r="F25" s="12" t="n">
        <v>18</v>
      </c>
      <c r="G25" s="13" t="n"/>
      <c r="H25" s="13" t="n"/>
      <c r="I25" s="13" t="n"/>
      <c r="J25" s="13" t="n"/>
      <c r="K25" s="13" t="n"/>
      <c r="L25" s="12">
        <f>IF(G25="","",H25+I25)</f>
        <v/>
      </c>
    </row>
    <row r="26">
      <c r="A26" s="8" t="inlineStr">
        <is>
          <t>※「色」はプルダウンで選びます。名簿の組の文字がその色になります（空欄なら黒）。</t>
        </is>
      </c>
      <c r="F26" s="12" t="n">
        <v>19</v>
      </c>
      <c r="G26" s="13" t="n"/>
      <c r="H26" s="13" t="n"/>
      <c r="I26" s="13" t="n"/>
      <c r="J26" s="13" t="n"/>
      <c r="K26" s="13" t="n"/>
      <c r="L26" s="12">
        <f>IF(G26="","",H26+I26)</f>
        <v/>
      </c>
    </row>
    <row r="27">
      <c r="F27" s="12" t="n">
        <v>20</v>
      </c>
      <c r="G27" s="13" t="n"/>
      <c r="H27" s="13" t="n"/>
      <c r="I27" s="13" t="n"/>
      <c r="J27" s="13" t="n"/>
      <c r="K27" s="13" t="n"/>
      <c r="L27" s="12">
        <f>IF(G27="","",H27+I27)</f>
        <v/>
      </c>
    </row>
    <row r="29">
      <c r="F29" s="8" t="inlineStr">
        <is>
          <t>※ 委員会は上から順に「委員会①、②…」のシートに入ります。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3:C3"/>
    <mergeCell ref="F6:G6"/>
  </mergeCells>
  <conditionalFormatting sqref="B8:C23">
    <cfRule type="expression" priority="1" dxfId="0">
      <formula>$D8="黒"</formula>
    </cfRule>
    <cfRule type="expression" priority="2" dxfId="1">
      <formula>$D8="赤"</formula>
    </cfRule>
    <cfRule type="expression" priority="3" dxfId="2">
      <formula>$D8="青"</formula>
    </cfRule>
    <cfRule type="expression" priority="4" dxfId="3">
      <formula>$D8="緑"</formula>
    </cfRule>
    <cfRule type="expression" priority="5" dxfId="4">
      <formula>$D8="黄"</formula>
    </cfRule>
    <cfRule type="expression" priority="6" dxfId="5">
      <formula>$D8="橙"</formula>
    </cfRule>
    <cfRule type="expression" priority="7" dxfId="6">
      <formula>$D8="紫"</formula>
    </cfRule>
    <cfRule type="expression" priority="8" dxfId="7">
      <formula>$D8="茶"</formula>
    </cfRule>
  </conditionalFormatting>
  <conditionalFormatting sqref="G8:G27">
    <cfRule type="expression" priority="9" dxfId="8">
      <formula>AND(G8&lt;&gt;"",COUNTIF($G$8:$G$27,G8)&gt;1)</formula>
    </cfRule>
  </conditionalFormatting>
  <dataValidations count="3">
    <dataValidation sqref="B4" showDropDown="0" showInputMessage="0" showErrorMessage="0" allowBlank="0" type="list">
      <formula1>"委員会,クラブ"</formula1>
    </dataValidation>
    <dataValidation sqref="D8:D23" showDropDown="0" showInputMessage="0" showErrorMessage="0" allowBlank="1" type="list">
      <formula1>"黒,赤,青,緑,黄,橙,紫,茶"</formula1>
    </dataValidation>
    <dataValidation sqref="H8:I27" showDropDown="0" showInputMessage="0" showErrorMessage="0" allowBlank="1" type="whole" operator="between">
      <formula1>0</formula1>
      <formula2>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2" customWidth="1" min="6" max="6"/>
    <col width="10" customWidth="1" min="7" max="7"/>
    <col width="22" customWidth="1" min="8" max="8"/>
  </cols>
  <sheetData>
    <row r="1">
      <c r="A1" s="11" t="inlineStr">
        <is>
          <t>学年</t>
        </is>
      </c>
      <c r="B1" s="11" t="inlineStr">
        <is>
          <t>組</t>
        </is>
      </c>
      <c r="C1" s="11" t="inlineStr">
        <is>
          <t>番号</t>
        </is>
      </c>
      <c r="D1" s="11" t="inlineStr">
        <is>
          <t>名前</t>
        </is>
      </c>
      <c r="F1" s="14" t="inlineStr">
        <is>
          <t>キー（自動）</t>
        </is>
      </c>
      <c r="G1" s="14" t="inlineStr">
        <is>
          <t>並び順（自動）</t>
        </is>
      </c>
      <c r="H1" s="14" t="inlineStr">
        <is>
          <t>チェック（自動）</t>
        </is>
      </c>
    </row>
    <row r="2">
      <c r="A2" s="15" t="n">
        <v>6</v>
      </c>
      <c r="B2" s="15" t="inlineStr">
        <is>
          <t>松</t>
        </is>
      </c>
      <c r="C2" s="15" t="n">
        <v>1</v>
      </c>
      <c r="D2" s="16" t="inlineStr">
        <is>
          <t>山崎　律</t>
        </is>
      </c>
      <c r="F2" s="8">
        <f>IF(D2="","",A2&amp;"-"&amp;B2&amp;"-"&amp;C2)</f>
        <v/>
      </c>
      <c r="G2" s="8">
        <f>IF(F2="","",IFERROR(MATCH(A2&amp;"-"&amp;B2,設定!$Z$8:$Z$23,0),99)*1000+C2+ROW()/100000)</f>
        <v/>
      </c>
      <c r="H2" s="17">
        <f>IF(F2="","",IF(ISERROR(MATCH(A2&amp;"-"&amp;B2,設定!$Z$8:$Z$23,0)),"設定にない学年・組",IF(COUNTIF($F$2:$F$301,F2)&gt;1,"同じ学年・組・番号がいる","")))</f>
        <v/>
      </c>
    </row>
    <row r="3">
      <c r="A3" s="15" t="n">
        <v>6</v>
      </c>
      <c r="B3" s="15" t="inlineStr">
        <is>
          <t>松</t>
        </is>
      </c>
      <c r="C3" s="15" t="n">
        <v>2</v>
      </c>
      <c r="D3" s="16" t="inlineStr">
        <is>
          <t>石川　蒼</t>
        </is>
      </c>
      <c r="F3" s="8">
        <f>IF(D3="","",A3&amp;"-"&amp;B3&amp;"-"&amp;C3)</f>
        <v/>
      </c>
      <c r="G3" s="8">
        <f>IF(F3="","",IFERROR(MATCH(A3&amp;"-"&amp;B3,設定!$Z$8:$Z$23,0),99)*1000+C3+ROW()/100000)</f>
        <v/>
      </c>
      <c r="H3" s="17">
        <f>IF(F3="","",IF(ISERROR(MATCH(A3&amp;"-"&amp;B3,設定!$Z$8:$Z$23,0)),"設定にない学年・組",IF(COUNTIF($F$2:$F$301,F3)&gt;1,"同じ学年・組・番号がいる","")))</f>
        <v/>
      </c>
    </row>
    <row r="4">
      <c r="A4" s="15" t="n">
        <v>6</v>
      </c>
      <c r="B4" s="15" t="inlineStr">
        <is>
          <t>松</t>
        </is>
      </c>
      <c r="C4" s="15" t="n">
        <v>3</v>
      </c>
      <c r="D4" s="16" t="inlineStr">
        <is>
          <t>伊藤　花音</t>
        </is>
      </c>
      <c r="F4" s="8">
        <f>IF(D4="","",A4&amp;"-"&amp;B4&amp;"-"&amp;C4)</f>
        <v/>
      </c>
      <c r="G4" s="8">
        <f>IF(F4="","",IFERROR(MATCH(A4&amp;"-"&amp;B4,設定!$Z$8:$Z$23,0),99)*1000+C4+ROW()/100000)</f>
        <v/>
      </c>
      <c r="H4" s="17">
        <f>IF(F4="","",IF(ISERROR(MATCH(A4&amp;"-"&amp;B4,設定!$Z$8:$Z$23,0)),"設定にない学年・組",IF(COUNTIF($F$2:$F$301,F4)&gt;1,"同じ学年・組・番号がいる","")))</f>
        <v/>
      </c>
    </row>
    <row r="5">
      <c r="A5" s="15" t="n">
        <v>6</v>
      </c>
      <c r="B5" s="15" t="inlineStr">
        <is>
          <t>松</t>
        </is>
      </c>
      <c r="C5" s="15" t="n">
        <v>4</v>
      </c>
      <c r="D5" s="16" t="inlineStr">
        <is>
          <t>山本　芽依</t>
        </is>
      </c>
      <c r="F5" s="8">
        <f>IF(D5="","",A5&amp;"-"&amp;B5&amp;"-"&amp;C5)</f>
        <v/>
      </c>
      <c r="G5" s="8">
        <f>IF(F5="","",IFERROR(MATCH(A5&amp;"-"&amp;B5,設定!$Z$8:$Z$23,0),99)*1000+C5+ROW()/100000)</f>
        <v/>
      </c>
      <c r="H5" s="17">
        <f>IF(F5="","",IF(ISERROR(MATCH(A5&amp;"-"&amp;B5,設定!$Z$8:$Z$23,0)),"設定にない学年・組",IF(COUNTIF($F$2:$F$301,F5)&gt;1,"同じ学年・組・番号がいる","")))</f>
        <v/>
      </c>
    </row>
    <row r="6">
      <c r="A6" s="15" t="n">
        <v>6</v>
      </c>
      <c r="B6" s="15" t="inlineStr">
        <is>
          <t>松</t>
        </is>
      </c>
      <c r="C6" s="15" t="n">
        <v>5</v>
      </c>
      <c r="D6" s="16" t="inlineStr">
        <is>
          <t>遠藤　蒼</t>
        </is>
      </c>
      <c r="F6" s="8">
        <f>IF(D6="","",A6&amp;"-"&amp;B6&amp;"-"&amp;C6)</f>
        <v/>
      </c>
      <c r="G6" s="8">
        <f>IF(F6="","",IFERROR(MATCH(A6&amp;"-"&amp;B6,設定!$Z$8:$Z$23,0),99)*1000+C6+ROW()/100000)</f>
        <v/>
      </c>
      <c r="H6" s="17">
        <f>IF(F6="","",IF(ISERROR(MATCH(A6&amp;"-"&amp;B6,設定!$Z$8:$Z$23,0)),"設定にない学年・組",IF(COUNTIF($F$2:$F$301,F6)&gt;1,"同じ学年・組・番号がいる","")))</f>
        <v/>
      </c>
    </row>
    <row r="7">
      <c r="A7" s="15" t="n">
        <v>6</v>
      </c>
      <c r="B7" s="15" t="inlineStr">
        <is>
          <t>松</t>
        </is>
      </c>
      <c r="C7" s="15" t="n">
        <v>6</v>
      </c>
      <c r="D7" s="16" t="inlineStr">
        <is>
          <t>長谷川　奏太</t>
        </is>
      </c>
      <c r="F7" s="8">
        <f>IF(D7="","",A7&amp;"-"&amp;B7&amp;"-"&amp;C7)</f>
        <v/>
      </c>
      <c r="G7" s="8">
        <f>IF(F7="","",IFERROR(MATCH(A7&amp;"-"&amp;B7,設定!$Z$8:$Z$23,0),99)*1000+C7+ROW()/100000)</f>
        <v/>
      </c>
      <c r="H7" s="17">
        <f>IF(F7="","",IF(ISERROR(MATCH(A7&amp;"-"&amp;B7,設定!$Z$8:$Z$23,0)),"設定にない学年・組",IF(COUNTIF($F$2:$F$301,F7)&gt;1,"同じ学年・組・番号がいる","")))</f>
        <v/>
      </c>
    </row>
    <row r="8">
      <c r="A8" s="15" t="n">
        <v>6</v>
      </c>
      <c r="B8" s="15" t="inlineStr">
        <is>
          <t>松</t>
        </is>
      </c>
      <c r="C8" s="15" t="n">
        <v>7</v>
      </c>
      <c r="D8" s="16" t="inlineStr">
        <is>
          <t>高橋　大和</t>
        </is>
      </c>
      <c r="F8" s="8">
        <f>IF(D8="","",A8&amp;"-"&amp;B8&amp;"-"&amp;C8)</f>
        <v/>
      </c>
      <c r="G8" s="8">
        <f>IF(F8="","",IFERROR(MATCH(A8&amp;"-"&amp;B8,設定!$Z$8:$Z$23,0),99)*1000+C8+ROW()/100000)</f>
        <v/>
      </c>
      <c r="H8" s="17">
        <f>IF(F8="","",IF(ISERROR(MATCH(A8&amp;"-"&amp;B8,設定!$Z$8:$Z$23,0)),"設定にない学年・組",IF(COUNTIF($F$2:$F$301,F8)&gt;1,"同じ学年・組・番号がいる","")))</f>
        <v/>
      </c>
    </row>
    <row r="9">
      <c r="A9" s="15" t="n">
        <v>6</v>
      </c>
      <c r="B9" s="15" t="inlineStr">
        <is>
          <t>松</t>
        </is>
      </c>
      <c r="C9" s="15" t="n">
        <v>8</v>
      </c>
      <c r="D9" s="16" t="inlineStr">
        <is>
          <t>中島　澪</t>
        </is>
      </c>
      <c r="F9" s="8">
        <f>IF(D9="","",A9&amp;"-"&amp;B9&amp;"-"&amp;C9)</f>
        <v/>
      </c>
      <c r="G9" s="8">
        <f>IF(F9="","",IFERROR(MATCH(A9&amp;"-"&amp;B9,設定!$Z$8:$Z$23,0),99)*1000+C9+ROW()/100000)</f>
        <v/>
      </c>
      <c r="H9" s="17">
        <f>IF(F9="","",IF(ISERROR(MATCH(A9&amp;"-"&amp;B9,設定!$Z$8:$Z$23,0)),"設定にない学年・組",IF(COUNTIF($F$2:$F$301,F9)&gt;1,"同じ学年・組・番号がいる","")))</f>
        <v/>
      </c>
    </row>
    <row r="10">
      <c r="A10" s="15" t="n">
        <v>6</v>
      </c>
      <c r="B10" s="15" t="inlineStr">
        <is>
          <t>松</t>
        </is>
      </c>
      <c r="C10" s="15" t="n">
        <v>9</v>
      </c>
      <c r="D10" s="16" t="inlineStr">
        <is>
          <t>伊藤　陸</t>
        </is>
      </c>
      <c r="F10" s="8">
        <f>IF(D10="","",A10&amp;"-"&amp;B10&amp;"-"&amp;C10)</f>
        <v/>
      </c>
      <c r="G10" s="8">
        <f>IF(F10="","",IFERROR(MATCH(A10&amp;"-"&amp;B10,設定!$Z$8:$Z$23,0),99)*1000+C10+ROW()/100000)</f>
        <v/>
      </c>
      <c r="H10" s="17">
        <f>IF(F10="","",IF(ISERROR(MATCH(A10&amp;"-"&amp;B10,設定!$Z$8:$Z$23,0)),"設定にない学年・組",IF(COUNTIF($F$2:$F$301,F10)&gt;1,"同じ学年・組・番号がいる","")))</f>
        <v/>
      </c>
    </row>
    <row r="11">
      <c r="A11" s="15" t="n">
        <v>6</v>
      </c>
      <c r="B11" s="15" t="inlineStr">
        <is>
          <t>松</t>
        </is>
      </c>
      <c r="C11" s="15" t="n">
        <v>10</v>
      </c>
      <c r="D11" s="16" t="inlineStr">
        <is>
          <t>渡辺　柚葉</t>
        </is>
      </c>
      <c r="F11" s="8">
        <f>IF(D11="","",A11&amp;"-"&amp;B11&amp;"-"&amp;C11)</f>
        <v/>
      </c>
      <c r="G11" s="8">
        <f>IF(F11="","",IFERROR(MATCH(A11&amp;"-"&amp;B11,設定!$Z$8:$Z$23,0),99)*1000+C11+ROW()/100000)</f>
        <v/>
      </c>
      <c r="H11" s="17">
        <f>IF(F11="","",IF(ISERROR(MATCH(A11&amp;"-"&amp;B11,設定!$Z$8:$Z$23,0)),"設定にない学年・組",IF(COUNTIF($F$2:$F$301,F11)&gt;1,"同じ学年・組・番号がいる","")))</f>
        <v/>
      </c>
    </row>
    <row r="12">
      <c r="A12" s="15" t="n">
        <v>6</v>
      </c>
      <c r="B12" s="15" t="inlineStr">
        <is>
          <t>松</t>
        </is>
      </c>
      <c r="C12" s="15" t="n">
        <v>11</v>
      </c>
      <c r="D12" s="16" t="inlineStr">
        <is>
          <t>中島　蒼</t>
        </is>
      </c>
      <c r="F12" s="8">
        <f>IF(D12="","",A12&amp;"-"&amp;B12&amp;"-"&amp;C12)</f>
        <v/>
      </c>
      <c r="G12" s="8">
        <f>IF(F12="","",IFERROR(MATCH(A12&amp;"-"&amp;B12,設定!$Z$8:$Z$23,0),99)*1000+C12+ROW()/100000)</f>
        <v/>
      </c>
      <c r="H12" s="17">
        <f>IF(F12="","",IF(ISERROR(MATCH(A12&amp;"-"&amp;B12,設定!$Z$8:$Z$23,0)),"設定にない学年・組",IF(COUNTIF($F$2:$F$301,F12)&gt;1,"同じ学年・組・番号がいる","")))</f>
        <v/>
      </c>
    </row>
    <row r="13">
      <c r="A13" s="15" t="n">
        <v>6</v>
      </c>
      <c r="B13" s="15" t="inlineStr">
        <is>
          <t>松</t>
        </is>
      </c>
      <c r="C13" s="15" t="n">
        <v>12</v>
      </c>
      <c r="D13" s="16" t="inlineStr">
        <is>
          <t>村上　陽太</t>
        </is>
      </c>
      <c r="F13" s="8">
        <f>IF(D13="","",A13&amp;"-"&amp;B13&amp;"-"&amp;C13)</f>
        <v/>
      </c>
      <c r="G13" s="8">
        <f>IF(F13="","",IFERROR(MATCH(A13&amp;"-"&amp;B13,設定!$Z$8:$Z$23,0),99)*1000+C13+ROW()/100000)</f>
        <v/>
      </c>
      <c r="H13" s="17">
        <f>IF(F13="","",IF(ISERROR(MATCH(A13&amp;"-"&amp;B13,設定!$Z$8:$Z$23,0)),"設定にない学年・組",IF(COUNTIF($F$2:$F$301,F13)&gt;1,"同じ学年・組・番号がいる","")))</f>
        <v/>
      </c>
    </row>
    <row r="14">
      <c r="A14" s="15" t="n">
        <v>6</v>
      </c>
      <c r="B14" s="15" t="inlineStr">
        <is>
          <t>松</t>
        </is>
      </c>
      <c r="C14" s="15" t="n">
        <v>13</v>
      </c>
      <c r="D14" s="16" t="inlineStr">
        <is>
          <t>松本　楓</t>
        </is>
      </c>
      <c r="F14" s="8">
        <f>IF(D14="","",A14&amp;"-"&amp;B14&amp;"-"&amp;C14)</f>
        <v/>
      </c>
      <c r="G14" s="8">
        <f>IF(F14="","",IFERROR(MATCH(A14&amp;"-"&amp;B14,設定!$Z$8:$Z$23,0),99)*1000+C14+ROW()/100000)</f>
        <v/>
      </c>
      <c r="H14" s="17">
        <f>IF(F14="","",IF(ISERROR(MATCH(A14&amp;"-"&amp;B14,設定!$Z$8:$Z$23,0)),"設定にない学年・組",IF(COUNTIF($F$2:$F$301,F14)&gt;1,"同じ学年・組・番号がいる","")))</f>
        <v/>
      </c>
    </row>
    <row r="15">
      <c r="A15" s="15" t="n">
        <v>6</v>
      </c>
      <c r="B15" s="15" t="inlineStr">
        <is>
          <t>松</t>
        </is>
      </c>
      <c r="C15" s="15" t="n">
        <v>14</v>
      </c>
      <c r="D15" s="16" t="inlineStr">
        <is>
          <t>田中　千尋</t>
        </is>
      </c>
      <c r="F15" s="8">
        <f>IF(D15="","",A15&amp;"-"&amp;B15&amp;"-"&amp;C15)</f>
        <v/>
      </c>
      <c r="G15" s="8">
        <f>IF(F15="","",IFERROR(MATCH(A15&amp;"-"&amp;B15,設定!$Z$8:$Z$23,0),99)*1000+C15+ROW()/100000)</f>
        <v/>
      </c>
      <c r="H15" s="17">
        <f>IF(F15="","",IF(ISERROR(MATCH(A15&amp;"-"&amp;B15,設定!$Z$8:$Z$23,0)),"設定にない学年・組",IF(COUNTIF($F$2:$F$301,F15)&gt;1,"同じ学年・組・番号がいる","")))</f>
        <v/>
      </c>
    </row>
    <row r="16">
      <c r="A16" s="15" t="n">
        <v>6</v>
      </c>
      <c r="B16" s="15" t="inlineStr">
        <is>
          <t>松</t>
        </is>
      </c>
      <c r="C16" s="15" t="n">
        <v>15</v>
      </c>
      <c r="D16" s="16" t="inlineStr">
        <is>
          <t>遠藤　紬</t>
        </is>
      </c>
      <c r="F16" s="8">
        <f>IF(D16="","",A16&amp;"-"&amp;B16&amp;"-"&amp;C16)</f>
        <v/>
      </c>
      <c r="G16" s="8">
        <f>IF(F16="","",IFERROR(MATCH(A16&amp;"-"&amp;B16,設定!$Z$8:$Z$23,0),99)*1000+C16+ROW()/100000)</f>
        <v/>
      </c>
      <c r="H16" s="17">
        <f>IF(F16="","",IF(ISERROR(MATCH(A16&amp;"-"&amp;B16,設定!$Z$8:$Z$23,0)),"設定にない学年・組",IF(COUNTIF($F$2:$F$301,F16)&gt;1,"同じ学年・組・番号がいる","")))</f>
        <v/>
      </c>
    </row>
    <row r="17">
      <c r="A17" s="15" t="n">
        <v>6</v>
      </c>
      <c r="B17" s="15" t="inlineStr">
        <is>
          <t>松</t>
        </is>
      </c>
      <c r="C17" s="15" t="n">
        <v>16</v>
      </c>
      <c r="D17" s="16" t="inlineStr">
        <is>
          <t>田中　新</t>
        </is>
      </c>
      <c r="F17" s="8">
        <f>IF(D17="","",A17&amp;"-"&amp;B17&amp;"-"&amp;C17)</f>
        <v/>
      </c>
      <c r="G17" s="8">
        <f>IF(F17="","",IFERROR(MATCH(A17&amp;"-"&amp;B17,設定!$Z$8:$Z$23,0),99)*1000+C17+ROW()/100000)</f>
        <v/>
      </c>
      <c r="H17" s="17">
        <f>IF(F17="","",IF(ISERROR(MATCH(A17&amp;"-"&amp;B17,設定!$Z$8:$Z$23,0)),"設定にない学年・組",IF(COUNTIF($F$2:$F$301,F17)&gt;1,"同じ学年・組・番号がいる","")))</f>
        <v/>
      </c>
    </row>
    <row r="18">
      <c r="A18" s="15" t="n">
        <v>6</v>
      </c>
      <c r="B18" s="15" t="inlineStr">
        <is>
          <t>松</t>
        </is>
      </c>
      <c r="C18" s="15" t="n">
        <v>17</v>
      </c>
      <c r="D18" s="16" t="inlineStr">
        <is>
          <t>高橋　柚葉</t>
        </is>
      </c>
      <c r="F18" s="8">
        <f>IF(D18="","",A18&amp;"-"&amp;B18&amp;"-"&amp;C18)</f>
        <v/>
      </c>
      <c r="G18" s="8">
        <f>IF(F18="","",IFERROR(MATCH(A18&amp;"-"&amp;B18,設定!$Z$8:$Z$23,0),99)*1000+C18+ROW()/100000)</f>
        <v/>
      </c>
      <c r="H18" s="17">
        <f>IF(F18="","",IF(ISERROR(MATCH(A18&amp;"-"&amp;B18,設定!$Z$8:$Z$23,0)),"設定にない学年・組",IF(COUNTIF($F$2:$F$301,F18)&gt;1,"同じ学年・組・番号がいる","")))</f>
        <v/>
      </c>
    </row>
    <row r="19">
      <c r="A19" s="15" t="n">
        <v>6</v>
      </c>
      <c r="B19" s="15" t="inlineStr">
        <is>
          <t>松</t>
        </is>
      </c>
      <c r="C19" s="15" t="n">
        <v>18</v>
      </c>
      <c r="D19" s="16" t="inlineStr">
        <is>
          <t>小林　拓海</t>
        </is>
      </c>
      <c r="F19" s="8">
        <f>IF(D19="","",A19&amp;"-"&amp;B19&amp;"-"&amp;C19)</f>
        <v/>
      </c>
      <c r="G19" s="8">
        <f>IF(F19="","",IFERROR(MATCH(A19&amp;"-"&amp;B19,設定!$Z$8:$Z$23,0),99)*1000+C19+ROW()/100000)</f>
        <v/>
      </c>
      <c r="H19" s="17">
        <f>IF(F19="","",IF(ISERROR(MATCH(A19&amp;"-"&amp;B19,設定!$Z$8:$Z$23,0)),"設定にない学年・組",IF(COUNTIF($F$2:$F$301,F19)&gt;1,"同じ学年・組・番号がいる","")))</f>
        <v/>
      </c>
    </row>
    <row r="20">
      <c r="A20" s="15" t="n">
        <v>6</v>
      </c>
      <c r="B20" s="15" t="inlineStr">
        <is>
          <t>松</t>
        </is>
      </c>
      <c r="C20" s="15" t="n">
        <v>19</v>
      </c>
      <c r="D20" s="16" t="inlineStr">
        <is>
          <t>山下　律</t>
        </is>
      </c>
      <c r="F20" s="8">
        <f>IF(D20="","",A20&amp;"-"&amp;B20&amp;"-"&amp;C20)</f>
        <v/>
      </c>
      <c r="G20" s="8">
        <f>IF(F20="","",IFERROR(MATCH(A20&amp;"-"&amp;B20,設定!$Z$8:$Z$23,0),99)*1000+C20+ROW()/100000)</f>
        <v/>
      </c>
      <c r="H20" s="17">
        <f>IF(F20="","",IF(ISERROR(MATCH(A20&amp;"-"&amp;B20,設定!$Z$8:$Z$23,0)),"設定にない学年・組",IF(COUNTIF($F$2:$F$301,F20)&gt;1,"同じ学年・組・番号がいる","")))</f>
        <v/>
      </c>
    </row>
    <row r="21">
      <c r="A21" s="15" t="n">
        <v>6</v>
      </c>
      <c r="B21" s="15" t="inlineStr">
        <is>
          <t>松</t>
        </is>
      </c>
      <c r="C21" s="15" t="n">
        <v>20</v>
      </c>
      <c r="D21" s="16" t="inlineStr">
        <is>
          <t>後藤　陽太</t>
        </is>
      </c>
      <c r="F21" s="8">
        <f>IF(D21="","",A21&amp;"-"&amp;B21&amp;"-"&amp;C21)</f>
        <v/>
      </c>
      <c r="G21" s="8">
        <f>IF(F21="","",IFERROR(MATCH(A21&amp;"-"&amp;B21,設定!$Z$8:$Z$23,0),99)*1000+C21+ROW()/100000)</f>
        <v/>
      </c>
      <c r="H21" s="17">
        <f>IF(F21="","",IF(ISERROR(MATCH(A21&amp;"-"&amp;B21,設定!$Z$8:$Z$23,0)),"設定にない学年・組",IF(COUNTIF($F$2:$F$301,F21)&gt;1,"同じ学年・組・番号がいる","")))</f>
        <v/>
      </c>
    </row>
    <row r="22">
      <c r="A22" s="15" t="n">
        <v>6</v>
      </c>
      <c r="B22" s="15" t="inlineStr">
        <is>
          <t>松</t>
        </is>
      </c>
      <c r="C22" s="15" t="n">
        <v>21</v>
      </c>
      <c r="D22" s="16" t="inlineStr">
        <is>
          <t>村上　航</t>
        </is>
      </c>
      <c r="F22" s="8">
        <f>IF(D22="","",A22&amp;"-"&amp;B22&amp;"-"&amp;C22)</f>
        <v/>
      </c>
      <c r="G22" s="8">
        <f>IF(F22="","",IFERROR(MATCH(A22&amp;"-"&amp;B22,設定!$Z$8:$Z$23,0),99)*1000+C22+ROW()/100000)</f>
        <v/>
      </c>
      <c r="H22" s="17">
        <f>IF(F22="","",IF(ISERROR(MATCH(A22&amp;"-"&amp;B22,設定!$Z$8:$Z$23,0)),"設定にない学年・組",IF(COUNTIF($F$2:$F$301,F22)&gt;1,"同じ学年・組・番号がいる","")))</f>
        <v/>
      </c>
    </row>
    <row r="23">
      <c r="A23" s="15" t="n">
        <v>6</v>
      </c>
      <c r="B23" s="15" t="inlineStr">
        <is>
          <t>松</t>
        </is>
      </c>
      <c r="C23" s="15" t="n">
        <v>22</v>
      </c>
      <c r="D23" s="16" t="inlineStr">
        <is>
          <t>近藤　結翔</t>
        </is>
      </c>
      <c r="F23" s="8">
        <f>IF(D23="","",A23&amp;"-"&amp;B23&amp;"-"&amp;C23)</f>
        <v/>
      </c>
      <c r="G23" s="8">
        <f>IF(F23="","",IFERROR(MATCH(A23&amp;"-"&amp;B23,設定!$Z$8:$Z$23,0),99)*1000+C23+ROW()/100000)</f>
        <v/>
      </c>
      <c r="H23" s="17">
        <f>IF(F23="","",IF(ISERROR(MATCH(A23&amp;"-"&amp;B23,設定!$Z$8:$Z$23,0)),"設定にない学年・組",IF(COUNTIF($F$2:$F$301,F23)&gt;1,"同じ学年・組・番号がいる","")))</f>
        <v/>
      </c>
    </row>
    <row r="24">
      <c r="A24" s="15" t="n">
        <v>6</v>
      </c>
      <c r="B24" s="15" t="inlineStr">
        <is>
          <t>松</t>
        </is>
      </c>
      <c r="C24" s="15" t="n">
        <v>23</v>
      </c>
      <c r="D24" s="16" t="inlineStr">
        <is>
          <t>山本　楓</t>
        </is>
      </c>
      <c r="F24" s="8">
        <f>IF(D24="","",A24&amp;"-"&amp;B24&amp;"-"&amp;C24)</f>
        <v/>
      </c>
      <c r="G24" s="8">
        <f>IF(F24="","",IFERROR(MATCH(A24&amp;"-"&amp;B24,設定!$Z$8:$Z$23,0),99)*1000+C24+ROW()/100000)</f>
        <v/>
      </c>
      <c r="H24" s="17">
        <f>IF(F24="","",IF(ISERROR(MATCH(A24&amp;"-"&amp;B24,設定!$Z$8:$Z$23,0)),"設定にない学年・組",IF(COUNTIF($F$2:$F$301,F24)&gt;1,"同じ学年・組・番号がいる","")))</f>
        <v/>
      </c>
    </row>
    <row r="25">
      <c r="A25" s="15" t="n">
        <v>6</v>
      </c>
      <c r="B25" s="15" t="inlineStr">
        <is>
          <t>松</t>
        </is>
      </c>
      <c r="C25" s="15" t="n">
        <v>24</v>
      </c>
      <c r="D25" s="16" t="inlineStr">
        <is>
          <t>村上　優斗</t>
        </is>
      </c>
      <c r="F25" s="8">
        <f>IF(D25="","",A25&amp;"-"&amp;B25&amp;"-"&amp;C25)</f>
        <v/>
      </c>
      <c r="G25" s="8">
        <f>IF(F25="","",IFERROR(MATCH(A25&amp;"-"&amp;B25,設定!$Z$8:$Z$23,0),99)*1000+C25+ROW()/100000)</f>
        <v/>
      </c>
      <c r="H25" s="17">
        <f>IF(F25="","",IF(ISERROR(MATCH(A25&amp;"-"&amp;B25,設定!$Z$8:$Z$23,0)),"設定にない学年・組",IF(COUNTIF($F$2:$F$301,F25)&gt;1,"同じ学年・組・番号がいる","")))</f>
        <v/>
      </c>
    </row>
    <row r="26">
      <c r="A26" s="15" t="n">
        <v>6</v>
      </c>
      <c r="B26" s="15" t="inlineStr">
        <is>
          <t>松</t>
        </is>
      </c>
      <c r="C26" s="15" t="n">
        <v>25</v>
      </c>
      <c r="D26" s="16" t="inlineStr">
        <is>
          <t>橋本　悠真</t>
        </is>
      </c>
      <c r="F26" s="8">
        <f>IF(D26="","",A26&amp;"-"&amp;B26&amp;"-"&amp;C26)</f>
        <v/>
      </c>
      <c r="G26" s="8">
        <f>IF(F26="","",IFERROR(MATCH(A26&amp;"-"&amp;B26,設定!$Z$8:$Z$23,0),99)*1000+C26+ROW()/100000)</f>
        <v/>
      </c>
      <c r="H26" s="17">
        <f>IF(F26="","",IF(ISERROR(MATCH(A26&amp;"-"&amp;B26,設定!$Z$8:$Z$23,0)),"設定にない学年・組",IF(COUNTIF($F$2:$F$301,F26)&gt;1,"同じ学年・組・番号がいる","")))</f>
        <v/>
      </c>
    </row>
    <row r="27">
      <c r="A27" s="15" t="n">
        <v>6</v>
      </c>
      <c r="B27" s="15" t="inlineStr">
        <is>
          <t>松</t>
        </is>
      </c>
      <c r="C27" s="15" t="n">
        <v>26</v>
      </c>
      <c r="D27" s="16" t="inlineStr">
        <is>
          <t>近藤　樹</t>
        </is>
      </c>
      <c r="F27" s="8">
        <f>IF(D27="","",A27&amp;"-"&amp;B27&amp;"-"&amp;C27)</f>
        <v/>
      </c>
      <c r="G27" s="8">
        <f>IF(F27="","",IFERROR(MATCH(A27&amp;"-"&amp;B27,設定!$Z$8:$Z$23,0),99)*1000+C27+ROW()/100000)</f>
        <v/>
      </c>
      <c r="H27" s="17">
        <f>IF(F27="","",IF(ISERROR(MATCH(A27&amp;"-"&amp;B27,設定!$Z$8:$Z$23,0)),"設定にない学年・組",IF(COUNTIF($F$2:$F$301,F27)&gt;1,"同じ学年・組・番号がいる","")))</f>
        <v/>
      </c>
    </row>
    <row r="28">
      <c r="A28" s="15" t="n">
        <v>6</v>
      </c>
      <c r="B28" s="15" t="inlineStr">
        <is>
          <t>松</t>
        </is>
      </c>
      <c r="C28" s="15" t="n">
        <v>27</v>
      </c>
      <c r="D28" s="16" t="inlineStr">
        <is>
          <t>村上　蒼</t>
        </is>
      </c>
      <c r="F28" s="8">
        <f>IF(D28="","",A28&amp;"-"&amp;B28&amp;"-"&amp;C28)</f>
        <v/>
      </c>
      <c r="G28" s="8">
        <f>IF(F28="","",IFERROR(MATCH(A28&amp;"-"&amp;B28,設定!$Z$8:$Z$23,0),99)*1000+C28+ROW()/100000)</f>
        <v/>
      </c>
      <c r="H28" s="17">
        <f>IF(F28="","",IF(ISERROR(MATCH(A28&amp;"-"&amp;B28,設定!$Z$8:$Z$23,0)),"設定にない学年・組",IF(COUNTIF($F$2:$F$301,F28)&gt;1,"同じ学年・組・番号がいる","")))</f>
        <v/>
      </c>
    </row>
    <row r="29">
      <c r="A29" s="15" t="n">
        <v>6</v>
      </c>
      <c r="B29" s="15" t="inlineStr">
        <is>
          <t>松</t>
        </is>
      </c>
      <c r="C29" s="15" t="n">
        <v>28</v>
      </c>
      <c r="D29" s="16" t="inlineStr">
        <is>
          <t>坂本　奏太</t>
        </is>
      </c>
      <c r="F29" s="8">
        <f>IF(D29="","",A29&amp;"-"&amp;B29&amp;"-"&amp;C29)</f>
        <v/>
      </c>
      <c r="G29" s="8">
        <f>IF(F29="","",IFERROR(MATCH(A29&amp;"-"&amp;B29,設定!$Z$8:$Z$23,0),99)*1000+C29+ROW()/100000)</f>
        <v/>
      </c>
      <c r="H29" s="17">
        <f>IF(F29="","",IF(ISERROR(MATCH(A29&amp;"-"&amp;B29,設定!$Z$8:$Z$23,0)),"設定にない学年・組",IF(COUNTIF($F$2:$F$301,F29)&gt;1,"同じ学年・組・番号がいる","")))</f>
        <v/>
      </c>
    </row>
    <row r="30">
      <c r="A30" s="15" t="n">
        <v>6</v>
      </c>
      <c r="B30" s="15" t="inlineStr">
        <is>
          <t>松</t>
        </is>
      </c>
      <c r="C30" s="15" t="n">
        <v>29</v>
      </c>
      <c r="D30" s="16" t="inlineStr">
        <is>
          <t>岡田　花音</t>
        </is>
      </c>
      <c r="F30" s="8">
        <f>IF(D30="","",A30&amp;"-"&amp;B30&amp;"-"&amp;C30)</f>
        <v/>
      </c>
      <c r="G30" s="8">
        <f>IF(F30="","",IFERROR(MATCH(A30&amp;"-"&amp;B30,設定!$Z$8:$Z$23,0),99)*1000+C30+ROW()/100000)</f>
        <v/>
      </c>
      <c r="H30" s="17">
        <f>IF(F30="","",IF(ISERROR(MATCH(A30&amp;"-"&amp;B30,設定!$Z$8:$Z$23,0)),"設定にない学年・組",IF(COUNTIF($F$2:$F$301,F30)&gt;1,"同じ学年・組・番号がいる","")))</f>
        <v/>
      </c>
    </row>
    <row r="31">
      <c r="A31" s="15" t="n">
        <v>6</v>
      </c>
      <c r="B31" s="15" t="inlineStr">
        <is>
          <t>松</t>
        </is>
      </c>
      <c r="C31" s="15" t="n">
        <v>30</v>
      </c>
      <c r="D31" s="16" t="inlineStr">
        <is>
          <t>中島　陽葵</t>
        </is>
      </c>
      <c r="F31" s="8">
        <f>IF(D31="","",A31&amp;"-"&amp;B31&amp;"-"&amp;C31)</f>
        <v/>
      </c>
      <c r="G31" s="8">
        <f>IF(F31="","",IFERROR(MATCH(A31&amp;"-"&amp;B31,設定!$Z$8:$Z$23,0),99)*1000+C31+ROW()/100000)</f>
        <v/>
      </c>
      <c r="H31" s="17">
        <f>IF(F31="","",IF(ISERROR(MATCH(A31&amp;"-"&amp;B31,設定!$Z$8:$Z$23,0)),"設定にない学年・組",IF(COUNTIF($F$2:$F$301,F31)&gt;1,"同じ学年・組・番号がいる","")))</f>
        <v/>
      </c>
    </row>
    <row r="32">
      <c r="A32" s="15" t="n">
        <v>6</v>
      </c>
      <c r="B32" s="15" t="inlineStr">
        <is>
          <t>竹</t>
        </is>
      </c>
      <c r="C32" s="15" t="n">
        <v>1</v>
      </c>
      <c r="D32" s="16" t="inlineStr">
        <is>
          <t>小川　楓</t>
        </is>
      </c>
      <c r="F32" s="8">
        <f>IF(D32="","",A32&amp;"-"&amp;B32&amp;"-"&amp;C32)</f>
        <v/>
      </c>
      <c r="G32" s="8">
        <f>IF(F32="","",IFERROR(MATCH(A32&amp;"-"&amp;B32,設定!$Z$8:$Z$23,0),99)*1000+C32+ROW()/100000)</f>
        <v/>
      </c>
      <c r="H32" s="17">
        <f>IF(F32="","",IF(ISERROR(MATCH(A32&amp;"-"&amp;B32,設定!$Z$8:$Z$23,0)),"設定にない学年・組",IF(COUNTIF($F$2:$F$301,F32)&gt;1,"同じ学年・組・番号がいる","")))</f>
        <v/>
      </c>
    </row>
    <row r="33">
      <c r="A33" s="15" t="n">
        <v>6</v>
      </c>
      <c r="B33" s="15" t="inlineStr">
        <is>
          <t>竹</t>
        </is>
      </c>
      <c r="C33" s="15" t="n">
        <v>2</v>
      </c>
      <c r="D33" s="16" t="inlineStr">
        <is>
          <t>小川　芽依</t>
        </is>
      </c>
      <c r="F33" s="8">
        <f>IF(D33="","",A33&amp;"-"&amp;B33&amp;"-"&amp;C33)</f>
        <v/>
      </c>
      <c r="G33" s="8">
        <f>IF(F33="","",IFERROR(MATCH(A33&amp;"-"&amp;B33,設定!$Z$8:$Z$23,0),99)*1000+C33+ROW()/100000)</f>
        <v/>
      </c>
      <c r="H33" s="17">
        <f>IF(F33="","",IF(ISERROR(MATCH(A33&amp;"-"&amp;B33,設定!$Z$8:$Z$23,0)),"設定にない学年・組",IF(COUNTIF($F$2:$F$301,F33)&gt;1,"同じ学年・組・番号がいる","")))</f>
        <v/>
      </c>
    </row>
    <row r="34">
      <c r="A34" s="15" t="n">
        <v>6</v>
      </c>
      <c r="B34" s="15" t="inlineStr">
        <is>
          <t>竹</t>
        </is>
      </c>
      <c r="C34" s="15" t="n">
        <v>3</v>
      </c>
      <c r="D34" s="16" t="inlineStr">
        <is>
          <t>清水　陸</t>
        </is>
      </c>
      <c r="F34" s="8">
        <f>IF(D34="","",A34&amp;"-"&amp;B34&amp;"-"&amp;C34)</f>
        <v/>
      </c>
      <c r="G34" s="8">
        <f>IF(F34="","",IFERROR(MATCH(A34&amp;"-"&amp;B34,設定!$Z$8:$Z$23,0),99)*1000+C34+ROW()/100000)</f>
        <v/>
      </c>
      <c r="H34" s="17">
        <f>IF(F34="","",IF(ISERROR(MATCH(A34&amp;"-"&amp;B34,設定!$Z$8:$Z$23,0)),"設定にない学年・組",IF(COUNTIF($F$2:$F$301,F34)&gt;1,"同じ学年・組・番号がいる","")))</f>
        <v/>
      </c>
    </row>
    <row r="35">
      <c r="A35" s="15" t="n">
        <v>6</v>
      </c>
      <c r="B35" s="15" t="inlineStr">
        <is>
          <t>竹</t>
        </is>
      </c>
      <c r="C35" s="15" t="n">
        <v>4</v>
      </c>
      <c r="D35" s="16" t="inlineStr">
        <is>
          <t>山田　陸</t>
        </is>
      </c>
      <c r="F35" s="8">
        <f>IF(D35="","",A35&amp;"-"&amp;B35&amp;"-"&amp;C35)</f>
        <v/>
      </c>
      <c r="G35" s="8">
        <f>IF(F35="","",IFERROR(MATCH(A35&amp;"-"&amp;B35,設定!$Z$8:$Z$23,0),99)*1000+C35+ROW()/100000)</f>
        <v/>
      </c>
      <c r="H35" s="17">
        <f>IF(F35="","",IF(ISERROR(MATCH(A35&amp;"-"&amp;B35,設定!$Z$8:$Z$23,0)),"設定にない学年・組",IF(COUNTIF($F$2:$F$301,F35)&gt;1,"同じ学年・組・番号がいる","")))</f>
        <v/>
      </c>
    </row>
    <row r="36">
      <c r="A36" s="15" t="n">
        <v>6</v>
      </c>
      <c r="B36" s="15" t="inlineStr">
        <is>
          <t>竹</t>
        </is>
      </c>
      <c r="C36" s="15" t="n">
        <v>5</v>
      </c>
      <c r="D36" s="16" t="inlineStr">
        <is>
          <t>渡辺　千尋</t>
        </is>
      </c>
      <c r="F36" s="8">
        <f>IF(D36="","",A36&amp;"-"&amp;B36&amp;"-"&amp;C36)</f>
        <v/>
      </c>
      <c r="G36" s="8">
        <f>IF(F36="","",IFERROR(MATCH(A36&amp;"-"&amp;B36,設定!$Z$8:$Z$23,0),99)*1000+C36+ROW()/100000)</f>
        <v/>
      </c>
      <c r="H36" s="17">
        <f>IF(F36="","",IF(ISERROR(MATCH(A36&amp;"-"&amp;B36,設定!$Z$8:$Z$23,0)),"設定にない学年・組",IF(COUNTIF($F$2:$F$301,F36)&gt;1,"同じ学年・組・番号がいる","")))</f>
        <v/>
      </c>
    </row>
    <row r="37">
      <c r="A37" s="15" t="n">
        <v>6</v>
      </c>
      <c r="B37" s="15" t="inlineStr">
        <is>
          <t>竹</t>
        </is>
      </c>
      <c r="C37" s="15" t="n">
        <v>6</v>
      </c>
      <c r="D37" s="16" t="inlineStr">
        <is>
          <t>清水　彩花</t>
        </is>
      </c>
      <c r="F37" s="8">
        <f>IF(D37="","",A37&amp;"-"&amp;B37&amp;"-"&amp;C37)</f>
        <v/>
      </c>
      <c r="G37" s="8">
        <f>IF(F37="","",IFERROR(MATCH(A37&amp;"-"&amp;B37,設定!$Z$8:$Z$23,0),99)*1000+C37+ROW()/100000)</f>
        <v/>
      </c>
      <c r="H37" s="17">
        <f>IF(F37="","",IF(ISERROR(MATCH(A37&amp;"-"&amp;B37,設定!$Z$8:$Z$23,0)),"設定にない学年・組",IF(COUNTIF($F$2:$F$301,F37)&gt;1,"同じ学年・組・番号がいる","")))</f>
        <v/>
      </c>
    </row>
    <row r="38">
      <c r="A38" s="15" t="n">
        <v>6</v>
      </c>
      <c r="B38" s="15" t="inlineStr">
        <is>
          <t>竹</t>
        </is>
      </c>
      <c r="C38" s="15" t="n">
        <v>7</v>
      </c>
      <c r="D38" s="16" t="inlineStr">
        <is>
          <t>岡田　凛</t>
        </is>
      </c>
      <c r="F38" s="8">
        <f>IF(D38="","",A38&amp;"-"&amp;B38&amp;"-"&amp;C38)</f>
        <v/>
      </c>
      <c r="G38" s="8">
        <f>IF(F38="","",IFERROR(MATCH(A38&amp;"-"&amp;B38,設定!$Z$8:$Z$23,0),99)*1000+C38+ROW()/100000)</f>
        <v/>
      </c>
      <c r="H38" s="17">
        <f>IF(F38="","",IF(ISERROR(MATCH(A38&amp;"-"&amp;B38,設定!$Z$8:$Z$23,0)),"設定にない学年・組",IF(COUNTIF($F$2:$F$301,F38)&gt;1,"同じ学年・組・番号がいる","")))</f>
        <v/>
      </c>
    </row>
    <row r="39">
      <c r="A39" s="15" t="n">
        <v>6</v>
      </c>
      <c r="B39" s="15" t="inlineStr">
        <is>
          <t>竹</t>
        </is>
      </c>
      <c r="C39" s="15" t="n">
        <v>8</v>
      </c>
      <c r="D39" s="16" t="inlineStr">
        <is>
          <t>石井　拓海</t>
        </is>
      </c>
      <c r="F39" s="8">
        <f>IF(D39="","",A39&amp;"-"&amp;B39&amp;"-"&amp;C39)</f>
        <v/>
      </c>
      <c r="G39" s="8">
        <f>IF(F39="","",IFERROR(MATCH(A39&amp;"-"&amp;B39,設定!$Z$8:$Z$23,0),99)*1000+C39+ROW()/100000)</f>
        <v/>
      </c>
      <c r="H39" s="17">
        <f>IF(F39="","",IF(ISERROR(MATCH(A39&amp;"-"&amp;B39,設定!$Z$8:$Z$23,0)),"設定にない学年・組",IF(COUNTIF($F$2:$F$301,F39)&gt;1,"同じ学年・組・番号がいる","")))</f>
        <v/>
      </c>
    </row>
    <row r="40">
      <c r="A40" s="15" t="n">
        <v>6</v>
      </c>
      <c r="B40" s="15" t="inlineStr">
        <is>
          <t>竹</t>
        </is>
      </c>
      <c r="C40" s="15" t="n">
        <v>9</v>
      </c>
      <c r="D40" s="16" t="inlineStr">
        <is>
          <t>青木　樹</t>
        </is>
      </c>
      <c r="F40" s="8">
        <f>IF(D40="","",A40&amp;"-"&amp;B40&amp;"-"&amp;C40)</f>
        <v/>
      </c>
      <c r="G40" s="8">
        <f>IF(F40="","",IFERROR(MATCH(A40&amp;"-"&amp;B40,設定!$Z$8:$Z$23,0),99)*1000+C40+ROW()/100000)</f>
        <v/>
      </c>
      <c r="H40" s="17">
        <f>IF(F40="","",IF(ISERROR(MATCH(A40&amp;"-"&amp;B40,設定!$Z$8:$Z$23,0)),"設定にない学年・組",IF(COUNTIF($F$2:$F$301,F40)&gt;1,"同じ学年・組・番号がいる","")))</f>
        <v/>
      </c>
    </row>
    <row r="41">
      <c r="A41" s="15" t="n">
        <v>6</v>
      </c>
      <c r="B41" s="15" t="inlineStr">
        <is>
          <t>竹</t>
        </is>
      </c>
      <c r="C41" s="15" t="n">
        <v>10</v>
      </c>
      <c r="D41" s="16" t="inlineStr">
        <is>
          <t>中村　莉子</t>
        </is>
      </c>
      <c r="F41" s="8">
        <f>IF(D41="","",A41&amp;"-"&amp;B41&amp;"-"&amp;C41)</f>
        <v/>
      </c>
      <c r="G41" s="8">
        <f>IF(F41="","",IFERROR(MATCH(A41&amp;"-"&amp;B41,設定!$Z$8:$Z$23,0),99)*1000+C41+ROW()/100000)</f>
        <v/>
      </c>
      <c r="H41" s="17">
        <f>IF(F41="","",IF(ISERROR(MATCH(A41&amp;"-"&amp;B41,設定!$Z$8:$Z$23,0)),"設定にない学年・組",IF(COUNTIF($F$2:$F$301,F41)&gt;1,"同じ学年・組・番号がいる","")))</f>
        <v/>
      </c>
    </row>
    <row r="42">
      <c r="A42" s="15" t="n">
        <v>6</v>
      </c>
      <c r="B42" s="15" t="inlineStr">
        <is>
          <t>竹</t>
        </is>
      </c>
      <c r="C42" s="15" t="n">
        <v>11</v>
      </c>
      <c r="D42" s="16" t="inlineStr">
        <is>
          <t>山下　颯太</t>
        </is>
      </c>
      <c r="F42" s="8">
        <f>IF(D42="","",A42&amp;"-"&amp;B42&amp;"-"&amp;C42)</f>
        <v/>
      </c>
      <c r="G42" s="8">
        <f>IF(F42="","",IFERROR(MATCH(A42&amp;"-"&amp;B42,設定!$Z$8:$Z$23,0),99)*1000+C42+ROW()/100000)</f>
        <v/>
      </c>
      <c r="H42" s="17">
        <f>IF(F42="","",IF(ISERROR(MATCH(A42&amp;"-"&amp;B42,設定!$Z$8:$Z$23,0)),"設定にない学年・組",IF(COUNTIF($F$2:$F$301,F42)&gt;1,"同じ学年・組・番号がいる","")))</f>
        <v/>
      </c>
    </row>
    <row r="43">
      <c r="A43" s="15" t="n">
        <v>6</v>
      </c>
      <c r="B43" s="15" t="inlineStr">
        <is>
          <t>竹</t>
        </is>
      </c>
      <c r="C43" s="15" t="n">
        <v>12</v>
      </c>
      <c r="D43" s="16" t="inlineStr">
        <is>
          <t>森　律</t>
        </is>
      </c>
      <c r="F43" s="8">
        <f>IF(D43="","",A43&amp;"-"&amp;B43&amp;"-"&amp;C43)</f>
        <v/>
      </c>
      <c r="G43" s="8">
        <f>IF(F43="","",IFERROR(MATCH(A43&amp;"-"&amp;B43,設定!$Z$8:$Z$23,0),99)*1000+C43+ROW()/100000)</f>
        <v/>
      </c>
      <c r="H43" s="17">
        <f>IF(F43="","",IF(ISERROR(MATCH(A43&amp;"-"&amp;B43,設定!$Z$8:$Z$23,0)),"設定にない学年・組",IF(COUNTIF($F$2:$F$301,F43)&gt;1,"同じ学年・組・番号がいる","")))</f>
        <v/>
      </c>
    </row>
    <row r="44">
      <c r="A44" s="15" t="n">
        <v>6</v>
      </c>
      <c r="B44" s="15" t="inlineStr">
        <is>
          <t>竹</t>
        </is>
      </c>
      <c r="C44" s="15" t="n">
        <v>13</v>
      </c>
      <c r="D44" s="16" t="inlineStr">
        <is>
          <t>岡田　澪</t>
        </is>
      </c>
      <c r="F44" s="8">
        <f>IF(D44="","",A44&amp;"-"&amp;B44&amp;"-"&amp;C44)</f>
        <v/>
      </c>
      <c r="G44" s="8">
        <f>IF(F44="","",IFERROR(MATCH(A44&amp;"-"&amp;B44,設定!$Z$8:$Z$23,0),99)*1000+C44+ROW()/100000)</f>
        <v/>
      </c>
      <c r="H44" s="17">
        <f>IF(F44="","",IF(ISERROR(MATCH(A44&amp;"-"&amp;B44,設定!$Z$8:$Z$23,0)),"設定にない学年・組",IF(COUNTIF($F$2:$F$301,F44)&gt;1,"同じ学年・組・番号がいる","")))</f>
        <v/>
      </c>
    </row>
    <row r="45">
      <c r="A45" s="15" t="n">
        <v>6</v>
      </c>
      <c r="B45" s="15" t="inlineStr">
        <is>
          <t>竹</t>
        </is>
      </c>
      <c r="C45" s="15" t="n">
        <v>14</v>
      </c>
      <c r="D45" s="16" t="inlineStr">
        <is>
          <t>高橋　樹</t>
        </is>
      </c>
      <c r="F45" s="8">
        <f>IF(D45="","",A45&amp;"-"&amp;B45&amp;"-"&amp;C45)</f>
        <v/>
      </c>
      <c r="G45" s="8">
        <f>IF(F45="","",IFERROR(MATCH(A45&amp;"-"&amp;B45,設定!$Z$8:$Z$23,0),99)*1000+C45+ROW()/100000)</f>
        <v/>
      </c>
      <c r="H45" s="17">
        <f>IF(F45="","",IF(ISERROR(MATCH(A45&amp;"-"&amp;B45,設定!$Z$8:$Z$23,0)),"設定にない学年・組",IF(COUNTIF($F$2:$F$301,F45)&gt;1,"同じ学年・組・番号がいる","")))</f>
        <v/>
      </c>
    </row>
    <row r="46">
      <c r="A46" s="15" t="n">
        <v>6</v>
      </c>
      <c r="B46" s="15" t="inlineStr">
        <is>
          <t>竹</t>
        </is>
      </c>
      <c r="C46" s="15" t="n">
        <v>15</v>
      </c>
      <c r="D46" s="16" t="inlineStr">
        <is>
          <t>近藤　千尋</t>
        </is>
      </c>
      <c r="F46" s="8">
        <f>IF(D46="","",A46&amp;"-"&amp;B46&amp;"-"&amp;C46)</f>
        <v/>
      </c>
      <c r="G46" s="8">
        <f>IF(F46="","",IFERROR(MATCH(A46&amp;"-"&amp;B46,設定!$Z$8:$Z$23,0),99)*1000+C46+ROW()/100000)</f>
        <v/>
      </c>
      <c r="H46" s="17">
        <f>IF(F46="","",IF(ISERROR(MATCH(A46&amp;"-"&amp;B46,設定!$Z$8:$Z$23,0)),"設定にない学年・組",IF(COUNTIF($F$2:$F$301,F46)&gt;1,"同じ学年・組・番号がいる","")))</f>
        <v/>
      </c>
    </row>
    <row r="47">
      <c r="A47" s="15" t="n">
        <v>6</v>
      </c>
      <c r="B47" s="15" t="inlineStr">
        <is>
          <t>竹</t>
        </is>
      </c>
      <c r="C47" s="15" t="n">
        <v>16</v>
      </c>
      <c r="D47" s="16" t="inlineStr">
        <is>
          <t>山崎　凛</t>
        </is>
      </c>
      <c r="F47" s="8">
        <f>IF(D47="","",A47&amp;"-"&amp;B47&amp;"-"&amp;C47)</f>
        <v/>
      </c>
      <c r="G47" s="8">
        <f>IF(F47="","",IFERROR(MATCH(A47&amp;"-"&amp;B47,設定!$Z$8:$Z$23,0),99)*1000+C47+ROW()/100000)</f>
        <v/>
      </c>
      <c r="H47" s="17">
        <f>IF(F47="","",IF(ISERROR(MATCH(A47&amp;"-"&amp;B47,設定!$Z$8:$Z$23,0)),"設定にない学年・組",IF(COUNTIF($F$2:$F$301,F47)&gt;1,"同じ学年・組・番号がいる","")))</f>
        <v/>
      </c>
    </row>
    <row r="48">
      <c r="A48" s="15" t="n">
        <v>6</v>
      </c>
      <c r="B48" s="15" t="inlineStr">
        <is>
          <t>竹</t>
        </is>
      </c>
      <c r="C48" s="15" t="n">
        <v>17</v>
      </c>
      <c r="D48" s="16" t="inlineStr">
        <is>
          <t>池田　真央</t>
        </is>
      </c>
      <c r="F48" s="8">
        <f>IF(D48="","",A48&amp;"-"&amp;B48&amp;"-"&amp;C48)</f>
        <v/>
      </c>
      <c r="G48" s="8">
        <f>IF(F48="","",IFERROR(MATCH(A48&amp;"-"&amp;B48,設定!$Z$8:$Z$23,0),99)*1000+C48+ROW()/100000)</f>
        <v/>
      </c>
      <c r="H48" s="17">
        <f>IF(F48="","",IF(ISERROR(MATCH(A48&amp;"-"&amp;B48,設定!$Z$8:$Z$23,0)),"設定にない学年・組",IF(COUNTIF($F$2:$F$301,F48)&gt;1,"同じ学年・組・番号がいる","")))</f>
        <v/>
      </c>
    </row>
    <row r="49">
      <c r="A49" s="15" t="n">
        <v>6</v>
      </c>
      <c r="B49" s="15" t="inlineStr">
        <is>
          <t>竹</t>
        </is>
      </c>
      <c r="C49" s="15" t="n">
        <v>18</v>
      </c>
      <c r="D49" s="16" t="inlineStr">
        <is>
          <t>岡田　楓</t>
        </is>
      </c>
      <c r="F49" s="8">
        <f>IF(D49="","",A49&amp;"-"&amp;B49&amp;"-"&amp;C49)</f>
        <v/>
      </c>
      <c r="G49" s="8">
        <f>IF(F49="","",IFERROR(MATCH(A49&amp;"-"&amp;B49,設定!$Z$8:$Z$23,0),99)*1000+C49+ROW()/100000)</f>
        <v/>
      </c>
      <c r="H49" s="17">
        <f>IF(F49="","",IF(ISERROR(MATCH(A49&amp;"-"&amp;B49,設定!$Z$8:$Z$23,0)),"設定にない学年・組",IF(COUNTIF($F$2:$F$301,F49)&gt;1,"同じ学年・組・番号がいる","")))</f>
        <v/>
      </c>
    </row>
    <row r="50">
      <c r="A50" s="15" t="n">
        <v>6</v>
      </c>
      <c r="B50" s="15" t="inlineStr">
        <is>
          <t>竹</t>
        </is>
      </c>
      <c r="C50" s="15" t="n">
        <v>19</v>
      </c>
      <c r="D50" s="16" t="inlineStr">
        <is>
          <t>小川　樹</t>
        </is>
      </c>
      <c r="F50" s="8">
        <f>IF(D50="","",A50&amp;"-"&amp;B50&amp;"-"&amp;C50)</f>
        <v/>
      </c>
      <c r="G50" s="8">
        <f>IF(F50="","",IFERROR(MATCH(A50&amp;"-"&amp;B50,設定!$Z$8:$Z$23,0),99)*1000+C50+ROW()/100000)</f>
        <v/>
      </c>
      <c r="H50" s="17">
        <f>IF(F50="","",IF(ISERROR(MATCH(A50&amp;"-"&amp;B50,設定!$Z$8:$Z$23,0)),"設定にない学年・組",IF(COUNTIF($F$2:$F$301,F50)&gt;1,"同じ学年・組・番号がいる","")))</f>
        <v/>
      </c>
    </row>
    <row r="51">
      <c r="A51" s="15" t="n">
        <v>6</v>
      </c>
      <c r="B51" s="15" t="inlineStr">
        <is>
          <t>竹</t>
        </is>
      </c>
      <c r="C51" s="15" t="n">
        <v>20</v>
      </c>
      <c r="D51" s="16" t="inlineStr">
        <is>
          <t>渡辺　健太</t>
        </is>
      </c>
      <c r="F51" s="8">
        <f>IF(D51="","",A51&amp;"-"&amp;B51&amp;"-"&amp;C51)</f>
        <v/>
      </c>
      <c r="G51" s="8">
        <f>IF(F51="","",IFERROR(MATCH(A51&amp;"-"&amp;B51,設定!$Z$8:$Z$23,0),99)*1000+C51+ROW()/100000)</f>
        <v/>
      </c>
      <c r="H51" s="17">
        <f>IF(F51="","",IF(ISERROR(MATCH(A51&amp;"-"&amp;B51,設定!$Z$8:$Z$23,0)),"設定にない学年・組",IF(COUNTIF($F$2:$F$301,F51)&gt;1,"同じ学年・組・番号がいる","")))</f>
        <v/>
      </c>
    </row>
    <row r="52">
      <c r="A52" s="15" t="n">
        <v>6</v>
      </c>
      <c r="B52" s="15" t="inlineStr">
        <is>
          <t>竹</t>
        </is>
      </c>
      <c r="C52" s="15" t="n">
        <v>21</v>
      </c>
      <c r="D52" s="16" t="inlineStr">
        <is>
          <t>前田　樹</t>
        </is>
      </c>
      <c r="F52" s="8">
        <f>IF(D52="","",A52&amp;"-"&amp;B52&amp;"-"&amp;C52)</f>
        <v/>
      </c>
      <c r="G52" s="8">
        <f>IF(F52="","",IFERROR(MATCH(A52&amp;"-"&amp;B52,設定!$Z$8:$Z$23,0),99)*1000+C52+ROW()/100000)</f>
        <v/>
      </c>
      <c r="H52" s="17">
        <f>IF(F52="","",IF(ISERROR(MATCH(A52&amp;"-"&amp;B52,設定!$Z$8:$Z$23,0)),"設定にない学年・組",IF(COUNTIF($F$2:$F$301,F52)&gt;1,"同じ学年・組・番号がいる","")))</f>
        <v/>
      </c>
    </row>
    <row r="53">
      <c r="A53" s="15" t="n">
        <v>6</v>
      </c>
      <c r="B53" s="15" t="inlineStr">
        <is>
          <t>竹</t>
        </is>
      </c>
      <c r="C53" s="15" t="n">
        <v>22</v>
      </c>
      <c r="D53" s="16" t="inlineStr">
        <is>
          <t>田中　航</t>
        </is>
      </c>
      <c r="F53" s="8">
        <f>IF(D53="","",A53&amp;"-"&amp;B53&amp;"-"&amp;C53)</f>
        <v/>
      </c>
      <c r="G53" s="8">
        <f>IF(F53="","",IFERROR(MATCH(A53&amp;"-"&amp;B53,設定!$Z$8:$Z$23,0),99)*1000+C53+ROW()/100000)</f>
        <v/>
      </c>
      <c r="H53" s="17">
        <f>IF(F53="","",IF(ISERROR(MATCH(A53&amp;"-"&amp;B53,設定!$Z$8:$Z$23,0)),"設定にない学年・組",IF(COUNTIF($F$2:$F$301,F53)&gt;1,"同じ学年・組・番号がいる","")))</f>
        <v/>
      </c>
    </row>
    <row r="54">
      <c r="A54" s="15" t="n">
        <v>6</v>
      </c>
      <c r="B54" s="15" t="inlineStr">
        <is>
          <t>竹</t>
        </is>
      </c>
      <c r="C54" s="15" t="n">
        <v>23</v>
      </c>
      <c r="D54" s="16" t="inlineStr">
        <is>
          <t>村上　咲良</t>
        </is>
      </c>
      <c r="F54" s="8">
        <f>IF(D54="","",A54&amp;"-"&amp;B54&amp;"-"&amp;C54)</f>
        <v/>
      </c>
      <c r="G54" s="8">
        <f>IF(F54="","",IFERROR(MATCH(A54&amp;"-"&amp;B54,設定!$Z$8:$Z$23,0),99)*1000+C54+ROW()/100000)</f>
        <v/>
      </c>
      <c r="H54" s="17">
        <f>IF(F54="","",IF(ISERROR(MATCH(A54&amp;"-"&amp;B54,設定!$Z$8:$Z$23,0)),"設定にない学年・組",IF(COUNTIF($F$2:$F$301,F54)&gt;1,"同じ学年・組・番号がいる","")))</f>
        <v/>
      </c>
    </row>
    <row r="55">
      <c r="A55" s="15" t="n">
        <v>6</v>
      </c>
      <c r="B55" s="15" t="inlineStr">
        <is>
          <t>竹</t>
        </is>
      </c>
      <c r="C55" s="15" t="n">
        <v>24</v>
      </c>
      <c r="D55" s="16" t="inlineStr">
        <is>
          <t>斎藤　葵</t>
        </is>
      </c>
      <c r="F55" s="8">
        <f>IF(D55="","",A55&amp;"-"&amp;B55&amp;"-"&amp;C55)</f>
        <v/>
      </c>
      <c r="G55" s="8">
        <f>IF(F55="","",IFERROR(MATCH(A55&amp;"-"&amp;B55,設定!$Z$8:$Z$23,0),99)*1000+C55+ROW()/100000)</f>
        <v/>
      </c>
      <c r="H55" s="17">
        <f>IF(F55="","",IF(ISERROR(MATCH(A55&amp;"-"&amp;B55,設定!$Z$8:$Z$23,0)),"設定にない学年・組",IF(COUNTIF($F$2:$F$301,F55)&gt;1,"同じ学年・組・番号がいる","")))</f>
        <v/>
      </c>
    </row>
    <row r="56">
      <c r="A56" s="15" t="n">
        <v>6</v>
      </c>
      <c r="B56" s="15" t="inlineStr">
        <is>
          <t>竹</t>
        </is>
      </c>
      <c r="C56" s="15" t="n">
        <v>25</v>
      </c>
      <c r="D56" s="16" t="inlineStr">
        <is>
          <t>池田　陽翔</t>
        </is>
      </c>
      <c r="F56" s="8">
        <f>IF(D56="","",A56&amp;"-"&amp;B56&amp;"-"&amp;C56)</f>
        <v/>
      </c>
      <c r="G56" s="8">
        <f>IF(F56="","",IFERROR(MATCH(A56&amp;"-"&amp;B56,設定!$Z$8:$Z$23,0),99)*1000+C56+ROW()/100000)</f>
        <v/>
      </c>
      <c r="H56" s="17">
        <f>IF(F56="","",IF(ISERROR(MATCH(A56&amp;"-"&amp;B56,設定!$Z$8:$Z$23,0)),"設定にない学年・組",IF(COUNTIF($F$2:$F$301,F56)&gt;1,"同じ学年・組・番号がいる","")))</f>
        <v/>
      </c>
    </row>
    <row r="57">
      <c r="A57" s="15" t="n">
        <v>6</v>
      </c>
      <c r="B57" s="15" t="inlineStr">
        <is>
          <t>竹</t>
        </is>
      </c>
      <c r="C57" s="15" t="n">
        <v>26</v>
      </c>
      <c r="D57" s="16" t="inlineStr">
        <is>
          <t>小川　結菜</t>
        </is>
      </c>
      <c r="F57" s="8">
        <f>IF(D57="","",A57&amp;"-"&amp;B57&amp;"-"&amp;C57)</f>
        <v/>
      </c>
      <c r="G57" s="8">
        <f>IF(F57="","",IFERROR(MATCH(A57&amp;"-"&amp;B57,設定!$Z$8:$Z$23,0),99)*1000+C57+ROW()/100000)</f>
        <v/>
      </c>
      <c r="H57" s="17">
        <f>IF(F57="","",IF(ISERROR(MATCH(A57&amp;"-"&amp;B57,設定!$Z$8:$Z$23,0)),"設定にない学年・組",IF(COUNTIF($F$2:$F$301,F57)&gt;1,"同じ学年・組・番号がいる","")))</f>
        <v/>
      </c>
    </row>
    <row r="58">
      <c r="A58" s="15" t="n">
        <v>6</v>
      </c>
      <c r="B58" s="15" t="inlineStr">
        <is>
          <t>竹</t>
        </is>
      </c>
      <c r="C58" s="15" t="n">
        <v>27</v>
      </c>
      <c r="D58" s="16" t="inlineStr">
        <is>
          <t>吉田　さくら</t>
        </is>
      </c>
      <c r="F58" s="8">
        <f>IF(D58="","",A58&amp;"-"&amp;B58&amp;"-"&amp;C58)</f>
        <v/>
      </c>
      <c r="G58" s="8">
        <f>IF(F58="","",IFERROR(MATCH(A58&amp;"-"&amp;B58,設定!$Z$8:$Z$23,0),99)*1000+C58+ROW()/100000)</f>
        <v/>
      </c>
      <c r="H58" s="17">
        <f>IF(F58="","",IF(ISERROR(MATCH(A58&amp;"-"&amp;B58,設定!$Z$8:$Z$23,0)),"設定にない学年・組",IF(COUNTIF($F$2:$F$301,F58)&gt;1,"同じ学年・組・番号がいる","")))</f>
        <v/>
      </c>
    </row>
    <row r="59">
      <c r="A59" s="15" t="n">
        <v>6</v>
      </c>
      <c r="B59" s="15" t="inlineStr">
        <is>
          <t>竹</t>
        </is>
      </c>
      <c r="C59" s="15" t="n">
        <v>28</v>
      </c>
      <c r="D59" s="16" t="inlineStr">
        <is>
          <t>中村　杏</t>
        </is>
      </c>
      <c r="F59" s="8">
        <f>IF(D59="","",A59&amp;"-"&amp;B59&amp;"-"&amp;C59)</f>
        <v/>
      </c>
      <c r="G59" s="8">
        <f>IF(F59="","",IFERROR(MATCH(A59&amp;"-"&amp;B59,設定!$Z$8:$Z$23,0),99)*1000+C59+ROW()/100000)</f>
        <v/>
      </c>
      <c r="H59" s="17">
        <f>IF(F59="","",IF(ISERROR(MATCH(A59&amp;"-"&amp;B59,設定!$Z$8:$Z$23,0)),"設定にない学年・組",IF(COUNTIF($F$2:$F$301,F59)&gt;1,"同じ学年・組・番号がいる","")))</f>
        <v/>
      </c>
    </row>
    <row r="60">
      <c r="A60" s="15" t="n">
        <v>6</v>
      </c>
      <c r="B60" s="15" t="inlineStr">
        <is>
          <t>竹</t>
        </is>
      </c>
      <c r="C60" s="15" t="n">
        <v>29</v>
      </c>
      <c r="D60" s="16" t="inlineStr">
        <is>
          <t>田中　奏太</t>
        </is>
      </c>
      <c r="F60" s="8">
        <f>IF(D60="","",A60&amp;"-"&amp;B60&amp;"-"&amp;C60)</f>
        <v/>
      </c>
      <c r="G60" s="8">
        <f>IF(F60="","",IFERROR(MATCH(A60&amp;"-"&amp;B60,設定!$Z$8:$Z$23,0),99)*1000+C60+ROW()/100000)</f>
        <v/>
      </c>
      <c r="H60" s="17">
        <f>IF(F60="","",IF(ISERROR(MATCH(A60&amp;"-"&amp;B60,設定!$Z$8:$Z$23,0)),"設定にない学年・組",IF(COUNTIF($F$2:$F$301,F60)&gt;1,"同じ学年・組・番号がいる","")))</f>
        <v/>
      </c>
    </row>
    <row r="61">
      <c r="A61" s="15" t="n">
        <v>6</v>
      </c>
      <c r="B61" s="15" t="inlineStr">
        <is>
          <t>竹</t>
        </is>
      </c>
      <c r="C61" s="15" t="n">
        <v>30</v>
      </c>
      <c r="D61" s="16" t="inlineStr">
        <is>
          <t>斎藤　朝陽</t>
        </is>
      </c>
      <c r="F61" s="8">
        <f>IF(D61="","",A61&amp;"-"&amp;B61&amp;"-"&amp;C61)</f>
        <v/>
      </c>
      <c r="G61" s="8">
        <f>IF(F61="","",IFERROR(MATCH(A61&amp;"-"&amp;B61,設定!$Z$8:$Z$23,0),99)*1000+C61+ROW()/100000)</f>
        <v/>
      </c>
      <c r="H61" s="17">
        <f>IF(F61="","",IF(ISERROR(MATCH(A61&amp;"-"&amp;B61,設定!$Z$8:$Z$23,0)),"設定にない学年・組",IF(COUNTIF($F$2:$F$301,F61)&gt;1,"同じ学年・組・番号がいる","")))</f>
        <v/>
      </c>
    </row>
    <row r="62">
      <c r="A62" s="15" t="n">
        <v>6</v>
      </c>
      <c r="B62" s="15" t="inlineStr">
        <is>
          <t>梅</t>
        </is>
      </c>
      <c r="C62" s="15" t="n">
        <v>1</v>
      </c>
      <c r="D62" s="16" t="inlineStr">
        <is>
          <t>井上　紬</t>
        </is>
      </c>
      <c r="F62" s="8">
        <f>IF(D62="","",A62&amp;"-"&amp;B62&amp;"-"&amp;C62)</f>
        <v/>
      </c>
      <c r="G62" s="8">
        <f>IF(F62="","",IFERROR(MATCH(A62&amp;"-"&amp;B62,設定!$Z$8:$Z$23,0),99)*1000+C62+ROW()/100000)</f>
        <v/>
      </c>
      <c r="H62" s="17">
        <f>IF(F62="","",IF(ISERROR(MATCH(A62&amp;"-"&amp;B62,設定!$Z$8:$Z$23,0)),"設定にない学年・組",IF(COUNTIF($F$2:$F$301,F62)&gt;1,"同じ学年・組・番号がいる","")))</f>
        <v/>
      </c>
    </row>
    <row r="63">
      <c r="A63" s="15" t="n">
        <v>6</v>
      </c>
      <c r="B63" s="15" t="inlineStr">
        <is>
          <t>梅</t>
        </is>
      </c>
      <c r="C63" s="15" t="n">
        <v>2</v>
      </c>
      <c r="D63" s="16" t="inlineStr">
        <is>
          <t>石川　杏</t>
        </is>
      </c>
      <c r="F63" s="8">
        <f>IF(D63="","",A63&amp;"-"&amp;B63&amp;"-"&amp;C63)</f>
        <v/>
      </c>
      <c r="G63" s="8">
        <f>IF(F63="","",IFERROR(MATCH(A63&amp;"-"&amp;B63,設定!$Z$8:$Z$23,0),99)*1000+C63+ROW()/100000)</f>
        <v/>
      </c>
      <c r="H63" s="17">
        <f>IF(F63="","",IF(ISERROR(MATCH(A63&amp;"-"&amp;B63,設定!$Z$8:$Z$23,0)),"設定にない学年・組",IF(COUNTIF($F$2:$F$301,F63)&gt;1,"同じ学年・組・番号がいる","")))</f>
        <v/>
      </c>
    </row>
    <row r="64">
      <c r="A64" s="15" t="n">
        <v>6</v>
      </c>
      <c r="B64" s="15" t="inlineStr">
        <is>
          <t>梅</t>
        </is>
      </c>
      <c r="C64" s="15" t="n">
        <v>3</v>
      </c>
      <c r="D64" s="16" t="inlineStr">
        <is>
          <t>渡辺　颯太</t>
        </is>
      </c>
      <c r="F64" s="8">
        <f>IF(D64="","",A64&amp;"-"&amp;B64&amp;"-"&amp;C64)</f>
        <v/>
      </c>
      <c r="G64" s="8">
        <f>IF(F64="","",IFERROR(MATCH(A64&amp;"-"&amp;B64,設定!$Z$8:$Z$23,0),99)*1000+C64+ROW()/100000)</f>
        <v/>
      </c>
      <c r="H64" s="17">
        <f>IF(F64="","",IF(ISERROR(MATCH(A64&amp;"-"&amp;B64,設定!$Z$8:$Z$23,0)),"設定にない学年・組",IF(COUNTIF($F$2:$F$301,F64)&gt;1,"同じ学年・組・番号がいる","")))</f>
        <v/>
      </c>
    </row>
    <row r="65">
      <c r="A65" s="15" t="n">
        <v>6</v>
      </c>
      <c r="B65" s="15" t="inlineStr">
        <is>
          <t>梅</t>
        </is>
      </c>
      <c r="C65" s="15" t="n">
        <v>4</v>
      </c>
      <c r="D65" s="16" t="inlineStr">
        <is>
          <t>石井　紬</t>
        </is>
      </c>
      <c r="F65" s="8">
        <f>IF(D65="","",A65&amp;"-"&amp;B65&amp;"-"&amp;C65)</f>
        <v/>
      </c>
      <c r="G65" s="8">
        <f>IF(F65="","",IFERROR(MATCH(A65&amp;"-"&amp;B65,設定!$Z$8:$Z$23,0),99)*1000+C65+ROW()/100000)</f>
        <v/>
      </c>
      <c r="H65" s="17">
        <f>IF(F65="","",IF(ISERROR(MATCH(A65&amp;"-"&amp;B65,設定!$Z$8:$Z$23,0)),"設定にない学年・組",IF(COUNTIF($F$2:$F$301,F65)&gt;1,"同じ学年・組・番号がいる","")))</f>
        <v/>
      </c>
    </row>
    <row r="66">
      <c r="A66" s="15" t="n">
        <v>6</v>
      </c>
      <c r="B66" s="15" t="inlineStr">
        <is>
          <t>梅</t>
        </is>
      </c>
      <c r="C66" s="15" t="n">
        <v>5</v>
      </c>
      <c r="D66" s="16" t="inlineStr">
        <is>
          <t>近藤　健太</t>
        </is>
      </c>
      <c r="F66" s="8">
        <f>IF(D66="","",A66&amp;"-"&amp;B66&amp;"-"&amp;C66)</f>
        <v/>
      </c>
      <c r="G66" s="8">
        <f>IF(F66="","",IFERROR(MATCH(A66&amp;"-"&amp;B66,設定!$Z$8:$Z$23,0),99)*1000+C66+ROW()/100000)</f>
        <v/>
      </c>
      <c r="H66" s="17">
        <f>IF(F66="","",IF(ISERROR(MATCH(A66&amp;"-"&amp;B66,設定!$Z$8:$Z$23,0)),"設定にない学年・組",IF(COUNTIF($F$2:$F$301,F66)&gt;1,"同じ学年・組・番号がいる","")))</f>
        <v/>
      </c>
    </row>
    <row r="67">
      <c r="A67" s="15" t="n">
        <v>6</v>
      </c>
      <c r="B67" s="15" t="inlineStr">
        <is>
          <t>梅</t>
        </is>
      </c>
      <c r="C67" s="15" t="n">
        <v>6</v>
      </c>
      <c r="D67" s="16" t="inlineStr">
        <is>
          <t>小林　結衣</t>
        </is>
      </c>
      <c r="F67" s="8">
        <f>IF(D67="","",A67&amp;"-"&amp;B67&amp;"-"&amp;C67)</f>
        <v/>
      </c>
      <c r="G67" s="8">
        <f>IF(F67="","",IFERROR(MATCH(A67&amp;"-"&amp;B67,設定!$Z$8:$Z$23,0),99)*1000+C67+ROW()/100000)</f>
        <v/>
      </c>
      <c r="H67" s="17">
        <f>IF(F67="","",IF(ISERROR(MATCH(A67&amp;"-"&amp;B67,設定!$Z$8:$Z$23,0)),"設定にない学年・組",IF(COUNTIF($F$2:$F$301,F67)&gt;1,"同じ学年・組・番号がいる","")))</f>
        <v/>
      </c>
    </row>
    <row r="68">
      <c r="A68" s="15" t="n">
        <v>6</v>
      </c>
      <c r="B68" s="15" t="inlineStr">
        <is>
          <t>梅</t>
        </is>
      </c>
      <c r="C68" s="15" t="n">
        <v>7</v>
      </c>
      <c r="D68" s="16" t="inlineStr">
        <is>
          <t>山下　結菜</t>
        </is>
      </c>
      <c r="F68" s="8">
        <f>IF(D68="","",A68&amp;"-"&amp;B68&amp;"-"&amp;C68)</f>
        <v/>
      </c>
      <c r="G68" s="8">
        <f>IF(F68="","",IFERROR(MATCH(A68&amp;"-"&amp;B68,設定!$Z$8:$Z$23,0),99)*1000+C68+ROW()/100000)</f>
        <v/>
      </c>
      <c r="H68" s="17">
        <f>IF(F68="","",IF(ISERROR(MATCH(A68&amp;"-"&amp;B68,設定!$Z$8:$Z$23,0)),"設定にない学年・組",IF(COUNTIF($F$2:$F$301,F68)&gt;1,"同じ学年・組・番号がいる","")))</f>
        <v/>
      </c>
    </row>
    <row r="69">
      <c r="A69" s="15" t="n">
        <v>6</v>
      </c>
      <c r="B69" s="15" t="inlineStr">
        <is>
          <t>梅</t>
        </is>
      </c>
      <c r="C69" s="15" t="n">
        <v>8</v>
      </c>
      <c r="D69" s="16" t="inlineStr">
        <is>
          <t>阿部　新</t>
        </is>
      </c>
      <c r="F69" s="8">
        <f>IF(D69="","",A69&amp;"-"&amp;B69&amp;"-"&amp;C69)</f>
        <v/>
      </c>
      <c r="G69" s="8">
        <f>IF(F69="","",IFERROR(MATCH(A69&amp;"-"&amp;B69,設定!$Z$8:$Z$23,0),99)*1000+C69+ROW()/100000)</f>
        <v/>
      </c>
      <c r="H69" s="17">
        <f>IF(F69="","",IF(ISERROR(MATCH(A69&amp;"-"&amp;B69,設定!$Z$8:$Z$23,0)),"設定にない学年・組",IF(COUNTIF($F$2:$F$301,F69)&gt;1,"同じ学年・組・番号がいる","")))</f>
        <v/>
      </c>
    </row>
    <row r="70">
      <c r="A70" s="15" t="n">
        <v>6</v>
      </c>
      <c r="B70" s="15" t="inlineStr">
        <is>
          <t>梅</t>
        </is>
      </c>
      <c r="C70" s="15" t="n">
        <v>9</v>
      </c>
      <c r="D70" s="16" t="inlineStr">
        <is>
          <t>加藤　大和</t>
        </is>
      </c>
      <c r="F70" s="8">
        <f>IF(D70="","",A70&amp;"-"&amp;B70&amp;"-"&amp;C70)</f>
        <v/>
      </c>
      <c r="G70" s="8">
        <f>IF(F70="","",IFERROR(MATCH(A70&amp;"-"&amp;B70,設定!$Z$8:$Z$23,0),99)*1000+C70+ROW()/100000)</f>
        <v/>
      </c>
      <c r="H70" s="17">
        <f>IF(F70="","",IF(ISERROR(MATCH(A70&amp;"-"&amp;B70,設定!$Z$8:$Z$23,0)),"設定にない学年・組",IF(COUNTIF($F$2:$F$301,F70)&gt;1,"同じ学年・組・番号がいる","")))</f>
        <v/>
      </c>
    </row>
    <row r="71">
      <c r="A71" s="15" t="n">
        <v>6</v>
      </c>
      <c r="B71" s="15" t="inlineStr">
        <is>
          <t>梅</t>
        </is>
      </c>
      <c r="C71" s="15" t="n">
        <v>10</v>
      </c>
      <c r="D71" s="16" t="inlineStr">
        <is>
          <t>山田　律</t>
        </is>
      </c>
      <c r="F71" s="8">
        <f>IF(D71="","",A71&amp;"-"&amp;B71&amp;"-"&amp;C71)</f>
        <v/>
      </c>
      <c r="G71" s="8">
        <f>IF(F71="","",IFERROR(MATCH(A71&amp;"-"&amp;B71,設定!$Z$8:$Z$23,0),99)*1000+C71+ROW()/100000)</f>
        <v/>
      </c>
      <c r="H71" s="17">
        <f>IF(F71="","",IF(ISERROR(MATCH(A71&amp;"-"&amp;B71,設定!$Z$8:$Z$23,0)),"設定にない学年・組",IF(COUNTIF($F$2:$F$301,F71)&gt;1,"同じ学年・組・番号がいる","")))</f>
        <v/>
      </c>
    </row>
    <row r="72">
      <c r="A72" s="15" t="n">
        <v>6</v>
      </c>
      <c r="B72" s="15" t="inlineStr">
        <is>
          <t>梅</t>
        </is>
      </c>
      <c r="C72" s="15" t="n">
        <v>11</v>
      </c>
      <c r="D72" s="16" t="inlineStr">
        <is>
          <t>松本　新</t>
        </is>
      </c>
      <c r="F72" s="8">
        <f>IF(D72="","",A72&amp;"-"&amp;B72&amp;"-"&amp;C72)</f>
        <v/>
      </c>
      <c r="G72" s="8">
        <f>IF(F72="","",IFERROR(MATCH(A72&amp;"-"&amp;B72,設定!$Z$8:$Z$23,0),99)*1000+C72+ROW()/100000)</f>
        <v/>
      </c>
      <c r="H72" s="17">
        <f>IF(F72="","",IF(ISERROR(MATCH(A72&amp;"-"&amp;B72,設定!$Z$8:$Z$23,0)),"設定にない学年・組",IF(COUNTIF($F$2:$F$301,F72)&gt;1,"同じ学年・組・番号がいる","")))</f>
        <v/>
      </c>
    </row>
    <row r="73">
      <c r="A73" s="15" t="n">
        <v>6</v>
      </c>
      <c r="B73" s="15" t="inlineStr">
        <is>
          <t>梅</t>
        </is>
      </c>
      <c r="C73" s="15" t="n">
        <v>12</v>
      </c>
      <c r="D73" s="16" t="inlineStr">
        <is>
          <t>佐藤　杏</t>
        </is>
      </c>
      <c r="F73" s="8">
        <f>IF(D73="","",A73&amp;"-"&amp;B73&amp;"-"&amp;C73)</f>
        <v/>
      </c>
      <c r="G73" s="8">
        <f>IF(F73="","",IFERROR(MATCH(A73&amp;"-"&amp;B73,設定!$Z$8:$Z$23,0),99)*1000+C73+ROW()/100000)</f>
        <v/>
      </c>
      <c r="H73" s="17">
        <f>IF(F73="","",IF(ISERROR(MATCH(A73&amp;"-"&amp;B73,設定!$Z$8:$Z$23,0)),"設定にない学年・組",IF(COUNTIF($F$2:$F$301,F73)&gt;1,"同じ学年・組・番号がいる","")))</f>
        <v/>
      </c>
    </row>
    <row r="74">
      <c r="A74" s="15" t="n">
        <v>6</v>
      </c>
      <c r="B74" s="15" t="inlineStr">
        <is>
          <t>梅</t>
        </is>
      </c>
      <c r="C74" s="15" t="n">
        <v>13</v>
      </c>
      <c r="D74" s="16" t="inlineStr">
        <is>
          <t>遠藤　結翔</t>
        </is>
      </c>
      <c r="F74" s="8">
        <f>IF(D74="","",A74&amp;"-"&amp;B74&amp;"-"&amp;C74)</f>
        <v/>
      </c>
      <c r="G74" s="8">
        <f>IF(F74="","",IFERROR(MATCH(A74&amp;"-"&amp;B74,設定!$Z$8:$Z$23,0),99)*1000+C74+ROW()/100000)</f>
        <v/>
      </c>
      <c r="H74" s="17">
        <f>IF(F74="","",IF(ISERROR(MATCH(A74&amp;"-"&amp;B74,設定!$Z$8:$Z$23,0)),"設定にない学年・組",IF(COUNTIF($F$2:$F$301,F74)&gt;1,"同じ学年・組・番号がいる","")))</f>
        <v/>
      </c>
    </row>
    <row r="75">
      <c r="A75" s="15" t="n">
        <v>6</v>
      </c>
      <c r="B75" s="15" t="inlineStr">
        <is>
          <t>梅</t>
        </is>
      </c>
      <c r="C75" s="15" t="n">
        <v>14</v>
      </c>
      <c r="D75" s="16" t="inlineStr">
        <is>
          <t>木村　拓海</t>
        </is>
      </c>
      <c r="F75" s="8">
        <f>IF(D75="","",A75&amp;"-"&amp;B75&amp;"-"&amp;C75)</f>
        <v/>
      </c>
      <c r="G75" s="8">
        <f>IF(F75="","",IFERROR(MATCH(A75&amp;"-"&amp;B75,設定!$Z$8:$Z$23,0),99)*1000+C75+ROW()/100000)</f>
        <v/>
      </c>
      <c r="H75" s="17">
        <f>IF(F75="","",IF(ISERROR(MATCH(A75&amp;"-"&amp;B75,設定!$Z$8:$Z$23,0)),"設定にない学年・組",IF(COUNTIF($F$2:$F$301,F75)&gt;1,"同じ学年・組・番号がいる","")))</f>
        <v/>
      </c>
    </row>
    <row r="76">
      <c r="A76" s="15" t="n">
        <v>6</v>
      </c>
      <c r="B76" s="15" t="inlineStr">
        <is>
          <t>梅</t>
        </is>
      </c>
      <c r="C76" s="15" t="n">
        <v>15</v>
      </c>
      <c r="D76" s="16" t="inlineStr">
        <is>
          <t>佐藤　律</t>
        </is>
      </c>
      <c r="F76" s="8">
        <f>IF(D76="","",A76&amp;"-"&amp;B76&amp;"-"&amp;C76)</f>
        <v/>
      </c>
      <c r="G76" s="8">
        <f>IF(F76="","",IFERROR(MATCH(A76&amp;"-"&amp;B76,設定!$Z$8:$Z$23,0),99)*1000+C76+ROW()/100000)</f>
        <v/>
      </c>
      <c r="H76" s="17">
        <f>IF(F76="","",IF(ISERROR(MATCH(A76&amp;"-"&amp;B76,設定!$Z$8:$Z$23,0)),"設定にない学年・組",IF(COUNTIF($F$2:$F$301,F76)&gt;1,"同じ学年・組・番号がいる","")))</f>
        <v/>
      </c>
    </row>
    <row r="77">
      <c r="A77" s="15" t="n">
        <v>6</v>
      </c>
      <c r="B77" s="15" t="inlineStr">
        <is>
          <t>梅</t>
        </is>
      </c>
      <c r="C77" s="15" t="n">
        <v>16</v>
      </c>
      <c r="D77" s="16" t="inlineStr">
        <is>
          <t>山下　花音</t>
        </is>
      </c>
      <c r="F77" s="8">
        <f>IF(D77="","",A77&amp;"-"&amp;B77&amp;"-"&amp;C77)</f>
        <v/>
      </c>
      <c r="G77" s="8">
        <f>IF(F77="","",IFERROR(MATCH(A77&amp;"-"&amp;B77,設定!$Z$8:$Z$23,0),99)*1000+C77+ROW()/100000)</f>
        <v/>
      </c>
      <c r="H77" s="17">
        <f>IF(F77="","",IF(ISERROR(MATCH(A77&amp;"-"&amp;B77,設定!$Z$8:$Z$23,0)),"設定にない学年・組",IF(COUNTIF($F$2:$F$301,F77)&gt;1,"同じ学年・組・番号がいる","")))</f>
        <v/>
      </c>
    </row>
    <row r="78">
      <c r="A78" s="15" t="n">
        <v>6</v>
      </c>
      <c r="B78" s="15" t="inlineStr">
        <is>
          <t>梅</t>
        </is>
      </c>
      <c r="C78" s="15" t="n">
        <v>17</v>
      </c>
      <c r="D78" s="16" t="inlineStr">
        <is>
          <t>橋本　さくら</t>
        </is>
      </c>
      <c r="F78" s="8">
        <f>IF(D78="","",A78&amp;"-"&amp;B78&amp;"-"&amp;C78)</f>
        <v/>
      </c>
      <c r="G78" s="8">
        <f>IF(F78="","",IFERROR(MATCH(A78&amp;"-"&amp;B78,設定!$Z$8:$Z$23,0),99)*1000+C78+ROW()/100000)</f>
        <v/>
      </c>
      <c r="H78" s="17">
        <f>IF(F78="","",IF(ISERROR(MATCH(A78&amp;"-"&amp;B78,設定!$Z$8:$Z$23,0)),"設定にない学年・組",IF(COUNTIF($F$2:$F$301,F78)&gt;1,"同じ学年・組・番号がいる","")))</f>
        <v/>
      </c>
    </row>
    <row r="79">
      <c r="A79" s="15" t="n">
        <v>6</v>
      </c>
      <c r="B79" s="15" t="inlineStr">
        <is>
          <t>梅</t>
        </is>
      </c>
      <c r="C79" s="15" t="n">
        <v>18</v>
      </c>
      <c r="D79" s="16" t="inlineStr">
        <is>
          <t>村上　陽葵</t>
        </is>
      </c>
      <c r="F79" s="8">
        <f>IF(D79="","",A79&amp;"-"&amp;B79&amp;"-"&amp;C79)</f>
        <v/>
      </c>
      <c r="G79" s="8">
        <f>IF(F79="","",IFERROR(MATCH(A79&amp;"-"&amp;B79,設定!$Z$8:$Z$23,0),99)*1000+C79+ROW()/100000)</f>
        <v/>
      </c>
      <c r="H79" s="17">
        <f>IF(F79="","",IF(ISERROR(MATCH(A79&amp;"-"&amp;B79,設定!$Z$8:$Z$23,0)),"設定にない学年・組",IF(COUNTIF($F$2:$F$301,F79)&gt;1,"同じ学年・組・番号がいる","")))</f>
        <v/>
      </c>
    </row>
    <row r="80">
      <c r="A80" s="15" t="n">
        <v>6</v>
      </c>
      <c r="B80" s="15" t="inlineStr">
        <is>
          <t>梅</t>
        </is>
      </c>
      <c r="C80" s="15" t="n">
        <v>19</v>
      </c>
      <c r="D80" s="16" t="inlineStr">
        <is>
          <t>小林　莉子</t>
        </is>
      </c>
      <c r="F80" s="8">
        <f>IF(D80="","",A80&amp;"-"&amp;B80&amp;"-"&amp;C80)</f>
        <v/>
      </c>
      <c r="G80" s="8">
        <f>IF(F80="","",IFERROR(MATCH(A80&amp;"-"&amp;B80,設定!$Z$8:$Z$23,0),99)*1000+C80+ROW()/100000)</f>
        <v/>
      </c>
      <c r="H80" s="17">
        <f>IF(F80="","",IF(ISERROR(MATCH(A80&amp;"-"&amp;B80,設定!$Z$8:$Z$23,0)),"設定にない学年・組",IF(COUNTIF($F$2:$F$301,F80)&gt;1,"同じ学年・組・番号がいる","")))</f>
        <v/>
      </c>
    </row>
    <row r="81">
      <c r="A81" s="15" t="n">
        <v>6</v>
      </c>
      <c r="B81" s="15" t="inlineStr">
        <is>
          <t>梅</t>
        </is>
      </c>
      <c r="C81" s="15" t="n">
        <v>20</v>
      </c>
      <c r="D81" s="16" t="inlineStr">
        <is>
          <t>坂本　蒼</t>
        </is>
      </c>
      <c r="F81" s="8">
        <f>IF(D81="","",A81&amp;"-"&amp;B81&amp;"-"&amp;C81)</f>
        <v/>
      </c>
      <c r="G81" s="8">
        <f>IF(F81="","",IFERROR(MATCH(A81&amp;"-"&amp;B81,設定!$Z$8:$Z$23,0),99)*1000+C81+ROW()/100000)</f>
        <v/>
      </c>
      <c r="H81" s="17">
        <f>IF(F81="","",IF(ISERROR(MATCH(A81&amp;"-"&amp;B81,設定!$Z$8:$Z$23,0)),"設定にない学年・組",IF(COUNTIF($F$2:$F$301,F81)&gt;1,"同じ学年・組・番号がいる","")))</f>
        <v/>
      </c>
    </row>
    <row r="82">
      <c r="A82" s="15" t="n">
        <v>6</v>
      </c>
      <c r="B82" s="15" t="inlineStr">
        <is>
          <t>梅</t>
        </is>
      </c>
      <c r="C82" s="15" t="n">
        <v>21</v>
      </c>
      <c r="D82" s="16" t="inlineStr">
        <is>
          <t>小川　柚葉</t>
        </is>
      </c>
      <c r="F82" s="8">
        <f>IF(D82="","",A82&amp;"-"&amp;B82&amp;"-"&amp;C82)</f>
        <v/>
      </c>
      <c r="G82" s="8">
        <f>IF(F82="","",IFERROR(MATCH(A82&amp;"-"&amp;B82,設定!$Z$8:$Z$23,0),99)*1000+C82+ROW()/100000)</f>
        <v/>
      </c>
      <c r="H82" s="17">
        <f>IF(F82="","",IF(ISERROR(MATCH(A82&amp;"-"&amp;B82,設定!$Z$8:$Z$23,0)),"設定にない学年・組",IF(COUNTIF($F$2:$F$301,F82)&gt;1,"同じ学年・組・番号がいる","")))</f>
        <v/>
      </c>
    </row>
    <row r="83">
      <c r="A83" s="15" t="n">
        <v>6</v>
      </c>
      <c r="B83" s="15" t="inlineStr">
        <is>
          <t>梅</t>
        </is>
      </c>
      <c r="C83" s="15" t="n">
        <v>22</v>
      </c>
      <c r="D83" s="16" t="inlineStr">
        <is>
          <t>石川　紬</t>
        </is>
      </c>
      <c r="F83" s="8">
        <f>IF(D83="","",A83&amp;"-"&amp;B83&amp;"-"&amp;C83)</f>
        <v/>
      </c>
      <c r="G83" s="8">
        <f>IF(F83="","",IFERROR(MATCH(A83&amp;"-"&amp;B83,設定!$Z$8:$Z$23,0),99)*1000+C83+ROW()/100000)</f>
        <v/>
      </c>
      <c r="H83" s="17">
        <f>IF(F83="","",IF(ISERROR(MATCH(A83&amp;"-"&amp;B83,設定!$Z$8:$Z$23,0)),"設定にない学年・組",IF(COUNTIF($F$2:$F$301,F83)&gt;1,"同じ学年・組・番号がいる","")))</f>
        <v/>
      </c>
    </row>
    <row r="84">
      <c r="A84" s="15" t="n">
        <v>6</v>
      </c>
      <c r="B84" s="15" t="inlineStr">
        <is>
          <t>梅</t>
        </is>
      </c>
      <c r="C84" s="15" t="n">
        <v>23</v>
      </c>
      <c r="D84" s="16" t="inlineStr">
        <is>
          <t>山本　心春</t>
        </is>
      </c>
      <c r="F84" s="8">
        <f>IF(D84="","",A84&amp;"-"&amp;B84&amp;"-"&amp;C84)</f>
        <v/>
      </c>
      <c r="G84" s="8">
        <f>IF(F84="","",IFERROR(MATCH(A84&amp;"-"&amp;B84,設定!$Z$8:$Z$23,0),99)*1000+C84+ROW()/100000)</f>
        <v/>
      </c>
      <c r="H84" s="17">
        <f>IF(F84="","",IF(ISERROR(MATCH(A84&amp;"-"&amp;B84,設定!$Z$8:$Z$23,0)),"設定にない学年・組",IF(COUNTIF($F$2:$F$301,F84)&gt;1,"同じ学年・組・番号がいる","")))</f>
        <v/>
      </c>
    </row>
    <row r="85">
      <c r="A85" s="15" t="n">
        <v>6</v>
      </c>
      <c r="B85" s="15" t="inlineStr">
        <is>
          <t>梅</t>
        </is>
      </c>
      <c r="C85" s="15" t="n">
        <v>24</v>
      </c>
      <c r="D85" s="16" t="inlineStr">
        <is>
          <t>佐々木　樹</t>
        </is>
      </c>
      <c r="F85" s="8">
        <f>IF(D85="","",A85&amp;"-"&amp;B85&amp;"-"&amp;C85)</f>
        <v/>
      </c>
      <c r="G85" s="8">
        <f>IF(F85="","",IFERROR(MATCH(A85&amp;"-"&amp;B85,設定!$Z$8:$Z$23,0),99)*1000+C85+ROW()/100000)</f>
        <v/>
      </c>
      <c r="H85" s="17">
        <f>IF(F85="","",IF(ISERROR(MATCH(A85&amp;"-"&amp;B85,設定!$Z$8:$Z$23,0)),"設定にない学年・組",IF(COUNTIF($F$2:$F$301,F85)&gt;1,"同じ学年・組・番号がいる","")))</f>
        <v/>
      </c>
    </row>
    <row r="86">
      <c r="A86" s="15" t="n">
        <v>6</v>
      </c>
      <c r="B86" s="15" t="inlineStr">
        <is>
          <t>梅</t>
        </is>
      </c>
      <c r="C86" s="15" t="n">
        <v>25</v>
      </c>
      <c r="D86" s="16" t="inlineStr">
        <is>
          <t>山口　咲良</t>
        </is>
      </c>
      <c r="F86" s="8">
        <f>IF(D86="","",A86&amp;"-"&amp;B86&amp;"-"&amp;C86)</f>
        <v/>
      </c>
      <c r="G86" s="8">
        <f>IF(F86="","",IFERROR(MATCH(A86&amp;"-"&amp;B86,設定!$Z$8:$Z$23,0),99)*1000+C86+ROW()/100000)</f>
        <v/>
      </c>
      <c r="H86" s="17">
        <f>IF(F86="","",IF(ISERROR(MATCH(A86&amp;"-"&amp;B86,設定!$Z$8:$Z$23,0)),"設定にない学年・組",IF(COUNTIF($F$2:$F$301,F86)&gt;1,"同じ学年・組・番号がいる","")))</f>
        <v/>
      </c>
    </row>
    <row r="87">
      <c r="A87" s="15" t="n">
        <v>6</v>
      </c>
      <c r="B87" s="15" t="inlineStr">
        <is>
          <t>梅</t>
        </is>
      </c>
      <c r="C87" s="15" t="n">
        <v>26</v>
      </c>
      <c r="D87" s="16" t="inlineStr">
        <is>
          <t>吉田　陽太</t>
        </is>
      </c>
      <c r="F87" s="8">
        <f>IF(D87="","",A87&amp;"-"&amp;B87&amp;"-"&amp;C87)</f>
        <v/>
      </c>
      <c r="G87" s="8">
        <f>IF(F87="","",IFERROR(MATCH(A87&amp;"-"&amp;B87,設定!$Z$8:$Z$23,0),99)*1000+C87+ROW()/100000)</f>
        <v/>
      </c>
      <c r="H87" s="17">
        <f>IF(F87="","",IF(ISERROR(MATCH(A87&amp;"-"&amp;B87,設定!$Z$8:$Z$23,0)),"設定にない学年・組",IF(COUNTIF($F$2:$F$301,F87)&gt;1,"同じ学年・組・番号がいる","")))</f>
        <v/>
      </c>
    </row>
    <row r="88">
      <c r="A88" s="15" t="n">
        <v>6</v>
      </c>
      <c r="B88" s="15" t="inlineStr">
        <is>
          <t>梅</t>
        </is>
      </c>
      <c r="C88" s="15" t="n">
        <v>27</v>
      </c>
      <c r="D88" s="16" t="inlineStr">
        <is>
          <t>森　真央</t>
        </is>
      </c>
      <c r="F88" s="8">
        <f>IF(D88="","",A88&amp;"-"&amp;B88&amp;"-"&amp;C88)</f>
        <v/>
      </c>
      <c r="G88" s="8">
        <f>IF(F88="","",IFERROR(MATCH(A88&amp;"-"&amp;B88,設定!$Z$8:$Z$23,0),99)*1000+C88+ROW()/100000)</f>
        <v/>
      </c>
      <c r="H88" s="17">
        <f>IF(F88="","",IF(ISERROR(MATCH(A88&amp;"-"&amp;B88,設定!$Z$8:$Z$23,0)),"設定にない学年・組",IF(COUNTIF($F$2:$F$301,F88)&gt;1,"同じ学年・組・番号がいる","")))</f>
        <v/>
      </c>
    </row>
    <row r="89">
      <c r="A89" s="15" t="n">
        <v>6</v>
      </c>
      <c r="B89" s="15" t="inlineStr">
        <is>
          <t>梅</t>
        </is>
      </c>
      <c r="C89" s="15" t="n">
        <v>28</v>
      </c>
      <c r="D89" s="16" t="inlineStr">
        <is>
          <t>田中　悠真</t>
        </is>
      </c>
      <c r="F89" s="8">
        <f>IF(D89="","",A89&amp;"-"&amp;B89&amp;"-"&amp;C89)</f>
        <v/>
      </c>
      <c r="G89" s="8">
        <f>IF(F89="","",IFERROR(MATCH(A89&amp;"-"&amp;B89,設定!$Z$8:$Z$23,0),99)*1000+C89+ROW()/100000)</f>
        <v/>
      </c>
      <c r="H89" s="17">
        <f>IF(F89="","",IF(ISERROR(MATCH(A89&amp;"-"&amp;B89,設定!$Z$8:$Z$23,0)),"設定にない学年・組",IF(COUNTIF($F$2:$F$301,F89)&gt;1,"同じ学年・組・番号がいる","")))</f>
        <v/>
      </c>
    </row>
    <row r="90">
      <c r="A90" s="15" t="n">
        <v>6</v>
      </c>
      <c r="B90" s="15" t="inlineStr">
        <is>
          <t>梅</t>
        </is>
      </c>
      <c r="C90" s="15" t="n">
        <v>29</v>
      </c>
      <c r="D90" s="16" t="inlineStr">
        <is>
          <t>佐藤　千尋</t>
        </is>
      </c>
      <c r="F90" s="8">
        <f>IF(D90="","",A90&amp;"-"&amp;B90&amp;"-"&amp;C90)</f>
        <v/>
      </c>
      <c r="G90" s="8">
        <f>IF(F90="","",IFERROR(MATCH(A90&amp;"-"&amp;B90,設定!$Z$8:$Z$23,0),99)*1000+C90+ROW()/100000)</f>
        <v/>
      </c>
      <c r="H90" s="17">
        <f>IF(F90="","",IF(ISERROR(MATCH(A90&amp;"-"&amp;B90,設定!$Z$8:$Z$23,0)),"設定にない学年・組",IF(COUNTIF($F$2:$F$301,F90)&gt;1,"同じ学年・組・番号がいる","")))</f>
        <v/>
      </c>
    </row>
    <row r="91">
      <c r="A91" s="15" t="n">
        <v>6</v>
      </c>
      <c r="B91" s="15" t="inlineStr">
        <is>
          <t>梅</t>
        </is>
      </c>
      <c r="C91" s="15" t="n">
        <v>30</v>
      </c>
      <c r="D91" s="16" t="inlineStr">
        <is>
          <t>加藤　花音</t>
        </is>
      </c>
      <c r="F91" s="8">
        <f>IF(D91="","",A91&amp;"-"&amp;B91&amp;"-"&amp;C91)</f>
        <v/>
      </c>
      <c r="G91" s="8">
        <f>IF(F91="","",IFERROR(MATCH(A91&amp;"-"&amp;B91,設定!$Z$8:$Z$23,0),99)*1000+C91+ROW()/100000)</f>
        <v/>
      </c>
      <c r="H91" s="17">
        <f>IF(F91="","",IF(ISERROR(MATCH(A91&amp;"-"&amp;B91,設定!$Z$8:$Z$23,0)),"設定にない学年・組",IF(COUNTIF($F$2:$F$301,F91)&gt;1,"同じ学年・組・番号がいる","")))</f>
        <v/>
      </c>
    </row>
    <row r="92">
      <c r="A92" s="15" t="n">
        <v>6</v>
      </c>
      <c r="B92" s="15" t="inlineStr">
        <is>
          <t>月</t>
        </is>
      </c>
      <c r="C92" s="15" t="n">
        <v>1</v>
      </c>
      <c r="D92" s="16" t="inlineStr">
        <is>
          <t>坂本　陽翔</t>
        </is>
      </c>
      <c r="F92" s="8">
        <f>IF(D92="","",A92&amp;"-"&amp;B92&amp;"-"&amp;C92)</f>
        <v/>
      </c>
      <c r="G92" s="8">
        <f>IF(F92="","",IFERROR(MATCH(A92&amp;"-"&amp;B92,設定!$Z$8:$Z$23,0),99)*1000+C92+ROW()/100000)</f>
        <v/>
      </c>
      <c r="H92" s="17">
        <f>IF(F92="","",IF(ISERROR(MATCH(A92&amp;"-"&amp;B92,設定!$Z$8:$Z$23,0)),"設定にない学年・組",IF(COUNTIF($F$2:$F$301,F92)&gt;1,"同じ学年・組・番号がいる","")))</f>
        <v/>
      </c>
    </row>
    <row r="93">
      <c r="A93" s="15" t="n">
        <v>6</v>
      </c>
      <c r="B93" s="15" t="inlineStr">
        <is>
          <t>月</t>
        </is>
      </c>
      <c r="C93" s="15" t="n">
        <v>2</v>
      </c>
      <c r="D93" s="16" t="inlineStr">
        <is>
          <t>伊藤　奏太</t>
        </is>
      </c>
      <c r="F93" s="8">
        <f>IF(D93="","",A93&amp;"-"&amp;B93&amp;"-"&amp;C93)</f>
        <v/>
      </c>
      <c r="G93" s="8">
        <f>IF(F93="","",IFERROR(MATCH(A93&amp;"-"&amp;B93,設定!$Z$8:$Z$23,0),99)*1000+C93+ROW()/100000)</f>
        <v/>
      </c>
      <c r="H93" s="17">
        <f>IF(F93="","",IF(ISERROR(MATCH(A93&amp;"-"&amp;B93,設定!$Z$8:$Z$23,0)),"設定にない学年・組",IF(COUNTIF($F$2:$F$301,F93)&gt;1,"同じ学年・組・番号がいる","")))</f>
        <v/>
      </c>
    </row>
    <row r="94">
      <c r="A94" s="15" t="n">
        <v>6</v>
      </c>
      <c r="B94" s="15" t="inlineStr">
        <is>
          <t>月</t>
        </is>
      </c>
      <c r="C94" s="15" t="n">
        <v>3</v>
      </c>
      <c r="D94" s="16" t="inlineStr">
        <is>
          <t>坂本　葵</t>
        </is>
      </c>
      <c r="F94" s="8">
        <f>IF(D94="","",A94&amp;"-"&amp;B94&amp;"-"&amp;C94)</f>
        <v/>
      </c>
      <c r="G94" s="8">
        <f>IF(F94="","",IFERROR(MATCH(A94&amp;"-"&amp;B94,設定!$Z$8:$Z$23,0),99)*1000+C94+ROW()/100000)</f>
        <v/>
      </c>
      <c r="H94" s="17">
        <f>IF(F94="","",IF(ISERROR(MATCH(A94&amp;"-"&amp;B94,設定!$Z$8:$Z$23,0)),"設定にない学年・組",IF(COUNTIF($F$2:$F$301,F94)&gt;1,"同じ学年・組・番号がいる","")))</f>
        <v/>
      </c>
    </row>
    <row r="95">
      <c r="A95" s="15" t="n">
        <v>6</v>
      </c>
      <c r="B95" s="15" t="inlineStr">
        <is>
          <t>月</t>
        </is>
      </c>
      <c r="C95" s="15" t="n">
        <v>4</v>
      </c>
      <c r="D95" s="16" t="inlineStr">
        <is>
          <t>加藤　海斗</t>
        </is>
      </c>
      <c r="F95" s="8">
        <f>IF(D95="","",A95&amp;"-"&amp;B95&amp;"-"&amp;C95)</f>
        <v/>
      </c>
      <c r="G95" s="8">
        <f>IF(F95="","",IFERROR(MATCH(A95&amp;"-"&amp;B95,設定!$Z$8:$Z$23,0),99)*1000+C95+ROW()/100000)</f>
        <v/>
      </c>
      <c r="H95" s="17">
        <f>IF(F95="","",IF(ISERROR(MATCH(A95&amp;"-"&amp;B95,設定!$Z$8:$Z$23,0)),"設定にない学年・組",IF(COUNTIF($F$2:$F$301,F95)&gt;1,"同じ学年・組・番号がいる","")))</f>
        <v/>
      </c>
    </row>
    <row r="96">
      <c r="A96" s="15" t="n">
        <v>6</v>
      </c>
      <c r="B96" s="15" t="inlineStr">
        <is>
          <t>月</t>
        </is>
      </c>
      <c r="C96" s="15" t="n">
        <v>5</v>
      </c>
      <c r="D96" s="16" t="inlineStr">
        <is>
          <t>橋本　心春</t>
        </is>
      </c>
      <c r="F96" s="8">
        <f>IF(D96="","",A96&amp;"-"&amp;B96&amp;"-"&amp;C96)</f>
        <v/>
      </c>
      <c r="G96" s="8">
        <f>IF(F96="","",IFERROR(MATCH(A96&amp;"-"&amp;B96,設定!$Z$8:$Z$23,0),99)*1000+C96+ROW()/100000)</f>
        <v/>
      </c>
      <c r="H96" s="17">
        <f>IF(F96="","",IF(ISERROR(MATCH(A96&amp;"-"&amp;B96,設定!$Z$8:$Z$23,0)),"設定にない学年・組",IF(COUNTIF($F$2:$F$301,F96)&gt;1,"同じ学年・組・番号がいる","")))</f>
        <v/>
      </c>
    </row>
    <row r="97">
      <c r="A97" s="15" t="n">
        <v>6</v>
      </c>
      <c r="B97" s="15" t="inlineStr">
        <is>
          <t>月</t>
        </is>
      </c>
      <c r="C97" s="15" t="n">
        <v>6</v>
      </c>
      <c r="D97" s="16" t="inlineStr">
        <is>
          <t>中村　陽太</t>
        </is>
      </c>
      <c r="F97" s="8">
        <f>IF(D97="","",A97&amp;"-"&amp;B97&amp;"-"&amp;C97)</f>
        <v/>
      </c>
      <c r="G97" s="8">
        <f>IF(F97="","",IFERROR(MATCH(A97&amp;"-"&amp;B97,設定!$Z$8:$Z$23,0),99)*1000+C97+ROW()/100000)</f>
        <v/>
      </c>
      <c r="H97" s="17">
        <f>IF(F97="","",IF(ISERROR(MATCH(A97&amp;"-"&amp;B97,設定!$Z$8:$Z$23,0)),"設定にない学年・組",IF(COUNTIF($F$2:$F$301,F97)&gt;1,"同じ学年・組・番号がいる","")))</f>
        <v/>
      </c>
    </row>
    <row r="98">
      <c r="A98" s="15" t="n">
        <v>6</v>
      </c>
      <c r="B98" s="15" t="inlineStr">
        <is>
          <t>月</t>
        </is>
      </c>
      <c r="C98" s="15" t="n">
        <v>7</v>
      </c>
      <c r="D98" s="16" t="inlineStr">
        <is>
          <t>岡田　美月</t>
        </is>
      </c>
      <c r="F98" s="8">
        <f>IF(D98="","",A98&amp;"-"&amp;B98&amp;"-"&amp;C98)</f>
        <v/>
      </c>
      <c r="G98" s="8">
        <f>IF(F98="","",IFERROR(MATCH(A98&amp;"-"&amp;B98,設定!$Z$8:$Z$23,0),99)*1000+C98+ROW()/100000)</f>
        <v/>
      </c>
      <c r="H98" s="17">
        <f>IF(F98="","",IF(ISERROR(MATCH(A98&amp;"-"&amp;B98,設定!$Z$8:$Z$23,0)),"設定にない学年・組",IF(COUNTIF($F$2:$F$301,F98)&gt;1,"同じ学年・組・番号がいる","")))</f>
        <v/>
      </c>
    </row>
    <row r="99">
      <c r="A99" s="15" t="n">
        <v>6</v>
      </c>
      <c r="B99" s="15" t="inlineStr">
        <is>
          <t>月</t>
        </is>
      </c>
      <c r="C99" s="15" t="n">
        <v>8</v>
      </c>
      <c r="D99" s="16" t="inlineStr">
        <is>
          <t>前田　心春</t>
        </is>
      </c>
      <c r="F99" s="8">
        <f>IF(D99="","",A99&amp;"-"&amp;B99&amp;"-"&amp;C99)</f>
        <v/>
      </c>
      <c r="G99" s="8">
        <f>IF(F99="","",IFERROR(MATCH(A99&amp;"-"&amp;B99,設定!$Z$8:$Z$23,0),99)*1000+C99+ROW()/100000)</f>
        <v/>
      </c>
      <c r="H99" s="17">
        <f>IF(F99="","",IF(ISERROR(MATCH(A99&amp;"-"&amp;B99,設定!$Z$8:$Z$23,0)),"設定にない学年・組",IF(COUNTIF($F$2:$F$301,F99)&gt;1,"同じ学年・組・番号がいる","")))</f>
        <v/>
      </c>
    </row>
    <row r="100">
      <c r="A100" s="15" t="n">
        <v>6</v>
      </c>
      <c r="B100" s="15" t="inlineStr">
        <is>
          <t>月</t>
        </is>
      </c>
      <c r="C100" s="15" t="n">
        <v>9</v>
      </c>
      <c r="D100" s="16" t="inlineStr">
        <is>
          <t>清水　大和</t>
        </is>
      </c>
      <c r="F100" s="8">
        <f>IF(D100="","",A100&amp;"-"&amp;B100&amp;"-"&amp;C100)</f>
        <v/>
      </c>
      <c r="G100" s="8">
        <f>IF(F100="","",IFERROR(MATCH(A100&amp;"-"&amp;B100,設定!$Z$8:$Z$23,0),99)*1000+C100+ROW()/100000)</f>
        <v/>
      </c>
      <c r="H100" s="17">
        <f>IF(F100="","",IF(ISERROR(MATCH(A100&amp;"-"&amp;B100,設定!$Z$8:$Z$23,0)),"設定にない学年・組",IF(COUNTIF($F$2:$F$301,F100)&gt;1,"同じ学年・組・番号がいる","")))</f>
        <v/>
      </c>
    </row>
    <row r="101">
      <c r="A101" s="15" t="n">
        <v>6</v>
      </c>
      <c r="B101" s="15" t="inlineStr">
        <is>
          <t>月</t>
        </is>
      </c>
      <c r="C101" s="15" t="n">
        <v>10</v>
      </c>
      <c r="D101" s="16" t="inlineStr">
        <is>
          <t>加藤　悠真</t>
        </is>
      </c>
      <c r="F101" s="8">
        <f>IF(D101="","",A101&amp;"-"&amp;B101&amp;"-"&amp;C101)</f>
        <v/>
      </c>
      <c r="G101" s="8">
        <f>IF(F101="","",IFERROR(MATCH(A101&amp;"-"&amp;B101,設定!$Z$8:$Z$23,0),99)*1000+C101+ROW()/100000)</f>
        <v/>
      </c>
      <c r="H101" s="17">
        <f>IF(F101="","",IF(ISERROR(MATCH(A101&amp;"-"&amp;B101,設定!$Z$8:$Z$23,0)),"設定にない学年・組",IF(COUNTIF($F$2:$F$301,F101)&gt;1,"同じ学年・組・番号がいる","")))</f>
        <v/>
      </c>
    </row>
    <row r="102">
      <c r="A102" s="15" t="n">
        <v>6</v>
      </c>
      <c r="B102" s="15" t="inlineStr">
        <is>
          <t>月</t>
        </is>
      </c>
      <c r="C102" s="15" t="n">
        <v>11</v>
      </c>
      <c r="D102" s="16" t="inlineStr">
        <is>
          <t>森　海斗</t>
        </is>
      </c>
      <c r="F102" s="8">
        <f>IF(D102="","",A102&amp;"-"&amp;B102&amp;"-"&amp;C102)</f>
        <v/>
      </c>
      <c r="G102" s="8">
        <f>IF(F102="","",IFERROR(MATCH(A102&amp;"-"&amp;B102,設定!$Z$8:$Z$23,0),99)*1000+C102+ROW()/100000)</f>
        <v/>
      </c>
      <c r="H102" s="17">
        <f>IF(F102="","",IF(ISERROR(MATCH(A102&amp;"-"&amp;B102,設定!$Z$8:$Z$23,0)),"設定にない学年・組",IF(COUNTIF($F$2:$F$301,F102)&gt;1,"同じ学年・組・番号がいる","")))</f>
        <v/>
      </c>
    </row>
    <row r="103">
      <c r="A103" s="15" t="n">
        <v>6</v>
      </c>
      <c r="B103" s="15" t="inlineStr">
        <is>
          <t>月</t>
        </is>
      </c>
      <c r="C103" s="15" t="n">
        <v>12</v>
      </c>
      <c r="D103" s="16" t="inlineStr">
        <is>
          <t>前田　颯太</t>
        </is>
      </c>
      <c r="F103" s="8">
        <f>IF(D103="","",A103&amp;"-"&amp;B103&amp;"-"&amp;C103)</f>
        <v/>
      </c>
      <c r="G103" s="8">
        <f>IF(F103="","",IFERROR(MATCH(A103&amp;"-"&amp;B103,設定!$Z$8:$Z$23,0),99)*1000+C103+ROW()/100000)</f>
        <v/>
      </c>
      <c r="H103" s="17">
        <f>IF(F103="","",IF(ISERROR(MATCH(A103&amp;"-"&amp;B103,設定!$Z$8:$Z$23,0)),"設定にない学年・組",IF(COUNTIF($F$2:$F$301,F103)&gt;1,"同じ学年・組・番号がいる","")))</f>
        <v/>
      </c>
    </row>
    <row r="104">
      <c r="A104" s="15" t="n">
        <v>6</v>
      </c>
      <c r="B104" s="15" t="inlineStr">
        <is>
          <t>月</t>
        </is>
      </c>
      <c r="C104" s="15" t="n">
        <v>13</v>
      </c>
      <c r="D104" s="16" t="inlineStr">
        <is>
          <t>藤田　陽翔</t>
        </is>
      </c>
      <c r="F104" s="8">
        <f>IF(D104="","",A104&amp;"-"&amp;B104&amp;"-"&amp;C104)</f>
        <v/>
      </c>
      <c r="G104" s="8">
        <f>IF(F104="","",IFERROR(MATCH(A104&amp;"-"&amp;B104,設定!$Z$8:$Z$23,0),99)*1000+C104+ROW()/100000)</f>
        <v/>
      </c>
      <c r="H104" s="17">
        <f>IF(F104="","",IF(ISERROR(MATCH(A104&amp;"-"&amp;B104,設定!$Z$8:$Z$23,0)),"設定にない学年・組",IF(COUNTIF($F$2:$F$301,F104)&gt;1,"同じ学年・組・番号がいる","")))</f>
        <v/>
      </c>
    </row>
    <row r="105">
      <c r="A105" s="15" t="n">
        <v>6</v>
      </c>
      <c r="B105" s="15" t="inlineStr">
        <is>
          <t>月</t>
        </is>
      </c>
      <c r="C105" s="15" t="n">
        <v>14</v>
      </c>
      <c r="D105" s="16" t="inlineStr">
        <is>
          <t>山口　彩花</t>
        </is>
      </c>
      <c r="F105" s="8">
        <f>IF(D105="","",A105&amp;"-"&amp;B105&amp;"-"&amp;C105)</f>
        <v/>
      </c>
      <c r="G105" s="8">
        <f>IF(F105="","",IFERROR(MATCH(A105&amp;"-"&amp;B105,設定!$Z$8:$Z$23,0),99)*1000+C105+ROW()/100000)</f>
        <v/>
      </c>
      <c r="H105" s="17">
        <f>IF(F105="","",IF(ISERROR(MATCH(A105&amp;"-"&amp;B105,設定!$Z$8:$Z$23,0)),"設定にない学年・組",IF(COUNTIF($F$2:$F$301,F105)&gt;1,"同じ学年・組・番号がいる","")))</f>
        <v/>
      </c>
    </row>
    <row r="106">
      <c r="A106" s="15" t="n">
        <v>6</v>
      </c>
      <c r="B106" s="15" t="inlineStr">
        <is>
          <t>月</t>
        </is>
      </c>
      <c r="C106" s="15" t="n">
        <v>15</v>
      </c>
      <c r="D106" s="16" t="inlineStr">
        <is>
          <t>橋本　律</t>
        </is>
      </c>
      <c r="F106" s="8">
        <f>IF(D106="","",A106&amp;"-"&amp;B106&amp;"-"&amp;C106)</f>
        <v/>
      </c>
      <c r="G106" s="8">
        <f>IF(F106="","",IFERROR(MATCH(A106&amp;"-"&amp;B106,設定!$Z$8:$Z$23,0),99)*1000+C106+ROW()/100000)</f>
        <v/>
      </c>
      <c r="H106" s="17">
        <f>IF(F106="","",IF(ISERROR(MATCH(A106&amp;"-"&amp;B106,設定!$Z$8:$Z$23,0)),"設定にない学年・組",IF(COUNTIF($F$2:$F$301,F106)&gt;1,"同じ学年・組・番号がいる","")))</f>
        <v/>
      </c>
    </row>
    <row r="107">
      <c r="A107" s="15" t="n">
        <v>6</v>
      </c>
      <c r="B107" s="15" t="inlineStr">
        <is>
          <t>月</t>
        </is>
      </c>
      <c r="C107" s="15" t="n">
        <v>16</v>
      </c>
      <c r="D107" s="16" t="inlineStr">
        <is>
          <t>後藤　陽翔</t>
        </is>
      </c>
      <c r="F107" s="8">
        <f>IF(D107="","",A107&amp;"-"&amp;B107&amp;"-"&amp;C107)</f>
        <v/>
      </c>
      <c r="G107" s="8">
        <f>IF(F107="","",IFERROR(MATCH(A107&amp;"-"&amp;B107,設定!$Z$8:$Z$23,0),99)*1000+C107+ROW()/100000)</f>
        <v/>
      </c>
      <c r="H107" s="17">
        <f>IF(F107="","",IF(ISERROR(MATCH(A107&amp;"-"&amp;B107,設定!$Z$8:$Z$23,0)),"設定にない学年・組",IF(COUNTIF($F$2:$F$301,F107)&gt;1,"同じ学年・組・番号がいる","")))</f>
        <v/>
      </c>
    </row>
    <row r="108">
      <c r="A108" s="15" t="n">
        <v>6</v>
      </c>
      <c r="B108" s="15" t="inlineStr">
        <is>
          <t>月</t>
        </is>
      </c>
      <c r="C108" s="15" t="n">
        <v>17</v>
      </c>
      <c r="D108" s="16" t="inlineStr">
        <is>
          <t>藤田　航</t>
        </is>
      </c>
      <c r="F108" s="8">
        <f>IF(D108="","",A108&amp;"-"&amp;B108&amp;"-"&amp;C108)</f>
        <v/>
      </c>
      <c r="G108" s="8">
        <f>IF(F108="","",IFERROR(MATCH(A108&amp;"-"&amp;B108,設定!$Z$8:$Z$23,0),99)*1000+C108+ROW()/100000)</f>
        <v/>
      </c>
      <c r="H108" s="17">
        <f>IF(F108="","",IF(ISERROR(MATCH(A108&amp;"-"&amp;B108,設定!$Z$8:$Z$23,0)),"設定にない学年・組",IF(COUNTIF($F$2:$F$301,F108)&gt;1,"同じ学年・組・番号がいる","")))</f>
        <v/>
      </c>
    </row>
    <row r="109">
      <c r="A109" s="15" t="n">
        <v>6</v>
      </c>
      <c r="B109" s="15" t="inlineStr">
        <is>
          <t>月</t>
        </is>
      </c>
      <c r="C109" s="15" t="n">
        <v>18</v>
      </c>
      <c r="D109" s="16" t="inlineStr">
        <is>
          <t>渡辺　海斗</t>
        </is>
      </c>
      <c r="F109" s="8">
        <f>IF(D109="","",A109&amp;"-"&amp;B109&amp;"-"&amp;C109)</f>
        <v/>
      </c>
      <c r="G109" s="8">
        <f>IF(F109="","",IFERROR(MATCH(A109&amp;"-"&amp;B109,設定!$Z$8:$Z$23,0),99)*1000+C109+ROW()/100000)</f>
        <v/>
      </c>
      <c r="H109" s="17">
        <f>IF(F109="","",IF(ISERROR(MATCH(A109&amp;"-"&amp;B109,設定!$Z$8:$Z$23,0)),"設定にない学年・組",IF(COUNTIF($F$2:$F$301,F109)&gt;1,"同じ学年・組・番号がいる","")))</f>
        <v/>
      </c>
    </row>
    <row r="110">
      <c r="A110" s="15" t="n">
        <v>6</v>
      </c>
      <c r="B110" s="15" t="inlineStr">
        <is>
          <t>月</t>
        </is>
      </c>
      <c r="C110" s="15" t="n">
        <v>19</v>
      </c>
      <c r="D110" s="16" t="inlineStr">
        <is>
          <t>藤田　芽依</t>
        </is>
      </c>
      <c r="F110" s="8">
        <f>IF(D110="","",A110&amp;"-"&amp;B110&amp;"-"&amp;C110)</f>
        <v/>
      </c>
      <c r="G110" s="8">
        <f>IF(F110="","",IFERROR(MATCH(A110&amp;"-"&amp;B110,設定!$Z$8:$Z$23,0),99)*1000+C110+ROW()/100000)</f>
        <v/>
      </c>
      <c r="H110" s="17">
        <f>IF(F110="","",IF(ISERROR(MATCH(A110&amp;"-"&amp;B110,設定!$Z$8:$Z$23,0)),"設定にない学年・組",IF(COUNTIF($F$2:$F$301,F110)&gt;1,"同じ学年・組・番号がいる","")))</f>
        <v/>
      </c>
    </row>
    <row r="111">
      <c r="A111" s="15" t="n">
        <v>6</v>
      </c>
      <c r="B111" s="15" t="inlineStr">
        <is>
          <t>月</t>
        </is>
      </c>
      <c r="C111" s="15" t="n">
        <v>20</v>
      </c>
      <c r="D111" s="16" t="inlineStr">
        <is>
          <t>吉田　結菜</t>
        </is>
      </c>
      <c r="F111" s="8">
        <f>IF(D111="","",A111&amp;"-"&amp;B111&amp;"-"&amp;C111)</f>
        <v/>
      </c>
      <c r="G111" s="8">
        <f>IF(F111="","",IFERROR(MATCH(A111&amp;"-"&amp;B111,設定!$Z$8:$Z$23,0),99)*1000+C111+ROW()/100000)</f>
        <v/>
      </c>
      <c r="H111" s="17">
        <f>IF(F111="","",IF(ISERROR(MATCH(A111&amp;"-"&amp;B111,設定!$Z$8:$Z$23,0)),"設定にない学年・組",IF(COUNTIF($F$2:$F$301,F111)&gt;1,"同じ学年・組・番号がいる","")))</f>
        <v/>
      </c>
    </row>
    <row r="112">
      <c r="A112" s="15" t="n">
        <v>6</v>
      </c>
      <c r="B112" s="15" t="inlineStr">
        <is>
          <t>月</t>
        </is>
      </c>
      <c r="C112" s="15" t="n">
        <v>21</v>
      </c>
      <c r="D112" s="16" t="inlineStr">
        <is>
          <t>松本　花音</t>
        </is>
      </c>
      <c r="F112" s="8">
        <f>IF(D112="","",A112&amp;"-"&amp;B112&amp;"-"&amp;C112)</f>
        <v/>
      </c>
      <c r="G112" s="8">
        <f>IF(F112="","",IFERROR(MATCH(A112&amp;"-"&amp;B112,設定!$Z$8:$Z$23,0),99)*1000+C112+ROW()/100000)</f>
        <v/>
      </c>
      <c r="H112" s="17">
        <f>IF(F112="","",IF(ISERROR(MATCH(A112&amp;"-"&amp;B112,設定!$Z$8:$Z$23,0)),"設定にない学年・組",IF(COUNTIF($F$2:$F$301,F112)&gt;1,"同じ学年・組・番号がいる","")))</f>
        <v/>
      </c>
    </row>
    <row r="113">
      <c r="A113" s="15" t="n">
        <v>6</v>
      </c>
      <c r="B113" s="15" t="inlineStr">
        <is>
          <t>月</t>
        </is>
      </c>
      <c r="C113" s="15" t="n">
        <v>22</v>
      </c>
      <c r="D113" s="16" t="inlineStr">
        <is>
          <t>後藤　莉子</t>
        </is>
      </c>
      <c r="F113" s="8">
        <f>IF(D113="","",A113&amp;"-"&amp;B113&amp;"-"&amp;C113)</f>
        <v/>
      </c>
      <c r="G113" s="8">
        <f>IF(F113="","",IFERROR(MATCH(A113&amp;"-"&amp;B113,設定!$Z$8:$Z$23,0),99)*1000+C113+ROW()/100000)</f>
        <v/>
      </c>
      <c r="H113" s="17">
        <f>IF(F113="","",IF(ISERROR(MATCH(A113&amp;"-"&amp;B113,設定!$Z$8:$Z$23,0)),"設定にない学年・組",IF(COUNTIF($F$2:$F$301,F113)&gt;1,"同じ学年・組・番号がいる","")))</f>
        <v/>
      </c>
    </row>
    <row r="114">
      <c r="A114" s="15" t="n">
        <v>6</v>
      </c>
      <c r="B114" s="15" t="inlineStr">
        <is>
          <t>月</t>
        </is>
      </c>
      <c r="C114" s="15" t="n">
        <v>23</v>
      </c>
      <c r="D114" s="16" t="inlineStr">
        <is>
          <t>森　新</t>
        </is>
      </c>
      <c r="F114" s="8">
        <f>IF(D114="","",A114&amp;"-"&amp;B114&amp;"-"&amp;C114)</f>
        <v/>
      </c>
      <c r="G114" s="8">
        <f>IF(F114="","",IFERROR(MATCH(A114&amp;"-"&amp;B114,設定!$Z$8:$Z$23,0),99)*1000+C114+ROW()/100000)</f>
        <v/>
      </c>
      <c r="H114" s="17">
        <f>IF(F114="","",IF(ISERROR(MATCH(A114&amp;"-"&amp;B114,設定!$Z$8:$Z$23,0)),"設定にない学年・組",IF(COUNTIF($F$2:$F$301,F114)&gt;1,"同じ学年・組・番号がいる","")))</f>
        <v/>
      </c>
    </row>
    <row r="115">
      <c r="A115" s="15" t="n">
        <v>6</v>
      </c>
      <c r="B115" s="15" t="inlineStr">
        <is>
          <t>月</t>
        </is>
      </c>
      <c r="C115" s="15" t="n">
        <v>24</v>
      </c>
      <c r="D115" s="16" t="inlineStr">
        <is>
          <t>坂本　優斗</t>
        </is>
      </c>
      <c r="F115" s="8">
        <f>IF(D115="","",A115&amp;"-"&amp;B115&amp;"-"&amp;C115)</f>
        <v/>
      </c>
      <c r="G115" s="8">
        <f>IF(F115="","",IFERROR(MATCH(A115&amp;"-"&amp;B115,設定!$Z$8:$Z$23,0),99)*1000+C115+ROW()/100000)</f>
        <v/>
      </c>
      <c r="H115" s="17">
        <f>IF(F115="","",IF(ISERROR(MATCH(A115&amp;"-"&amp;B115,設定!$Z$8:$Z$23,0)),"設定にない学年・組",IF(COUNTIF($F$2:$F$301,F115)&gt;1,"同じ学年・組・番号がいる","")))</f>
        <v/>
      </c>
    </row>
    <row r="116">
      <c r="A116" s="15" t="n">
        <v>6</v>
      </c>
      <c r="B116" s="15" t="inlineStr">
        <is>
          <t>月</t>
        </is>
      </c>
      <c r="C116" s="15" t="n">
        <v>25</v>
      </c>
      <c r="D116" s="16" t="inlineStr">
        <is>
          <t>松本　優斗</t>
        </is>
      </c>
      <c r="F116" s="8">
        <f>IF(D116="","",A116&amp;"-"&amp;B116&amp;"-"&amp;C116)</f>
        <v/>
      </c>
      <c r="G116" s="8">
        <f>IF(F116="","",IFERROR(MATCH(A116&amp;"-"&amp;B116,設定!$Z$8:$Z$23,0),99)*1000+C116+ROW()/100000)</f>
        <v/>
      </c>
      <c r="H116" s="17">
        <f>IF(F116="","",IF(ISERROR(MATCH(A116&amp;"-"&amp;B116,設定!$Z$8:$Z$23,0)),"設定にない学年・組",IF(COUNTIF($F$2:$F$301,F116)&gt;1,"同じ学年・組・番号がいる","")))</f>
        <v/>
      </c>
    </row>
    <row r="117">
      <c r="A117" s="15" t="n">
        <v>6</v>
      </c>
      <c r="B117" s="15" t="inlineStr">
        <is>
          <t>月</t>
        </is>
      </c>
      <c r="C117" s="15" t="n">
        <v>26</v>
      </c>
      <c r="D117" s="16" t="inlineStr">
        <is>
          <t>藤田　杏</t>
        </is>
      </c>
      <c r="F117" s="8">
        <f>IF(D117="","",A117&amp;"-"&amp;B117&amp;"-"&amp;C117)</f>
        <v/>
      </c>
      <c r="G117" s="8">
        <f>IF(F117="","",IFERROR(MATCH(A117&amp;"-"&amp;B117,設定!$Z$8:$Z$23,0),99)*1000+C117+ROW()/100000)</f>
        <v/>
      </c>
      <c r="H117" s="17">
        <f>IF(F117="","",IF(ISERROR(MATCH(A117&amp;"-"&amp;B117,設定!$Z$8:$Z$23,0)),"設定にない学年・組",IF(COUNTIF($F$2:$F$301,F117)&gt;1,"同じ学年・組・番号がいる","")))</f>
        <v/>
      </c>
    </row>
    <row r="118">
      <c r="A118" s="15" t="n">
        <v>6</v>
      </c>
      <c r="B118" s="15" t="inlineStr">
        <is>
          <t>月</t>
        </is>
      </c>
      <c r="C118" s="15" t="n">
        <v>27</v>
      </c>
      <c r="D118" s="16" t="inlineStr">
        <is>
          <t>鈴木　健太</t>
        </is>
      </c>
      <c r="F118" s="8">
        <f>IF(D118="","",A118&amp;"-"&amp;B118&amp;"-"&amp;C118)</f>
        <v/>
      </c>
      <c r="G118" s="8">
        <f>IF(F118="","",IFERROR(MATCH(A118&amp;"-"&amp;B118,設定!$Z$8:$Z$23,0),99)*1000+C118+ROW()/100000)</f>
        <v/>
      </c>
      <c r="H118" s="17">
        <f>IF(F118="","",IF(ISERROR(MATCH(A118&amp;"-"&amp;B118,設定!$Z$8:$Z$23,0)),"設定にない学年・組",IF(COUNTIF($F$2:$F$301,F118)&gt;1,"同じ学年・組・番号がいる","")))</f>
        <v/>
      </c>
    </row>
    <row r="119">
      <c r="A119" s="15" t="n">
        <v>6</v>
      </c>
      <c r="B119" s="15" t="inlineStr">
        <is>
          <t>月</t>
        </is>
      </c>
      <c r="C119" s="15" t="n">
        <v>28</v>
      </c>
      <c r="D119" s="16" t="inlineStr">
        <is>
          <t>前田　海斗</t>
        </is>
      </c>
      <c r="F119" s="8">
        <f>IF(D119="","",A119&amp;"-"&amp;B119&amp;"-"&amp;C119)</f>
        <v/>
      </c>
      <c r="G119" s="8">
        <f>IF(F119="","",IFERROR(MATCH(A119&amp;"-"&amp;B119,設定!$Z$8:$Z$23,0),99)*1000+C119+ROW()/100000)</f>
        <v/>
      </c>
      <c r="H119" s="17">
        <f>IF(F119="","",IF(ISERROR(MATCH(A119&amp;"-"&amp;B119,設定!$Z$8:$Z$23,0)),"設定にない学年・組",IF(COUNTIF($F$2:$F$301,F119)&gt;1,"同じ学年・組・番号がいる","")))</f>
        <v/>
      </c>
    </row>
    <row r="120">
      <c r="A120" s="15" t="n">
        <v>6</v>
      </c>
      <c r="B120" s="15" t="inlineStr">
        <is>
          <t>月</t>
        </is>
      </c>
      <c r="C120" s="15" t="n">
        <v>29</v>
      </c>
      <c r="D120" s="16" t="inlineStr">
        <is>
          <t>佐々木　真央</t>
        </is>
      </c>
      <c r="F120" s="8">
        <f>IF(D120="","",A120&amp;"-"&amp;B120&amp;"-"&amp;C120)</f>
        <v/>
      </c>
      <c r="G120" s="8">
        <f>IF(F120="","",IFERROR(MATCH(A120&amp;"-"&amp;B120,設定!$Z$8:$Z$23,0),99)*1000+C120+ROW()/100000)</f>
        <v/>
      </c>
      <c r="H120" s="17">
        <f>IF(F120="","",IF(ISERROR(MATCH(A120&amp;"-"&amp;B120,設定!$Z$8:$Z$23,0)),"設定にない学年・組",IF(COUNTIF($F$2:$F$301,F120)&gt;1,"同じ学年・組・番号がいる","")))</f>
        <v/>
      </c>
    </row>
    <row r="121">
      <c r="A121" s="15" t="n">
        <v>6</v>
      </c>
      <c r="B121" s="15" t="inlineStr">
        <is>
          <t>月</t>
        </is>
      </c>
      <c r="C121" s="15" t="n">
        <v>30</v>
      </c>
      <c r="D121" s="16" t="inlineStr">
        <is>
          <t>池田　咲良</t>
        </is>
      </c>
      <c r="F121" s="8">
        <f>IF(D121="","",A121&amp;"-"&amp;B121&amp;"-"&amp;C121)</f>
        <v/>
      </c>
      <c r="G121" s="8">
        <f>IF(F121="","",IFERROR(MATCH(A121&amp;"-"&amp;B121,設定!$Z$8:$Z$23,0),99)*1000+C121+ROW()/100000)</f>
        <v/>
      </c>
      <c r="H121" s="17">
        <f>IF(F121="","",IF(ISERROR(MATCH(A121&amp;"-"&amp;B121,設定!$Z$8:$Z$23,0)),"設定にない学年・組",IF(COUNTIF($F$2:$F$301,F121)&gt;1,"同じ学年・組・番号がいる","")))</f>
        <v/>
      </c>
    </row>
    <row r="122">
      <c r="A122" s="15" t="n">
        <v>5</v>
      </c>
      <c r="B122" s="15" t="inlineStr">
        <is>
          <t>松</t>
        </is>
      </c>
      <c r="C122" s="15" t="n">
        <v>1</v>
      </c>
      <c r="D122" s="16" t="inlineStr">
        <is>
          <t>池田　芽依</t>
        </is>
      </c>
      <c r="F122" s="8">
        <f>IF(D122="","",A122&amp;"-"&amp;B122&amp;"-"&amp;C122)</f>
        <v/>
      </c>
      <c r="G122" s="8">
        <f>IF(F122="","",IFERROR(MATCH(A122&amp;"-"&amp;B122,設定!$Z$8:$Z$23,0),99)*1000+C122+ROW()/100000)</f>
        <v/>
      </c>
      <c r="H122" s="17">
        <f>IF(F122="","",IF(ISERROR(MATCH(A122&amp;"-"&amp;B122,設定!$Z$8:$Z$23,0)),"設定にない学年・組",IF(COUNTIF($F$2:$F$301,F122)&gt;1,"同じ学年・組・番号がいる","")))</f>
        <v/>
      </c>
    </row>
    <row r="123">
      <c r="A123" s="15" t="n">
        <v>5</v>
      </c>
      <c r="B123" s="15" t="inlineStr">
        <is>
          <t>松</t>
        </is>
      </c>
      <c r="C123" s="15" t="n">
        <v>2</v>
      </c>
      <c r="D123" s="16" t="inlineStr">
        <is>
          <t>渡辺　新</t>
        </is>
      </c>
      <c r="F123" s="8">
        <f>IF(D123="","",A123&amp;"-"&amp;B123&amp;"-"&amp;C123)</f>
        <v/>
      </c>
      <c r="G123" s="8">
        <f>IF(F123="","",IFERROR(MATCH(A123&amp;"-"&amp;B123,設定!$Z$8:$Z$23,0),99)*1000+C123+ROW()/100000)</f>
        <v/>
      </c>
      <c r="H123" s="17">
        <f>IF(F123="","",IF(ISERROR(MATCH(A123&amp;"-"&amp;B123,設定!$Z$8:$Z$23,0)),"設定にない学年・組",IF(COUNTIF($F$2:$F$301,F123)&gt;1,"同じ学年・組・番号がいる","")))</f>
        <v/>
      </c>
    </row>
    <row r="124">
      <c r="A124" s="15" t="n">
        <v>5</v>
      </c>
      <c r="B124" s="15" t="inlineStr">
        <is>
          <t>松</t>
        </is>
      </c>
      <c r="C124" s="15" t="n">
        <v>3</v>
      </c>
      <c r="D124" s="16" t="inlineStr">
        <is>
          <t>山本　新</t>
        </is>
      </c>
      <c r="F124" s="8">
        <f>IF(D124="","",A124&amp;"-"&amp;B124&amp;"-"&amp;C124)</f>
        <v/>
      </c>
      <c r="G124" s="8">
        <f>IF(F124="","",IFERROR(MATCH(A124&amp;"-"&amp;B124,設定!$Z$8:$Z$23,0),99)*1000+C124+ROW()/100000)</f>
        <v/>
      </c>
      <c r="H124" s="17">
        <f>IF(F124="","",IF(ISERROR(MATCH(A124&amp;"-"&amp;B124,設定!$Z$8:$Z$23,0)),"設定にない学年・組",IF(COUNTIF($F$2:$F$301,F124)&gt;1,"同じ学年・組・番号がいる","")))</f>
        <v/>
      </c>
    </row>
    <row r="125">
      <c r="A125" s="15" t="n">
        <v>5</v>
      </c>
      <c r="B125" s="15" t="inlineStr">
        <is>
          <t>松</t>
        </is>
      </c>
      <c r="C125" s="15" t="n">
        <v>4</v>
      </c>
      <c r="D125" s="16" t="inlineStr">
        <is>
          <t>前田　優斗</t>
        </is>
      </c>
      <c r="F125" s="8">
        <f>IF(D125="","",A125&amp;"-"&amp;B125&amp;"-"&amp;C125)</f>
        <v/>
      </c>
      <c r="G125" s="8">
        <f>IF(F125="","",IFERROR(MATCH(A125&amp;"-"&amp;B125,設定!$Z$8:$Z$23,0),99)*1000+C125+ROW()/100000)</f>
        <v/>
      </c>
      <c r="H125" s="17">
        <f>IF(F125="","",IF(ISERROR(MATCH(A125&amp;"-"&amp;B125,設定!$Z$8:$Z$23,0)),"設定にない学年・組",IF(COUNTIF($F$2:$F$301,F125)&gt;1,"同じ学年・組・番号がいる","")))</f>
        <v/>
      </c>
    </row>
    <row r="126">
      <c r="A126" s="15" t="n">
        <v>5</v>
      </c>
      <c r="B126" s="15" t="inlineStr">
        <is>
          <t>松</t>
        </is>
      </c>
      <c r="C126" s="15" t="n">
        <v>5</v>
      </c>
      <c r="D126" s="16" t="inlineStr">
        <is>
          <t>森　奏太</t>
        </is>
      </c>
      <c r="F126" s="8">
        <f>IF(D126="","",A126&amp;"-"&amp;B126&amp;"-"&amp;C126)</f>
        <v/>
      </c>
      <c r="G126" s="8">
        <f>IF(F126="","",IFERROR(MATCH(A126&amp;"-"&amp;B126,設定!$Z$8:$Z$23,0),99)*1000+C126+ROW()/100000)</f>
        <v/>
      </c>
      <c r="H126" s="17">
        <f>IF(F126="","",IF(ISERROR(MATCH(A126&amp;"-"&amp;B126,設定!$Z$8:$Z$23,0)),"設定にない学年・組",IF(COUNTIF($F$2:$F$301,F126)&gt;1,"同じ学年・組・番号がいる","")))</f>
        <v/>
      </c>
    </row>
    <row r="127">
      <c r="A127" s="15" t="n">
        <v>5</v>
      </c>
      <c r="B127" s="15" t="inlineStr">
        <is>
          <t>松</t>
        </is>
      </c>
      <c r="C127" s="15" t="n">
        <v>6</v>
      </c>
      <c r="D127" s="16" t="inlineStr">
        <is>
          <t>前田　さくら</t>
        </is>
      </c>
      <c r="F127" s="8">
        <f>IF(D127="","",A127&amp;"-"&amp;B127&amp;"-"&amp;C127)</f>
        <v/>
      </c>
      <c r="G127" s="8">
        <f>IF(F127="","",IFERROR(MATCH(A127&amp;"-"&amp;B127,設定!$Z$8:$Z$23,0),99)*1000+C127+ROW()/100000)</f>
        <v/>
      </c>
      <c r="H127" s="17">
        <f>IF(F127="","",IF(ISERROR(MATCH(A127&amp;"-"&amp;B127,設定!$Z$8:$Z$23,0)),"設定にない学年・組",IF(COUNTIF($F$2:$F$301,F127)&gt;1,"同じ学年・組・番号がいる","")))</f>
        <v/>
      </c>
    </row>
    <row r="128">
      <c r="A128" s="15" t="n">
        <v>5</v>
      </c>
      <c r="B128" s="15" t="inlineStr">
        <is>
          <t>松</t>
        </is>
      </c>
      <c r="C128" s="15" t="n">
        <v>7</v>
      </c>
      <c r="D128" s="16" t="inlineStr">
        <is>
          <t>坂本　蓮</t>
        </is>
      </c>
      <c r="F128" s="8">
        <f>IF(D128="","",A128&amp;"-"&amp;B128&amp;"-"&amp;C128)</f>
        <v/>
      </c>
      <c r="G128" s="8">
        <f>IF(F128="","",IFERROR(MATCH(A128&amp;"-"&amp;B128,設定!$Z$8:$Z$23,0),99)*1000+C128+ROW()/100000)</f>
        <v/>
      </c>
      <c r="H128" s="17">
        <f>IF(F128="","",IF(ISERROR(MATCH(A128&amp;"-"&amp;B128,設定!$Z$8:$Z$23,0)),"設定にない学年・組",IF(COUNTIF($F$2:$F$301,F128)&gt;1,"同じ学年・組・番号がいる","")))</f>
        <v/>
      </c>
    </row>
    <row r="129">
      <c r="A129" s="15" t="n">
        <v>5</v>
      </c>
      <c r="B129" s="15" t="inlineStr">
        <is>
          <t>松</t>
        </is>
      </c>
      <c r="C129" s="15" t="n">
        <v>8</v>
      </c>
      <c r="D129" s="16" t="inlineStr">
        <is>
          <t>前田　結菜</t>
        </is>
      </c>
      <c r="F129" s="8">
        <f>IF(D129="","",A129&amp;"-"&amp;B129&amp;"-"&amp;C129)</f>
        <v/>
      </c>
      <c r="G129" s="8">
        <f>IF(F129="","",IFERROR(MATCH(A129&amp;"-"&amp;B129,設定!$Z$8:$Z$23,0),99)*1000+C129+ROW()/100000)</f>
        <v/>
      </c>
      <c r="H129" s="17">
        <f>IF(F129="","",IF(ISERROR(MATCH(A129&amp;"-"&amp;B129,設定!$Z$8:$Z$23,0)),"設定にない学年・組",IF(COUNTIF($F$2:$F$301,F129)&gt;1,"同じ学年・組・番号がいる","")))</f>
        <v/>
      </c>
    </row>
    <row r="130">
      <c r="A130" s="15" t="n">
        <v>5</v>
      </c>
      <c r="B130" s="15" t="inlineStr">
        <is>
          <t>松</t>
        </is>
      </c>
      <c r="C130" s="15" t="n">
        <v>9</v>
      </c>
      <c r="D130" s="16" t="inlineStr">
        <is>
          <t>渡辺　陽太</t>
        </is>
      </c>
      <c r="F130" s="8">
        <f>IF(D130="","",A130&amp;"-"&amp;B130&amp;"-"&amp;C130)</f>
        <v/>
      </c>
      <c r="G130" s="8">
        <f>IF(F130="","",IFERROR(MATCH(A130&amp;"-"&amp;B130,設定!$Z$8:$Z$23,0),99)*1000+C130+ROW()/100000)</f>
        <v/>
      </c>
      <c r="H130" s="17">
        <f>IF(F130="","",IF(ISERROR(MATCH(A130&amp;"-"&amp;B130,設定!$Z$8:$Z$23,0)),"設定にない学年・組",IF(COUNTIF($F$2:$F$301,F130)&gt;1,"同じ学年・組・番号がいる","")))</f>
        <v/>
      </c>
    </row>
    <row r="131">
      <c r="A131" s="15" t="n">
        <v>5</v>
      </c>
      <c r="B131" s="15" t="inlineStr">
        <is>
          <t>松</t>
        </is>
      </c>
      <c r="C131" s="15" t="n">
        <v>10</v>
      </c>
      <c r="D131" s="16" t="inlineStr">
        <is>
          <t>阿部　優斗</t>
        </is>
      </c>
      <c r="F131" s="8">
        <f>IF(D131="","",A131&amp;"-"&amp;B131&amp;"-"&amp;C131)</f>
        <v/>
      </c>
      <c r="G131" s="8">
        <f>IF(F131="","",IFERROR(MATCH(A131&amp;"-"&amp;B131,設定!$Z$8:$Z$23,0),99)*1000+C131+ROW()/100000)</f>
        <v/>
      </c>
      <c r="H131" s="17">
        <f>IF(F131="","",IF(ISERROR(MATCH(A131&amp;"-"&amp;B131,設定!$Z$8:$Z$23,0)),"設定にない学年・組",IF(COUNTIF($F$2:$F$301,F131)&gt;1,"同じ学年・組・番号がいる","")))</f>
        <v/>
      </c>
    </row>
    <row r="132">
      <c r="A132" s="15" t="n">
        <v>5</v>
      </c>
      <c r="B132" s="15" t="inlineStr">
        <is>
          <t>松</t>
        </is>
      </c>
      <c r="C132" s="15" t="n">
        <v>11</v>
      </c>
      <c r="D132" s="16" t="inlineStr">
        <is>
          <t>前田　結翔</t>
        </is>
      </c>
      <c r="F132" s="8">
        <f>IF(D132="","",A132&amp;"-"&amp;B132&amp;"-"&amp;C132)</f>
        <v/>
      </c>
      <c r="G132" s="8">
        <f>IF(F132="","",IFERROR(MATCH(A132&amp;"-"&amp;B132,設定!$Z$8:$Z$23,0),99)*1000+C132+ROW()/100000)</f>
        <v/>
      </c>
      <c r="H132" s="17">
        <f>IF(F132="","",IF(ISERROR(MATCH(A132&amp;"-"&amp;B132,設定!$Z$8:$Z$23,0)),"設定にない学年・組",IF(COUNTIF($F$2:$F$301,F132)&gt;1,"同じ学年・組・番号がいる","")))</f>
        <v/>
      </c>
    </row>
    <row r="133">
      <c r="A133" s="15" t="n">
        <v>5</v>
      </c>
      <c r="B133" s="15" t="inlineStr">
        <is>
          <t>松</t>
        </is>
      </c>
      <c r="C133" s="15" t="n">
        <v>12</v>
      </c>
      <c r="D133" s="16" t="inlineStr">
        <is>
          <t>中島　凛</t>
        </is>
      </c>
      <c r="F133" s="8">
        <f>IF(D133="","",A133&amp;"-"&amp;B133&amp;"-"&amp;C133)</f>
        <v/>
      </c>
      <c r="G133" s="8">
        <f>IF(F133="","",IFERROR(MATCH(A133&amp;"-"&amp;B133,設定!$Z$8:$Z$23,0),99)*1000+C133+ROW()/100000)</f>
        <v/>
      </c>
      <c r="H133" s="17">
        <f>IF(F133="","",IF(ISERROR(MATCH(A133&amp;"-"&amp;B133,設定!$Z$8:$Z$23,0)),"設定にない学年・組",IF(COUNTIF($F$2:$F$301,F133)&gt;1,"同じ学年・組・番号がいる","")))</f>
        <v/>
      </c>
    </row>
    <row r="134">
      <c r="A134" s="15" t="n">
        <v>5</v>
      </c>
      <c r="B134" s="15" t="inlineStr">
        <is>
          <t>松</t>
        </is>
      </c>
      <c r="C134" s="15" t="n">
        <v>13</v>
      </c>
      <c r="D134" s="16" t="inlineStr">
        <is>
          <t>渡辺　紬</t>
        </is>
      </c>
      <c r="F134" s="8">
        <f>IF(D134="","",A134&amp;"-"&amp;B134&amp;"-"&amp;C134)</f>
        <v/>
      </c>
      <c r="G134" s="8">
        <f>IF(F134="","",IFERROR(MATCH(A134&amp;"-"&amp;B134,設定!$Z$8:$Z$23,0),99)*1000+C134+ROW()/100000)</f>
        <v/>
      </c>
      <c r="H134" s="17">
        <f>IF(F134="","",IF(ISERROR(MATCH(A134&amp;"-"&amp;B134,設定!$Z$8:$Z$23,0)),"設定にない学年・組",IF(COUNTIF($F$2:$F$301,F134)&gt;1,"同じ学年・組・番号がいる","")))</f>
        <v/>
      </c>
    </row>
    <row r="135">
      <c r="A135" s="15" t="n">
        <v>5</v>
      </c>
      <c r="B135" s="15" t="inlineStr">
        <is>
          <t>松</t>
        </is>
      </c>
      <c r="C135" s="15" t="n">
        <v>14</v>
      </c>
      <c r="D135" s="16" t="inlineStr">
        <is>
          <t>小川　紬</t>
        </is>
      </c>
      <c r="F135" s="8">
        <f>IF(D135="","",A135&amp;"-"&amp;B135&amp;"-"&amp;C135)</f>
        <v/>
      </c>
      <c r="G135" s="8">
        <f>IF(F135="","",IFERROR(MATCH(A135&amp;"-"&amp;B135,設定!$Z$8:$Z$23,0),99)*1000+C135+ROW()/100000)</f>
        <v/>
      </c>
      <c r="H135" s="17">
        <f>IF(F135="","",IF(ISERROR(MATCH(A135&amp;"-"&amp;B135,設定!$Z$8:$Z$23,0)),"設定にない学年・組",IF(COUNTIF($F$2:$F$301,F135)&gt;1,"同じ学年・組・番号がいる","")))</f>
        <v/>
      </c>
    </row>
    <row r="136">
      <c r="A136" s="15" t="n">
        <v>5</v>
      </c>
      <c r="B136" s="15" t="inlineStr">
        <is>
          <t>松</t>
        </is>
      </c>
      <c r="C136" s="15" t="n">
        <v>15</v>
      </c>
      <c r="D136" s="16" t="inlineStr">
        <is>
          <t>吉田　朝陽</t>
        </is>
      </c>
      <c r="F136" s="8">
        <f>IF(D136="","",A136&amp;"-"&amp;B136&amp;"-"&amp;C136)</f>
        <v/>
      </c>
      <c r="G136" s="8">
        <f>IF(F136="","",IFERROR(MATCH(A136&amp;"-"&amp;B136,設定!$Z$8:$Z$23,0),99)*1000+C136+ROW()/100000)</f>
        <v/>
      </c>
      <c r="H136" s="17">
        <f>IF(F136="","",IF(ISERROR(MATCH(A136&amp;"-"&amp;B136,設定!$Z$8:$Z$23,0)),"設定にない学年・組",IF(COUNTIF($F$2:$F$301,F136)&gt;1,"同じ学年・組・番号がいる","")))</f>
        <v/>
      </c>
    </row>
    <row r="137">
      <c r="A137" s="15" t="n">
        <v>5</v>
      </c>
      <c r="B137" s="15" t="inlineStr">
        <is>
          <t>松</t>
        </is>
      </c>
      <c r="C137" s="15" t="n">
        <v>16</v>
      </c>
      <c r="D137" s="16" t="inlineStr">
        <is>
          <t>鈴木　律</t>
        </is>
      </c>
      <c r="F137" s="8">
        <f>IF(D137="","",A137&amp;"-"&amp;B137&amp;"-"&amp;C137)</f>
        <v/>
      </c>
      <c r="G137" s="8">
        <f>IF(F137="","",IFERROR(MATCH(A137&amp;"-"&amp;B137,設定!$Z$8:$Z$23,0),99)*1000+C137+ROW()/100000)</f>
        <v/>
      </c>
      <c r="H137" s="17">
        <f>IF(F137="","",IF(ISERROR(MATCH(A137&amp;"-"&amp;B137,設定!$Z$8:$Z$23,0)),"設定にない学年・組",IF(COUNTIF($F$2:$F$301,F137)&gt;1,"同じ学年・組・番号がいる","")))</f>
        <v/>
      </c>
    </row>
    <row r="138">
      <c r="A138" s="15" t="n">
        <v>5</v>
      </c>
      <c r="B138" s="15" t="inlineStr">
        <is>
          <t>松</t>
        </is>
      </c>
      <c r="C138" s="15" t="n">
        <v>17</v>
      </c>
      <c r="D138" s="16" t="inlineStr">
        <is>
          <t>遠藤　美月</t>
        </is>
      </c>
      <c r="F138" s="8">
        <f>IF(D138="","",A138&amp;"-"&amp;B138&amp;"-"&amp;C138)</f>
        <v/>
      </c>
      <c r="G138" s="8">
        <f>IF(F138="","",IFERROR(MATCH(A138&amp;"-"&amp;B138,設定!$Z$8:$Z$23,0),99)*1000+C138+ROW()/100000)</f>
        <v/>
      </c>
      <c r="H138" s="17">
        <f>IF(F138="","",IF(ISERROR(MATCH(A138&amp;"-"&amp;B138,設定!$Z$8:$Z$23,0)),"設定にない学年・組",IF(COUNTIF($F$2:$F$301,F138)&gt;1,"同じ学年・組・番号がいる","")))</f>
        <v/>
      </c>
    </row>
    <row r="139">
      <c r="A139" s="15" t="n">
        <v>5</v>
      </c>
      <c r="B139" s="15" t="inlineStr">
        <is>
          <t>松</t>
        </is>
      </c>
      <c r="C139" s="15" t="n">
        <v>18</v>
      </c>
      <c r="D139" s="16" t="inlineStr">
        <is>
          <t>加藤　さくら</t>
        </is>
      </c>
      <c r="F139" s="8">
        <f>IF(D139="","",A139&amp;"-"&amp;B139&amp;"-"&amp;C139)</f>
        <v/>
      </c>
      <c r="G139" s="8">
        <f>IF(F139="","",IFERROR(MATCH(A139&amp;"-"&amp;B139,設定!$Z$8:$Z$23,0),99)*1000+C139+ROW()/100000)</f>
        <v/>
      </c>
      <c r="H139" s="17">
        <f>IF(F139="","",IF(ISERROR(MATCH(A139&amp;"-"&amp;B139,設定!$Z$8:$Z$23,0)),"設定にない学年・組",IF(COUNTIF($F$2:$F$301,F139)&gt;1,"同じ学年・組・番号がいる","")))</f>
        <v/>
      </c>
    </row>
    <row r="140">
      <c r="A140" s="15" t="n">
        <v>5</v>
      </c>
      <c r="B140" s="15" t="inlineStr">
        <is>
          <t>松</t>
        </is>
      </c>
      <c r="C140" s="15" t="n">
        <v>19</v>
      </c>
      <c r="D140" s="16" t="inlineStr">
        <is>
          <t>青木　心春</t>
        </is>
      </c>
      <c r="F140" s="8">
        <f>IF(D140="","",A140&amp;"-"&amp;B140&amp;"-"&amp;C140)</f>
        <v/>
      </c>
      <c r="G140" s="8">
        <f>IF(F140="","",IFERROR(MATCH(A140&amp;"-"&amp;B140,設定!$Z$8:$Z$23,0),99)*1000+C140+ROW()/100000)</f>
        <v/>
      </c>
      <c r="H140" s="17">
        <f>IF(F140="","",IF(ISERROR(MATCH(A140&amp;"-"&amp;B140,設定!$Z$8:$Z$23,0)),"設定にない学年・組",IF(COUNTIF($F$2:$F$301,F140)&gt;1,"同じ学年・組・番号がいる","")))</f>
        <v/>
      </c>
    </row>
    <row r="141">
      <c r="A141" s="15" t="n">
        <v>5</v>
      </c>
      <c r="B141" s="15" t="inlineStr">
        <is>
          <t>松</t>
        </is>
      </c>
      <c r="C141" s="15" t="n">
        <v>20</v>
      </c>
      <c r="D141" s="16" t="inlineStr">
        <is>
          <t>池田　律</t>
        </is>
      </c>
      <c r="F141" s="8">
        <f>IF(D141="","",A141&amp;"-"&amp;B141&amp;"-"&amp;C141)</f>
        <v/>
      </c>
      <c r="G141" s="8">
        <f>IF(F141="","",IFERROR(MATCH(A141&amp;"-"&amp;B141,設定!$Z$8:$Z$23,0),99)*1000+C141+ROW()/100000)</f>
        <v/>
      </c>
      <c r="H141" s="17">
        <f>IF(F141="","",IF(ISERROR(MATCH(A141&amp;"-"&amp;B141,設定!$Z$8:$Z$23,0)),"設定にない学年・組",IF(COUNTIF($F$2:$F$301,F141)&gt;1,"同じ学年・組・番号がいる","")))</f>
        <v/>
      </c>
    </row>
    <row r="142">
      <c r="A142" s="15" t="n">
        <v>5</v>
      </c>
      <c r="B142" s="15" t="inlineStr">
        <is>
          <t>松</t>
        </is>
      </c>
      <c r="C142" s="15" t="n">
        <v>21</v>
      </c>
      <c r="D142" s="16" t="inlineStr">
        <is>
          <t>近藤　柚葉</t>
        </is>
      </c>
      <c r="F142" s="8">
        <f>IF(D142="","",A142&amp;"-"&amp;B142&amp;"-"&amp;C142)</f>
        <v/>
      </c>
      <c r="G142" s="8">
        <f>IF(F142="","",IFERROR(MATCH(A142&amp;"-"&amp;B142,設定!$Z$8:$Z$23,0),99)*1000+C142+ROW()/100000)</f>
        <v/>
      </c>
      <c r="H142" s="17">
        <f>IF(F142="","",IF(ISERROR(MATCH(A142&amp;"-"&amp;B142,設定!$Z$8:$Z$23,0)),"設定にない学年・組",IF(COUNTIF($F$2:$F$301,F142)&gt;1,"同じ学年・組・番号がいる","")))</f>
        <v/>
      </c>
    </row>
    <row r="143">
      <c r="A143" s="15" t="n">
        <v>5</v>
      </c>
      <c r="B143" s="15" t="inlineStr">
        <is>
          <t>松</t>
        </is>
      </c>
      <c r="C143" s="15" t="n">
        <v>22</v>
      </c>
      <c r="D143" s="16" t="inlineStr">
        <is>
          <t>小林　陽翔</t>
        </is>
      </c>
      <c r="F143" s="8">
        <f>IF(D143="","",A143&amp;"-"&amp;B143&amp;"-"&amp;C143)</f>
        <v/>
      </c>
      <c r="G143" s="8">
        <f>IF(F143="","",IFERROR(MATCH(A143&amp;"-"&amp;B143,設定!$Z$8:$Z$23,0),99)*1000+C143+ROW()/100000)</f>
        <v/>
      </c>
      <c r="H143" s="17">
        <f>IF(F143="","",IF(ISERROR(MATCH(A143&amp;"-"&amp;B143,設定!$Z$8:$Z$23,0)),"設定にない学年・組",IF(COUNTIF($F$2:$F$301,F143)&gt;1,"同じ学年・組・番号がいる","")))</f>
        <v/>
      </c>
    </row>
    <row r="144">
      <c r="A144" s="15" t="n">
        <v>5</v>
      </c>
      <c r="B144" s="15" t="inlineStr">
        <is>
          <t>松</t>
        </is>
      </c>
      <c r="C144" s="15" t="n">
        <v>23</v>
      </c>
      <c r="D144" s="16" t="inlineStr">
        <is>
          <t>佐藤　悠真</t>
        </is>
      </c>
      <c r="F144" s="8">
        <f>IF(D144="","",A144&amp;"-"&amp;B144&amp;"-"&amp;C144)</f>
        <v/>
      </c>
      <c r="G144" s="8">
        <f>IF(F144="","",IFERROR(MATCH(A144&amp;"-"&amp;B144,設定!$Z$8:$Z$23,0),99)*1000+C144+ROW()/100000)</f>
        <v/>
      </c>
      <c r="H144" s="17">
        <f>IF(F144="","",IF(ISERROR(MATCH(A144&amp;"-"&amp;B144,設定!$Z$8:$Z$23,0)),"設定にない学年・組",IF(COUNTIF($F$2:$F$301,F144)&gt;1,"同じ学年・組・番号がいる","")))</f>
        <v/>
      </c>
    </row>
    <row r="145">
      <c r="A145" s="15" t="n">
        <v>5</v>
      </c>
      <c r="B145" s="15" t="inlineStr">
        <is>
          <t>松</t>
        </is>
      </c>
      <c r="C145" s="15" t="n">
        <v>24</v>
      </c>
      <c r="D145" s="16" t="inlineStr">
        <is>
          <t>藤田　朝陽</t>
        </is>
      </c>
      <c r="F145" s="8">
        <f>IF(D145="","",A145&amp;"-"&amp;B145&amp;"-"&amp;C145)</f>
        <v/>
      </c>
      <c r="G145" s="8">
        <f>IF(F145="","",IFERROR(MATCH(A145&amp;"-"&amp;B145,設定!$Z$8:$Z$23,0),99)*1000+C145+ROW()/100000)</f>
        <v/>
      </c>
      <c r="H145" s="17">
        <f>IF(F145="","",IF(ISERROR(MATCH(A145&amp;"-"&amp;B145,設定!$Z$8:$Z$23,0)),"設定にない学年・組",IF(COUNTIF($F$2:$F$301,F145)&gt;1,"同じ学年・組・番号がいる","")))</f>
        <v/>
      </c>
    </row>
    <row r="146">
      <c r="A146" s="15" t="n">
        <v>5</v>
      </c>
      <c r="B146" s="15" t="inlineStr">
        <is>
          <t>松</t>
        </is>
      </c>
      <c r="C146" s="15" t="n">
        <v>25</v>
      </c>
      <c r="D146" s="16" t="inlineStr">
        <is>
          <t>中島　優斗</t>
        </is>
      </c>
      <c r="F146" s="8">
        <f>IF(D146="","",A146&amp;"-"&amp;B146&amp;"-"&amp;C146)</f>
        <v/>
      </c>
      <c r="G146" s="8">
        <f>IF(F146="","",IFERROR(MATCH(A146&amp;"-"&amp;B146,設定!$Z$8:$Z$23,0),99)*1000+C146+ROW()/100000)</f>
        <v/>
      </c>
      <c r="H146" s="17">
        <f>IF(F146="","",IF(ISERROR(MATCH(A146&amp;"-"&amp;B146,設定!$Z$8:$Z$23,0)),"設定にない学年・組",IF(COUNTIF($F$2:$F$301,F146)&gt;1,"同じ学年・組・番号がいる","")))</f>
        <v/>
      </c>
    </row>
    <row r="147">
      <c r="A147" s="15" t="n">
        <v>5</v>
      </c>
      <c r="B147" s="15" t="inlineStr">
        <is>
          <t>松</t>
        </is>
      </c>
      <c r="C147" s="15" t="n">
        <v>26</v>
      </c>
      <c r="D147" s="16" t="inlineStr">
        <is>
          <t>山口　陽翔</t>
        </is>
      </c>
      <c r="F147" s="8">
        <f>IF(D147="","",A147&amp;"-"&amp;B147&amp;"-"&amp;C147)</f>
        <v/>
      </c>
      <c r="G147" s="8">
        <f>IF(F147="","",IFERROR(MATCH(A147&amp;"-"&amp;B147,設定!$Z$8:$Z$23,0),99)*1000+C147+ROW()/100000)</f>
        <v/>
      </c>
      <c r="H147" s="17">
        <f>IF(F147="","",IF(ISERROR(MATCH(A147&amp;"-"&amp;B147,設定!$Z$8:$Z$23,0)),"設定にない学年・組",IF(COUNTIF($F$2:$F$301,F147)&gt;1,"同じ学年・組・番号がいる","")))</f>
        <v/>
      </c>
    </row>
    <row r="148">
      <c r="A148" s="15" t="n">
        <v>5</v>
      </c>
      <c r="B148" s="15" t="inlineStr">
        <is>
          <t>松</t>
        </is>
      </c>
      <c r="C148" s="15" t="n">
        <v>27</v>
      </c>
      <c r="D148" s="16" t="inlineStr">
        <is>
          <t>木村　奏太</t>
        </is>
      </c>
      <c r="F148" s="8">
        <f>IF(D148="","",A148&amp;"-"&amp;B148&amp;"-"&amp;C148)</f>
        <v/>
      </c>
      <c r="G148" s="8">
        <f>IF(F148="","",IFERROR(MATCH(A148&amp;"-"&amp;B148,設定!$Z$8:$Z$23,0),99)*1000+C148+ROW()/100000)</f>
        <v/>
      </c>
      <c r="H148" s="17">
        <f>IF(F148="","",IF(ISERROR(MATCH(A148&amp;"-"&amp;B148,設定!$Z$8:$Z$23,0)),"設定にない学年・組",IF(COUNTIF($F$2:$F$301,F148)&gt;1,"同じ学年・組・番号がいる","")))</f>
        <v/>
      </c>
    </row>
    <row r="149">
      <c r="A149" s="15" t="n">
        <v>5</v>
      </c>
      <c r="B149" s="15" t="inlineStr">
        <is>
          <t>松</t>
        </is>
      </c>
      <c r="C149" s="15" t="n">
        <v>28</v>
      </c>
      <c r="D149" s="16" t="inlineStr">
        <is>
          <t>斎藤　莉子</t>
        </is>
      </c>
      <c r="F149" s="8">
        <f>IF(D149="","",A149&amp;"-"&amp;B149&amp;"-"&amp;C149)</f>
        <v/>
      </c>
      <c r="G149" s="8">
        <f>IF(F149="","",IFERROR(MATCH(A149&amp;"-"&amp;B149,設定!$Z$8:$Z$23,0),99)*1000+C149+ROW()/100000)</f>
        <v/>
      </c>
      <c r="H149" s="17">
        <f>IF(F149="","",IF(ISERROR(MATCH(A149&amp;"-"&amp;B149,設定!$Z$8:$Z$23,0)),"設定にない学年・組",IF(COUNTIF($F$2:$F$301,F149)&gt;1,"同じ学年・組・番号がいる","")))</f>
        <v/>
      </c>
    </row>
    <row r="150">
      <c r="A150" s="15" t="n">
        <v>5</v>
      </c>
      <c r="B150" s="15" t="inlineStr">
        <is>
          <t>松</t>
        </is>
      </c>
      <c r="C150" s="15" t="n">
        <v>29</v>
      </c>
      <c r="D150" s="16" t="inlineStr">
        <is>
          <t>井上　楓</t>
        </is>
      </c>
      <c r="F150" s="8">
        <f>IF(D150="","",A150&amp;"-"&amp;B150&amp;"-"&amp;C150)</f>
        <v/>
      </c>
      <c r="G150" s="8">
        <f>IF(F150="","",IFERROR(MATCH(A150&amp;"-"&amp;B150,設定!$Z$8:$Z$23,0),99)*1000+C150+ROW()/100000)</f>
        <v/>
      </c>
      <c r="H150" s="17">
        <f>IF(F150="","",IF(ISERROR(MATCH(A150&amp;"-"&amp;B150,設定!$Z$8:$Z$23,0)),"設定にない学年・組",IF(COUNTIF($F$2:$F$301,F150)&gt;1,"同じ学年・組・番号がいる","")))</f>
        <v/>
      </c>
    </row>
    <row r="151">
      <c r="A151" s="15" t="n">
        <v>5</v>
      </c>
      <c r="B151" s="15" t="inlineStr">
        <is>
          <t>松</t>
        </is>
      </c>
      <c r="C151" s="15" t="n">
        <v>30</v>
      </c>
      <c r="D151" s="16" t="inlineStr">
        <is>
          <t>山崎　海斗</t>
        </is>
      </c>
      <c r="F151" s="8">
        <f>IF(D151="","",A151&amp;"-"&amp;B151&amp;"-"&amp;C151)</f>
        <v/>
      </c>
      <c r="G151" s="8">
        <f>IF(F151="","",IFERROR(MATCH(A151&amp;"-"&amp;B151,設定!$Z$8:$Z$23,0),99)*1000+C151+ROW()/100000)</f>
        <v/>
      </c>
      <c r="H151" s="17">
        <f>IF(F151="","",IF(ISERROR(MATCH(A151&amp;"-"&amp;B151,設定!$Z$8:$Z$23,0)),"設定にない学年・組",IF(COUNTIF($F$2:$F$301,F151)&gt;1,"同じ学年・組・番号がいる","")))</f>
        <v/>
      </c>
    </row>
    <row r="152">
      <c r="A152" s="15" t="n">
        <v>5</v>
      </c>
      <c r="B152" s="15" t="inlineStr">
        <is>
          <t>竹</t>
        </is>
      </c>
      <c r="C152" s="15" t="n">
        <v>1</v>
      </c>
      <c r="D152" s="16" t="inlineStr">
        <is>
          <t>後藤　澪</t>
        </is>
      </c>
      <c r="F152" s="8">
        <f>IF(D152="","",A152&amp;"-"&amp;B152&amp;"-"&amp;C152)</f>
        <v/>
      </c>
      <c r="G152" s="8">
        <f>IF(F152="","",IFERROR(MATCH(A152&amp;"-"&amp;B152,設定!$Z$8:$Z$23,0),99)*1000+C152+ROW()/100000)</f>
        <v/>
      </c>
      <c r="H152" s="17">
        <f>IF(F152="","",IF(ISERROR(MATCH(A152&amp;"-"&amp;B152,設定!$Z$8:$Z$23,0)),"設定にない学年・組",IF(COUNTIF($F$2:$F$301,F152)&gt;1,"同じ学年・組・番号がいる","")))</f>
        <v/>
      </c>
    </row>
    <row r="153">
      <c r="A153" s="15" t="n">
        <v>5</v>
      </c>
      <c r="B153" s="15" t="inlineStr">
        <is>
          <t>竹</t>
        </is>
      </c>
      <c r="C153" s="15" t="n">
        <v>2</v>
      </c>
      <c r="D153" s="16" t="inlineStr">
        <is>
          <t>小林　蒼</t>
        </is>
      </c>
      <c r="F153" s="8">
        <f>IF(D153="","",A153&amp;"-"&amp;B153&amp;"-"&amp;C153)</f>
        <v/>
      </c>
      <c r="G153" s="8">
        <f>IF(F153="","",IFERROR(MATCH(A153&amp;"-"&amp;B153,設定!$Z$8:$Z$23,0),99)*1000+C153+ROW()/100000)</f>
        <v/>
      </c>
      <c r="H153" s="17">
        <f>IF(F153="","",IF(ISERROR(MATCH(A153&amp;"-"&amp;B153,設定!$Z$8:$Z$23,0)),"設定にない学年・組",IF(COUNTIF($F$2:$F$301,F153)&gt;1,"同じ学年・組・番号がいる","")))</f>
        <v/>
      </c>
    </row>
    <row r="154">
      <c r="A154" s="15" t="n">
        <v>5</v>
      </c>
      <c r="B154" s="15" t="inlineStr">
        <is>
          <t>竹</t>
        </is>
      </c>
      <c r="C154" s="15" t="n">
        <v>3</v>
      </c>
      <c r="D154" s="16" t="inlineStr">
        <is>
          <t>池田　美月</t>
        </is>
      </c>
      <c r="F154" s="8">
        <f>IF(D154="","",A154&amp;"-"&amp;B154&amp;"-"&amp;C154)</f>
        <v/>
      </c>
      <c r="G154" s="8">
        <f>IF(F154="","",IFERROR(MATCH(A154&amp;"-"&amp;B154,設定!$Z$8:$Z$23,0),99)*1000+C154+ROW()/100000)</f>
        <v/>
      </c>
      <c r="H154" s="17">
        <f>IF(F154="","",IF(ISERROR(MATCH(A154&amp;"-"&amp;B154,設定!$Z$8:$Z$23,0)),"設定にない学年・組",IF(COUNTIF($F$2:$F$301,F154)&gt;1,"同じ学年・組・番号がいる","")))</f>
        <v/>
      </c>
    </row>
    <row r="155">
      <c r="A155" s="15" t="n">
        <v>5</v>
      </c>
      <c r="B155" s="15" t="inlineStr">
        <is>
          <t>竹</t>
        </is>
      </c>
      <c r="C155" s="15" t="n">
        <v>4</v>
      </c>
      <c r="D155" s="16" t="inlineStr">
        <is>
          <t>遠藤　彩花</t>
        </is>
      </c>
      <c r="F155" s="8">
        <f>IF(D155="","",A155&amp;"-"&amp;B155&amp;"-"&amp;C155)</f>
        <v/>
      </c>
      <c r="G155" s="8">
        <f>IF(F155="","",IFERROR(MATCH(A155&amp;"-"&amp;B155,設定!$Z$8:$Z$23,0),99)*1000+C155+ROW()/100000)</f>
        <v/>
      </c>
      <c r="H155" s="17">
        <f>IF(F155="","",IF(ISERROR(MATCH(A155&amp;"-"&amp;B155,設定!$Z$8:$Z$23,0)),"設定にない学年・組",IF(COUNTIF($F$2:$F$301,F155)&gt;1,"同じ学年・組・番号がいる","")))</f>
        <v/>
      </c>
    </row>
    <row r="156">
      <c r="A156" s="15" t="n">
        <v>5</v>
      </c>
      <c r="B156" s="15" t="inlineStr">
        <is>
          <t>竹</t>
        </is>
      </c>
      <c r="C156" s="15" t="n">
        <v>5</v>
      </c>
      <c r="D156" s="16" t="inlineStr">
        <is>
          <t>山下　莉子</t>
        </is>
      </c>
      <c r="F156" s="8">
        <f>IF(D156="","",A156&amp;"-"&amp;B156&amp;"-"&amp;C156)</f>
        <v/>
      </c>
      <c r="G156" s="8">
        <f>IF(F156="","",IFERROR(MATCH(A156&amp;"-"&amp;B156,設定!$Z$8:$Z$23,0),99)*1000+C156+ROW()/100000)</f>
        <v/>
      </c>
      <c r="H156" s="17">
        <f>IF(F156="","",IF(ISERROR(MATCH(A156&amp;"-"&amp;B156,設定!$Z$8:$Z$23,0)),"設定にない学年・組",IF(COUNTIF($F$2:$F$301,F156)&gt;1,"同じ学年・組・番号がいる","")))</f>
        <v/>
      </c>
    </row>
    <row r="157">
      <c r="A157" s="15" t="n">
        <v>5</v>
      </c>
      <c r="B157" s="15" t="inlineStr">
        <is>
          <t>竹</t>
        </is>
      </c>
      <c r="C157" s="15" t="n">
        <v>6</v>
      </c>
      <c r="D157" s="16" t="inlineStr">
        <is>
          <t>小林　花音</t>
        </is>
      </c>
      <c r="F157" s="8">
        <f>IF(D157="","",A157&amp;"-"&amp;B157&amp;"-"&amp;C157)</f>
        <v/>
      </c>
      <c r="G157" s="8">
        <f>IF(F157="","",IFERROR(MATCH(A157&amp;"-"&amp;B157,設定!$Z$8:$Z$23,0),99)*1000+C157+ROW()/100000)</f>
        <v/>
      </c>
      <c r="H157" s="17">
        <f>IF(F157="","",IF(ISERROR(MATCH(A157&amp;"-"&amp;B157,設定!$Z$8:$Z$23,0)),"設定にない学年・組",IF(COUNTIF($F$2:$F$301,F157)&gt;1,"同じ学年・組・番号がいる","")))</f>
        <v/>
      </c>
    </row>
    <row r="158">
      <c r="A158" s="15" t="n">
        <v>5</v>
      </c>
      <c r="B158" s="15" t="inlineStr">
        <is>
          <t>竹</t>
        </is>
      </c>
      <c r="C158" s="15" t="n">
        <v>7</v>
      </c>
      <c r="D158" s="16" t="inlineStr">
        <is>
          <t>加藤　彩花</t>
        </is>
      </c>
      <c r="F158" s="8">
        <f>IF(D158="","",A158&amp;"-"&amp;B158&amp;"-"&amp;C158)</f>
        <v/>
      </c>
      <c r="G158" s="8">
        <f>IF(F158="","",IFERROR(MATCH(A158&amp;"-"&amp;B158,設定!$Z$8:$Z$23,0),99)*1000+C158+ROW()/100000)</f>
        <v/>
      </c>
      <c r="H158" s="17">
        <f>IF(F158="","",IF(ISERROR(MATCH(A158&amp;"-"&amp;B158,設定!$Z$8:$Z$23,0)),"設定にない学年・組",IF(COUNTIF($F$2:$F$301,F158)&gt;1,"同じ学年・組・番号がいる","")))</f>
        <v/>
      </c>
    </row>
    <row r="159">
      <c r="A159" s="15" t="n">
        <v>5</v>
      </c>
      <c r="B159" s="15" t="inlineStr">
        <is>
          <t>竹</t>
        </is>
      </c>
      <c r="C159" s="15" t="n">
        <v>8</v>
      </c>
      <c r="D159" s="16" t="inlineStr">
        <is>
          <t>長谷川　陽翔</t>
        </is>
      </c>
      <c r="F159" s="8">
        <f>IF(D159="","",A159&amp;"-"&amp;B159&amp;"-"&amp;C159)</f>
        <v/>
      </c>
      <c r="G159" s="8">
        <f>IF(F159="","",IFERROR(MATCH(A159&amp;"-"&amp;B159,設定!$Z$8:$Z$23,0),99)*1000+C159+ROW()/100000)</f>
        <v/>
      </c>
      <c r="H159" s="17">
        <f>IF(F159="","",IF(ISERROR(MATCH(A159&amp;"-"&amp;B159,設定!$Z$8:$Z$23,0)),"設定にない学年・組",IF(COUNTIF($F$2:$F$301,F159)&gt;1,"同じ学年・組・番号がいる","")))</f>
        <v/>
      </c>
    </row>
    <row r="160">
      <c r="A160" s="15" t="n">
        <v>5</v>
      </c>
      <c r="B160" s="15" t="inlineStr">
        <is>
          <t>竹</t>
        </is>
      </c>
      <c r="C160" s="15" t="n">
        <v>9</v>
      </c>
      <c r="D160" s="16" t="inlineStr">
        <is>
          <t>石井　結翔</t>
        </is>
      </c>
      <c r="F160" s="8">
        <f>IF(D160="","",A160&amp;"-"&amp;B160&amp;"-"&amp;C160)</f>
        <v/>
      </c>
      <c r="G160" s="8">
        <f>IF(F160="","",IFERROR(MATCH(A160&amp;"-"&amp;B160,設定!$Z$8:$Z$23,0),99)*1000+C160+ROW()/100000)</f>
        <v/>
      </c>
      <c r="H160" s="17">
        <f>IF(F160="","",IF(ISERROR(MATCH(A160&amp;"-"&amp;B160,設定!$Z$8:$Z$23,0)),"設定にない学年・組",IF(COUNTIF($F$2:$F$301,F160)&gt;1,"同じ学年・組・番号がいる","")))</f>
        <v/>
      </c>
    </row>
    <row r="161">
      <c r="A161" s="15" t="n">
        <v>5</v>
      </c>
      <c r="B161" s="15" t="inlineStr">
        <is>
          <t>竹</t>
        </is>
      </c>
      <c r="C161" s="15" t="n">
        <v>10</v>
      </c>
      <c r="D161" s="16" t="inlineStr">
        <is>
          <t>青木　蓮</t>
        </is>
      </c>
      <c r="F161" s="8">
        <f>IF(D161="","",A161&amp;"-"&amp;B161&amp;"-"&amp;C161)</f>
        <v/>
      </c>
      <c r="G161" s="8">
        <f>IF(F161="","",IFERROR(MATCH(A161&amp;"-"&amp;B161,設定!$Z$8:$Z$23,0),99)*1000+C161+ROW()/100000)</f>
        <v/>
      </c>
      <c r="H161" s="17">
        <f>IF(F161="","",IF(ISERROR(MATCH(A161&amp;"-"&amp;B161,設定!$Z$8:$Z$23,0)),"設定にない学年・組",IF(COUNTIF($F$2:$F$301,F161)&gt;1,"同じ学年・組・番号がいる","")))</f>
        <v/>
      </c>
    </row>
    <row r="162">
      <c r="A162" s="15" t="n">
        <v>5</v>
      </c>
      <c r="B162" s="15" t="inlineStr">
        <is>
          <t>竹</t>
        </is>
      </c>
      <c r="C162" s="15" t="n">
        <v>11</v>
      </c>
      <c r="D162" s="16" t="inlineStr">
        <is>
          <t>加藤　結翔</t>
        </is>
      </c>
      <c r="F162" s="8">
        <f>IF(D162="","",A162&amp;"-"&amp;B162&amp;"-"&amp;C162)</f>
        <v/>
      </c>
      <c r="G162" s="8">
        <f>IF(F162="","",IFERROR(MATCH(A162&amp;"-"&amp;B162,設定!$Z$8:$Z$23,0),99)*1000+C162+ROW()/100000)</f>
        <v/>
      </c>
      <c r="H162" s="17">
        <f>IF(F162="","",IF(ISERROR(MATCH(A162&amp;"-"&amp;B162,設定!$Z$8:$Z$23,0)),"設定にない学年・組",IF(COUNTIF($F$2:$F$301,F162)&gt;1,"同じ学年・組・番号がいる","")))</f>
        <v/>
      </c>
    </row>
    <row r="163">
      <c r="A163" s="15" t="n">
        <v>5</v>
      </c>
      <c r="B163" s="15" t="inlineStr">
        <is>
          <t>竹</t>
        </is>
      </c>
      <c r="C163" s="15" t="n">
        <v>12</v>
      </c>
      <c r="D163" s="16" t="inlineStr">
        <is>
          <t>加藤　心春</t>
        </is>
      </c>
      <c r="F163" s="8">
        <f>IF(D163="","",A163&amp;"-"&amp;B163&amp;"-"&amp;C163)</f>
        <v/>
      </c>
      <c r="G163" s="8">
        <f>IF(F163="","",IFERROR(MATCH(A163&amp;"-"&amp;B163,設定!$Z$8:$Z$23,0),99)*1000+C163+ROW()/100000)</f>
        <v/>
      </c>
      <c r="H163" s="17">
        <f>IF(F163="","",IF(ISERROR(MATCH(A163&amp;"-"&amp;B163,設定!$Z$8:$Z$23,0)),"設定にない学年・組",IF(COUNTIF($F$2:$F$301,F163)&gt;1,"同じ学年・組・番号がいる","")))</f>
        <v/>
      </c>
    </row>
    <row r="164">
      <c r="A164" s="15" t="n">
        <v>5</v>
      </c>
      <c r="B164" s="15" t="inlineStr">
        <is>
          <t>竹</t>
        </is>
      </c>
      <c r="C164" s="15" t="n">
        <v>13</v>
      </c>
      <c r="D164" s="16" t="inlineStr">
        <is>
          <t>坂本　陽太</t>
        </is>
      </c>
      <c r="F164" s="8">
        <f>IF(D164="","",A164&amp;"-"&amp;B164&amp;"-"&amp;C164)</f>
        <v/>
      </c>
      <c r="G164" s="8">
        <f>IF(F164="","",IFERROR(MATCH(A164&amp;"-"&amp;B164,設定!$Z$8:$Z$23,0),99)*1000+C164+ROW()/100000)</f>
        <v/>
      </c>
      <c r="H164" s="17">
        <f>IF(F164="","",IF(ISERROR(MATCH(A164&amp;"-"&amp;B164,設定!$Z$8:$Z$23,0)),"設定にない学年・組",IF(COUNTIF($F$2:$F$301,F164)&gt;1,"同じ学年・組・番号がいる","")))</f>
        <v/>
      </c>
    </row>
    <row r="165">
      <c r="A165" s="15" t="n">
        <v>5</v>
      </c>
      <c r="B165" s="15" t="inlineStr">
        <is>
          <t>竹</t>
        </is>
      </c>
      <c r="C165" s="15" t="n">
        <v>14</v>
      </c>
      <c r="D165" s="16" t="inlineStr">
        <is>
          <t>近藤　蒼</t>
        </is>
      </c>
      <c r="F165" s="8">
        <f>IF(D165="","",A165&amp;"-"&amp;B165&amp;"-"&amp;C165)</f>
        <v/>
      </c>
      <c r="G165" s="8">
        <f>IF(F165="","",IFERROR(MATCH(A165&amp;"-"&amp;B165,設定!$Z$8:$Z$23,0),99)*1000+C165+ROW()/100000)</f>
        <v/>
      </c>
      <c r="H165" s="17">
        <f>IF(F165="","",IF(ISERROR(MATCH(A165&amp;"-"&amp;B165,設定!$Z$8:$Z$23,0)),"設定にない学年・組",IF(COUNTIF($F$2:$F$301,F165)&gt;1,"同じ学年・組・番号がいる","")))</f>
        <v/>
      </c>
    </row>
    <row r="166">
      <c r="A166" s="15" t="n">
        <v>5</v>
      </c>
      <c r="B166" s="15" t="inlineStr">
        <is>
          <t>竹</t>
        </is>
      </c>
      <c r="C166" s="15" t="n">
        <v>15</v>
      </c>
      <c r="D166" s="16" t="inlineStr">
        <is>
          <t>山崎　彩花</t>
        </is>
      </c>
      <c r="F166" s="8">
        <f>IF(D166="","",A166&amp;"-"&amp;B166&amp;"-"&amp;C166)</f>
        <v/>
      </c>
      <c r="G166" s="8">
        <f>IF(F166="","",IFERROR(MATCH(A166&amp;"-"&amp;B166,設定!$Z$8:$Z$23,0),99)*1000+C166+ROW()/100000)</f>
        <v/>
      </c>
      <c r="H166" s="17">
        <f>IF(F166="","",IF(ISERROR(MATCH(A166&amp;"-"&amp;B166,設定!$Z$8:$Z$23,0)),"設定にない学年・組",IF(COUNTIF($F$2:$F$301,F166)&gt;1,"同じ学年・組・番号がいる","")))</f>
        <v/>
      </c>
    </row>
    <row r="167">
      <c r="A167" s="15" t="n">
        <v>5</v>
      </c>
      <c r="B167" s="15" t="inlineStr">
        <is>
          <t>竹</t>
        </is>
      </c>
      <c r="C167" s="15" t="n">
        <v>16</v>
      </c>
      <c r="D167" s="16" t="inlineStr">
        <is>
          <t>藤田　柚葉</t>
        </is>
      </c>
      <c r="F167" s="8">
        <f>IF(D167="","",A167&amp;"-"&amp;B167&amp;"-"&amp;C167)</f>
        <v/>
      </c>
      <c r="G167" s="8">
        <f>IF(F167="","",IFERROR(MATCH(A167&amp;"-"&amp;B167,設定!$Z$8:$Z$23,0),99)*1000+C167+ROW()/100000)</f>
        <v/>
      </c>
      <c r="H167" s="17">
        <f>IF(F167="","",IF(ISERROR(MATCH(A167&amp;"-"&amp;B167,設定!$Z$8:$Z$23,0)),"設定にない学年・組",IF(COUNTIF($F$2:$F$301,F167)&gt;1,"同じ学年・組・番号がいる","")))</f>
        <v/>
      </c>
    </row>
    <row r="168">
      <c r="A168" s="15" t="n">
        <v>5</v>
      </c>
      <c r="B168" s="15" t="inlineStr">
        <is>
          <t>竹</t>
        </is>
      </c>
      <c r="C168" s="15" t="n">
        <v>17</v>
      </c>
      <c r="D168" s="16" t="inlineStr">
        <is>
          <t>前田　悠真</t>
        </is>
      </c>
      <c r="F168" s="8">
        <f>IF(D168="","",A168&amp;"-"&amp;B168&amp;"-"&amp;C168)</f>
        <v/>
      </c>
      <c r="G168" s="8">
        <f>IF(F168="","",IFERROR(MATCH(A168&amp;"-"&amp;B168,設定!$Z$8:$Z$23,0),99)*1000+C168+ROW()/100000)</f>
        <v/>
      </c>
      <c r="H168" s="17">
        <f>IF(F168="","",IF(ISERROR(MATCH(A168&amp;"-"&amp;B168,設定!$Z$8:$Z$23,0)),"設定にない学年・組",IF(COUNTIF($F$2:$F$301,F168)&gt;1,"同じ学年・組・番号がいる","")))</f>
        <v/>
      </c>
    </row>
    <row r="169">
      <c r="A169" s="15" t="n">
        <v>5</v>
      </c>
      <c r="B169" s="15" t="inlineStr">
        <is>
          <t>竹</t>
        </is>
      </c>
      <c r="C169" s="15" t="n">
        <v>18</v>
      </c>
      <c r="D169" s="16" t="inlineStr">
        <is>
          <t>井上　優斗</t>
        </is>
      </c>
      <c r="F169" s="8">
        <f>IF(D169="","",A169&amp;"-"&amp;B169&amp;"-"&amp;C169)</f>
        <v/>
      </c>
      <c r="G169" s="8">
        <f>IF(F169="","",IFERROR(MATCH(A169&amp;"-"&amp;B169,設定!$Z$8:$Z$23,0),99)*1000+C169+ROW()/100000)</f>
        <v/>
      </c>
      <c r="H169" s="17">
        <f>IF(F169="","",IF(ISERROR(MATCH(A169&amp;"-"&amp;B169,設定!$Z$8:$Z$23,0)),"設定にない学年・組",IF(COUNTIF($F$2:$F$301,F169)&gt;1,"同じ学年・組・番号がいる","")))</f>
        <v/>
      </c>
    </row>
    <row r="170">
      <c r="A170" s="15" t="n">
        <v>5</v>
      </c>
      <c r="B170" s="15" t="inlineStr">
        <is>
          <t>竹</t>
        </is>
      </c>
      <c r="C170" s="15" t="n">
        <v>19</v>
      </c>
      <c r="D170" s="16" t="inlineStr">
        <is>
          <t>林　湊</t>
        </is>
      </c>
      <c r="F170" s="8">
        <f>IF(D170="","",A170&amp;"-"&amp;B170&amp;"-"&amp;C170)</f>
        <v/>
      </c>
      <c r="G170" s="8">
        <f>IF(F170="","",IFERROR(MATCH(A170&amp;"-"&amp;B170,設定!$Z$8:$Z$23,0),99)*1000+C170+ROW()/100000)</f>
        <v/>
      </c>
      <c r="H170" s="17">
        <f>IF(F170="","",IF(ISERROR(MATCH(A170&amp;"-"&amp;B170,設定!$Z$8:$Z$23,0)),"設定にない学年・組",IF(COUNTIF($F$2:$F$301,F170)&gt;1,"同じ学年・組・番号がいる","")))</f>
        <v/>
      </c>
    </row>
    <row r="171">
      <c r="A171" s="15" t="n">
        <v>5</v>
      </c>
      <c r="B171" s="15" t="inlineStr">
        <is>
          <t>竹</t>
        </is>
      </c>
      <c r="C171" s="15" t="n">
        <v>20</v>
      </c>
      <c r="D171" s="16" t="inlineStr">
        <is>
          <t>山本　莉子</t>
        </is>
      </c>
      <c r="F171" s="8">
        <f>IF(D171="","",A171&amp;"-"&amp;B171&amp;"-"&amp;C171)</f>
        <v/>
      </c>
      <c r="G171" s="8">
        <f>IF(F171="","",IFERROR(MATCH(A171&amp;"-"&amp;B171,設定!$Z$8:$Z$23,0),99)*1000+C171+ROW()/100000)</f>
        <v/>
      </c>
      <c r="H171" s="17">
        <f>IF(F171="","",IF(ISERROR(MATCH(A171&amp;"-"&amp;B171,設定!$Z$8:$Z$23,0)),"設定にない学年・組",IF(COUNTIF($F$2:$F$301,F171)&gt;1,"同じ学年・組・番号がいる","")))</f>
        <v/>
      </c>
    </row>
    <row r="172">
      <c r="A172" s="15" t="n">
        <v>5</v>
      </c>
      <c r="B172" s="15" t="inlineStr">
        <is>
          <t>竹</t>
        </is>
      </c>
      <c r="C172" s="15" t="n">
        <v>21</v>
      </c>
      <c r="D172" s="16" t="inlineStr">
        <is>
          <t>石井　柚葉</t>
        </is>
      </c>
      <c r="F172" s="8">
        <f>IF(D172="","",A172&amp;"-"&amp;B172&amp;"-"&amp;C172)</f>
        <v/>
      </c>
      <c r="G172" s="8">
        <f>IF(F172="","",IFERROR(MATCH(A172&amp;"-"&amp;B172,設定!$Z$8:$Z$23,0),99)*1000+C172+ROW()/100000)</f>
        <v/>
      </c>
      <c r="H172" s="17">
        <f>IF(F172="","",IF(ISERROR(MATCH(A172&amp;"-"&amp;B172,設定!$Z$8:$Z$23,0)),"設定にない学年・組",IF(COUNTIF($F$2:$F$301,F172)&gt;1,"同じ学年・組・番号がいる","")))</f>
        <v/>
      </c>
    </row>
    <row r="173">
      <c r="A173" s="15" t="n">
        <v>5</v>
      </c>
      <c r="B173" s="15" t="inlineStr">
        <is>
          <t>竹</t>
        </is>
      </c>
      <c r="C173" s="15" t="n">
        <v>22</v>
      </c>
      <c r="D173" s="16" t="inlineStr">
        <is>
          <t>鈴木　樹</t>
        </is>
      </c>
      <c r="F173" s="8">
        <f>IF(D173="","",A173&amp;"-"&amp;B173&amp;"-"&amp;C173)</f>
        <v/>
      </c>
      <c r="G173" s="8">
        <f>IF(F173="","",IFERROR(MATCH(A173&amp;"-"&amp;B173,設定!$Z$8:$Z$23,0),99)*1000+C173+ROW()/100000)</f>
        <v/>
      </c>
      <c r="H173" s="17">
        <f>IF(F173="","",IF(ISERROR(MATCH(A173&amp;"-"&amp;B173,設定!$Z$8:$Z$23,0)),"設定にない学年・組",IF(COUNTIF($F$2:$F$301,F173)&gt;1,"同じ学年・組・番号がいる","")))</f>
        <v/>
      </c>
    </row>
    <row r="174">
      <c r="A174" s="15" t="n">
        <v>5</v>
      </c>
      <c r="B174" s="15" t="inlineStr">
        <is>
          <t>竹</t>
        </is>
      </c>
      <c r="C174" s="15" t="n">
        <v>23</v>
      </c>
      <c r="D174" s="16" t="inlineStr">
        <is>
          <t>石井　陽葵</t>
        </is>
      </c>
      <c r="F174" s="8">
        <f>IF(D174="","",A174&amp;"-"&amp;B174&amp;"-"&amp;C174)</f>
        <v/>
      </c>
      <c r="G174" s="8">
        <f>IF(F174="","",IFERROR(MATCH(A174&amp;"-"&amp;B174,設定!$Z$8:$Z$23,0),99)*1000+C174+ROW()/100000)</f>
        <v/>
      </c>
      <c r="H174" s="17">
        <f>IF(F174="","",IF(ISERROR(MATCH(A174&amp;"-"&amp;B174,設定!$Z$8:$Z$23,0)),"設定にない学年・組",IF(COUNTIF($F$2:$F$301,F174)&gt;1,"同じ学年・組・番号がいる","")))</f>
        <v/>
      </c>
    </row>
    <row r="175">
      <c r="A175" s="15" t="n">
        <v>5</v>
      </c>
      <c r="B175" s="15" t="inlineStr">
        <is>
          <t>竹</t>
        </is>
      </c>
      <c r="C175" s="15" t="n">
        <v>24</v>
      </c>
      <c r="D175" s="16" t="inlineStr">
        <is>
          <t>坂本　莉子</t>
        </is>
      </c>
      <c r="F175" s="8">
        <f>IF(D175="","",A175&amp;"-"&amp;B175&amp;"-"&amp;C175)</f>
        <v/>
      </c>
      <c r="G175" s="8">
        <f>IF(F175="","",IFERROR(MATCH(A175&amp;"-"&amp;B175,設定!$Z$8:$Z$23,0),99)*1000+C175+ROW()/100000)</f>
        <v/>
      </c>
      <c r="H175" s="17">
        <f>IF(F175="","",IF(ISERROR(MATCH(A175&amp;"-"&amp;B175,設定!$Z$8:$Z$23,0)),"設定にない学年・組",IF(COUNTIF($F$2:$F$301,F175)&gt;1,"同じ学年・組・番号がいる","")))</f>
        <v/>
      </c>
    </row>
    <row r="176">
      <c r="A176" s="15" t="n">
        <v>5</v>
      </c>
      <c r="B176" s="15" t="inlineStr">
        <is>
          <t>竹</t>
        </is>
      </c>
      <c r="C176" s="15" t="n">
        <v>25</v>
      </c>
      <c r="D176" s="16" t="inlineStr">
        <is>
          <t>青木　莉子</t>
        </is>
      </c>
      <c r="F176" s="8">
        <f>IF(D176="","",A176&amp;"-"&amp;B176&amp;"-"&amp;C176)</f>
        <v/>
      </c>
      <c r="G176" s="8">
        <f>IF(F176="","",IFERROR(MATCH(A176&amp;"-"&amp;B176,設定!$Z$8:$Z$23,0),99)*1000+C176+ROW()/100000)</f>
        <v/>
      </c>
      <c r="H176" s="17">
        <f>IF(F176="","",IF(ISERROR(MATCH(A176&amp;"-"&amp;B176,設定!$Z$8:$Z$23,0)),"設定にない学年・組",IF(COUNTIF($F$2:$F$301,F176)&gt;1,"同じ学年・組・番号がいる","")))</f>
        <v/>
      </c>
    </row>
    <row r="177">
      <c r="A177" s="15" t="n">
        <v>5</v>
      </c>
      <c r="B177" s="15" t="inlineStr">
        <is>
          <t>竹</t>
        </is>
      </c>
      <c r="C177" s="15" t="n">
        <v>26</v>
      </c>
      <c r="D177" s="16" t="inlineStr">
        <is>
          <t>佐々木　健太</t>
        </is>
      </c>
      <c r="F177" s="8">
        <f>IF(D177="","",A177&amp;"-"&amp;B177&amp;"-"&amp;C177)</f>
        <v/>
      </c>
      <c r="G177" s="8">
        <f>IF(F177="","",IFERROR(MATCH(A177&amp;"-"&amp;B177,設定!$Z$8:$Z$23,0),99)*1000+C177+ROW()/100000)</f>
        <v/>
      </c>
      <c r="H177" s="17">
        <f>IF(F177="","",IF(ISERROR(MATCH(A177&amp;"-"&amp;B177,設定!$Z$8:$Z$23,0)),"設定にない学年・組",IF(COUNTIF($F$2:$F$301,F177)&gt;1,"同じ学年・組・番号がいる","")))</f>
        <v/>
      </c>
    </row>
    <row r="178">
      <c r="A178" s="15" t="n">
        <v>5</v>
      </c>
      <c r="B178" s="15" t="inlineStr">
        <is>
          <t>竹</t>
        </is>
      </c>
      <c r="C178" s="15" t="n">
        <v>27</v>
      </c>
      <c r="D178" s="16" t="inlineStr">
        <is>
          <t>石井　莉子</t>
        </is>
      </c>
      <c r="F178" s="8">
        <f>IF(D178="","",A178&amp;"-"&amp;B178&amp;"-"&amp;C178)</f>
        <v/>
      </c>
      <c r="G178" s="8">
        <f>IF(F178="","",IFERROR(MATCH(A178&amp;"-"&amp;B178,設定!$Z$8:$Z$23,0),99)*1000+C178+ROW()/100000)</f>
        <v/>
      </c>
      <c r="H178" s="17">
        <f>IF(F178="","",IF(ISERROR(MATCH(A178&amp;"-"&amp;B178,設定!$Z$8:$Z$23,0)),"設定にない学年・組",IF(COUNTIF($F$2:$F$301,F178)&gt;1,"同じ学年・組・番号がいる","")))</f>
        <v/>
      </c>
    </row>
    <row r="179">
      <c r="A179" s="15" t="n">
        <v>5</v>
      </c>
      <c r="B179" s="15" t="inlineStr">
        <is>
          <t>竹</t>
        </is>
      </c>
      <c r="C179" s="15" t="n">
        <v>28</v>
      </c>
      <c r="D179" s="16" t="inlineStr">
        <is>
          <t>後藤　心春</t>
        </is>
      </c>
      <c r="F179" s="8">
        <f>IF(D179="","",A179&amp;"-"&amp;B179&amp;"-"&amp;C179)</f>
        <v/>
      </c>
      <c r="G179" s="8">
        <f>IF(F179="","",IFERROR(MATCH(A179&amp;"-"&amp;B179,設定!$Z$8:$Z$23,0),99)*1000+C179+ROW()/100000)</f>
        <v/>
      </c>
      <c r="H179" s="17">
        <f>IF(F179="","",IF(ISERROR(MATCH(A179&amp;"-"&amp;B179,設定!$Z$8:$Z$23,0)),"設定にない学年・組",IF(COUNTIF($F$2:$F$301,F179)&gt;1,"同じ学年・組・番号がいる","")))</f>
        <v/>
      </c>
    </row>
    <row r="180">
      <c r="A180" s="15" t="n">
        <v>5</v>
      </c>
      <c r="B180" s="15" t="inlineStr">
        <is>
          <t>竹</t>
        </is>
      </c>
      <c r="C180" s="15" t="n">
        <v>29</v>
      </c>
      <c r="D180" s="16" t="inlineStr">
        <is>
          <t>長谷川　陸</t>
        </is>
      </c>
      <c r="F180" s="8">
        <f>IF(D180="","",A180&amp;"-"&amp;B180&amp;"-"&amp;C180)</f>
        <v/>
      </c>
      <c r="G180" s="8">
        <f>IF(F180="","",IFERROR(MATCH(A180&amp;"-"&amp;B180,設定!$Z$8:$Z$23,0),99)*1000+C180+ROW()/100000)</f>
        <v/>
      </c>
      <c r="H180" s="17">
        <f>IF(F180="","",IF(ISERROR(MATCH(A180&amp;"-"&amp;B180,設定!$Z$8:$Z$23,0)),"設定にない学年・組",IF(COUNTIF($F$2:$F$301,F180)&gt;1,"同じ学年・組・番号がいる","")))</f>
        <v/>
      </c>
    </row>
    <row r="181">
      <c r="A181" s="15" t="n">
        <v>5</v>
      </c>
      <c r="B181" s="15" t="inlineStr">
        <is>
          <t>竹</t>
        </is>
      </c>
      <c r="C181" s="15" t="n">
        <v>30</v>
      </c>
      <c r="D181" s="16" t="inlineStr">
        <is>
          <t>藤田　海斗</t>
        </is>
      </c>
      <c r="F181" s="8">
        <f>IF(D181="","",A181&amp;"-"&amp;B181&amp;"-"&amp;C181)</f>
        <v/>
      </c>
      <c r="G181" s="8">
        <f>IF(F181="","",IFERROR(MATCH(A181&amp;"-"&amp;B181,設定!$Z$8:$Z$23,0),99)*1000+C181+ROW()/100000)</f>
        <v/>
      </c>
      <c r="H181" s="17">
        <f>IF(F181="","",IF(ISERROR(MATCH(A181&amp;"-"&amp;B181,設定!$Z$8:$Z$23,0)),"設定にない学年・組",IF(COUNTIF($F$2:$F$301,F181)&gt;1,"同じ学年・組・番号がいる","")))</f>
        <v/>
      </c>
    </row>
    <row r="182">
      <c r="A182" s="15" t="n">
        <v>5</v>
      </c>
      <c r="B182" s="15" t="inlineStr">
        <is>
          <t>梅</t>
        </is>
      </c>
      <c r="C182" s="15" t="n">
        <v>1</v>
      </c>
      <c r="D182" s="16" t="inlineStr">
        <is>
          <t>近藤　優斗</t>
        </is>
      </c>
      <c r="F182" s="8">
        <f>IF(D182="","",A182&amp;"-"&amp;B182&amp;"-"&amp;C182)</f>
        <v/>
      </c>
      <c r="G182" s="8">
        <f>IF(F182="","",IFERROR(MATCH(A182&amp;"-"&amp;B182,設定!$Z$8:$Z$23,0),99)*1000+C182+ROW()/100000)</f>
        <v/>
      </c>
      <c r="H182" s="17">
        <f>IF(F182="","",IF(ISERROR(MATCH(A182&amp;"-"&amp;B182,設定!$Z$8:$Z$23,0)),"設定にない学年・組",IF(COUNTIF($F$2:$F$301,F182)&gt;1,"同じ学年・組・番号がいる","")))</f>
        <v/>
      </c>
    </row>
    <row r="183">
      <c r="A183" s="15" t="n">
        <v>5</v>
      </c>
      <c r="B183" s="15" t="inlineStr">
        <is>
          <t>梅</t>
        </is>
      </c>
      <c r="C183" s="15" t="n">
        <v>2</v>
      </c>
      <c r="D183" s="16" t="inlineStr">
        <is>
          <t>石井　朝陽</t>
        </is>
      </c>
      <c r="F183" s="8">
        <f>IF(D183="","",A183&amp;"-"&amp;B183&amp;"-"&amp;C183)</f>
        <v/>
      </c>
      <c r="G183" s="8">
        <f>IF(F183="","",IFERROR(MATCH(A183&amp;"-"&amp;B183,設定!$Z$8:$Z$23,0),99)*1000+C183+ROW()/100000)</f>
        <v/>
      </c>
      <c r="H183" s="17">
        <f>IF(F183="","",IF(ISERROR(MATCH(A183&amp;"-"&amp;B183,設定!$Z$8:$Z$23,0)),"設定にない学年・組",IF(COUNTIF($F$2:$F$301,F183)&gt;1,"同じ学年・組・番号がいる","")))</f>
        <v/>
      </c>
    </row>
    <row r="184">
      <c r="A184" s="15" t="n">
        <v>5</v>
      </c>
      <c r="B184" s="15" t="inlineStr">
        <is>
          <t>梅</t>
        </is>
      </c>
      <c r="C184" s="15" t="n">
        <v>3</v>
      </c>
      <c r="D184" s="16" t="inlineStr">
        <is>
          <t>山下　陽太</t>
        </is>
      </c>
      <c r="F184" s="8">
        <f>IF(D184="","",A184&amp;"-"&amp;B184&amp;"-"&amp;C184)</f>
        <v/>
      </c>
      <c r="G184" s="8">
        <f>IF(F184="","",IFERROR(MATCH(A184&amp;"-"&amp;B184,設定!$Z$8:$Z$23,0),99)*1000+C184+ROW()/100000)</f>
        <v/>
      </c>
      <c r="H184" s="17">
        <f>IF(F184="","",IF(ISERROR(MATCH(A184&amp;"-"&amp;B184,設定!$Z$8:$Z$23,0)),"設定にない学年・組",IF(COUNTIF($F$2:$F$301,F184)&gt;1,"同じ学年・組・番号がいる","")))</f>
        <v/>
      </c>
    </row>
    <row r="185">
      <c r="A185" s="15" t="n">
        <v>5</v>
      </c>
      <c r="B185" s="15" t="inlineStr">
        <is>
          <t>梅</t>
        </is>
      </c>
      <c r="C185" s="15" t="n">
        <v>4</v>
      </c>
      <c r="D185" s="16" t="inlineStr">
        <is>
          <t>石川　咲良</t>
        </is>
      </c>
      <c r="F185" s="8">
        <f>IF(D185="","",A185&amp;"-"&amp;B185&amp;"-"&amp;C185)</f>
        <v/>
      </c>
      <c r="G185" s="8">
        <f>IF(F185="","",IFERROR(MATCH(A185&amp;"-"&amp;B185,設定!$Z$8:$Z$23,0),99)*1000+C185+ROW()/100000)</f>
        <v/>
      </c>
      <c r="H185" s="17">
        <f>IF(F185="","",IF(ISERROR(MATCH(A185&amp;"-"&amp;B185,設定!$Z$8:$Z$23,0)),"設定にない学年・組",IF(COUNTIF($F$2:$F$301,F185)&gt;1,"同じ学年・組・番号がいる","")))</f>
        <v/>
      </c>
    </row>
    <row r="186">
      <c r="A186" s="15" t="n">
        <v>5</v>
      </c>
      <c r="B186" s="15" t="inlineStr">
        <is>
          <t>梅</t>
        </is>
      </c>
      <c r="C186" s="15" t="n">
        <v>5</v>
      </c>
      <c r="D186" s="16" t="inlineStr">
        <is>
          <t>山崎　樹</t>
        </is>
      </c>
      <c r="F186" s="8">
        <f>IF(D186="","",A186&amp;"-"&amp;B186&amp;"-"&amp;C186)</f>
        <v/>
      </c>
      <c r="G186" s="8">
        <f>IF(F186="","",IFERROR(MATCH(A186&amp;"-"&amp;B186,設定!$Z$8:$Z$23,0),99)*1000+C186+ROW()/100000)</f>
        <v/>
      </c>
      <c r="H186" s="17">
        <f>IF(F186="","",IF(ISERROR(MATCH(A186&amp;"-"&amp;B186,設定!$Z$8:$Z$23,0)),"設定にない学年・組",IF(COUNTIF($F$2:$F$301,F186)&gt;1,"同じ学年・組・番号がいる","")))</f>
        <v/>
      </c>
    </row>
    <row r="187">
      <c r="A187" s="15" t="n">
        <v>5</v>
      </c>
      <c r="B187" s="15" t="inlineStr">
        <is>
          <t>梅</t>
        </is>
      </c>
      <c r="C187" s="15" t="n">
        <v>6</v>
      </c>
      <c r="D187" s="16" t="inlineStr">
        <is>
          <t>井上　結衣</t>
        </is>
      </c>
      <c r="F187" s="8">
        <f>IF(D187="","",A187&amp;"-"&amp;B187&amp;"-"&amp;C187)</f>
        <v/>
      </c>
      <c r="G187" s="8">
        <f>IF(F187="","",IFERROR(MATCH(A187&amp;"-"&amp;B187,設定!$Z$8:$Z$23,0),99)*1000+C187+ROW()/100000)</f>
        <v/>
      </c>
      <c r="H187" s="17">
        <f>IF(F187="","",IF(ISERROR(MATCH(A187&amp;"-"&amp;B187,設定!$Z$8:$Z$23,0)),"設定にない学年・組",IF(COUNTIF($F$2:$F$301,F187)&gt;1,"同じ学年・組・番号がいる","")))</f>
        <v/>
      </c>
    </row>
    <row r="188">
      <c r="A188" s="15" t="n">
        <v>5</v>
      </c>
      <c r="B188" s="15" t="inlineStr">
        <is>
          <t>梅</t>
        </is>
      </c>
      <c r="C188" s="15" t="n">
        <v>7</v>
      </c>
      <c r="D188" s="16" t="inlineStr">
        <is>
          <t>清水　陽太</t>
        </is>
      </c>
      <c r="F188" s="8">
        <f>IF(D188="","",A188&amp;"-"&amp;B188&amp;"-"&amp;C188)</f>
        <v/>
      </c>
      <c r="G188" s="8">
        <f>IF(F188="","",IFERROR(MATCH(A188&amp;"-"&amp;B188,設定!$Z$8:$Z$23,0),99)*1000+C188+ROW()/100000)</f>
        <v/>
      </c>
      <c r="H188" s="17">
        <f>IF(F188="","",IF(ISERROR(MATCH(A188&amp;"-"&amp;B188,設定!$Z$8:$Z$23,0)),"設定にない学年・組",IF(COUNTIF($F$2:$F$301,F188)&gt;1,"同じ学年・組・番号がいる","")))</f>
        <v/>
      </c>
    </row>
    <row r="189">
      <c r="A189" s="15" t="n">
        <v>5</v>
      </c>
      <c r="B189" s="15" t="inlineStr">
        <is>
          <t>梅</t>
        </is>
      </c>
      <c r="C189" s="15" t="n">
        <v>8</v>
      </c>
      <c r="D189" s="16" t="inlineStr">
        <is>
          <t>加藤　芽依</t>
        </is>
      </c>
      <c r="F189" s="8">
        <f>IF(D189="","",A189&amp;"-"&amp;B189&amp;"-"&amp;C189)</f>
        <v/>
      </c>
      <c r="G189" s="8">
        <f>IF(F189="","",IFERROR(MATCH(A189&amp;"-"&amp;B189,設定!$Z$8:$Z$23,0),99)*1000+C189+ROW()/100000)</f>
        <v/>
      </c>
      <c r="H189" s="17">
        <f>IF(F189="","",IF(ISERROR(MATCH(A189&amp;"-"&amp;B189,設定!$Z$8:$Z$23,0)),"設定にない学年・組",IF(COUNTIF($F$2:$F$301,F189)&gt;1,"同じ学年・組・番号がいる","")))</f>
        <v/>
      </c>
    </row>
    <row r="190">
      <c r="A190" s="15" t="n">
        <v>5</v>
      </c>
      <c r="B190" s="15" t="inlineStr">
        <is>
          <t>梅</t>
        </is>
      </c>
      <c r="C190" s="15" t="n">
        <v>9</v>
      </c>
      <c r="D190" s="16" t="inlineStr">
        <is>
          <t>小林　美月</t>
        </is>
      </c>
      <c r="F190" s="8">
        <f>IF(D190="","",A190&amp;"-"&amp;B190&amp;"-"&amp;C190)</f>
        <v/>
      </c>
      <c r="G190" s="8">
        <f>IF(F190="","",IFERROR(MATCH(A190&amp;"-"&amp;B190,設定!$Z$8:$Z$23,0),99)*1000+C190+ROW()/100000)</f>
        <v/>
      </c>
      <c r="H190" s="17">
        <f>IF(F190="","",IF(ISERROR(MATCH(A190&amp;"-"&amp;B190,設定!$Z$8:$Z$23,0)),"設定にない学年・組",IF(COUNTIF($F$2:$F$301,F190)&gt;1,"同じ学年・組・番号がいる","")))</f>
        <v/>
      </c>
    </row>
    <row r="191">
      <c r="A191" s="15" t="n">
        <v>5</v>
      </c>
      <c r="B191" s="15" t="inlineStr">
        <is>
          <t>梅</t>
        </is>
      </c>
      <c r="C191" s="15" t="n">
        <v>10</v>
      </c>
      <c r="D191" s="16" t="inlineStr">
        <is>
          <t>松本　悠真</t>
        </is>
      </c>
      <c r="F191" s="8">
        <f>IF(D191="","",A191&amp;"-"&amp;B191&amp;"-"&amp;C191)</f>
        <v/>
      </c>
      <c r="G191" s="8">
        <f>IF(F191="","",IFERROR(MATCH(A191&amp;"-"&amp;B191,設定!$Z$8:$Z$23,0),99)*1000+C191+ROW()/100000)</f>
        <v/>
      </c>
      <c r="H191" s="17">
        <f>IF(F191="","",IF(ISERROR(MATCH(A191&amp;"-"&amp;B191,設定!$Z$8:$Z$23,0)),"設定にない学年・組",IF(COUNTIF($F$2:$F$301,F191)&gt;1,"同じ学年・組・番号がいる","")))</f>
        <v/>
      </c>
    </row>
    <row r="192">
      <c r="A192" s="15" t="n">
        <v>5</v>
      </c>
      <c r="B192" s="15" t="inlineStr">
        <is>
          <t>梅</t>
        </is>
      </c>
      <c r="C192" s="15" t="n">
        <v>11</v>
      </c>
      <c r="D192" s="16" t="inlineStr">
        <is>
          <t>吉田　新</t>
        </is>
      </c>
      <c r="F192" s="8">
        <f>IF(D192="","",A192&amp;"-"&amp;B192&amp;"-"&amp;C192)</f>
        <v/>
      </c>
      <c r="G192" s="8">
        <f>IF(F192="","",IFERROR(MATCH(A192&amp;"-"&amp;B192,設定!$Z$8:$Z$23,0),99)*1000+C192+ROW()/100000)</f>
        <v/>
      </c>
      <c r="H192" s="17">
        <f>IF(F192="","",IF(ISERROR(MATCH(A192&amp;"-"&amp;B192,設定!$Z$8:$Z$23,0)),"設定にない学年・組",IF(COUNTIF($F$2:$F$301,F192)&gt;1,"同じ学年・組・番号がいる","")))</f>
        <v/>
      </c>
    </row>
    <row r="193">
      <c r="A193" s="15" t="n">
        <v>5</v>
      </c>
      <c r="B193" s="15" t="inlineStr">
        <is>
          <t>梅</t>
        </is>
      </c>
      <c r="C193" s="15" t="n">
        <v>12</v>
      </c>
      <c r="D193" s="16" t="inlineStr">
        <is>
          <t>吉田　結衣</t>
        </is>
      </c>
      <c r="F193" s="8">
        <f>IF(D193="","",A193&amp;"-"&amp;B193&amp;"-"&amp;C193)</f>
        <v/>
      </c>
      <c r="G193" s="8">
        <f>IF(F193="","",IFERROR(MATCH(A193&amp;"-"&amp;B193,設定!$Z$8:$Z$23,0),99)*1000+C193+ROW()/100000)</f>
        <v/>
      </c>
      <c r="H193" s="17">
        <f>IF(F193="","",IF(ISERROR(MATCH(A193&amp;"-"&amp;B193,設定!$Z$8:$Z$23,0)),"設定にない学年・組",IF(COUNTIF($F$2:$F$301,F193)&gt;1,"同じ学年・組・番号がいる","")))</f>
        <v/>
      </c>
    </row>
    <row r="194">
      <c r="A194" s="15" t="n">
        <v>5</v>
      </c>
      <c r="B194" s="15" t="inlineStr">
        <is>
          <t>梅</t>
        </is>
      </c>
      <c r="C194" s="15" t="n">
        <v>13</v>
      </c>
      <c r="D194" s="16" t="inlineStr">
        <is>
          <t>長谷川　紬</t>
        </is>
      </c>
      <c r="F194" s="8">
        <f>IF(D194="","",A194&amp;"-"&amp;B194&amp;"-"&amp;C194)</f>
        <v/>
      </c>
      <c r="G194" s="8">
        <f>IF(F194="","",IFERROR(MATCH(A194&amp;"-"&amp;B194,設定!$Z$8:$Z$23,0),99)*1000+C194+ROW()/100000)</f>
        <v/>
      </c>
      <c r="H194" s="17">
        <f>IF(F194="","",IF(ISERROR(MATCH(A194&amp;"-"&amp;B194,設定!$Z$8:$Z$23,0)),"設定にない学年・組",IF(COUNTIF($F$2:$F$301,F194)&gt;1,"同じ学年・組・番号がいる","")))</f>
        <v/>
      </c>
    </row>
    <row r="195">
      <c r="A195" s="15" t="n">
        <v>5</v>
      </c>
      <c r="B195" s="15" t="inlineStr">
        <is>
          <t>梅</t>
        </is>
      </c>
      <c r="C195" s="15" t="n">
        <v>14</v>
      </c>
      <c r="D195" s="16" t="inlineStr">
        <is>
          <t>森　澪</t>
        </is>
      </c>
      <c r="F195" s="8">
        <f>IF(D195="","",A195&amp;"-"&amp;B195&amp;"-"&amp;C195)</f>
        <v/>
      </c>
      <c r="G195" s="8">
        <f>IF(F195="","",IFERROR(MATCH(A195&amp;"-"&amp;B195,設定!$Z$8:$Z$23,0),99)*1000+C195+ROW()/100000)</f>
        <v/>
      </c>
      <c r="H195" s="17">
        <f>IF(F195="","",IF(ISERROR(MATCH(A195&amp;"-"&amp;B195,設定!$Z$8:$Z$23,0)),"設定にない学年・組",IF(COUNTIF($F$2:$F$301,F195)&gt;1,"同じ学年・組・番号がいる","")))</f>
        <v/>
      </c>
    </row>
    <row r="196">
      <c r="A196" s="15" t="n">
        <v>5</v>
      </c>
      <c r="B196" s="15" t="inlineStr">
        <is>
          <t>梅</t>
        </is>
      </c>
      <c r="C196" s="15" t="n">
        <v>15</v>
      </c>
      <c r="D196" s="16" t="inlineStr">
        <is>
          <t>佐々木　結菜</t>
        </is>
      </c>
      <c r="F196" s="8">
        <f>IF(D196="","",A196&amp;"-"&amp;B196&amp;"-"&amp;C196)</f>
        <v/>
      </c>
      <c r="G196" s="8">
        <f>IF(F196="","",IFERROR(MATCH(A196&amp;"-"&amp;B196,設定!$Z$8:$Z$23,0),99)*1000+C196+ROW()/100000)</f>
        <v/>
      </c>
      <c r="H196" s="17">
        <f>IF(F196="","",IF(ISERROR(MATCH(A196&amp;"-"&amp;B196,設定!$Z$8:$Z$23,0)),"設定にない学年・組",IF(COUNTIF($F$2:$F$301,F196)&gt;1,"同じ学年・組・番号がいる","")))</f>
        <v/>
      </c>
    </row>
    <row r="197">
      <c r="A197" s="15" t="n">
        <v>5</v>
      </c>
      <c r="B197" s="15" t="inlineStr">
        <is>
          <t>梅</t>
        </is>
      </c>
      <c r="C197" s="15" t="n">
        <v>16</v>
      </c>
      <c r="D197" s="16" t="inlineStr">
        <is>
          <t>山崎　大和</t>
        </is>
      </c>
      <c r="F197" s="8">
        <f>IF(D197="","",A197&amp;"-"&amp;B197&amp;"-"&amp;C197)</f>
        <v/>
      </c>
      <c r="G197" s="8">
        <f>IF(F197="","",IFERROR(MATCH(A197&amp;"-"&amp;B197,設定!$Z$8:$Z$23,0),99)*1000+C197+ROW()/100000)</f>
        <v/>
      </c>
      <c r="H197" s="17">
        <f>IF(F197="","",IF(ISERROR(MATCH(A197&amp;"-"&amp;B197,設定!$Z$8:$Z$23,0)),"設定にない学年・組",IF(COUNTIF($F$2:$F$301,F197)&gt;1,"同じ学年・組・番号がいる","")))</f>
        <v/>
      </c>
    </row>
    <row r="198">
      <c r="A198" s="15" t="n">
        <v>5</v>
      </c>
      <c r="B198" s="15" t="inlineStr">
        <is>
          <t>梅</t>
        </is>
      </c>
      <c r="C198" s="15" t="n">
        <v>17</v>
      </c>
      <c r="D198" s="16" t="inlineStr">
        <is>
          <t>橋本　陽翔</t>
        </is>
      </c>
      <c r="F198" s="8">
        <f>IF(D198="","",A198&amp;"-"&amp;B198&amp;"-"&amp;C198)</f>
        <v/>
      </c>
      <c r="G198" s="8">
        <f>IF(F198="","",IFERROR(MATCH(A198&amp;"-"&amp;B198,設定!$Z$8:$Z$23,0),99)*1000+C198+ROW()/100000)</f>
        <v/>
      </c>
      <c r="H198" s="17">
        <f>IF(F198="","",IF(ISERROR(MATCH(A198&amp;"-"&amp;B198,設定!$Z$8:$Z$23,0)),"設定にない学年・組",IF(COUNTIF($F$2:$F$301,F198)&gt;1,"同じ学年・組・番号がいる","")))</f>
        <v/>
      </c>
    </row>
    <row r="199">
      <c r="A199" s="15" t="n">
        <v>5</v>
      </c>
      <c r="B199" s="15" t="inlineStr">
        <is>
          <t>梅</t>
        </is>
      </c>
      <c r="C199" s="15" t="n">
        <v>18</v>
      </c>
      <c r="D199" s="16" t="inlineStr">
        <is>
          <t>森　柚葉</t>
        </is>
      </c>
      <c r="F199" s="8">
        <f>IF(D199="","",A199&amp;"-"&amp;B199&amp;"-"&amp;C199)</f>
        <v/>
      </c>
      <c r="G199" s="8">
        <f>IF(F199="","",IFERROR(MATCH(A199&amp;"-"&amp;B199,設定!$Z$8:$Z$23,0),99)*1000+C199+ROW()/100000)</f>
        <v/>
      </c>
      <c r="H199" s="17">
        <f>IF(F199="","",IF(ISERROR(MATCH(A199&amp;"-"&amp;B199,設定!$Z$8:$Z$23,0)),"設定にない学年・組",IF(COUNTIF($F$2:$F$301,F199)&gt;1,"同じ学年・組・番号がいる","")))</f>
        <v/>
      </c>
    </row>
    <row r="200">
      <c r="A200" s="15" t="n">
        <v>5</v>
      </c>
      <c r="B200" s="15" t="inlineStr">
        <is>
          <t>梅</t>
        </is>
      </c>
      <c r="C200" s="15" t="n">
        <v>19</v>
      </c>
      <c r="D200" s="16" t="inlineStr">
        <is>
          <t>小川　咲良</t>
        </is>
      </c>
      <c r="F200" s="8">
        <f>IF(D200="","",A200&amp;"-"&amp;B200&amp;"-"&amp;C200)</f>
        <v/>
      </c>
      <c r="G200" s="8">
        <f>IF(F200="","",IFERROR(MATCH(A200&amp;"-"&amp;B200,設定!$Z$8:$Z$23,0),99)*1000+C200+ROW()/100000)</f>
        <v/>
      </c>
      <c r="H200" s="17">
        <f>IF(F200="","",IF(ISERROR(MATCH(A200&amp;"-"&amp;B200,設定!$Z$8:$Z$23,0)),"設定にない学年・組",IF(COUNTIF($F$2:$F$301,F200)&gt;1,"同じ学年・組・番号がいる","")))</f>
        <v/>
      </c>
    </row>
    <row r="201">
      <c r="A201" s="15" t="n">
        <v>5</v>
      </c>
      <c r="B201" s="15" t="inlineStr">
        <is>
          <t>梅</t>
        </is>
      </c>
      <c r="C201" s="15" t="n">
        <v>20</v>
      </c>
      <c r="D201" s="16" t="inlineStr">
        <is>
          <t>鈴木　葵</t>
        </is>
      </c>
      <c r="F201" s="8">
        <f>IF(D201="","",A201&amp;"-"&amp;B201&amp;"-"&amp;C201)</f>
        <v/>
      </c>
      <c r="G201" s="8">
        <f>IF(F201="","",IFERROR(MATCH(A201&amp;"-"&amp;B201,設定!$Z$8:$Z$23,0),99)*1000+C201+ROW()/100000)</f>
        <v/>
      </c>
      <c r="H201" s="17">
        <f>IF(F201="","",IF(ISERROR(MATCH(A201&amp;"-"&amp;B201,設定!$Z$8:$Z$23,0)),"設定にない学年・組",IF(COUNTIF($F$2:$F$301,F201)&gt;1,"同じ学年・組・番号がいる","")))</f>
        <v/>
      </c>
    </row>
    <row r="202">
      <c r="A202" s="15" t="n">
        <v>5</v>
      </c>
      <c r="B202" s="15" t="inlineStr">
        <is>
          <t>梅</t>
        </is>
      </c>
      <c r="C202" s="15" t="n">
        <v>21</v>
      </c>
      <c r="D202" s="16" t="inlineStr">
        <is>
          <t>森　彩花</t>
        </is>
      </c>
      <c r="F202" s="8">
        <f>IF(D202="","",A202&amp;"-"&amp;B202&amp;"-"&amp;C202)</f>
        <v/>
      </c>
      <c r="G202" s="8">
        <f>IF(F202="","",IFERROR(MATCH(A202&amp;"-"&amp;B202,設定!$Z$8:$Z$23,0),99)*1000+C202+ROW()/100000)</f>
        <v/>
      </c>
      <c r="H202" s="17">
        <f>IF(F202="","",IF(ISERROR(MATCH(A202&amp;"-"&amp;B202,設定!$Z$8:$Z$23,0)),"設定にない学年・組",IF(COUNTIF($F$2:$F$301,F202)&gt;1,"同じ学年・組・番号がいる","")))</f>
        <v/>
      </c>
    </row>
    <row r="203">
      <c r="A203" s="15" t="n">
        <v>5</v>
      </c>
      <c r="B203" s="15" t="inlineStr">
        <is>
          <t>梅</t>
        </is>
      </c>
      <c r="C203" s="15" t="n">
        <v>22</v>
      </c>
      <c r="D203" s="16" t="inlineStr">
        <is>
          <t>坂本　拓海</t>
        </is>
      </c>
      <c r="F203" s="8">
        <f>IF(D203="","",A203&amp;"-"&amp;B203&amp;"-"&amp;C203)</f>
        <v/>
      </c>
      <c r="G203" s="8">
        <f>IF(F203="","",IFERROR(MATCH(A203&amp;"-"&amp;B203,設定!$Z$8:$Z$23,0),99)*1000+C203+ROW()/100000)</f>
        <v/>
      </c>
      <c r="H203" s="17">
        <f>IF(F203="","",IF(ISERROR(MATCH(A203&amp;"-"&amp;B203,設定!$Z$8:$Z$23,0)),"設定にない学年・組",IF(COUNTIF($F$2:$F$301,F203)&gt;1,"同じ学年・組・番号がいる","")))</f>
        <v/>
      </c>
    </row>
    <row r="204">
      <c r="A204" s="15" t="n">
        <v>5</v>
      </c>
      <c r="B204" s="15" t="inlineStr">
        <is>
          <t>梅</t>
        </is>
      </c>
      <c r="C204" s="15" t="n">
        <v>23</v>
      </c>
      <c r="D204" s="16" t="inlineStr">
        <is>
          <t>長谷川　樹</t>
        </is>
      </c>
      <c r="F204" s="8">
        <f>IF(D204="","",A204&amp;"-"&amp;B204&amp;"-"&amp;C204)</f>
        <v/>
      </c>
      <c r="G204" s="8">
        <f>IF(F204="","",IFERROR(MATCH(A204&amp;"-"&amp;B204,設定!$Z$8:$Z$23,0),99)*1000+C204+ROW()/100000)</f>
        <v/>
      </c>
      <c r="H204" s="17">
        <f>IF(F204="","",IF(ISERROR(MATCH(A204&amp;"-"&amp;B204,設定!$Z$8:$Z$23,0)),"設定にない学年・組",IF(COUNTIF($F$2:$F$301,F204)&gt;1,"同じ学年・組・番号がいる","")))</f>
        <v/>
      </c>
    </row>
    <row r="205">
      <c r="A205" s="15" t="n">
        <v>5</v>
      </c>
      <c r="B205" s="15" t="inlineStr">
        <is>
          <t>梅</t>
        </is>
      </c>
      <c r="C205" s="15" t="n">
        <v>24</v>
      </c>
      <c r="D205" s="16" t="inlineStr">
        <is>
          <t>中村　新</t>
        </is>
      </c>
      <c r="F205" s="8">
        <f>IF(D205="","",A205&amp;"-"&amp;B205&amp;"-"&amp;C205)</f>
        <v/>
      </c>
      <c r="G205" s="8">
        <f>IF(F205="","",IFERROR(MATCH(A205&amp;"-"&amp;B205,設定!$Z$8:$Z$23,0),99)*1000+C205+ROW()/100000)</f>
        <v/>
      </c>
      <c r="H205" s="17">
        <f>IF(F205="","",IF(ISERROR(MATCH(A205&amp;"-"&amp;B205,設定!$Z$8:$Z$23,0)),"設定にない学年・組",IF(COUNTIF($F$2:$F$301,F205)&gt;1,"同じ学年・組・番号がいる","")))</f>
        <v/>
      </c>
    </row>
    <row r="206">
      <c r="A206" s="15" t="n">
        <v>5</v>
      </c>
      <c r="B206" s="15" t="inlineStr">
        <is>
          <t>梅</t>
        </is>
      </c>
      <c r="C206" s="15" t="n">
        <v>25</v>
      </c>
      <c r="D206" s="16" t="inlineStr">
        <is>
          <t>山本　大和</t>
        </is>
      </c>
      <c r="F206" s="8">
        <f>IF(D206="","",A206&amp;"-"&amp;B206&amp;"-"&amp;C206)</f>
        <v/>
      </c>
      <c r="G206" s="8">
        <f>IF(F206="","",IFERROR(MATCH(A206&amp;"-"&amp;B206,設定!$Z$8:$Z$23,0),99)*1000+C206+ROW()/100000)</f>
        <v/>
      </c>
      <c r="H206" s="17">
        <f>IF(F206="","",IF(ISERROR(MATCH(A206&amp;"-"&amp;B206,設定!$Z$8:$Z$23,0)),"設定にない学年・組",IF(COUNTIF($F$2:$F$301,F206)&gt;1,"同じ学年・組・番号がいる","")))</f>
        <v/>
      </c>
    </row>
    <row r="207">
      <c r="A207" s="15" t="n">
        <v>5</v>
      </c>
      <c r="B207" s="15" t="inlineStr">
        <is>
          <t>梅</t>
        </is>
      </c>
      <c r="C207" s="15" t="n">
        <v>26</v>
      </c>
      <c r="D207" s="16" t="inlineStr">
        <is>
          <t>木村　健太</t>
        </is>
      </c>
      <c r="F207" s="8">
        <f>IF(D207="","",A207&amp;"-"&amp;B207&amp;"-"&amp;C207)</f>
        <v/>
      </c>
      <c r="G207" s="8">
        <f>IF(F207="","",IFERROR(MATCH(A207&amp;"-"&amp;B207,設定!$Z$8:$Z$23,0),99)*1000+C207+ROW()/100000)</f>
        <v/>
      </c>
      <c r="H207" s="17">
        <f>IF(F207="","",IF(ISERROR(MATCH(A207&amp;"-"&amp;B207,設定!$Z$8:$Z$23,0)),"設定にない学年・組",IF(COUNTIF($F$2:$F$301,F207)&gt;1,"同じ学年・組・番号がいる","")))</f>
        <v/>
      </c>
    </row>
    <row r="208">
      <c r="A208" s="15" t="n">
        <v>5</v>
      </c>
      <c r="B208" s="15" t="inlineStr">
        <is>
          <t>梅</t>
        </is>
      </c>
      <c r="C208" s="15" t="n">
        <v>27</v>
      </c>
      <c r="D208" s="16" t="inlineStr">
        <is>
          <t>高橋　結翔</t>
        </is>
      </c>
      <c r="F208" s="8">
        <f>IF(D208="","",A208&amp;"-"&amp;B208&amp;"-"&amp;C208)</f>
        <v/>
      </c>
      <c r="G208" s="8">
        <f>IF(F208="","",IFERROR(MATCH(A208&amp;"-"&amp;B208,設定!$Z$8:$Z$23,0),99)*1000+C208+ROW()/100000)</f>
        <v/>
      </c>
      <c r="H208" s="17">
        <f>IF(F208="","",IF(ISERROR(MATCH(A208&amp;"-"&amp;B208,設定!$Z$8:$Z$23,0)),"設定にない学年・組",IF(COUNTIF($F$2:$F$301,F208)&gt;1,"同じ学年・組・番号がいる","")))</f>
        <v/>
      </c>
    </row>
    <row r="209">
      <c r="A209" s="15" t="n">
        <v>5</v>
      </c>
      <c r="B209" s="15" t="inlineStr">
        <is>
          <t>梅</t>
        </is>
      </c>
      <c r="C209" s="15" t="n">
        <v>28</v>
      </c>
      <c r="D209" s="16" t="inlineStr">
        <is>
          <t>林　朝陽</t>
        </is>
      </c>
      <c r="F209" s="8">
        <f>IF(D209="","",A209&amp;"-"&amp;B209&amp;"-"&amp;C209)</f>
        <v/>
      </c>
      <c r="G209" s="8">
        <f>IF(F209="","",IFERROR(MATCH(A209&amp;"-"&amp;B209,設定!$Z$8:$Z$23,0),99)*1000+C209+ROW()/100000)</f>
        <v/>
      </c>
      <c r="H209" s="17">
        <f>IF(F209="","",IF(ISERROR(MATCH(A209&amp;"-"&amp;B209,設定!$Z$8:$Z$23,0)),"設定にない学年・組",IF(COUNTIF($F$2:$F$301,F209)&gt;1,"同じ学年・組・番号がいる","")))</f>
        <v/>
      </c>
    </row>
    <row r="210">
      <c r="A210" s="15" t="n">
        <v>5</v>
      </c>
      <c r="B210" s="15" t="inlineStr">
        <is>
          <t>梅</t>
        </is>
      </c>
      <c r="C210" s="15" t="n">
        <v>29</v>
      </c>
      <c r="D210" s="16" t="inlineStr">
        <is>
          <t>中島　海斗</t>
        </is>
      </c>
      <c r="F210" s="8">
        <f>IF(D210="","",A210&amp;"-"&amp;B210&amp;"-"&amp;C210)</f>
        <v/>
      </c>
      <c r="G210" s="8">
        <f>IF(F210="","",IFERROR(MATCH(A210&amp;"-"&amp;B210,設定!$Z$8:$Z$23,0),99)*1000+C210+ROW()/100000)</f>
        <v/>
      </c>
      <c r="H210" s="17">
        <f>IF(F210="","",IF(ISERROR(MATCH(A210&amp;"-"&amp;B210,設定!$Z$8:$Z$23,0)),"設定にない学年・組",IF(COUNTIF($F$2:$F$301,F210)&gt;1,"同じ学年・組・番号がいる","")))</f>
        <v/>
      </c>
    </row>
    <row r="211">
      <c r="A211" s="15" t="n">
        <v>5</v>
      </c>
      <c r="B211" s="15" t="inlineStr">
        <is>
          <t>梅</t>
        </is>
      </c>
      <c r="C211" s="15" t="n">
        <v>30</v>
      </c>
      <c r="D211" s="16" t="inlineStr">
        <is>
          <t>石川　律</t>
        </is>
      </c>
      <c r="F211" s="8">
        <f>IF(D211="","",A211&amp;"-"&amp;B211&amp;"-"&amp;C211)</f>
        <v/>
      </c>
      <c r="G211" s="8">
        <f>IF(F211="","",IFERROR(MATCH(A211&amp;"-"&amp;B211,設定!$Z$8:$Z$23,0),99)*1000+C211+ROW()/100000)</f>
        <v/>
      </c>
      <c r="H211" s="17">
        <f>IF(F211="","",IF(ISERROR(MATCH(A211&amp;"-"&amp;B211,設定!$Z$8:$Z$23,0)),"設定にない学年・組",IF(COUNTIF($F$2:$F$301,F211)&gt;1,"同じ学年・組・番号がいる","")))</f>
        <v/>
      </c>
    </row>
    <row r="212">
      <c r="A212" s="15" t="n">
        <v>5</v>
      </c>
      <c r="B212" s="15" t="inlineStr">
        <is>
          <t>月</t>
        </is>
      </c>
      <c r="C212" s="15" t="n">
        <v>1</v>
      </c>
      <c r="D212" s="16" t="inlineStr">
        <is>
          <t>村上　杏</t>
        </is>
      </c>
      <c r="F212" s="8">
        <f>IF(D212="","",A212&amp;"-"&amp;B212&amp;"-"&amp;C212)</f>
        <v/>
      </c>
      <c r="G212" s="8">
        <f>IF(F212="","",IFERROR(MATCH(A212&amp;"-"&amp;B212,設定!$Z$8:$Z$23,0),99)*1000+C212+ROW()/100000)</f>
        <v/>
      </c>
      <c r="H212" s="17">
        <f>IF(F212="","",IF(ISERROR(MATCH(A212&amp;"-"&amp;B212,設定!$Z$8:$Z$23,0)),"設定にない学年・組",IF(COUNTIF($F$2:$F$301,F212)&gt;1,"同じ学年・組・番号がいる","")))</f>
        <v/>
      </c>
    </row>
    <row r="213">
      <c r="A213" s="15" t="n">
        <v>5</v>
      </c>
      <c r="B213" s="15" t="inlineStr">
        <is>
          <t>月</t>
        </is>
      </c>
      <c r="C213" s="15" t="n">
        <v>2</v>
      </c>
      <c r="D213" s="16" t="inlineStr">
        <is>
          <t>林　蒼</t>
        </is>
      </c>
      <c r="F213" s="8">
        <f>IF(D213="","",A213&amp;"-"&amp;B213&amp;"-"&amp;C213)</f>
        <v/>
      </c>
      <c r="G213" s="8">
        <f>IF(F213="","",IFERROR(MATCH(A213&amp;"-"&amp;B213,設定!$Z$8:$Z$23,0),99)*1000+C213+ROW()/100000)</f>
        <v/>
      </c>
      <c r="H213" s="17">
        <f>IF(F213="","",IF(ISERROR(MATCH(A213&amp;"-"&amp;B213,設定!$Z$8:$Z$23,0)),"設定にない学年・組",IF(COUNTIF($F$2:$F$301,F213)&gt;1,"同じ学年・組・番号がいる","")))</f>
        <v/>
      </c>
    </row>
    <row r="214">
      <c r="A214" s="15" t="n">
        <v>5</v>
      </c>
      <c r="B214" s="15" t="inlineStr">
        <is>
          <t>月</t>
        </is>
      </c>
      <c r="C214" s="15" t="n">
        <v>3</v>
      </c>
      <c r="D214" s="16" t="inlineStr">
        <is>
          <t>山田　結衣</t>
        </is>
      </c>
      <c r="F214" s="8">
        <f>IF(D214="","",A214&amp;"-"&amp;B214&amp;"-"&amp;C214)</f>
        <v/>
      </c>
      <c r="G214" s="8">
        <f>IF(F214="","",IFERROR(MATCH(A214&amp;"-"&amp;B214,設定!$Z$8:$Z$23,0),99)*1000+C214+ROW()/100000)</f>
        <v/>
      </c>
      <c r="H214" s="17">
        <f>IF(F214="","",IF(ISERROR(MATCH(A214&amp;"-"&amp;B214,設定!$Z$8:$Z$23,0)),"設定にない学年・組",IF(COUNTIF($F$2:$F$301,F214)&gt;1,"同じ学年・組・番号がいる","")))</f>
        <v/>
      </c>
    </row>
    <row r="215">
      <c r="A215" s="15" t="n">
        <v>5</v>
      </c>
      <c r="B215" s="15" t="inlineStr">
        <is>
          <t>月</t>
        </is>
      </c>
      <c r="C215" s="15" t="n">
        <v>4</v>
      </c>
      <c r="D215" s="16" t="inlineStr">
        <is>
          <t>伊藤　健太</t>
        </is>
      </c>
      <c r="F215" s="8">
        <f>IF(D215="","",A215&amp;"-"&amp;B215&amp;"-"&amp;C215)</f>
        <v/>
      </c>
      <c r="G215" s="8">
        <f>IF(F215="","",IFERROR(MATCH(A215&amp;"-"&amp;B215,設定!$Z$8:$Z$23,0),99)*1000+C215+ROW()/100000)</f>
        <v/>
      </c>
      <c r="H215" s="17">
        <f>IF(F215="","",IF(ISERROR(MATCH(A215&amp;"-"&amp;B215,設定!$Z$8:$Z$23,0)),"設定にない学年・組",IF(COUNTIF($F$2:$F$301,F215)&gt;1,"同じ学年・組・番号がいる","")))</f>
        <v/>
      </c>
    </row>
    <row r="216">
      <c r="A216" s="15" t="n">
        <v>5</v>
      </c>
      <c r="B216" s="15" t="inlineStr">
        <is>
          <t>月</t>
        </is>
      </c>
      <c r="C216" s="15" t="n">
        <v>5</v>
      </c>
      <c r="D216" s="16" t="inlineStr">
        <is>
          <t>鈴木　大和</t>
        </is>
      </c>
      <c r="F216" s="8">
        <f>IF(D216="","",A216&amp;"-"&amp;B216&amp;"-"&amp;C216)</f>
        <v/>
      </c>
      <c r="G216" s="8">
        <f>IF(F216="","",IFERROR(MATCH(A216&amp;"-"&amp;B216,設定!$Z$8:$Z$23,0),99)*1000+C216+ROW()/100000)</f>
        <v/>
      </c>
      <c r="H216" s="17">
        <f>IF(F216="","",IF(ISERROR(MATCH(A216&amp;"-"&amp;B216,設定!$Z$8:$Z$23,0)),"設定にない学年・組",IF(COUNTIF($F$2:$F$301,F216)&gt;1,"同じ学年・組・番号がいる","")))</f>
        <v/>
      </c>
    </row>
    <row r="217">
      <c r="A217" s="15" t="n">
        <v>5</v>
      </c>
      <c r="B217" s="15" t="inlineStr">
        <is>
          <t>月</t>
        </is>
      </c>
      <c r="C217" s="15" t="n">
        <v>6</v>
      </c>
      <c r="D217" s="16" t="inlineStr">
        <is>
          <t>木村　大和</t>
        </is>
      </c>
      <c r="F217" s="8">
        <f>IF(D217="","",A217&amp;"-"&amp;B217&amp;"-"&amp;C217)</f>
        <v/>
      </c>
      <c r="G217" s="8">
        <f>IF(F217="","",IFERROR(MATCH(A217&amp;"-"&amp;B217,設定!$Z$8:$Z$23,0),99)*1000+C217+ROW()/100000)</f>
        <v/>
      </c>
      <c r="H217" s="17">
        <f>IF(F217="","",IF(ISERROR(MATCH(A217&amp;"-"&amp;B217,設定!$Z$8:$Z$23,0)),"設定にない学年・組",IF(COUNTIF($F$2:$F$301,F217)&gt;1,"同じ学年・組・番号がいる","")))</f>
        <v/>
      </c>
    </row>
    <row r="218">
      <c r="A218" s="15" t="n">
        <v>5</v>
      </c>
      <c r="B218" s="15" t="inlineStr">
        <is>
          <t>月</t>
        </is>
      </c>
      <c r="C218" s="15" t="n">
        <v>7</v>
      </c>
      <c r="D218" s="16" t="inlineStr">
        <is>
          <t>青木　新</t>
        </is>
      </c>
      <c r="F218" s="8">
        <f>IF(D218="","",A218&amp;"-"&amp;B218&amp;"-"&amp;C218)</f>
        <v/>
      </c>
      <c r="G218" s="8">
        <f>IF(F218="","",IFERROR(MATCH(A218&amp;"-"&amp;B218,設定!$Z$8:$Z$23,0),99)*1000+C218+ROW()/100000)</f>
        <v/>
      </c>
      <c r="H218" s="17">
        <f>IF(F218="","",IF(ISERROR(MATCH(A218&amp;"-"&amp;B218,設定!$Z$8:$Z$23,0)),"設定にない学年・組",IF(COUNTIF($F$2:$F$301,F218)&gt;1,"同じ学年・組・番号がいる","")))</f>
        <v/>
      </c>
    </row>
    <row r="219">
      <c r="A219" s="15" t="n">
        <v>5</v>
      </c>
      <c r="B219" s="15" t="inlineStr">
        <is>
          <t>月</t>
        </is>
      </c>
      <c r="C219" s="15" t="n">
        <v>8</v>
      </c>
      <c r="D219" s="16" t="inlineStr">
        <is>
          <t>伊藤　海斗</t>
        </is>
      </c>
      <c r="F219" s="8">
        <f>IF(D219="","",A219&amp;"-"&amp;B219&amp;"-"&amp;C219)</f>
        <v/>
      </c>
      <c r="G219" s="8">
        <f>IF(F219="","",IFERROR(MATCH(A219&amp;"-"&amp;B219,設定!$Z$8:$Z$23,0),99)*1000+C219+ROW()/100000)</f>
        <v/>
      </c>
      <c r="H219" s="17">
        <f>IF(F219="","",IF(ISERROR(MATCH(A219&amp;"-"&amp;B219,設定!$Z$8:$Z$23,0)),"設定にない学年・組",IF(COUNTIF($F$2:$F$301,F219)&gt;1,"同じ学年・組・番号がいる","")))</f>
        <v/>
      </c>
    </row>
    <row r="220">
      <c r="A220" s="15" t="n">
        <v>5</v>
      </c>
      <c r="B220" s="15" t="inlineStr">
        <is>
          <t>月</t>
        </is>
      </c>
      <c r="C220" s="15" t="n">
        <v>9</v>
      </c>
      <c r="D220" s="16" t="inlineStr">
        <is>
          <t>中村　美月</t>
        </is>
      </c>
      <c r="F220" s="8">
        <f>IF(D220="","",A220&amp;"-"&amp;B220&amp;"-"&amp;C220)</f>
        <v/>
      </c>
      <c r="G220" s="8">
        <f>IF(F220="","",IFERROR(MATCH(A220&amp;"-"&amp;B220,設定!$Z$8:$Z$23,0),99)*1000+C220+ROW()/100000)</f>
        <v/>
      </c>
      <c r="H220" s="17">
        <f>IF(F220="","",IF(ISERROR(MATCH(A220&amp;"-"&amp;B220,設定!$Z$8:$Z$23,0)),"設定にない学年・組",IF(COUNTIF($F$2:$F$301,F220)&gt;1,"同じ学年・組・番号がいる","")))</f>
        <v/>
      </c>
    </row>
    <row r="221">
      <c r="A221" s="15" t="n">
        <v>5</v>
      </c>
      <c r="B221" s="15" t="inlineStr">
        <is>
          <t>月</t>
        </is>
      </c>
      <c r="C221" s="15" t="n">
        <v>10</v>
      </c>
      <c r="D221" s="16" t="inlineStr">
        <is>
          <t>佐藤　凛</t>
        </is>
      </c>
      <c r="F221" s="8">
        <f>IF(D221="","",A221&amp;"-"&amp;B221&amp;"-"&amp;C221)</f>
        <v/>
      </c>
      <c r="G221" s="8">
        <f>IF(F221="","",IFERROR(MATCH(A221&amp;"-"&amp;B221,設定!$Z$8:$Z$23,0),99)*1000+C221+ROW()/100000)</f>
        <v/>
      </c>
      <c r="H221" s="17">
        <f>IF(F221="","",IF(ISERROR(MATCH(A221&amp;"-"&amp;B221,設定!$Z$8:$Z$23,0)),"設定にない学年・組",IF(COUNTIF($F$2:$F$301,F221)&gt;1,"同じ学年・組・番号がいる","")))</f>
        <v/>
      </c>
    </row>
    <row r="222">
      <c r="A222" s="15" t="n">
        <v>5</v>
      </c>
      <c r="B222" s="15" t="inlineStr">
        <is>
          <t>月</t>
        </is>
      </c>
      <c r="C222" s="15" t="n">
        <v>11</v>
      </c>
      <c r="D222" s="16" t="inlineStr">
        <is>
          <t>近藤　澪</t>
        </is>
      </c>
      <c r="F222" s="8">
        <f>IF(D222="","",A222&amp;"-"&amp;B222&amp;"-"&amp;C222)</f>
        <v/>
      </c>
      <c r="G222" s="8">
        <f>IF(F222="","",IFERROR(MATCH(A222&amp;"-"&amp;B222,設定!$Z$8:$Z$23,0),99)*1000+C222+ROW()/100000)</f>
        <v/>
      </c>
      <c r="H222" s="17">
        <f>IF(F222="","",IF(ISERROR(MATCH(A222&amp;"-"&amp;B222,設定!$Z$8:$Z$23,0)),"設定にない学年・組",IF(COUNTIF($F$2:$F$301,F222)&gt;1,"同じ学年・組・番号がいる","")))</f>
        <v/>
      </c>
    </row>
    <row r="223">
      <c r="A223" s="15" t="n">
        <v>5</v>
      </c>
      <c r="B223" s="15" t="inlineStr">
        <is>
          <t>月</t>
        </is>
      </c>
      <c r="C223" s="15" t="n">
        <v>12</v>
      </c>
      <c r="D223" s="16" t="inlineStr">
        <is>
          <t>林　さくら</t>
        </is>
      </c>
      <c r="F223" s="8">
        <f>IF(D223="","",A223&amp;"-"&amp;B223&amp;"-"&amp;C223)</f>
        <v/>
      </c>
      <c r="G223" s="8">
        <f>IF(F223="","",IFERROR(MATCH(A223&amp;"-"&amp;B223,設定!$Z$8:$Z$23,0),99)*1000+C223+ROW()/100000)</f>
        <v/>
      </c>
      <c r="H223" s="17">
        <f>IF(F223="","",IF(ISERROR(MATCH(A223&amp;"-"&amp;B223,設定!$Z$8:$Z$23,0)),"設定にない学年・組",IF(COUNTIF($F$2:$F$301,F223)&gt;1,"同じ学年・組・番号がいる","")))</f>
        <v/>
      </c>
    </row>
    <row r="224">
      <c r="A224" s="15" t="n">
        <v>5</v>
      </c>
      <c r="B224" s="15" t="inlineStr">
        <is>
          <t>月</t>
        </is>
      </c>
      <c r="C224" s="15" t="n">
        <v>13</v>
      </c>
      <c r="D224" s="16" t="inlineStr">
        <is>
          <t>小林　湊</t>
        </is>
      </c>
      <c r="F224" s="8">
        <f>IF(D224="","",A224&amp;"-"&amp;B224&amp;"-"&amp;C224)</f>
        <v/>
      </c>
      <c r="G224" s="8">
        <f>IF(F224="","",IFERROR(MATCH(A224&amp;"-"&amp;B224,設定!$Z$8:$Z$23,0),99)*1000+C224+ROW()/100000)</f>
        <v/>
      </c>
      <c r="H224" s="17">
        <f>IF(F224="","",IF(ISERROR(MATCH(A224&amp;"-"&amp;B224,設定!$Z$8:$Z$23,0)),"設定にない学年・組",IF(COUNTIF($F$2:$F$301,F224)&gt;1,"同じ学年・組・番号がいる","")))</f>
        <v/>
      </c>
    </row>
    <row r="225">
      <c r="A225" s="15" t="n">
        <v>5</v>
      </c>
      <c r="B225" s="15" t="inlineStr">
        <is>
          <t>月</t>
        </is>
      </c>
      <c r="C225" s="15" t="n">
        <v>14</v>
      </c>
      <c r="D225" s="16" t="inlineStr">
        <is>
          <t>藤田　陸</t>
        </is>
      </c>
      <c r="F225" s="8">
        <f>IF(D225="","",A225&amp;"-"&amp;B225&amp;"-"&amp;C225)</f>
        <v/>
      </c>
      <c r="G225" s="8">
        <f>IF(F225="","",IFERROR(MATCH(A225&amp;"-"&amp;B225,設定!$Z$8:$Z$23,0),99)*1000+C225+ROW()/100000)</f>
        <v/>
      </c>
      <c r="H225" s="17">
        <f>IF(F225="","",IF(ISERROR(MATCH(A225&amp;"-"&amp;B225,設定!$Z$8:$Z$23,0)),"設定にない学年・組",IF(COUNTIF($F$2:$F$301,F225)&gt;1,"同じ学年・組・番号がいる","")))</f>
        <v/>
      </c>
    </row>
    <row r="226">
      <c r="A226" s="15" t="n">
        <v>5</v>
      </c>
      <c r="B226" s="15" t="inlineStr">
        <is>
          <t>月</t>
        </is>
      </c>
      <c r="C226" s="15" t="n">
        <v>15</v>
      </c>
      <c r="D226" s="16" t="inlineStr">
        <is>
          <t>中村　颯太</t>
        </is>
      </c>
      <c r="F226" s="8">
        <f>IF(D226="","",A226&amp;"-"&amp;B226&amp;"-"&amp;C226)</f>
        <v/>
      </c>
      <c r="G226" s="8">
        <f>IF(F226="","",IFERROR(MATCH(A226&amp;"-"&amp;B226,設定!$Z$8:$Z$23,0),99)*1000+C226+ROW()/100000)</f>
        <v/>
      </c>
      <c r="H226" s="17">
        <f>IF(F226="","",IF(ISERROR(MATCH(A226&amp;"-"&amp;B226,設定!$Z$8:$Z$23,0)),"設定にない学年・組",IF(COUNTIF($F$2:$F$301,F226)&gt;1,"同じ学年・組・番号がいる","")))</f>
        <v/>
      </c>
    </row>
    <row r="227">
      <c r="A227" s="15" t="n">
        <v>5</v>
      </c>
      <c r="B227" s="15" t="inlineStr">
        <is>
          <t>月</t>
        </is>
      </c>
      <c r="C227" s="15" t="n">
        <v>16</v>
      </c>
      <c r="D227" s="16" t="inlineStr">
        <is>
          <t>木村　蒼</t>
        </is>
      </c>
      <c r="F227" s="8">
        <f>IF(D227="","",A227&amp;"-"&amp;B227&amp;"-"&amp;C227)</f>
        <v/>
      </c>
      <c r="G227" s="8">
        <f>IF(F227="","",IFERROR(MATCH(A227&amp;"-"&amp;B227,設定!$Z$8:$Z$23,0),99)*1000+C227+ROW()/100000)</f>
        <v/>
      </c>
      <c r="H227" s="17">
        <f>IF(F227="","",IF(ISERROR(MATCH(A227&amp;"-"&amp;B227,設定!$Z$8:$Z$23,0)),"設定にない学年・組",IF(COUNTIF($F$2:$F$301,F227)&gt;1,"同じ学年・組・番号がいる","")))</f>
        <v/>
      </c>
    </row>
    <row r="228">
      <c r="A228" s="15" t="n">
        <v>5</v>
      </c>
      <c r="B228" s="15" t="inlineStr">
        <is>
          <t>月</t>
        </is>
      </c>
      <c r="C228" s="15" t="n">
        <v>17</v>
      </c>
      <c r="D228" s="16" t="inlineStr">
        <is>
          <t>山田　優斗</t>
        </is>
      </c>
      <c r="F228" s="8">
        <f>IF(D228="","",A228&amp;"-"&amp;B228&amp;"-"&amp;C228)</f>
        <v/>
      </c>
      <c r="G228" s="8">
        <f>IF(F228="","",IFERROR(MATCH(A228&amp;"-"&amp;B228,設定!$Z$8:$Z$23,0),99)*1000+C228+ROW()/100000)</f>
        <v/>
      </c>
      <c r="H228" s="17">
        <f>IF(F228="","",IF(ISERROR(MATCH(A228&amp;"-"&amp;B228,設定!$Z$8:$Z$23,0)),"設定にない学年・組",IF(COUNTIF($F$2:$F$301,F228)&gt;1,"同じ学年・組・番号がいる","")))</f>
        <v/>
      </c>
    </row>
    <row r="229">
      <c r="A229" s="15" t="n">
        <v>5</v>
      </c>
      <c r="B229" s="15" t="inlineStr">
        <is>
          <t>月</t>
        </is>
      </c>
      <c r="C229" s="15" t="n">
        <v>18</v>
      </c>
      <c r="D229" s="16" t="inlineStr">
        <is>
          <t>清水　航</t>
        </is>
      </c>
      <c r="F229" s="8">
        <f>IF(D229="","",A229&amp;"-"&amp;B229&amp;"-"&amp;C229)</f>
        <v/>
      </c>
      <c r="G229" s="8">
        <f>IF(F229="","",IFERROR(MATCH(A229&amp;"-"&amp;B229,設定!$Z$8:$Z$23,0),99)*1000+C229+ROW()/100000)</f>
        <v/>
      </c>
      <c r="H229" s="17">
        <f>IF(F229="","",IF(ISERROR(MATCH(A229&amp;"-"&amp;B229,設定!$Z$8:$Z$23,0)),"設定にない学年・組",IF(COUNTIF($F$2:$F$301,F229)&gt;1,"同じ学年・組・番号がいる","")))</f>
        <v/>
      </c>
    </row>
    <row r="230">
      <c r="A230" s="15" t="n">
        <v>5</v>
      </c>
      <c r="B230" s="15" t="inlineStr">
        <is>
          <t>月</t>
        </is>
      </c>
      <c r="C230" s="15" t="n">
        <v>19</v>
      </c>
      <c r="D230" s="16" t="inlineStr">
        <is>
          <t>藤田　奏太</t>
        </is>
      </c>
      <c r="F230" s="8">
        <f>IF(D230="","",A230&amp;"-"&amp;B230&amp;"-"&amp;C230)</f>
        <v/>
      </c>
      <c r="G230" s="8">
        <f>IF(F230="","",IFERROR(MATCH(A230&amp;"-"&amp;B230,設定!$Z$8:$Z$23,0),99)*1000+C230+ROW()/100000)</f>
        <v/>
      </c>
      <c r="H230" s="17">
        <f>IF(F230="","",IF(ISERROR(MATCH(A230&amp;"-"&amp;B230,設定!$Z$8:$Z$23,0)),"設定にない学年・組",IF(COUNTIF($F$2:$F$301,F230)&gt;1,"同じ学年・組・番号がいる","")))</f>
        <v/>
      </c>
    </row>
    <row r="231">
      <c r="A231" s="15" t="n">
        <v>5</v>
      </c>
      <c r="B231" s="15" t="inlineStr">
        <is>
          <t>月</t>
        </is>
      </c>
      <c r="C231" s="15" t="n">
        <v>20</v>
      </c>
      <c r="D231" s="16" t="inlineStr">
        <is>
          <t>斎藤　咲良</t>
        </is>
      </c>
      <c r="F231" s="8">
        <f>IF(D231="","",A231&amp;"-"&amp;B231&amp;"-"&amp;C231)</f>
        <v/>
      </c>
      <c r="G231" s="8">
        <f>IF(F231="","",IFERROR(MATCH(A231&amp;"-"&amp;B231,設定!$Z$8:$Z$23,0),99)*1000+C231+ROW()/100000)</f>
        <v/>
      </c>
      <c r="H231" s="17">
        <f>IF(F231="","",IF(ISERROR(MATCH(A231&amp;"-"&amp;B231,設定!$Z$8:$Z$23,0)),"設定にない学年・組",IF(COUNTIF($F$2:$F$301,F231)&gt;1,"同じ学年・組・番号がいる","")))</f>
        <v/>
      </c>
    </row>
    <row r="232">
      <c r="A232" s="15" t="n">
        <v>5</v>
      </c>
      <c r="B232" s="15" t="inlineStr">
        <is>
          <t>月</t>
        </is>
      </c>
      <c r="C232" s="15" t="n">
        <v>21</v>
      </c>
      <c r="D232" s="16" t="inlineStr">
        <is>
          <t>長谷川　結翔</t>
        </is>
      </c>
      <c r="F232" s="8">
        <f>IF(D232="","",A232&amp;"-"&amp;B232&amp;"-"&amp;C232)</f>
        <v/>
      </c>
      <c r="G232" s="8">
        <f>IF(F232="","",IFERROR(MATCH(A232&amp;"-"&amp;B232,設定!$Z$8:$Z$23,0),99)*1000+C232+ROW()/100000)</f>
        <v/>
      </c>
      <c r="H232" s="17">
        <f>IF(F232="","",IF(ISERROR(MATCH(A232&amp;"-"&amp;B232,設定!$Z$8:$Z$23,0)),"設定にない学年・組",IF(COUNTIF($F$2:$F$301,F232)&gt;1,"同じ学年・組・番号がいる","")))</f>
        <v/>
      </c>
    </row>
    <row r="233">
      <c r="A233" s="15" t="n">
        <v>5</v>
      </c>
      <c r="B233" s="15" t="inlineStr">
        <is>
          <t>月</t>
        </is>
      </c>
      <c r="C233" s="15" t="n">
        <v>22</v>
      </c>
      <c r="D233" s="16" t="inlineStr">
        <is>
          <t>林　結菜</t>
        </is>
      </c>
      <c r="F233" s="8">
        <f>IF(D233="","",A233&amp;"-"&amp;B233&amp;"-"&amp;C233)</f>
        <v/>
      </c>
      <c r="G233" s="8">
        <f>IF(F233="","",IFERROR(MATCH(A233&amp;"-"&amp;B233,設定!$Z$8:$Z$23,0),99)*1000+C233+ROW()/100000)</f>
        <v/>
      </c>
      <c r="H233" s="17">
        <f>IF(F233="","",IF(ISERROR(MATCH(A233&amp;"-"&amp;B233,設定!$Z$8:$Z$23,0)),"設定にない学年・組",IF(COUNTIF($F$2:$F$301,F233)&gt;1,"同じ学年・組・番号がいる","")))</f>
        <v/>
      </c>
    </row>
    <row r="234">
      <c r="A234" s="15" t="n">
        <v>5</v>
      </c>
      <c r="B234" s="15" t="inlineStr">
        <is>
          <t>月</t>
        </is>
      </c>
      <c r="C234" s="15" t="n">
        <v>23</v>
      </c>
      <c r="D234" s="16" t="inlineStr">
        <is>
          <t>鈴木　海斗</t>
        </is>
      </c>
      <c r="F234" s="8">
        <f>IF(D234="","",A234&amp;"-"&amp;B234&amp;"-"&amp;C234)</f>
        <v/>
      </c>
      <c r="G234" s="8">
        <f>IF(F234="","",IFERROR(MATCH(A234&amp;"-"&amp;B234,設定!$Z$8:$Z$23,0),99)*1000+C234+ROW()/100000)</f>
        <v/>
      </c>
      <c r="H234" s="17">
        <f>IF(F234="","",IF(ISERROR(MATCH(A234&amp;"-"&amp;B234,設定!$Z$8:$Z$23,0)),"設定にない学年・組",IF(COUNTIF($F$2:$F$301,F234)&gt;1,"同じ学年・組・番号がいる","")))</f>
        <v/>
      </c>
    </row>
    <row r="235">
      <c r="A235" s="15" t="n">
        <v>5</v>
      </c>
      <c r="B235" s="15" t="inlineStr">
        <is>
          <t>月</t>
        </is>
      </c>
      <c r="C235" s="15" t="n">
        <v>24</v>
      </c>
      <c r="D235" s="16" t="inlineStr">
        <is>
          <t>高橋　蓮</t>
        </is>
      </c>
      <c r="F235" s="8">
        <f>IF(D235="","",A235&amp;"-"&amp;B235&amp;"-"&amp;C235)</f>
        <v/>
      </c>
      <c r="G235" s="8">
        <f>IF(F235="","",IFERROR(MATCH(A235&amp;"-"&amp;B235,設定!$Z$8:$Z$23,0),99)*1000+C235+ROW()/100000)</f>
        <v/>
      </c>
      <c r="H235" s="17">
        <f>IF(F235="","",IF(ISERROR(MATCH(A235&amp;"-"&amp;B235,設定!$Z$8:$Z$23,0)),"設定にない学年・組",IF(COUNTIF($F$2:$F$301,F235)&gt;1,"同じ学年・組・番号がいる","")))</f>
        <v/>
      </c>
    </row>
    <row r="236">
      <c r="A236" s="15" t="n">
        <v>5</v>
      </c>
      <c r="B236" s="15" t="inlineStr">
        <is>
          <t>月</t>
        </is>
      </c>
      <c r="C236" s="15" t="n">
        <v>25</v>
      </c>
      <c r="D236" s="16" t="inlineStr">
        <is>
          <t>鈴木　莉子</t>
        </is>
      </c>
      <c r="F236" s="8">
        <f>IF(D236="","",A236&amp;"-"&amp;B236&amp;"-"&amp;C236)</f>
        <v/>
      </c>
      <c r="G236" s="8">
        <f>IF(F236="","",IFERROR(MATCH(A236&amp;"-"&amp;B236,設定!$Z$8:$Z$23,0),99)*1000+C236+ROW()/100000)</f>
        <v/>
      </c>
      <c r="H236" s="17">
        <f>IF(F236="","",IF(ISERROR(MATCH(A236&amp;"-"&amp;B236,設定!$Z$8:$Z$23,0)),"設定にない学年・組",IF(COUNTIF($F$2:$F$301,F236)&gt;1,"同じ学年・組・番号がいる","")))</f>
        <v/>
      </c>
    </row>
    <row r="237">
      <c r="A237" s="15" t="n">
        <v>5</v>
      </c>
      <c r="B237" s="15" t="inlineStr">
        <is>
          <t>月</t>
        </is>
      </c>
      <c r="C237" s="15" t="n">
        <v>26</v>
      </c>
      <c r="D237" s="16" t="inlineStr">
        <is>
          <t>長谷川　心春</t>
        </is>
      </c>
      <c r="F237" s="8">
        <f>IF(D237="","",A237&amp;"-"&amp;B237&amp;"-"&amp;C237)</f>
        <v/>
      </c>
      <c r="G237" s="8">
        <f>IF(F237="","",IFERROR(MATCH(A237&amp;"-"&amp;B237,設定!$Z$8:$Z$23,0),99)*1000+C237+ROW()/100000)</f>
        <v/>
      </c>
      <c r="H237" s="17">
        <f>IF(F237="","",IF(ISERROR(MATCH(A237&amp;"-"&amp;B237,設定!$Z$8:$Z$23,0)),"設定にない学年・組",IF(COUNTIF($F$2:$F$301,F237)&gt;1,"同じ学年・組・番号がいる","")))</f>
        <v/>
      </c>
    </row>
    <row r="238">
      <c r="A238" s="15" t="n">
        <v>5</v>
      </c>
      <c r="B238" s="15" t="inlineStr">
        <is>
          <t>月</t>
        </is>
      </c>
      <c r="C238" s="15" t="n">
        <v>27</v>
      </c>
      <c r="D238" s="16" t="inlineStr">
        <is>
          <t>井上　咲良</t>
        </is>
      </c>
      <c r="F238" s="8">
        <f>IF(D238="","",A238&amp;"-"&amp;B238&amp;"-"&amp;C238)</f>
        <v/>
      </c>
      <c r="G238" s="8">
        <f>IF(F238="","",IFERROR(MATCH(A238&amp;"-"&amp;B238,設定!$Z$8:$Z$23,0),99)*1000+C238+ROW()/100000)</f>
        <v/>
      </c>
      <c r="H238" s="17">
        <f>IF(F238="","",IF(ISERROR(MATCH(A238&amp;"-"&amp;B238,設定!$Z$8:$Z$23,0)),"設定にない学年・組",IF(COUNTIF($F$2:$F$301,F238)&gt;1,"同じ学年・組・番号がいる","")))</f>
        <v/>
      </c>
    </row>
    <row r="239">
      <c r="A239" s="15" t="n">
        <v>5</v>
      </c>
      <c r="B239" s="15" t="inlineStr">
        <is>
          <t>月</t>
        </is>
      </c>
      <c r="C239" s="15" t="n">
        <v>28</v>
      </c>
      <c r="D239" s="16" t="inlineStr">
        <is>
          <t>山本　結衣</t>
        </is>
      </c>
      <c r="F239" s="8">
        <f>IF(D239="","",A239&amp;"-"&amp;B239&amp;"-"&amp;C239)</f>
        <v/>
      </c>
      <c r="G239" s="8">
        <f>IF(F239="","",IFERROR(MATCH(A239&amp;"-"&amp;B239,設定!$Z$8:$Z$23,0),99)*1000+C239+ROW()/100000)</f>
        <v/>
      </c>
      <c r="H239" s="17">
        <f>IF(F239="","",IF(ISERROR(MATCH(A239&amp;"-"&amp;B239,設定!$Z$8:$Z$23,0)),"設定にない学年・組",IF(COUNTIF($F$2:$F$301,F239)&gt;1,"同じ学年・組・番号がいる","")))</f>
        <v/>
      </c>
    </row>
    <row r="240">
      <c r="A240" s="15" t="n">
        <v>5</v>
      </c>
      <c r="B240" s="15" t="inlineStr">
        <is>
          <t>月</t>
        </is>
      </c>
      <c r="C240" s="15" t="n">
        <v>29</v>
      </c>
      <c r="D240" s="16" t="inlineStr">
        <is>
          <t>石川　莉子</t>
        </is>
      </c>
      <c r="F240" s="8">
        <f>IF(D240="","",A240&amp;"-"&amp;B240&amp;"-"&amp;C240)</f>
        <v/>
      </c>
      <c r="G240" s="8">
        <f>IF(F240="","",IFERROR(MATCH(A240&amp;"-"&amp;B240,設定!$Z$8:$Z$23,0),99)*1000+C240+ROW()/100000)</f>
        <v/>
      </c>
      <c r="H240" s="17">
        <f>IF(F240="","",IF(ISERROR(MATCH(A240&amp;"-"&amp;B240,設定!$Z$8:$Z$23,0)),"設定にない学年・組",IF(COUNTIF($F$2:$F$301,F240)&gt;1,"同じ学年・組・番号がいる","")))</f>
        <v/>
      </c>
    </row>
    <row r="241">
      <c r="A241" s="15" t="n">
        <v>5</v>
      </c>
      <c r="B241" s="15" t="inlineStr">
        <is>
          <t>月</t>
        </is>
      </c>
      <c r="C241" s="15" t="n">
        <v>30</v>
      </c>
      <c r="D241" s="16" t="inlineStr">
        <is>
          <t>清水　奏太</t>
        </is>
      </c>
      <c r="F241" s="8">
        <f>IF(D241="","",A241&amp;"-"&amp;B241&amp;"-"&amp;C241)</f>
        <v/>
      </c>
      <c r="G241" s="8">
        <f>IF(F241="","",IFERROR(MATCH(A241&amp;"-"&amp;B241,設定!$Z$8:$Z$23,0),99)*1000+C241+ROW()/100000)</f>
        <v/>
      </c>
      <c r="H241" s="17">
        <f>IF(F241="","",IF(ISERROR(MATCH(A241&amp;"-"&amp;B241,設定!$Z$8:$Z$23,0)),"設定にない学年・組",IF(COUNTIF($F$2:$F$301,F241)&gt;1,"同じ学年・組・番号がいる","")))</f>
        <v/>
      </c>
    </row>
    <row r="242">
      <c r="A242" s="15" t="n"/>
      <c r="B242" s="15" t="n"/>
      <c r="C242" s="15" t="n"/>
      <c r="D242" s="16" t="n"/>
      <c r="F242" s="8">
        <f>IF(D242="","",A242&amp;"-"&amp;B242&amp;"-"&amp;C242)</f>
        <v/>
      </c>
      <c r="G242" s="8">
        <f>IF(F242="","",IFERROR(MATCH(A242&amp;"-"&amp;B242,設定!$Z$8:$Z$23,0),99)*1000+C242+ROW()/100000)</f>
        <v/>
      </c>
      <c r="H242" s="17">
        <f>IF(F242="","",IF(ISERROR(MATCH(A242&amp;"-"&amp;B242,設定!$Z$8:$Z$23,0)),"設定にない学年・組",IF(COUNTIF($F$2:$F$301,F242)&gt;1,"同じ学年・組・番号がいる","")))</f>
        <v/>
      </c>
    </row>
    <row r="243">
      <c r="A243" s="15" t="n"/>
      <c r="B243" s="15" t="n"/>
      <c r="C243" s="15" t="n"/>
      <c r="D243" s="16" t="n"/>
      <c r="F243" s="8">
        <f>IF(D243="","",A243&amp;"-"&amp;B243&amp;"-"&amp;C243)</f>
        <v/>
      </c>
      <c r="G243" s="8">
        <f>IF(F243="","",IFERROR(MATCH(A243&amp;"-"&amp;B243,設定!$Z$8:$Z$23,0),99)*1000+C243+ROW()/100000)</f>
        <v/>
      </c>
      <c r="H243" s="17">
        <f>IF(F243="","",IF(ISERROR(MATCH(A243&amp;"-"&amp;B243,設定!$Z$8:$Z$23,0)),"設定にない学年・組",IF(COUNTIF($F$2:$F$301,F243)&gt;1,"同じ学年・組・番号がいる","")))</f>
        <v/>
      </c>
    </row>
    <row r="244">
      <c r="A244" s="15" t="n"/>
      <c r="B244" s="15" t="n"/>
      <c r="C244" s="15" t="n"/>
      <c r="D244" s="16" t="n"/>
      <c r="F244" s="8">
        <f>IF(D244="","",A244&amp;"-"&amp;B244&amp;"-"&amp;C244)</f>
        <v/>
      </c>
      <c r="G244" s="8">
        <f>IF(F244="","",IFERROR(MATCH(A244&amp;"-"&amp;B244,設定!$Z$8:$Z$23,0),99)*1000+C244+ROW()/100000)</f>
        <v/>
      </c>
      <c r="H244" s="17">
        <f>IF(F244="","",IF(ISERROR(MATCH(A244&amp;"-"&amp;B244,設定!$Z$8:$Z$23,0)),"設定にない学年・組",IF(COUNTIF($F$2:$F$301,F244)&gt;1,"同じ学年・組・番号がいる","")))</f>
        <v/>
      </c>
    </row>
    <row r="245">
      <c r="A245" s="15" t="n"/>
      <c r="B245" s="15" t="n"/>
      <c r="C245" s="15" t="n"/>
      <c r="D245" s="16" t="n"/>
      <c r="F245" s="8">
        <f>IF(D245="","",A245&amp;"-"&amp;B245&amp;"-"&amp;C245)</f>
        <v/>
      </c>
      <c r="G245" s="8">
        <f>IF(F245="","",IFERROR(MATCH(A245&amp;"-"&amp;B245,設定!$Z$8:$Z$23,0),99)*1000+C245+ROW()/100000)</f>
        <v/>
      </c>
      <c r="H245" s="17">
        <f>IF(F245="","",IF(ISERROR(MATCH(A245&amp;"-"&amp;B245,設定!$Z$8:$Z$23,0)),"設定にない学年・組",IF(COUNTIF($F$2:$F$301,F245)&gt;1,"同じ学年・組・番号がいる","")))</f>
        <v/>
      </c>
    </row>
    <row r="246">
      <c r="A246" s="15" t="n"/>
      <c r="B246" s="15" t="n"/>
      <c r="C246" s="15" t="n"/>
      <c r="D246" s="16" t="n"/>
      <c r="F246" s="8">
        <f>IF(D246="","",A246&amp;"-"&amp;B246&amp;"-"&amp;C246)</f>
        <v/>
      </c>
      <c r="G246" s="8">
        <f>IF(F246="","",IFERROR(MATCH(A246&amp;"-"&amp;B246,設定!$Z$8:$Z$23,0),99)*1000+C246+ROW()/100000)</f>
        <v/>
      </c>
      <c r="H246" s="17">
        <f>IF(F246="","",IF(ISERROR(MATCH(A246&amp;"-"&amp;B246,設定!$Z$8:$Z$23,0)),"設定にない学年・組",IF(COUNTIF($F$2:$F$301,F246)&gt;1,"同じ学年・組・番号がいる","")))</f>
        <v/>
      </c>
    </row>
    <row r="247">
      <c r="A247" s="15" t="n"/>
      <c r="B247" s="15" t="n"/>
      <c r="C247" s="15" t="n"/>
      <c r="D247" s="16" t="n"/>
      <c r="F247" s="8">
        <f>IF(D247="","",A247&amp;"-"&amp;B247&amp;"-"&amp;C247)</f>
        <v/>
      </c>
      <c r="G247" s="8">
        <f>IF(F247="","",IFERROR(MATCH(A247&amp;"-"&amp;B247,設定!$Z$8:$Z$23,0),99)*1000+C247+ROW()/100000)</f>
        <v/>
      </c>
      <c r="H247" s="17">
        <f>IF(F247="","",IF(ISERROR(MATCH(A247&amp;"-"&amp;B247,設定!$Z$8:$Z$23,0)),"設定にない学年・組",IF(COUNTIF($F$2:$F$301,F247)&gt;1,"同じ学年・組・番号がいる","")))</f>
        <v/>
      </c>
    </row>
    <row r="248">
      <c r="A248" s="15" t="n"/>
      <c r="B248" s="15" t="n"/>
      <c r="C248" s="15" t="n"/>
      <c r="D248" s="16" t="n"/>
      <c r="F248" s="8">
        <f>IF(D248="","",A248&amp;"-"&amp;B248&amp;"-"&amp;C248)</f>
        <v/>
      </c>
      <c r="G248" s="8">
        <f>IF(F248="","",IFERROR(MATCH(A248&amp;"-"&amp;B248,設定!$Z$8:$Z$23,0),99)*1000+C248+ROW()/100000)</f>
        <v/>
      </c>
      <c r="H248" s="17">
        <f>IF(F248="","",IF(ISERROR(MATCH(A248&amp;"-"&amp;B248,設定!$Z$8:$Z$23,0)),"設定にない学年・組",IF(COUNTIF($F$2:$F$301,F248)&gt;1,"同じ学年・組・番号がいる","")))</f>
        <v/>
      </c>
    </row>
    <row r="249">
      <c r="A249" s="15" t="n"/>
      <c r="B249" s="15" t="n"/>
      <c r="C249" s="15" t="n"/>
      <c r="D249" s="16" t="n"/>
      <c r="F249" s="8">
        <f>IF(D249="","",A249&amp;"-"&amp;B249&amp;"-"&amp;C249)</f>
        <v/>
      </c>
      <c r="G249" s="8">
        <f>IF(F249="","",IFERROR(MATCH(A249&amp;"-"&amp;B249,設定!$Z$8:$Z$23,0),99)*1000+C249+ROW()/100000)</f>
        <v/>
      </c>
      <c r="H249" s="17">
        <f>IF(F249="","",IF(ISERROR(MATCH(A249&amp;"-"&amp;B249,設定!$Z$8:$Z$23,0)),"設定にない学年・組",IF(COUNTIF($F$2:$F$301,F249)&gt;1,"同じ学年・組・番号がいる","")))</f>
        <v/>
      </c>
    </row>
    <row r="250">
      <c r="A250" s="15" t="n"/>
      <c r="B250" s="15" t="n"/>
      <c r="C250" s="15" t="n"/>
      <c r="D250" s="16" t="n"/>
      <c r="F250" s="8">
        <f>IF(D250="","",A250&amp;"-"&amp;B250&amp;"-"&amp;C250)</f>
        <v/>
      </c>
      <c r="G250" s="8">
        <f>IF(F250="","",IFERROR(MATCH(A250&amp;"-"&amp;B250,設定!$Z$8:$Z$23,0),99)*1000+C250+ROW()/100000)</f>
        <v/>
      </c>
      <c r="H250" s="17">
        <f>IF(F250="","",IF(ISERROR(MATCH(A250&amp;"-"&amp;B250,設定!$Z$8:$Z$23,0)),"設定にない学年・組",IF(COUNTIF($F$2:$F$301,F250)&gt;1,"同じ学年・組・番号がいる","")))</f>
        <v/>
      </c>
    </row>
    <row r="251">
      <c r="A251" s="15" t="n"/>
      <c r="B251" s="15" t="n"/>
      <c r="C251" s="15" t="n"/>
      <c r="D251" s="16" t="n"/>
      <c r="F251" s="8">
        <f>IF(D251="","",A251&amp;"-"&amp;B251&amp;"-"&amp;C251)</f>
        <v/>
      </c>
      <c r="G251" s="8">
        <f>IF(F251="","",IFERROR(MATCH(A251&amp;"-"&amp;B251,設定!$Z$8:$Z$23,0),99)*1000+C251+ROW()/100000)</f>
        <v/>
      </c>
      <c r="H251" s="17">
        <f>IF(F251="","",IF(ISERROR(MATCH(A251&amp;"-"&amp;B251,設定!$Z$8:$Z$23,0)),"設定にない学年・組",IF(COUNTIF($F$2:$F$301,F251)&gt;1,"同じ学年・組・番号がいる","")))</f>
        <v/>
      </c>
    </row>
    <row r="252">
      <c r="A252" s="15" t="n"/>
      <c r="B252" s="15" t="n"/>
      <c r="C252" s="15" t="n"/>
      <c r="D252" s="16" t="n"/>
      <c r="F252" s="8">
        <f>IF(D252="","",A252&amp;"-"&amp;B252&amp;"-"&amp;C252)</f>
        <v/>
      </c>
      <c r="G252" s="8">
        <f>IF(F252="","",IFERROR(MATCH(A252&amp;"-"&amp;B252,設定!$Z$8:$Z$23,0),99)*1000+C252+ROW()/100000)</f>
        <v/>
      </c>
      <c r="H252" s="17">
        <f>IF(F252="","",IF(ISERROR(MATCH(A252&amp;"-"&amp;B252,設定!$Z$8:$Z$23,0)),"設定にない学年・組",IF(COUNTIF($F$2:$F$301,F252)&gt;1,"同じ学年・組・番号がいる","")))</f>
        <v/>
      </c>
    </row>
    <row r="253">
      <c r="A253" s="15" t="n"/>
      <c r="B253" s="15" t="n"/>
      <c r="C253" s="15" t="n"/>
      <c r="D253" s="16" t="n"/>
      <c r="F253" s="8">
        <f>IF(D253="","",A253&amp;"-"&amp;B253&amp;"-"&amp;C253)</f>
        <v/>
      </c>
      <c r="G253" s="8">
        <f>IF(F253="","",IFERROR(MATCH(A253&amp;"-"&amp;B253,設定!$Z$8:$Z$23,0),99)*1000+C253+ROW()/100000)</f>
        <v/>
      </c>
      <c r="H253" s="17">
        <f>IF(F253="","",IF(ISERROR(MATCH(A253&amp;"-"&amp;B253,設定!$Z$8:$Z$23,0)),"設定にない学年・組",IF(COUNTIF($F$2:$F$301,F253)&gt;1,"同じ学年・組・番号がいる","")))</f>
        <v/>
      </c>
    </row>
    <row r="254">
      <c r="A254" s="15" t="n"/>
      <c r="B254" s="15" t="n"/>
      <c r="C254" s="15" t="n"/>
      <c r="D254" s="16" t="n"/>
      <c r="F254" s="8">
        <f>IF(D254="","",A254&amp;"-"&amp;B254&amp;"-"&amp;C254)</f>
        <v/>
      </c>
      <c r="G254" s="8">
        <f>IF(F254="","",IFERROR(MATCH(A254&amp;"-"&amp;B254,設定!$Z$8:$Z$23,0),99)*1000+C254+ROW()/100000)</f>
        <v/>
      </c>
      <c r="H254" s="17">
        <f>IF(F254="","",IF(ISERROR(MATCH(A254&amp;"-"&amp;B254,設定!$Z$8:$Z$23,0)),"設定にない学年・組",IF(COUNTIF($F$2:$F$301,F254)&gt;1,"同じ学年・組・番号がいる","")))</f>
        <v/>
      </c>
    </row>
    <row r="255">
      <c r="A255" s="15" t="n"/>
      <c r="B255" s="15" t="n"/>
      <c r="C255" s="15" t="n"/>
      <c r="D255" s="16" t="n"/>
      <c r="F255" s="8">
        <f>IF(D255="","",A255&amp;"-"&amp;B255&amp;"-"&amp;C255)</f>
        <v/>
      </c>
      <c r="G255" s="8">
        <f>IF(F255="","",IFERROR(MATCH(A255&amp;"-"&amp;B255,設定!$Z$8:$Z$23,0),99)*1000+C255+ROW()/100000)</f>
        <v/>
      </c>
      <c r="H255" s="17">
        <f>IF(F255="","",IF(ISERROR(MATCH(A255&amp;"-"&amp;B255,設定!$Z$8:$Z$23,0)),"設定にない学年・組",IF(COUNTIF($F$2:$F$301,F255)&gt;1,"同じ学年・組・番号がいる","")))</f>
        <v/>
      </c>
    </row>
    <row r="256">
      <c r="A256" s="15" t="n"/>
      <c r="B256" s="15" t="n"/>
      <c r="C256" s="15" t="n"/>
      <c r="D256" s="16" t="n"/>
      <c r="F256" s="8">
        <f>IF(D256="","",A256&amp;"-"&amp;B256&amp;"-"&amp;C256)</f>
        <v/>
      </c>
      <c r="G256" s="8">
        <f>IF(F256="","",IFERROR(MATCH(A256&amp;"-"&amp;B256,設定!$Z$8:$Z$23,0),99)*1000+C256+ROW()/100000)</f>
        <v/>
      </c>
      <c r="H256" s="17">
        <f>IF(F256="","",IF(ISERROR(MATCH(A256&amp;"-"&amp;B256,設定!$Z$8:$Z$23,0)),"設定にない学年・組",IF(COUNTIF($F$2:$F$301,F256)&gt;1,"同じ学年・組・番号がいる","")))</f>
        <v/>
      </c>
    </row>
    <row r="257">
      <c r="A257" s="15" t="n"/>
      <c r="B257" s="15" t="n"/>
      <c r="C257" s="15" t="n"/>
      <c r="D257" s="16" t="n"/>
      <c r="F257" s="8">
        <f>IF(D257="","",A257&amp;"-"&amp;B257&amp;"-"&amp;C257)</f>
        <v/>
      </c>
      <c r="G257" s="8">
        <f>IF(F257="","",IFERROR(MATCH(A257&amp;"-"&amp;B257,設定!$Z$8:$Z$23,0),99)*1000+C257+ROW()/100000)</f>
        <v/>
      </c>
      <c r="H257" s="17">
        <f>IF(F257="","",IF(ISERROR(MATCH(A257&amp;"-"&amp;B257,設定!$Z$8:$Z$23,0)),"設定にない学年・組",IF(COUNTIF($F$2:$F$301,F257)&gt;1,"同じ学年・組・番号がいる","")))</f>
        <v/>
      </c>
    </row>
    <row r="258">
      <c r="A258" s="15" t="n"/>
      <c r="B258" s="15" t="n"/>
      <c r="C258" s="15" t="n"/>
      <c r="D258" s="16" t="n"/>
      <c r="F258" s="8">
        <f>IF(D258="","",A258&amp;"-"&amp;B258&amp;"-"&amp;C258)</f>
        <v/>
      </c>
      <c r="G258" s="8">
        <f>IF(F258="","",IFERROR(MATCH(A258&amp;"-"&amp;B258,設定!$Z$8:$Z$23,0),99)*1000+C258+ROW()/100000)</f>
        <v/>
      </c>
      <c r="H258" s="17">
        <f>IF(F258="","",IF(ISERROR(MATCH(A258&amp;"-"&amp;B258,設定!$Z$8:$Z$23,0)),"設定にない学年・組",IF(COUNTIF($F$2:$F$301,F258)&gt;1,"同じ学年・組・番号がいる","")))</f>
        <v/>
      </c>
    </row>
    <row r="259">
      <c r="A259" s="15" t="n"/>
      <c r="B259" s="15" t="n"/>
      <c r="C259" s="15" t="n"/>
      <c r="D259" s="16" t="n"/>
      <c r="F259" s="8">
        <f>IF(D259="","",A259&amp;"-"&amp;B259&amp;"-"&amp;C259)</f>
        <v/>
      </c>
      <c r="G259" s="8">
        <f>IF(F259="","",IFERROR(MATCH(A259&amp;"-"&amp;B259,設定!$Z$8:$Z$23,0),99)*1000+C259+ROW()/100000)</f>
        <v/>
      </c>
      <c r="H259" s="17">
        <f>IF(F259="","",IF(ISERROR(MATCH(A259&amp;"-"&amp;B259,設定!$Z$8:$Z$23,0)),"設定にない学年・組",IF(COUNTIF($F$2:$F$301,F259)&gt;1,"同じ学年・組・番号がいる","")))</f>
        <v/>
      </c>
    </row>
    <row r="260">
      <c r="A260" s="15" t="n"/>
      <c r="B260" s="15" t="n"/>
      <c r="C260" s="15" t="n"/>
      <c r="D260" s="16" t="n"/>
      <c r="F260" s="8">
        <f>IF(D260="","",A260&amp;"-"&amp;B260&amp;"-"&amp;C260)</f>
        <v/>
      </c>
      <c r="G260" s="8">
        <f>IF(F260="","",IFERROR(MATCH(A260&amp;"-"&amp;B260,設定!$Z$8:$Z$23,0),99)*1000+C260+ROW()/100000)</f>
        <v/>
      </c>
      <c r="H260" s="17">
        <f>IF(F260="","",IF(ISERROR(MATCH(A260&amp;"-"&amp;B260,設定!$Z$8:$Z$23,0)),"設定にない学年・組",IF(COUNTIF($F$2:$F$301,F260)&gt;1,"同じ学年・組・番号がいる","")))</f>
        <v/>
      </c>
    </row>
    <row r="261">
      <c r="A261" s="15" t="n"/>
      <c r="B261" s="15" t="n"/>
      <c r="C261" s="15" t="n"/>
      <c r="D261" s="16" t="n"/>
      <c r="F261" s="8">
        <f>IF(D261="","",A261&amp;"-"&amp;B261&amp;"-"&amp;C261)</f>
        <v/>
      </c>
      <c r="G261" s="8">
        <f>IF(F261="","",IFERROR(MATCH(A261&amp;"-"&amp;B261,設定!$Z$8:$Z$23,0),99)*1000+C261+ROW()/100000)</f>
        <v/>
      </c>
      <c r="H261" s="17">
        <f>IF(F261="","",IF(ISERROR(MATCH(A261&amp;"-"&amp;B261,設定!$Z$8:$Z$23,0)),"設定にない学年・組",IF(COUNTIF($F$2:$F$301,F261)&gt;1,"同じ学年・組・番号がいる","")))</f>
        <v/>
      </c>
    </row>
    <row r="262">
      <c r="A262" s="15" t="n"/>
      <c r="B262" s="15" t="n"/>
      <c r="C262" s="15" t="n"/>
      <c r="D262" s="16" t="n"/>
      <c r="F262" s="8">
        <f>IF(D262="","",A262&amp;"-"&amp;B262&amp;"-"&amp;C262)</f>
        <v/>
      </c>
      <c r="G262" s="8">
        <f>IF(F262="","",IFERROR(MATCH(A262&amp;"-"&amp;B262,設定!$Z$8:$Z$23,0),99)*1000+C262+ROW()/100000)</f>
        <v/>
      </c>
      <c r="H262" s="17">
        <f>IF(F262="","",IF(ISERROR(MATCH(A262&amp;"-"&amp;B262,設定!$Z$8:$Z$23,0)),"設定にない学年・組",IF(COUNTIF($F$2:$F$301,F262)&gt;1,"同じ学年・組・番号がいる","")))</f>
        <v/>
      </c>
    </row>
    <row r="263">
      <c r="A263" s="15" t="n"/>
      <c r="B263" s="15" t="n"/>
      <c r="C263" s="15" t="n"/>
      <c r="D263" s="16" t="n"/>
      <c r="F263" s="8">
        <f>IF(D263="","",A263&amp;"-"&amp;B263&amp;"-"&amp;C263)</f>
        <v/>
      </c>
      <c r="G263" s="8">
        <f>IF(F263="","",IFERROR(MATCH(A263&amp;"-"&amp;B263,設定!$Z$8:$Z$23,0),99)*1000+C263+ROW()/100000)</f>
        <v/>
      </c>
      <c r="H263" s="17">
        <f>IF(F263="","",IF(ISERROR(MATCH(A263&amp;"-"&amp;B263,設定!$Z$8:$Z$23,0)),"設定にない学年・組",IF(COUNTIF($F$2:$F$301,F263)&gt;1,"同じ学年・組・番号がいる","")))</f>
        <v/>
      </c>
    </row>
    <row r="264">
      <c r="A264" s="15" t="n"/>
      <c r="B264" s="15" t="n"/>
      <c r="C264" s="15" t="n"/>
      <c r="D264" s="16" t="n"/>
      <c r="F264" s="8">
        <f>IF(D264="","",A264&amp;"-"&amp;B264&amp;"-"&amp;C264)</f>
        <v/>
      </c>
      <c r="G264" s="8">
        <f>IF(F264="","",IFERROR(MATCH(A264&amp;"-"&amp;B264,設定!$Z$8:$Z$23,0),99)*1000+C264+ROW()/100000)</f>
        <v/>
      </c>
      <c r="H264" s="17">
        <f>IF(F264="","",IF(ISERROR(MATCH(A264&amp;"-"&amp;B264,設定!$Z$8:$Z$23,0)),"設定にない学年・組",IF(COUNTIF($F$2:$F$301,F264)&gt;1,"同じ学年・組・番号がいる","")))</f>
        <v/>
      </c>
    </row>
    <row r="265">
      <c r="A265" s="15" t="n"/>
      <c r="B265" s="15" t="n"/>
      <c r="C265" s="15" t="n"/>
      <c r="D265" s="16" t="n"/>
      <c r="F265" s="8">
        <f>IF(D265="","",A265&amp;"-"&amp;B265&amp;"-"&amp;C265)</f>
        <v/>
      </c>
      <c r="G265" s="8">
        <f>IF(F265="","",IFERROR(MATCH(A265&amp;"-"&amp;B265,設定!$Z$8:$Z$23,0),99)*1000+C265+ROW()/100000)</f>
        <v/>
      </c>
      <c r="H265" s="17">
        <f>IF(F265="","",IF(ISERROR(MATCH(A265&amp;"-"&amp;B265,設定!$Z$8:$Z$23,0)),"設定にない学年・組",IF(COUNTIF($F$2:$F$301,F265)&gt;1,"同じ学年・組・番号がいる","")))</f>
        <v/>
      </c>
    </row>
    <row r="266">
      <c r="A266" s="15" t="n"/>
      <c r="B266" s="15" t="n"/>
      <c r="C266" s="15" t="n"/>
      <c r="D266" s="16" t="n"/>
      <c r="F266" s="8">
        <f>IF(D266="","",A266&amp;"-"&amp;B266&amp;"-"&amp;C266)</f>
        <v/>
      </c>
      <c r="G266" s="8">
        <f>IF(F266="","",IFERROR(MATCH(A266&amp;"-"&amp;B266,設定!$Z$8:$Z$23,0),99)*1000+C266+ROW()/100000)</f>
        <v/>
      </c>
      <c r="H266" s="17">
        <f>IF(F266="","",IF(ISERROR(MATCH(A266&amp;"-"&amp;B266,設定!$Z$8:$Z$23,0)),"設定にない学年・組",IF(COUNTIF($F$2:$F$301,F266)&gt;1,"同じ学年・組・番号がいる","")))</f>
        <v/>
      </c>
    </row>
    <row r="267">
      <c r="A267" s="15" t="n"/>
      <c r="B267" s="15" t="n"/>
      <c r="C267" s="15" t="n"/>
      <c r="D267" s="16" t="n"/>
      <c r="F267" s="8">
        <f>IF(D267="","",A267&amp;"-"&amp;B267&amp;"-"&amp;C267)</f>
        <v/>
      </c>
      <c r="G267" s="8">
        <f>IF(F267="","",IFERROR(MATCH(A267&amp;"-"&amp;B267,設定!$Z$8:$Z$23,0),99)*1000+C267+ROW()/100000)</f>
        <v/>
      </c>
      <c r="H267" s="17">
        <f>IF(F267="","",IF(ISERROR(MATCH(A267&amp;"-"&amp;B267,設定!$Z$8:$Z$23,0)),"設定にない学年・組",IF(COUNTIF($F$2:$F$301,F267)&gt;1,"同じ学年・組・番号がいる","")))</f>
        <v/>
      </c>
    </row>
    <row r="268">
      <c r="A268" s="15" t="n"/>
      <c r="B268" s="15" t="n"/>
      <c r="C268" s="15" t="n"/>
      <c r="D268" s="16" t="n"/>
      <c r="F268" s="8">
        <f>IF(D268="","",A268&amp;"-"&amp;B268&amp;"-"&amp;C268)</f>
        <v/>
      </c>
      <c r="G268" s="8">
        <f>IF(F268="","",IFERROR(MATCH(A268&amp;"-"&amp;B268,設定!$Z$8:$Z$23,0),99)*1000+C268+ROW()/100000)</f>
        <v/>
      </c>
      <c r="H268" s="17">
        <f>IF(F268="","",IF(ISERROR(MATCH(A268&amp;"-"&amp;B268,設定!$Z$8:$Z$23,0)),"設定にない学年・組",IF(COUNTIF($F$2:$F$301,F268)&gt;1,"同じ学年・組・番号がいる","")))</f>
        <v/>
      </c>
    </row>
    <row r="269">
      <c r="A269" s="15" t="n"/>
      <c r="B269" s="15" t="n"/>
      <c r="C269" s="15" t="n"/>
      <c r="D269" s="16" t="n"/>
      <c r="F269" s="8">
        <f>IF(D269="","",A269&amp;"-"&amp;B269&amp;"-"&amp;C269)</f>
        <v/>
      </c>
      <c r="G269" s="8">
        <f>IF(F269="","",IFERROR(MATCH(A269&amp;"-"&amp;B269,設定!$Z$8:$Z$23,0),99)*1000+C269+ROW()/100000)</f>
        <v/>
      </c>
      <c r="H269" s="17">
        <f>IF(F269="","",IF(ISERROR(MATCH(A269&amp;"-"&amp;B269,設定!$Z$8:$Z$23,0)),"設定にない学年・組",IF(COUNTIF($F$2:$F$301,F269)&gt;1,"同じ学年・組・番号がいる","")))</f>
        <v/>
      </c>
    </row>
    <row r="270">
      <c r="A270" s="15" t="n"/>
      <c r="B270" s="15" t="n"/>
      <c r="C270" s="15" t="n"/>
      <c r="D270" s="16" t="n"/>
      <c r="F270" s="8">
        <f>IF(D270="","",A270&amp;"-"&amp;B270&amp;"-"&amp;C270)</f>
        <v/>
      </c>
      <c r="G270" s="8">
        <f>IF(F270="","",IFERROR(MATCH(A270&amp;"-"&amp;B270,設定!$Z$8:$Z$23,0),99)*1000+C270+ROW()/100000)</f>
        <v/>
      </c>
      <c r="H270" s="17">
        <f>IF(F270="","",IF(ISERROR(MATCH(A270&amp;"-"&amp;B270,設定!$Z$8:$Z$23,0)),"設定にない学年・組",IF(COUNTIF($F$2:$F$301,F270)&gt;1,"同じ学年・組・番号がいる","")))</f>
        <v/>
      </c>
    </row>
    <row r="271">
      <c r="A271" s="15" t="n"/>
      <c r="B271" s="15" t="n"/>
      <c r="C271" s="15" t="n"/>
      <c r="D271" s="16" t="n"/>
      <c r="F271" s="8">
        <f>IF(D271="","",A271&amp;"-"&amp;B271&amp;"-"&amp;C271)</f>
        <v/>
      </c>
      <c r="G271" s="8">
        <f>IF(F271="","",IFERROR(MATCH(A271&amp;"-"&amp;B271,設定!$Z$8:$Z$23,0),99)*1000+C271+ROW()/100000)</f>
        <v/>
      </c>
      <c r="H271" s="17">
        <f>IF(F271="","",IF(ISERROR(MATCH(A271&amp;"-"&amp;B271,設定!$Z$8:$Z$23,0)),"設定にない学年・組",IF(COUNTIF($F$2:$F$301,F271)&gt;1,"同じ学年・組・番号がいる","")))</f>
        <v/>
      </c>
    </row>
    <row r="272">
      <c r="A272" s="15" t="n"/>
      <c r="B272" s="15" t="n"/>
      <c r="C272" s="15" t="n"/>
      <c r="D272" s="16" t="n"/>
      <c r="F272" s="8">
        <f>IF(D272="","",A272&amp;"-"&amp;B272&amp;"-"&amp;C272)</f>
        <v/>
      </c>
      <c r="G272" s="8">
        <f>IF(F272="","",IFERROR(MATCH(A272&amp;"-"&amp;B272,設定!$Z$8:$Z$23,0),99)*1000+C272+ROW()/100000)</f>
        <v/>
      </c>
      <c r="H272" s="17">
        <f>IF(F272="","",IF(ISERROR(MATCH(A272&amp;"-"&amp;B272,設定!$Z$8:$Z$23,0)),"設定にない学年・組",IF(COUNTIF($F$2:$F$301,F272)&gt;1,"同じ学年・組・番号がいる","")))</f>
        <v/>
      </c>
    </row>
    <row r="273">
      <c r="A273" s="15" t="n"/>
      <c r="B273" s="15" t="n"/>
      <c r="C273" s="15" t="n"/>
      <c r="D273" s="16" t="n"/>
      <c r="F273" s="8">
        <f>IF(D273="","",A273&amp;"-"&amp;B273&amp;"-"&amp;C273)</f>
        <v/>
      </c>
      <c r="G273" s="8">
        <f>IF(F273="","",IFERROR(MATCH(A273&amp;"-"&amp;B273,設定!$Z$8:$Z$23,0),99)*1000+C273+ROW()/100000)</f>
        <v/>
      </c>
      <c r="H273" s="17">
        <f>IF(F273="","",IF(ISERROR(MATCH(A273&amp;"-"&amp;B273,設定!$Z$8:$Z$23,0)),"設定にない学年・組",IF(COUNTIF($F$2:$F$301,F273)&gt;1,"同じ学年・組・番号がいる","")))</f>
        <v/>
      </c>
    </row>
    <row r="274">
      <c r="A274" s="15" t="n"/>
      <c r="B274" s="15" t="n"/>
      <c r="C274" s="15" t="n"/>
      <c r="D274" s="16" t="n"/>
      <c r="F274" s="8">
        <f>IF(D274="","",A274&amp;"-"&amp;B274&amp;"-"&amp;C274)</f>
        <v/>
      </c>
      <c r="G274" s="8">
        <f>IF(F274="","",IFERROR(MATCH(A274&amp;"-"&amp;B274,設定!$Z$8:$Z$23,0),99)*1000+C274+ROW()/100000)</f>
        <v/>
      </c>
      <c r="H274" s="17">
        <f>IF(F274="","",IF(ISERROR(MATCH(A274&amp;"-"&amp;B274,設定!$Z$8:$Z$23,0)),"設定にない学年・組",IF(COUNTIF($F$2:$F$301,F274)&gt;1,"同じ学年・組・番号がいる","")))</f>
        <v/>
      </c>
    </row>
    <row r="275">
      <c r="A275" s="15" t="n"/>
      <c r="B275" s="15" t="n"/>
      <c r="C275" s="15" t="n"/>
      <c r="D275" s="16" t="n"/>
      <c r="F275" s="8">
        <f>IF(D275="","",A275&amp;"-"&amp;B275&amp;"-"&amp;C275)</f>
        <v/>
      </c>
      <c r="G275" s="8">
        <f>IF(F275="","",IFERROR(MATCH(A275&amp;"-"&amp;B275,設定!$Z$8:$Z$23,0),99)*1000+C275+ROW()/100000)</f>
        <v/>
      </c>
      <c r="H275" s="17">
        <f>IF(F275="","",IF(ISERROR(MATCH(A275&amp;"-"&amp;B275,設定!$Z$8:$Z$23,0)),"設定にない学年・組",IF(COUNTIF($F$2:$F$301,F275)&gt;1,"同じ学年・組・番号がいる","")))</f>
        <v/>
      </c>
    </row>
    <row r="276">
      <c r="A276" s="15" t="n"/>
      <c r="B276" s="15" t="n"/>
      <c r="C276" s="15" t="n"/>
      <c r="D276" s="16" t="n"/>
      <c r="F276" s="8">
        <f>IF(D276="","",A276&amp;"-"&amp;B276&amp;"-"&amp;C276)</f>
        <v/>
      </c>
      <c r="G276" s="8">
        <f>IF(F276="","",IFERROR(MATCH(A276&amp;"-"&amp;B276,設定!$Z$8:$Z$23,0),99)*1000+C276+ROW()/100000)</f>
        <v/>
      </c>
      <c r="H276" s="17">
        <f>IF(F276="","",IF(ISERROR(MATCH(A276&amp;"-"&amp;B276,設定!$Z$8:$Z$23,0)),"設定にない学年・組",IF(COUNTIF($F$2:$F$301,F276)&gt;1,"同じ学年・組・番号がいる","")))</f>
        <v/>
      </c>
    </row>
    <row r="277">
      <c r="A277" s="15" t="n"/>
      <c r="B277" s="15" t="n"/>
      <c r="C277" s="15" t="n"/>
      <c r="D277" s="16" t="n"/>
      <c r="F277" s="8">
        <f>IF(D277="","",A277&amp;"-"&amp;B277&amp;"-"&amp;C277)</f>
        <v/>
      </c>
      <c r="G277" s="8">
        <f>IF(F277="","",IFERROR(MATCH(A277&amp;"-"&amp;B277,設定!$Z$8:$Z$23,0),99)*1000+C277+ROW()/100000)</f>
        <v/>
      </c>
      <c r="H277" s="17">
        <f>IF(F277="","",IF(ISERROR(MATCH(A277&amp;"-"&amp;B277,設定!$Z$8:$Z$23,0)),"設定にない学年・組",IF(COUNTIF($F$2:$F$301,F277)&gt;1,"同じ学年・組・番号がいる","")))</f>
        <v/>
      </c>
    </row>
    <row r="278">
      <c r="A278" s="15" t="n"/>
      <c r="B278" s="15" t="n"/>
      <c r="C278" s="15" t="n"/>
      <c r="D278" s="16" t="n"/>
      <c r="F278" s="8">
        <f>IF(D278="","",A278&amp;"-"&amp;B278&amp;"-"&amp;C278)</f>
        <v/>
      </c>
      <c r="G278" s="8">
        <f>IF(F278="","",IFERROR(MATCH(A278&amp;"-"&amp;B278,設定!$Z$8:$Z$23,0),99)*1000+C278+ROW()/100000)</f>
        <v/>
      </c>
      <c r="H278" s="17">
        <f>IF(F278="","",IF(ISERROR(MATCH(A278&amp;"-"&amp;B278,設定!$Z$8:$Z$23,0)),"設定にない学年・組",IF(COUNTIF($F$2:$F$301,F278)&gt;1,"同じ学年・組・番号がいる","")))</f>
        <v/>
      </c>
    </row>
    <row r="279">
      <c r="A279" s="15" t="n"/>
      <c r="B279" s="15" t="n"/>
      <c r="C279" s="15" t="n"/>
      <c r="D279" s="16" t="n"/>
      <c r="F279" s="8">
        <f>IF(D279="","",A279&amp;"-"&amp;B279&amp;"-"&amp;C279)</f>
        <v/>
      </c>
      <c r="G279" s="8">
        <f>IF(F279="","",IFERROR(MATCH(A279&amp;"-"&amp;B279,設定!$Z$8:$Z$23,0),99)*1000+C279+ROW()/100000)</f>
        <v/>
      </c>
      <c r="H279" s="17">
        <f>IF(F279="","",IF(ISERROR(MATCH(A279&amp;"-"&amp;B279,設定!$Z$8:$Z$23,0)),"設定にない学年・組",IF(COUNTIF($F$2:$F$301,F279)&gt;1,"同じ学年・組・番号がいる","")))</f>
        <v/>
      </c>
    </row>
    <row r="280">
      <c r="A280" s="15" t="n"/>
      <c r="B280" s="15" t="n"/>
      <c r="C280" s="15" t="n"/>
      <c r="D280" s="16" t="n"/>
      <c r="F280" s="8">
        <f>IF(D280="","",A280&amp;"-"&amp;B280&amp;"-"&amp;C280)</f>
        <v/>
      </c>
      <c r="G280" s="8">
        <f>IF(F280="","",IFERROR(MATCH(A280&amp;"-"&amp;B280,設定!$Z$8:$Z$23,0),99)*1000+C280+ROW()/100000)</f>
        <v/>
      </c>
      <c r="H280" s="17">
        <f>IF(F280="","",IF(ISERROR(MATCH(A280&amp;"-"&amp;B280,設定!$Z$8:$Z$23,0)),"設定にない学年・組",IF(COUNTIF($F$2:$F$301,F280)&gt;1,"同じ学年・組・番号がいる","")))</f>
        <v/>
      </c>
    </row>
    <row r="281">
      <c r="A281" s="15" t="n"/>
      <c r="B281" s="15" t="n"/>
      <c r="C281" s="15" t="n"/>
      <c r="D281" s="16" t="n"/>
      <c r="F281" s="8">
        <f>IF(D281="","",A281&amp;"-"&amp;B281&amp;"-"&amp;C281)</f>
        <v/>
      </c>
      <c r="G281" s="8">
        <f>IF(F281="","",IFERROR(MATCH(A281&amp;"-"&amp;B281,設定!$Z$8:$Z$23,0),99)*1000+C281+ROW()/100000)</f>
        <v/>
      </c>
      <c r="H281" s="17">
        <f>IF(F281="","",IF(ISERROR(MATCH(A281&amp;"-"&amp;B281,設定!$Z$8:$Z$23,0)),"設定にない学年・組",IF(COUNTIF($F$2:$F$301,F281)&gt;1,"同じ学年・組・番号がいる","")))</f>
        <v/>
      </c>
    </row>
    <row r="282">
      <c r="A282" s="15" t="n"/>
      <c r="B282" s="15" t="n"/>
      <c r="C282" s="15" t="n"/>
      <c r="D282" s="16" t="n"/>
      <c r="F282" s="8">
        <f>IF(D282="","",A282&amp;"-"&amp;B282&amp;"-"&amp;C282)</f>
        <v/>
      </c>
      <c r="G282" s="8">
        <f>IF(F282="","",IFERROR(MATCH(A282&amp;"-"&amp;B282,設定!$Z$8:$Z$23,0),99)*1000+C282+ROW()/100000)</f>
        <v/>
      </c>
      <c r="H282" s="17">
        <f>IF(F282="","",IF(ISERROR(MATCH(A282&amp;"-"&amp;B282,設定!$Z$8:$Z$23,0)),"設定にない学年・組",IF(COUNTIF($F$2:$F$301,F282)&gt;1,"同じ学年・組・番号がいる","")))</f>
        <v/>
      </c>
    </row>
    <row r="283">
      <c r="A283" s="15" t="n"/>
      <c r="B283" s="15" t="n"/>
      <c r="C283" s="15" t="n"/>
      <c r="D283" s="16" t="n"/>
      <c r="F283" s="8">
        <f>IF(D283="","",A283&amp;"-"&amp;B283&amp;"-"&amp;C283)</f>
        <v/>
      </c>
      <c r="G283" s="8">
        <f>IF(F283="","",IFERROR(MATCH(A283&amp;"-"&amp;B283,設定!$Z$8:$Z$23,0),99)*1000+C283+ROW()/100000)</f>
        <v/>
      </c>
      <c r="H283" s="17">
        <f>IF(F283="","",IF(ISERROR(MATCH(A283&amp;"-"&amp;B283,設定!$Z$8:$Z$23,0)),"設定にない学年・組",IF(COUNTIF($F$2:$F$301,F283)&gt;1,"同じ学年・組・番号がいる","")))</f>
        <v/>
      </c>
    </row>
    <row r="284">
      <c r="A284" s="15" t="n"/>
      <c r="B284" s="15" t="n"/>
      <c r="C284" s="15" t="n"/>
      <c r="D284" s="16" t="n"/>
      <c r="F284" s="8">
        <f>IF(D284="","",A284&amp;"-"&amp;B284&amp;"-"&amp;C284)</f>
        <v/>
      </c>
      <c r="G284" s="8">
        <f>IF(F284="","",IFERROR(MATCH(A284&amp;"-"&amp;B284,設定!$Z$8:$Z$23,0),99)*1000+C284+ROW()/100000)</f>
        <v/>
      </c>
      <c r="H284" s="17">
        <f>IF(F284="","",IF(ISERROR(MATCH(A284&amp;"-"&amp;B284,設定!$Z$8:$Z$23,0)),"設定にない学年・組",IF(COUNTIF($F$2:$F$301,F284)&gt;1,"同じ学年・組・番号がいる","")))</f>
        <v/>
      </c>
    </row>
    <row r="285">
      <c r="A285" s="15" t="n"/>
      <c r="B285" s="15" t="n"/>
      <c r="C285" s="15" t="n"/>
      <c r="D285" s="16" t="n"/>
      <c r="F285" s="8">
        <f>IF(D285="","",A285&amp;"-"&amp;B285&amp;"-"&amp;C285)</f>
        <v/>
      </c>
      <c r="G285" s="8">
        <f>IF(F285="","",IFERROR(MATCH(A285&amp;"-"&amp;B285,設定!$Z$8:$Z$23,0),99)*1000+C285+ROW()/100000)</f>
        <v/>
      </c>
      <c r="H285" s="17">
        <f>IF(F285="","",IF(ISERROR(MATCH(A285&amp;"-"&amp;B285,設定!$Z$8:$Z$23,0)),"設定にない学年・組",IF(COUNTIF($F$2:$F$301,F285)&gt;1,"同じ学年・組・番号がいる","")))</f>
        <v/>
      </c>
    </row>
    <row r="286">
      <c r="A286" s="15" t="n"/>
      <c r="B286" s="15" t="n"/>
      <c r="C286" s="15" t="n"/>
      <c r="D286" s="16" t="n"/>
      <c r="F286" s="8">
        <f>IF(D286="","",A286&amp;"-"&amp;B286&amp;"-"&amp;C286)</f>
        <v/>
      </c>
      <c r="G286" s="8">
        <f>IF(F286="","",IFERROR(MATCH(A286&amp;"-"&amp;B286,設定!$Z$8:$Z$23,0),99)*1000+C286+ROW()/100000)</f>
        <v/>
      </c>
      <c r="H286" s="17">
        <f>IF(F286="","",IF(ISERROR(MATCH(A286&amp;"-"&amp;B286,設定!$Z$8:$Z$23,0)),"設定にない学年・組",IF(COUNTIF($F$2:$F$301,F286)&gt;1,"同じ学年・組・番号がいる","")))</f>
        <v/>
      </c>
    </row>
    <row r="287">
      <c r="A287" s="15" t="n"/>
      <c r="B287" s="15" t="n"/>
      <c r="C287" s="15" t="n"/>
      <c r="D287" s="16" t="n"/>
      <c r="F287" s="8">
        <f>IF(D287="","",A287&amp;"-"&amp;B287&amp;"-"&amp;C287)</f>
        <v/>
      </c>
      <c r="G287" s="8">
        <f>IF(F287="","",IFERROR(MATCH(A287&amp;"-"&amp;B287,設定!$Z$8:$Z$23,0),99)*1000+C287+ROW()/100000)</f>
        <v/>
      </c>
      <c r="H287" s="17">
        <f>IF(F287="","",IF(ISERROR(MATCH(A287&amp;"-"&amp;B287,設定!$Z$8:$Z$23,0)),"設定にない学年・組",IF(COUNTIF($F$2:$F$301,F287)&gt;1,"同じ学年・組・番号がいる","")))</f>
        <v/>
      </c>
    </row>
    <row r="288">
      <c r="A288" s="15" t="n"/>
      <c r="B288" s="15" t="n"/>
      <c r="C288" s="15" t="n"/>
      <c r="D288" s="16" t="n"/>
      <c r="F288" s="8">
        <f>IF(D288="","",A288&amp;"-"&amp;B288&amp;"-"&amp;C288)</f>
        <v/>
      </c>
      <c r="G288" s="8">
        <f>IF(F288="","",IFERROR(MATCH(A288&amp;"-"&amp;B288,設定!$Z$8:$Z$23,0),99)*1000+C288+ROW()/100000)</f>
        <v/>
      </c>
      <c r="H288" s="17">
        <f>IF(F288="","",IF(ISERROR(MATCH(A288&amp;"-"&amp;B288,設定!$Z$8:$Z$23,0)),"設定にない学年・組",IF(COUNTIF($F$2:$F$301,F288)&gt;1,"同じ学年・組・番号がいる","")))</f>
        <v/>
      </c>
    </row>
    <row r="289">
      <c r="A289" s="15" t="n"/>
      <c r="B289" s="15" t="n"/>
      <c r="C289" s="15" t="n"/>
      <c r="D289" s="16" t="n"/>
      <c r="F289" s="8">
        <f>IF(D289="","",A289&amp;"-"&amp;B289&amp;"-"&amp;C289)</f>
        <v/>
      </c>
      <c r="G289" s="8">
        <f>IF(F289="","",IFERROR(MATCH(A289&amp;"-"&amp;B289,設定!$Z$8:$Z$23,0),99)*1000+C289+ROW()/100000)</f>
        <v/>
      </c>
      <c r="H289" s="17">
        <f>IF(F289="","",IF(ISERROR(MATCH(A289&amp;"-"&amp;B289,設定!$Z$8:$Z$23,0)),"設定にない学年・組",IF(COUNTIF($F$2:$F$301,F289)&gt;1,"同じ学年・組・番号がいる","")))</f>
        <v/>
      </c>
    </row>
    <row r="290">
      <c r="A290" s="15" t="n"/>
      <c r="B290" s="15" t="n"/>
      <c r="C290" s="15" t="n"/>
      <c r="D290" s="16" t="n"/>
      <c r="F290" s="8">
        <f>IF(D290="","",A290&amp;"-"&amp;B290&amp;"-"&amp;C290)</f>
        <v/>
      </c>
      <c r="G290" s="8">
        <f>IF(F290="","",IFERROR(MATCH(A290&amp;"-"&amp;B290,設定!$Z$8:$Z$23,0),99)*1000+C290+ROW()/100000)</f>
        <v/>
      </c>
      <c r="H290" s="17">
        <f>IF(F290="","",IF(ISERROR(MATCH(A290&amp;"-"&amp;B290,設定!$Z$8:$Z$23,0)),"設定にない学年・組",IF(COUNTIF($F$2:$F$301,F290)&gt;1,"同じ学年・組・番号がいる","")))</f>
        <v/>
      </c>
    </row>
    <row r="291">
      <c r="A291" s="15" t="n"/>
      <c r="B291" s="15" t="n"/>
      <c r="C291" s="15" t="n"/>
      <c r="D291" s="16" t="n"/>
      <c r="F291" s="8">
        <f>IF(D291="","",A291&amp;"-"&amp;B291&amp;"-"&amp;C291)</f>
        <v/>
      </c>
      <c r="G291" s="8">
        <f>IF(F291="","",IFERROR(MATCH(A291&amp;"-"&amp;B291,設定!$Z$8:$Z$23,0),99)*1000+C291+ROW()/100000)</f>
        <v/>
      </c>
      <c r="H291" s="17">
        <f>IF(F291="","",IF(ISERROR(MATCH(A291&amp;"-"&amp;B291,設定!$Z$8:$Z$23,0)),"設定にない学年・組",IF(COUNTIF($F$2:$F$301,F291)&gt;1,"同じ学年・組・番号がいる","")))</f>
        <v/>
      </c>
    </row>
    <row r="292">
      <c r="A292" s="15" t="n"/>
      <c r="B292" s="15" t="n"/>
      <c r="C292" s="15" t="n"/>
      <c r="D292" s="16" t="n"/>
      <c r="F292" s="8">
        <f>IF(D292="","",A292&amp;"-"&amp;B292&amp;"-"&amp;C292)</f>
        <v/>
      </c>
      <c r="G292" s="8">
        <f>IF(F292="","",IFERROR(MATCH(A292&amp;"-"&amp;B292,設定!$Z$8:$Z$23,0),99)*1000+C292+ROW()/100000)</f>
        <v/>
      </c>
      <c r="H292" s="17">
        <f>IF(F292="","",IF(ISERROR(MATCH(A292&amp;"-"&amp;B292,設定!$Z$8:$Z$23,0)),"設定にない学年・組",IF(COUNTIF($F$2:$F$301,F292)&gt;1,"同じ学年・組・番号がいる","")))</f>
        <v/>
      </c>
    </row>
    <row r="293">
      <c r="A293" s="15" t="n"/>
      <c r="B293" s="15" t="n"/>
      <c r="C293" s="15" t="n"/>
      <c r="D293" s="16" t="n"/>
      <c r="F293" s="8">
        <f>IF(D293="","",A293&amp;"-"&amp;B293&amp;"-"&amp;C293)</f>
        <v/>
      </c>
      <c r="G293" s="8">
        <f>IF(F293="","",IFERROR(MATCH(A293&amp;"-"&amp;B293,設定!$Z$8:$Z$23,0),99)*1000+C293+ROW()/100000)</f>
        <v/>
      </c>
      <c r="H293" s="17">
        <f>IF(F293="","",IF(ISERROR(MATCH(A293&amp;"-"&amp;B293,設定!$Z$8:$Z$23,0)),"設定にない学年・組",IF(COUNTIF($F$2:$F$301,F293)&gt;1,"同じ学年・組・番号がいる","")))</f>
        <v/>
      </c>
    </row>
    <row r="294">
      <c r="A294" s="15" t="n"/>
      <c r="B294" s="15" t="n"/>
      <c r="C294" s="15" t="n"/>
      <c r="D294" s="16" t="n"/>
      <c r="F294" s="8">
        <f>IF(D294="","",A294&amp;"-"&amp;B294&amp;"-"&amp;C294)</f>
        <v/>
      </c>
      <c r="G294" s="8">
        <f>IF(F294="","",IFERROR(MATCH(A294&amp;"-"&amp;B294,設定!$Z$8:$Z$23,0),99)*1000+C294+ROW()/100000)</f>
        <v/>
      </c>
      <c r="H294" s="17">
        <f>IF(F294="","",IF(ISERROR(MATCH(A294&amp;"-"&amp;B294,設定!$Z$8:$Z$23,0)),"設定にない学年・組",IF(COUNTIF($F$2:$F$301,F294)&gt;1,"同じ学年・組・番号がいる","")))</f>
        <v/>
      </c>
    </row>
    <row r="295">
      <c r="A295" s="15" t="n"/>
      <c r="B295" s="15" t="n"/>
      <c r="C295" s="15" t="n"/>
      <c r="D295" s="16" t="n"/>
      <c r="F295" s="8">
        <f>IF(D295="","",A295&amp;"-"&amp;B295&amp;"-"&amp;C295)</f>
        <v/>
      </c>
      <c r="G295" s="8">
        <f>IF(F295="","",IFERROR(MATCH(A295&amp;"-"&amp;B295,設定!$Z$8:$Z$23,0),99)*1000+C295+ROW()/100000)</f>
        <v/>
      </c>
      <c r="H295" s="17">
        <f>IF(F295="","",IF(ISERROR(MATCH(A295&amp;"-"&amp;B295,設定!$Z$8:$Z$23,0)),"設定にない学年・組",IF(COUNTIF($F$2:$F$301,F295)&gt;1,"同じ学年・組・番号がいる","")))</f>
        <v/>
      </c>
    </row>
    <row r="296">
      <c r="A296" s="15" t="n"/>
      <c r="B296" s="15" t="n"/>
      <c r="C296" s="15" t="n"/>
      <c r="D296" s="16" t="n"/>
      <c r="F296" s="8">
        <f>IF(D296="","",A296&amp;"-"&amp;B296&amp;"-"&amp;C296)</f>
        <v/>
      </c>
      <c r="G296" s="8">
        <f>IF(F296="","",IFERROR(MATCH(A296&amp;"-"&amp;B296,設定!$Z$8:$Z$23,0),99)*1000+C296+ROW()/100000)</f>
        <v/>
      </c>
      <c r="H296" s="17">
        <f>IF(F296="","",IF(ISERROR(MATCH(A296&amp;"-"&amp;B296,設定!$Z$8:$Z$23,0)),"設定にない学年・組",IF(COUNTIF($F$2:$F$301,F296)&gt;1,"同じ学年・組・番号がいる","")))</f>
        <v/>
      </c>
    </row>
    <row r="297">
      <c r="A297" s="15" t="n"/>
      <c r="B297" s="15" t="n"/>
      <c r="C297" s="15" t="n"/>
      <c r="D297" s="16" t="n"/>
      <c r="F297" s="8">
        <f>IF(D297="","",A297&amp;"-"&amp;B297&amp;"-"&amp;C297)</f>
        <v/>
      </c>
      <c r="G297" s="8">
        <f>IF(F297="","",IFERROR(MATCH(A297&amp;"-"&amp;B297,設定!$Z$8:$Z$23,0),99)*1000+C297+ROW()/100000)</f>
        <v/>
      </c>
      <c r="H297" s="17">
        <f>IF(F297="","",IF(ISERROR(MATCH(A297&amp;"-"&amp;B297,設定!$Z$8:$Z$23,0)),"設定にない学年・組",IF(COUNTIF($F$2:$F$301,F297)&gt;1,"同じ学年・組・番号がいる","")))</f>
        <v/>
      </c>
    </row>
    <row r="298">
      <c r="A298" s="15" t="n"/>
      <c r="B298" s="15" t="n"/>
      <c r="C298" s="15" t="n"/>
      <c r="D298" s="16" t="n"/>
      <c r="F298" s="8">
        <f>IF(D298="","",A298&amp;"-"&amp;B298&amp;"-"&amp;C298)</f>
        <v/>
      </c>
      <c r="G298" s="8">
        <f>IF(F298="","",IFERROR(MATCH(A298&amp;"-"&amp;B298,設定!$Z$8:$Z$23,0),99)*1000+C298+ROW()/100000)</f>
        <v/>
      </c>
      <c r="H298" s="17">
        <f>IF(F298="","",IF(ISERROR(MATCH(A298&amp;"-"&amp;B298,設定!$Z$8:$Z$23,0)),"設定にない学年・組",IF(COUNTIF($F$2:$F$301,F298)&gt;1,"同じ学年・組・番号がいる","")))</f>
        <v/>
      </c>
    </row>
    <row r="299">
      <c r="A299" s="15" t="n"/>
      <c r="B299" s="15" t="n"/>
      <c r="C299" s="15" t="n"/>
      <c r="D299" s="16" t="n"/>
      <c r="F299" s="8">
        <f>IF(D299="","",A299&amp;"-"&amp;B299&amp;"-"&amp;C299)</f>
        <v/>
      </c>
      <c r="G299" s="8">
        <f>IF(F299="","",IFERROR(MATCH(A299&amp;"-"&amp;B299,設定!$Z$8:$Z$23,0),99)*1000+C299+ROW()/100000)</f>
        <v/>
      </c>
      <c r="H299" s="17">
        <f>IF(F299="","",IF(ISERROR(MATCH(A299&amp;"-"&amp;B299,設定!$Z$8:$Z$23,0)),"設定にない学年・組",IF(COUNTIF($F$2:$F$301,F299)&gt;1,"同じ学年・組・番号がいる","")))</f>
        <v/>
      </c>
    </row>
    <row r="300">
      <c r="A300" s="15" t="n"/>
      <c r="B300" s="15" t="n"/>
      <c r="C300" s="15" t="n"/>
      <c r="D300" s="16" t="n"/>
      <c r="F300" s="8">
        <f>IF(D300="","",A300&amp;"-"&amp;B300&amp;"-"&amp;C300)</f>
        <v/>
      </c>
      <c r="G300" s="8">
        <f>IF(F300="","",IFERROR(MATCH(A300&amp;"-"&amp;B300,設定!$Z$8:$Z$23,0),99)*1000+C300+ROW()/100000)</f>
        <v/>
      </c>
      <c r="H300" s="17">
        <f>IF(F300="","",IF(ISERROR(MATCH(A300&amp;"-"&amp;B300,設定!$Z$8:$Z$23,0)),"設定にない学年・組",IF(COUNTIF($F$2:$F$301,F300)&gt;1,"同じ学年・組・番号がいる","")))</f>
        <v/>
      </c>
    </row>
    <row r="301">
      <c r="A301" s="15" t="n"/>
      <c r="B301" s="15" t="n"/>
      <c r="C301" s="15" t="n"/>
      <c r="D301" s="16" t="n"/>
      <c r="F301" s="8">
        <f>IF(D301="","",A301&amp;"-"&amp;B301&amp;"-"&amp;C301)</f>
        <v/>
      </c>
      <c r="G301" s="8">
        <f>IF(F301="","",IFERROR(MATCH(A301&amp;"-"&amp;B301,設定!$Z$8:$Z$23,0),99)*1000+C301+ROW()/100000)</f>
        <v/>
      </c>
      <c r="H301" s="17">
        <f>IF(F301="","",IF(ISERROR(MATCH(A301&amp;"-"&amp;B301,設定!$Z$8:$Z$23,0)),"設定にない学年・組",IF(COUNTIF($F$2:$F$301,F301)&gt;1,"同じ学年・組・番号がいる","")))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D301">
    <cfRule type="expression" priority="1" dxfId="8">
      <formula>$H2&lt;&gt;""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1" customWidth="1" min="4" max="4"/>
    <col width="11" customWidth="1" min="5" max="5"/>
    <col width="11" customWidth="1" min="6" max="6"/>
    <col width="16" customWidth="1" min="7" max="7"/>
    <col width="26" customWidth="1" min="8" max="8"/>
    <col width="3" customWidth="1" min="9" max="9"/>
    <col width="10" customWidth="1" min="10" max="10"/>
    <col width="10" customWidth="1" min="11" max="11"/>
  </cols>
  <sheetData>
    <row r="1">
      <c r="A1" s="11" t="inlineStr">
        <is>
          <t>学年</t>
        </is>
      </c>
      <c r="B1" s="11" t="inlineStr">
        <is>
          <t>組</t>
        </is>
      </c>
      <c r="C1" s="11" t="inlineStr">
        <is>
          <t>番号</t>
        </is>
      </c>
      <c r="D1" s="11" t="inlineStr">
        <is>
          <t>第1希望</t>
        </is>
      </c>
      <c r="E1" s="11" t="inlineStr">
        <is>
          <t>第2希望</t>
        </is>
      </c>
      <c r="F1" s="11" t="inlineStr">
        <is>
          <t>第3希望</t>
        </is>
      </c>
      <c r="G1" s="18" t="inlineStr">
        <is>
          <t>名前（自動）</t>
        </is>
      </c>
      <c r="H1" s="18" t="inlineStr">
        <is>
          <t>チェック（自動）</t>
        </is>
      </c>
      <c r="J1" s="14" t="inlineStr">
        <is>
          <t>キー（自動）</t>
        </is>
      </c>
      <c r="K1" s="14" t="inlineStr">
        <is>
          <t>採用（自動）</t>
        </is>
      </c>
    </row>
    <row r="2">
      <c r="A2" s="15" t="n">
        <v>6</v>
      </c>
      <c r="B2" s="15" t="inlineStr">
        <is>
          <t>竹</t>
        </is>
      </c>
      <c r="C2" s="15" t="n">
        <v>15</v>
      </c>
      <c r="D2" s="15" t="inlineStr">
        <is>
          <t>集会</t>
        </is>
      </c>
      <c r="E2" s="15" t="inlineStr">
        <is>
          <t>体育</t>
        </is>
      </c>
      <c r="F2" s="15" t="inlineStr">
        <is>
          <t>保健</t>
        </is>
      </c>
      <c r="G2" s="3">
        <f>IF(J2="","",IFERROR(INDEX(児童名簿!$D$2:$D$301,MATCH(J2,児童名簿!$F$2:$F$301,0)),""))</f>
        <v/>
      </c>
      <c r="H2" s="19">
        <f>IF(J2="","",IF(G2="","名簿にいない",IF(COUNTIF(J3:J$402,J2)&gt;0,"2回提出（下の行を使います）",IF(OR(AND(D2&lt;&gt;"",COUNTIF(設定!$G$8:$G$27,D2)=0),AND(E2&lt;&gt;"",COUNTIF(設定!$G$8:$G$27,E2)=0),AND(F2&lt;&gt;"",COUNTIF(設定!$G$8:$G$27,F2)=0)),"委員会名がちがう",IF(D2="","第1希望がない",IF(OR(AND(D2&lt;&gt;"",D2=E2),AND(D2&lt;&gt;"",D2=F2),AND(E2&lt;&gt;"",E2=F2)),"同じ委員会を重複して希望","OK"))))))</f>
        <v/>
      </c>
      <c r="J2" s="8">
        <f>IF(A2="","",A2&amp;"-"&amp;B2&amp;"-"&amp;C2)</f>
        <v/>
      </c>
      <c r="K2" s="8">
        <f>IF(OR(J2="",G2=""),"",IF(COUNTIF(J3:J$402,J2)=0,J2,""))</f>
        <v/>
      </c>
    </row>
    <row r="3">
      <c r="A3" s="15" t="n">
        <v>5</v>
      </c>
      <c r="B3" s="15" t="inlineStr">
        <is>
          <t>月</t>
        </is>
      </c>
      <c r="C3" s="15" t="n">
        <v>5</v>
      </c>
      <c r="D3" s="15" t="inlineStr">
        <is>
          <t>飼育</t>
        </is>
      </c>
      <c r="E3" s="15" t="inlineStr">
        <is>
          <t>保健</t>
        </is>
      </c>
      <c r="F3" s="15" t="inlineStr">
        <is>
          <t>代表</t>
        </is>
      </c>
      <c r="G3" s="3">
        <f>IF(J3="","",IFERROR(INDEX(児童名簿!$D$2:$D$301,MATCH(J3,児童名簿!$F$2:$F$301,0)),""))</f>
        <v/>
      </c>
      <c r="H3" s="19">
        <f>IF(J3="","",IF(G3="","名簿にいない",IF(COUNTIF(J4:J$402,J3)&gt;0,"2回提出（下の行を使います）",IF(OR(AND(D3&lt;&gt;"",COUNTIF(設定!$G$8:$G$27,D3)=0),AND(E3&lt;&gt;"",COUNTIF(設定!$G$8:$G$27,E3)=0),AND(F3&lt;&gt;"",COUNTIF(設定!$G$8:$G$27,F3)=0)),"委員会名がちがう",IF(D3="","第1希望がない",IF(OR(AND(D3&lt;&gt;"",D3=E3),AND(D3&lt;&gt;"",D3=F3),AND(E3&lt;&gt;"",E3=F3)),"同じ委員会を重複して希望","OK"))))))</f>
        <v/>
      </c>
      <c r="J3" s="8">
        <f>IF(A3="","",A3&amp;"-"&amp;B3&amp;"-"&amp;C3)</f>
        <v/>
      </c>
      <c r="K3" s="8">
        <f>IF(OR(J3="",G3=""),"",IF(COUNTIF(J4:J$402,J3)=0,J3,""))</f>
        <v/>
      </c>
    </row>
    <row r="4">
      <c r="A4" s="15" t="n">
        <v>6</v>
      </c>
      <c r="B4" s="15" t="inlineStr">
        <is>
          <t>梅</t>
        </is>
      </c>
      <c r="C4" s="15" t="n">
        <v>21</v>
      </c>
      <c r="D4" s="15" t="inlineStr">
        <is>
          <t>広報</t>
        </is>
      </c>
      <c r="E4" s="15" t="inlineStr">
        <is>
          <t>音楽</t>
        </is>
      </c>
      <c r="F4" s="15" t="inlineStr">
        <is>
          <t>図書</t>
        </is>
      </c>
      <c r="G4" s="3">
        <f>IF(J4="","",IFERROR(INDEX(児童名簿!$D$2:$D$301,MATCH(J4,児童名簿!$F$2:$F$301,0)),""))</f>
        <v/>
      </c>
      <c r="H4" s="19">
        <f>IF(J4="","",IF(G4="","名簿にいない",IF(COUNTIF(J5:J$402,J4)&gt;0,"2回提出（下の行を使います）",IF(OR(AND(D4&lt;&gt;"",COUNTIF(設定!$G$8:$G$27,D4)=0),AND(E4&lt;&gt;"",COUNTIF(設定!$G$8:$G$27,E4)=0),AND(F4&lt;&gt;"",COUNTIF(設定!$G$8:$G$27,F4)=0)),"委員会名がちがう",IF(D4="","第1希望がない",IF(OR(AND(D4&lt;&gt;"",D4=E4),AND(D4&lt;&gt;"",D4=F4),AND(E4&lt;&gt;"",E4=F4)),"同じ委員会を重複して希望","OK"))))))</f>
        <v/>
      </c>
      <c r="J4" s="8">
        <f>IF(A4="","",A4&amp;"-"&amp;B4&amp;"-"&amp;C4)</f>
        <v/>
      </c>
      <c r="K4" s="8">
        <f>IF(OR(J4="",G4=""),"",IF(COUNTIF(J5:J$402,J4)=0,J4,""))</f>
        <v/>
      </c>
    </row>
    <row r="5">
      <c r="A5" s="15" t="n">
        <v>6</v>
      </c>
      <c r="B5" s="15" t="inlineStr">
        <is>
          <t>梅</t>
        </is>
      </c>
      <c r="C5" s="15" t="n">
        <v>1</v>
      </c>
      <c r="D5" s="15" t="inlineStr">
        <is>
          <t>飼育</t>
        </is>
      </c>
      <c r="E5" s="15" t="inlineStr">
        <is>
          <t>給食</t>
        </is>
      </c>
      <c r="F5" s="15" t="inlineStr">
        <is>
          <t>放送</t>
        </is>
      </c>
      <c r="G5" s="3">
        <f>IF(J5="","",IFERROR(INDEX(児童名簿!$D$2:$D$301,MATCH(J5,児童名簿!$F$2:$F$301,0)),""))</f>
        <v/>
      </c>
      <c r="H5" s="19">
        <f>IF(J5="","",IF(G5="","名簿にいない",IF(COUNTIF(J6:J$402,J5)&gt;0,"2回提出（下の行を使います）",IF(OR(AND(D5&lt;&gt;"",COUNTIF(設定!$G$8:$G$27,D5)=0),AND(E5&lt;&gt;"",COUNTIF(設定!$G$8:$G$27,E5)=0),AND(F5&lt;&gt;"",COUNTIF(設定!$G$8:$G$27,F5)=0)),"委員会名がちがう",IF(D5="","第1希望がない",IF(OR(AND(D5&lt;&gt;"",D5=E5),AND(D5&lt;&gt;"",D5=F5),AND(E5&lt;&gt;"",E5=F5)),"同じ委員会を重複して希望","OK"))))))</f>
        <v/>
      </c>
      <c r="J5" s="8">
        <f>IF(A5="","",A5&amp;"-"&amp;B5&amp;"-"&amp;C5)</f>
        <v/>
      </c>
      <c r="K5" s="8">
        <f>IF(OR(J5="",G5=""),"",IF(COUNTIF(J6:J$402,J5)=0,J5,""))</f>
        <v/>
      </c>
    </row>
    <row r="6">
      <c r="A6" s="15" t="n">
        <v>5</v>
      </c>
      <c r="B6" s="15" t="inlineStr">
        <is>
          <t>梅</t>
        </is>
      </c>
      <c r="C6" s="15" t="n">
        <v>3</v>
      </c>
      <c r="D6" s="15" t="inlineStr">
        <is>
          <t>飼育</t>
        </is>
      </c>
      <c r="E6" s="15" t="inlineStr">
        <is>
          <t>音楽</t>
        </is>
      </c>
      <c r="F6" s="15" t="inlineStr">
        <is>
          <t>掲示</t>
        </is>
      </c>
      <c r="G6" s="3">
        <f>IF(J6="","",IFERROR(INDEX(児童名簿!$D$2:$D$301,MATCH(J6,児童名簿!$F$2:$F$301,0)),""))</f>
        <v/>
      </c>
      <c r="H6" s="19">
        <f>IF(J6="","",IF(G6="","名簿にいない",IF(COUNTIF(J7:J$402,J6)&gt;0,"2回提出（下の行を使います）",IF(OR(AND(D6&lt;&gt;"",COUNTIF(設定!$G$8:$G$27,D6)=0),AND(E6&lt;&gt;"",COUNTIF(設定!$G$8:$G$27,E6)=0),AND(F6&lt;&gt;"",COUNTIF(設定!$G$8:$G$27,F6)=0)),"委員会名がちがう",IF(D6="","第1希望がない",IF(OR(AND(D6&lt;&gt;"",D6=E6),AND(D6&lt;&gt;"",D6=F6),AND(E6&lt;&gt;"",E6=F6)),"同じ委員会を重複して希望","OK"))))))</f>
        <v/>
      </c>
      <c r="J6" s="8">
        <f>IF(A6="","",A6&amp;"-"&amp;B6&amp;"-"&amp;C6)</f>
        <v/>
      </c>
      <c r="K6" s="8">
        <f>IF(OR(J6="",G6=""),"",IF(COUNTIF(J7:J$402,J6)=0,J6,""))</f>
        <v/>
      </c>
    </row>
    <row r="7">
      <c r="A7" s="15" t="n">
        <v>6</v>
      </c>
      <c r="B7" s="15" t="inlineStr">
        <is>
          <t>松</t>
        </is>
      </c>
      <c r="C7" s="15" t="n">
        <v>8</v>
      </c>
      <c r="D7" s="15" t="inlineStr">
        <is>
          <t>図書</t>
        </is>
      </c>
      <c r="E7" s="15" t="inlineStr">
        <is>
          <t>広報</t>
        </is>
      </c>
      <c r="F7" s="15" t="inlineStr">
        <is>
          <t>集会</t>
        </is>
      </c>
      <c r="G7" s="3">
        <f>IF(J7="","",IFERROR(INDEX(児童名簿!$D$2:$D$301,MATCH(J7,児童名簿!$F$2:$F$301,0)),""))</f>
        <v/>
      </c>
      <c r="H7" s="19">
        <f>IF(J7="","",IF(G7="","名簿にいない",IF(COUNTIF(J8:J$402,J7)&gt;0,"2回提出（下の行を使います）",IF(OR(AND(D7&lt;&gt;"",COUNTIF(設定!$G$8:$G$27,D7)=0),AND(E7&lt;&gt;"",COUNTIF(設定!$G$8:$G$27,E7)=0),AND(F7&lt;&gt;"",COUNTIF(設定!$G$8:$G$27,F7)=0)),"委員会名がちがう",IF(D7="","第1希望がない",IF(OR(AND(D7&lt;&gt;"",D7=E7),AND(D7&lt;&gt;"",D7=F7),AND(E7&lt;&gt;"",E7=F7)),"同じ委員会を重複して希望","OK"))))))</f>
        <v/>
      </c>
      <c r="J7" s="8">
        <f>IF(A7="","",A7&amp;"-"&amp;B7&amp;"-"&amp;C7)</f>
        <v/>
      </c>
      <c r="K7" s="8">
        <f>IF(OR(J7="",G7=""),"",IF(COUNTIF(J8:J$402,J7)=0,J7,""))</f>
        <v/>
      </c>
    </row>
    <row r="8">
      <c r="A8" s="15" t="n">
        <v>5</v>
      </c>
      <c r="B8" s="15" t="inlineStr">
        <is>
          <t>竹</t>
        </is>
      </c>
      <c r="C8" s="15" t="n">
        <v>21</v>
      </c>
      <c r="D8" s="15" t="inlineStr">
        <is>
          <t>体育</t>
        </is>
      </c>
      <c r="E8" s="15" t="inlineStr">
        <is>
          <t>図書</t>
        </is>
      </c>
      <c r="F8" s="15" t="inlineStr">
        <is>
          <t>集会</t>
        </is>
      </c>
      <c r="G8" s="3">
        <f>IF(J8="","",IFERROR(INDEX(児童名簿!$D$2:$D$301,MATCH(J8,児童名簿!$F$2:$F$301,0)),""))</f>
        <v/>
      </c>
      <c r="H8" s="19">
        <f>IF(J8="","",IF(G8="","名簿にいない",IF(COUNTIF(J9:J$402,J8)&gt;0,"2回提出（下の行を使います）",IF(OR(AND(D8&lt;&gt;"",COUNTIF(設定!$G$8:$G$27,D8)=0),AND(E8&lt;&gt;"",COUNTIF(設定!$G$8:$G$27,E8)=0),AND(F8&lt;&gt;"",COUNTIF(設定!$G$8:$G$27,F8)=0)),"委員会名がちがう",IF(D8="","第1希望がない",IF(OR(AND(D8&lt;&gt;"",D8=E8),AND(D8&lt;&gt;"",D8=F8),AND(E8&lt;&gt;"",E8=F8)),"同じ委員会を重複して希望","OK"))))))</f>
        <v/>
      </c>
      <c r="J8" s="8">
        <f>IF(A8="","",A8&amp;"-"&amp;B8&amp;"-"&amp;C8)</f>
        <v/>
      </c>
      <c r="K8" s="8">
        <f>IF(OR(J8="",G8=""),"",IF(COUNTIF(J9:J$402,J8)=0,J8,""))</f>
        <v/>
      </c>
    </row>
    <row r="9">
      <c r="A9" s="15" t="n">
        <v>6</v>
      </c>
      <c r="B9" s="15" t="inlineStr">
        <is>
          <t>月</t>
        </is>
      </c>
      <c r="C9" s="15" t="n">
        <v>23</v>
      </c>
      <c r="D9" s="15" t="inlineStr">
        <is>
          <t>飼育</t>
        </is>
      </c>
      <c r="E9" s="15" t="inlineStr">
        <is>
          <t>放送</t>
        </is>
      </c>
      <c r="F9" s="15" t="inlineStr">
        <is>
          <t>図書</t>
        </is>
      </c>
      <c r="G9" s="3">
        <f>IF(J9="","",IFERROR(INDEX(児童名簿!$D$2:$D$301,MATCH(J9,児童名簿!$F$2:$F$301,0)),""))</f>
        <v/>
      </c>
      <c r="H9" s="19">
        <f>IF(J9="","",IF(G9="","名簿にいない",IF(COUNTIF(J10:J$402,J9)&gt;0,"2回提出（下の行を使います）",IF(OR(AND(D9&lt;&gt;"",COUNTIF(設定!$G$8:$G$27,D9)=0),AND(E9&lt;&gt;"",COUNTIF(設定!$G$8:$G$27,E9)=0),AND(F9&lt;&gt;"",COUNTIF(設定!$G$8:$G$27,F9)=0)),"委員会名がちがう",IF(D9="","第1希望がない",IF(OR(AND(D9&lt;&gt;"",D9=E9),AND(D9&lt;&gt;"",D9=F9),AND(E9&lt;&gt;"",E9=F9)),"同じ委員会を重複して希望","OK"))))))</f>
        <v/>
      </c>
      <c r="J9" s="8">
        <f>IF(A9="","",A9&amp;"-"&amp;B9&amp;"-"&amp;C9)</f>
        <v/>
      </c>
      <c r="K9" s="8">
        <f>IF(OR(J9="",G9=""),"",IF(COUNTIF(J10:J$402,J9)=0,J9,""))</f>
        <v/>
      </c>
    </row>
    <row r="10">
      <c r="A10" s="15" t="n">
        <v>5</v>
      </c>
      <c r="B10" s="15" t="inlineStr">
        <is>
          <t>梅</t>
        </is>
      </c>
      <c r="C10" s="15" t="n">
        <v>5</v>
      </c>
      <c r="D10" s="15" t="inlineStr">
        <is>
          <t>広報</t>
        </is>
      </c>
      <c r="E10" s="15" t="inlineStr">
        <is>
          <t>集会</t>
        </is>
      </c>
      <c r="F10" s="15" t="inlineStr">
        <is>
          <t>図書</t>
        </is>
      </c>
      <c r="G10" s="3">
        <f>IF(J10="","",IFERROR(INDEX(児童名簿!$D$2:$D$301,MATCH(J10,児童名簿!$F$2:$F$301,0)),""))</f>
        <v/>
      </c>
      <c r="H10" s="19">
        <f>IF(J10="","",IF(G10="","名簿にいない",IF(COUNTIF(J11:J$402,J10)&gt;0,"2回提出（下の行を使います）",IF(OR(AND(D10&lt;&gt;"",COUNTIF(設定!$G$8:$G$27,D10)=0),AND(E10&lt;&gt;"",COUNTIF(設定!$G$8:$G$27,E10)=0),AND(F10&lt;&gt;"",COUNTIF(設定!$G$8:$G$27,F10)=0)),"委員会名がちがう",IF(D10="","第1希望がない",IF(OR(AND(D10&lt;&gt;"",D10=E10),AND(D10&lt;&gt;"",D10=F10),AND(E10&lt;&gt;"",E10=F10)),"同じ委員会を重複して希望","OK"))))))</f>
        <v/>
      </c>
      <c r="J10" s="8">
        <f>IF(A10="","",A10&amp;"-"&amp;B10&amp;"-"&amp;C10)</f>
        <v/>
      </c>
      <c r="K10" s="8">
        <f>IF(OR(J10="",G10=""),"",IF(COUNTIF(J11:J$402,J10)=0,J10,""))</f>
        <v/>
      </c>
    </row>
    <row r="11">
      <c r="A11" s="15" t="n">
        <v>5</v>
      </c>
      <c r="B11" s="15" t="inlineStr">
        <is>
          <t>梅</t>
        </is>
      </c>
      <c r="C11" s="15" t="n">
        <v>12</v>
      </c>
      <c r="D11" s="15" t="inlineStr">
        <is>
          <t>図書</t>
        </is>
      </c>
      <c r="E11" s="15" t="inlineStr">
        <is>
          <t>体育</t>
        </is>
      </c>
      <c r="F11" s="15" t="inlineStr">
        <is>
          <t>広報</t>
        </is>
      </c>
      <c r="G11" s="3">
        <f>IF(J11="","",IFERROR(INDEX(児童名簿!$D$2:$D$301,MATCH(J11,児童名簿!$F$2:$F$301,0)),""))</f>
        <v/>
      </c>
      <c r="H11" s="19">
        <f>IF(J11="","",IF(G11="","名簿にいない",IF(COUNTIF(J12:J$402,J11)&gt;0,"2回提出（下の行を使います）",IF(OR(AND(D11&lt;&gt;"",COUNTIF(設定!$G$8:$G$27,D11)=0),AND(E11&lt;&gt;"",COUNTIF(設定!$G$8:$G$27,E11)=0),AND(F11&lt;&gt;"",COUNTIF(設定!$G$8:$G$27,F11)=0)),"委員会名がちがう",IF(D11="","第1希望がない",IF(OR(AND(D11&lt;&gt;"",D11=E11),AND(D11&lt;&gt;"",D11=F11),AND(E11&lt;&gt;"",E11=F11)),"同じ委員会を重複して希望","OK"))))))</f>
        <v/>
      </c>
      <c r="J11" s="8">
        <f>IF(A11="","",A11&amp;"-"&amp;B11&amp;"-"&amp;C11)</f>
        <v/>
      </c>
      <c r="K11" s="8">
        <f>IF(OR(J11="",G11=""),"",IF(COUNTIF(J12:J$402,J11)=0,J11,""))</f>
        <v/>
      </c>
    </row>
    <row r="12">
      <c r="A12" s="15" t="n">
        <v>6</v>
      </c>
      <c r="B12" s="15" t="inlineStr">
        <is>
          <t>梅</t>
        </is>
      </c>
      <c r="C12" s="15" t="n">
        <v>9</v>
      </c>
      <c r="D12" s="15" t="inlineStr">
        <is>
          <t>掲示</t>
        </is>
      </c>
      <c r="E12" s="15" t="inlineStr">
        <is>
          <t>広報</t>
        </is>
      </c>
      <c r="F12" s="15" t="inlineStr">
        <is>
          <t>環境</t>
        </is>
      </c>
      <c r="G12" s="3">
        <f>IF(J12="","",IFERROR(INDEX(児童名簿!$D$2:$D$301,MATCH(J12,児童名簿!$F$2:$F$301,0)),""))</f>
        <v/>
      </c>
      <c r="H12" s="19">
        <f>IF(J12="","",IF(G12="","名簿にいない",IF(COUNTIF(J13:J$402,J12)&gt;0,"2回提出（下の行を使います）",IF(OR(AND(D12&lt;&gt;"",COUNTIF(設定!$G$8:$G$27,D12)=0),AND(E12&lt;&gt;"",COUNTIF(設定!$G$8:$G$27,E12)=0),AND(F12&lt;&gt;"",COUNTIF(設定!$G$8:$G$27,F12)=0)),"委員会名がちがう",IF(D12="","第1希望がない",IF(OR(AND(D12&lt;&gt;"",D12=E12),AND(D12&lt;&gt;"",D12=F12),AND(E12&lt;&gt;"",E12=F12)),"同じ委員会を重複して希望","OK"))))))</f>
        <v/>
      </c>
      <c r="J12" s="8">
        <f>IF(A12="","",A12&amp;"-"&amp;B12&amp;"-"&amp;C12)</f>
        <v/>
      </c>
      <c r="K12" s="8">
        <f>IF(OR(J12="",G12=""),"",IF(COUNTIF(J13:J$402,J12)=0,J12,""))</f>
        <v/>
      </c>
    </row>
    <row r="13">
      <c r="A13" s="15" t="n">
        <v>6</v>
      </c>
      <c r="B13" s="15" t="inlineStr">
        <is>
          <t>梅</t>
        </is>
      </c>
      <c r="C13" s="15" t="n">
        <v>25</v>
      </c>
      <c r="D13" s="15" t="inlineStr">
        <is>
          <t>環境</t>
        </is>
      </c>
      <c r="E13" s="15" t="inlineStr">
        <is>
          <t>体育</t>
        </is>
      </c>
      <c r="F13" s="15" t="inlineStr">
        <is>
          <t>給食</t>
        </is>
      </c>
      <c r="G13" s="3">
        <f>IF(J13="","",IFERROR(INDEX(児童名簿!$D$2:$D$301,MATCH(J13,児童名簿!$F$2:$F$301,0)),""))</f>
        <v/>
      </c>
      <c r="H13" s="19">
        <f>IF(J13="","",IF(G13="","名簿にいない",IF(COUNTIF(J14:J$402,J13)&gt;0,"2回提出（下の行を使います）",IF(OR(AND(D13&lt;&gt;"",COUNTIF(設定!$G$8:$G$27,D13)=0),AND(E13&lt;&gt;"",COUNTIF(設定!$G$8:$G$27,E13)=0),AND(F13&lt;&gt;"",COUNTIF(設定!$G$8:$G$27,F13)=0)),"委員会名がちがう",IF(D13="","第1希望がない",IF(OR(AND(D13&lt;&gt;"",D13=E13),AND(D13&lt;&gt;"",D13=F13),AND(E13&lt;&gt;"",E13=F13)),"同じ委員会を重複して希望","OK"))))))</f>
        <v/>
      </c>
      <c r="J13" s="8">
        <f>IF(A13="","",A13&amp;"-"&amp;B13&amp;"-"&amp;C13)</f>
        <v/>
      </c>
      <c r="K13" s="8">
        <f>IF(OR(J13="",G13=""),"",IF(COUNTIF(J14:J$402,J13)=0,J13,""))</f>
        <v/>
      </c>
    </row>
    <row r="14">
      <c r="A14" s="15" t="n">
        <v>6</v>
      </c>
      <c r="B14" s="15" t="inlineStr">
        <is>
          <t>月</t>
        </is>
      </c>
      <c r="C14" s="15" t="n">
        <v>9</v>
      </c>
      <c r="D14" s="15" t="inlineStr">
        <is>
          <t>広報</t>
        </is>
      </c>
      <c r="E14" s="15" t="inlineStr">
        <is>
          <t>保健</t>
        </is>
      </c>
      <c r="F14" s="15" t="inlineStr">
        <is>
          <t>給食</t>
        </is>
      </c>
      <c r="G14" s="3">
        <f>IF(J14="","",IFERROR(INDEX(児童名簿!$D$2:$D$301,MATCH(J14,児童名簿!$F$2:$F$301,0)),""))</f>
        <v/>
      </c>
      <c r="H14" s="19">
        <f>IF(J14="","",IF(G14="","名簿にいない",IF(COUNTIF(J15:J$402,J14)&gt;0,"2回提出（下の行を使います）",IF(OR(AND(D14&lt;&gt;"",COUNTIF(設定!$G$8:$G$27,D14)=0),AND(E14&lt;&gt;"",COUNTIF(設定!$G$8:$G$27,E14)=0),AND(F14&lt;&gt;"",COUNTIF(設定!$G$8:$G$27,F14)=0)),"委員会名がちがう",IF(D14="","第1希望がない",IF(OR(AND(D14&lt;&gt;"",D14=E14),AND(D14&lt;&gt;"",D14=F14),AND(E14&lt;&gt;"",E14=F14)),"同じ委員会を重複して希望","OK"))))))</f>
        <v/>
      </c>
      <c r="J14" s="8">
        <f>IF(A14="","",A14&amp;"-"&amp;B14&amp;"-"&amp;C14)</f>
        <v/>
      </c>
      <c r="K14" s="8">
        <f>IF(OR(J14="",G14=""),"",IF(COUNTIF(J15:J$402,J14)=0,J14,""))</f>
        <v/>
      </c>
    </row>
    <row r="15">
      <c r="A15" s="15" t="n">
        <v>5</v>
      </c>
      <c r="B15" s="15" t="inlineStr">
        <is>
          <t>竹</t>
        </is>
      </c>
      <c r="C15" s="15" t="n">
        <v>25</v>
      </c>
      <c r="D15" s="15" t="inlineStr">
        <is>
          <t>体育</t>
        </is>
      </c>
      <c r="E15" s="15" t="inlineStr">
        <is>
          <t>広報</t>
        </is>
      </c>
      <c r="F15" s="15" t="inlineStr">
        <is>
          <t>集会</t>
        </is>
      </c>
      <c r="G15" s="3">
        <f>IF(J15="","",IFERROR(INDEX(児童名簿!$D$2:$D$301,MATCH(J15,児童名簿!$F$2:$F$301,0)),""))</f>
        <v/>
      </c>
      <c r="H15" s="19">
        <f>IF(J15="","",IF(G15="","名簿にいない",IF(COUNTIF(J16:J$402,J15)&gt;0,"2回提出（下の行を使います）",IF(OR(AND(D15&lt;&gt;"",COUNTIF(設定!$G$8:$G$27,D15)=0),AND(E15&lt;&gt;"",COUNTIF(設定!$G$8:$G$27,E15)=0),AND(F15&lt;&gt;"",COUNTIF(設定!$G$8:$G$27,F15)=0)),"委員会名がちがう",IF(D15="","第1希望がない",IF(OR(AND(D15&lt;&gt;"",D15=E15),AND(D15&lt;&gt;"",D15=F15),AND(E15&lt;&gt;"",E15=F15)),"同じ委員会を重複して希望","OK"))))))</f>
        <v/>
      </c>
      <c r="J15" s="8">
        <f>IF(A15="","",A15&amp;"-"&amp;B15&amp;"-"&amp;C15)</f>
        <v/>
      </c>
      <c r="K15" s="8">
        <f>IF(OR(J15="",G15=""),"",IF(COUNTIF(J16:J$402,J15)=0,J15,""))</f>
        <v/>
      </c>
    </row>
    <row r="16">
      <c r="A16" s="15" t="n">
        <v>5</v>
      </c>
      <c r="B16" s="15" t="inlineStr">
        <is>
          <t>竹</t>
        </is>
      </c>
      <c r="C16" s="15" t="n">
        <v>18</v>
      </c>
      <c r="D16" s="15" t="inlineStr">
        <is>
          <t>放送</t>
        </is>
      </c>
      <c r="E16" s="15" t="inlineStr">
        <is>
          <t>飼育</t>
        </is>
      </c>
      <c r="F16" s="15" t="inlineStr">
        <is>
          <t>広報</t>
        </is>
      </c>
      <c r="G16" s="3">
        <f>IF(J16="","",IFERROR(INDEX(児童名簿!$D$2:$D$301,MATCH(J16,児童名簿!$F$2:$F$301,0)),""))</f>
        <v/>
      </c>
      <c r="H16" s="19">
        <f>IF(J16="","",IF(G16="","名簿にいない",IF(COUNTIF(J17:J$402,J16)&gt;0,"2回提出（下の行を使います）",IF(OR(AND(D16&lt;&gt;"",COUNTIF(設定!$G$8:$G$27,D16)=0),AND(E16&lt;&gt;"",COUNTIF(設定!$G$8:$G$27,E16)=0),AND(F16&lt;&gt;"",COUNTIF(設定!$G$8:$G$27,F16)=0)),"委員会名がちがう",IF(D16="","第1希望がない",IF(OR(AND(D16&lt;&gt;"",D16=E16),AND(D16&lt;&gt;"",D16=F16),AND(E16&lt;&gt;"",E16=F16)),"同じ委員会を重複して希望","OK"))))))</f>
        <v/>
      </c>
      <c r="J16" s="8">
        <f>IF(A16="","",A16&amp;"-"&amp;B16&amp;"-"&amp;C16)</f>
        <v/>
      </c>
      <c r="K16" s="8">
        <f>IF(OR(J16="",G16=""),"",IF(COUNTIF(J17:J$402,J16)=0,J16,""))</f>
        <v/>
      </c>
    </row>
    <row r="17">
      <c r="A17" s="15" t="n">
        <v>5</v>
      </c>
      <c r="B17" s="15" t="inlineStr">
        <is>
          <t>松</t>
        </is>
      </c>
      <c r="C17" s="15" t="n">
        <v>7</v>
      </c>
      <c r="D17" s="15" t="inlineStr">
        <is>
          <t>飼育</t>
        </is>
      </c>
      <c r="E17" s="15" t="inlineStr">
        <is>
          <t>図書</t>
        </is>
      </c>
      <c r="F17" s="15" t="inlineStr">
        <is>
          <t>体育</t>
        </is>
      </c>
      <c r="G17" s="3">
        <f>IF(J17="","",IFERROR(INDEX(児童名簿!$D$2:$D$301,MATCH(J17,児童名簿!$F$2:$F$301,0)),""))</f>
        <v/>
      </c>
      <c r="H17" s="19">
        <f>IF(J17="","",IF(G17="","名簿にいない",IF(COUNTIF(J18:J$402,J17)&gt;0,"2回提出（下の行を使います）",IF(OR(AND(D17&lt;&gt;"",COUNTIF(設定!$G$8:$G$27,D17)=0),AND(E17&lt;&gt;"",COUNTIF(設定!$G$8:$G$27,E17)=0),AND(F17&lt;&gt;"",COUNTIF(設定!$G$8:$G$27,F17)=0)),"委員会名がちがう",IF(D17="","第1希望がない",IF(OR(AND(D17&lt;&gt;"",D17=E17),AND(D17&lt;&gt;"",D17=F17),AND(E17&lt;&gt;"",E17=F17)),"同じ委員会を重複して希望","OK"))))))</f>
        <v/>
      </c>
      <c r="J17" s="8">
        <f>IF(A17="","",A17&amp;"-"&amp;B17&amp;"-"&amp;C17)</f>
        <v/>
      </c>
      <c r="K17" s="8">
        <f>IF(OR(J17="",G17=""),"",IF(COUNTIF(J18:J$402,J17)=0,J17,""))</f>
        <v/>
      </c>
    </row>
    <row r="18">
      <c r="A18" s="15" t="n">
        <v>6</v>
      </c>
      <c r="B18" s="15" t="inlineStr">
        <is>
          <t>梅</t>
        </is>
      </c>
      <c r="C18" s="15" t="n">
        <v>26</v>
      </c>
      <c r="D18" s="15" t="inlineStr">
        <is>
          <t>掲示</t>
        </is>
      </c>
      <c r="E18" s="15" t="inlineStr">
        <is>
          <t>音楽</t>
        </is>
      </c>
      <c r="F18" s="15" t="inlineStr">
        <is>
          <t>体育</t>
        </is>
      </c>
      <c r="G18" s="3">
        <f>IF(J18="","",IFERROR(INDEX(児童名簿!$D$2:$D$301,MATCH(J18,児童名簿!$F$2:$F$301,0)),""))</f>
        <v/>
      </c>
      <c r="H18" s="19">
        <f>IF(J18="","",IF(G18="","名簿にいない",IF(COUNTIF(J19:J$402,J18)&gt;0,"2回提出（下の行を使います）",IF(OR(AND(D18&lt;&gt;"",COUNTIF(設定!$G$8:$G$27,D18)=0),AND(E18&lt;&gt;"",COUNTIF(設定!$G$8:$G$27,E18)=0),AND(F18&lt;&gt;"",COUNTIF(設定!$G$8:$G$27,F18)=0)),"委員会名がちがう",IF(D18="","第1希望がない",IF(OR(AND(D18&lt;&gt;"",D18=E18),AND(D18&lt;&gt;"",D18=F18),AND(E18&lt;&gt;"",E18=F18)),"同じ委員会を重複して希望","OK"))))))</f>
        <v/>
      </c>
      <c r="J18" s="8">
        <f>IF(A18="","",A18&amp;"-"&amp;B18&amp;"-"&amp;C18)</f>
        <v/>
      </c>
      <c r="K18" s="8">
        <f>IF(OR(J18="",G18=""),"",IF(COUNTIF(J19:J$402,J18)=0,J18,""))</f>
        <v/>
      </c>
    </row>
    <row r="19">
      <c r="A19" s="15" t="n">
        <v>5</v>
      </c>
      <c r="B19" s="15" t="inlineStr">
        <is>
          <t>松</t>
        </is>
      </c>
      <c r="C19" s="15" t="n">
        <v>21</v>
      </c>
      <c r="D19" s="15" t="inlineStr">
        <is>
          <t>掲示</t>
        </is>
      </c>
      <c r="E19" s="15" t="inlineStr">
        <is>
          <t>音楽</t>
        </is>
      </c>
      <c r="F19" s="15" t="inlineStr">
        <is>
          <t>図書</t>
        </is>
      </c>
      <c r="G19" s="3">
        <f>IF(J19="","",IFERROR(INDEX(児童名簿!$D$2:$D$301,MATCH(J19,児童名簿!$F$2:$F$301,0)),""))</f>
        <v/>
      </c>
      <c r="H19" s="19">
        <f>IF(J19="","",IF(G19="","名簿にいない",IF(COUNTIF(J20:J$402,J19)&gt;0,"2回提出（下の行を使います）",IF(OR(AND(D19&lt;&gt;"",COUNTIF(設定!$G$8:$G$27,D19)=0),AND(E19&lt;&gt;"",COUNTIF(設定!$G$8:$G$27,E19)=0),AND(F19&lt;&gt;"",COUNTIF(設定!$G$8:$G$27,F19)=0)),"委員会名がちがう",IF(D19="","第1希望がない",IF(OR(AND(D19&lt;&gt;"",D19=E19),AND(D19&lt;&gt;"",D19=F19),AND(E19&lt;&gt;"",E19=F19)),"同じ委員会を重複して希望","OK"))))))</f>
        <v/>
      </c>
      <c r="J19" s="8">
        <f>IF(A19="","",A19&amp;"-"&amp;B19&amp;"-"&amp;C19)</f>
        <v/>
      </c>
      <c r="K19" s="8">
        <f>IF(OR(J19="",G19=""),"",IF(COUNTIF(J20:J$402,J19)=0,J19,""))</f>
        <v/>
      </c>
    </row>
    <row r="20">
      <c r="A20" s="15" t="n">
        <v>6</v>
      </c>
      <c r="B20" s="15" t="inlineStr">
        <is>
          <t>月</t>
        </is>
      </c>
      <c r="C20" s="15" t="n">
        <v>28</v>
      </c>
      <c r="D20" s="15" t="inlineStr">
        <is>
          <t>集会</t>
        </is>
      </c>
      <c r="E20" s="15" t="inlineStr">
        <is>
          <t>給食</t>
        </is>
      </c>
      <c r="F20" s="15" t="inlineStr">
        <is>
          <t>掲示</t>
        </is>
      </c>
      <c r="G20" s="3">
        <f>IF(J20="","",IFERROR(INDEX(児童名簿!$D$2:$D$301,MATCH(J20,児童名簿!$F$2:$F$301,0)),""))</f>
        <v/>
      </c>
      <c r="H20" s="19">
        <f>IF(J20="","",IF(G20="","名簿にいない",IF(COUNTIF(J21:J$402,J20)&gt;0,"2回提出（下の行を使います）",IF(OR(AND(D20&lt;&gt;"",COUNTIF(設定!$G$8:$G$27,D20)=0),AND(E20&lt;&gt;"",COUNTIF(設定!$G$8:$G$27,E20)=0),AND(F20&lt;&gt;"",COUNTIF(設定!$G$8:$G$27,F20)=0)),"委員会名がちがう",IF(D20="","第1希望がない",IF(OR(AND(D20&lt;&gt;"",D20=E20),AND(D20&lt;&gt;"",D20=F20),AND(E20&lt;&gt;"",E20=F20)),"同じ委員会を重複して希望","OK"))))))</f>
        <v/>
      </c>
      <c r="J20" s="8">
        <f>IF(A20="","",A20&amp;"-"&amp;B20&amp;"-"&amp;C20)</f>
        <v/>
      </c>
      <c r="K20" s="8">
        <f>IF(OR(J20="",G20=""),"",IF(COUNTIF(J21:J$402,J20)=0,J20,""))</f>
        <v/>
      </c>
    </row>
    <row r="21">
      <c r="A21" s="15" t="n">
        <v>6</v>
      </c>
      <c r="B21" s="15" t="inlineStr">
        <is>
          <t>松</t>
        </is>
      </c>
      <c r="C21" s="15" t="n">
        <v>12</v>
      </c>
      <c r="D21" s="15" t="inlineStr">
        <is>
          <t>給食</t>
        </is>
      </c>
      <c r="E21" s="15" t="inlineStr">
        <is>
          <t>保健</t>
        </is>
      </c>
      <c r="F21" s="15" t="inlineStr">
        <is>
          <t>広報</t>
        </is>
      </c>
      <c r="G21" s="3">
        <f>IF(J21="","",IFERROR(INDEX(児童名簿!$D$2:$D$301,MATCH(J21,児童名簿!$F$2:$F$301,0)),""))</f>
        <v/>
      </c>
      <c r="H21" s="19">
        <f>IF(J21="","",IF(G21="","名簿にいない",IF(COUNTIF(J22:J$402,J21)&gt;0,"2回提出（下の行を使います）",IF(OR(AND(D21&lt;&gt;"",COUNTIF(設定!$G$8:$G$27,D21)=0),AND(E21&lt;&gt;"",COUNTIF(設定!$G$8:$G$27,E21)=0),AND(F21&lt;&gt;"",COUNTIF(設定!$G$8:$G$27,F21)=0)),"委員会名がちがう",IF(D21="","第1希望がない",IF(OR(AND(D21&lt;&gt;"",D21=E21),AND(D21&lt;&gt;"",D21=F21),AND(E21&lt;&gt;"",E21=F21)),"同じ委員会を重複して希望","OK"))))))</f>
        <v/>
      </c>
      <c r="J21" s="8">
        <f>IF(A21="","",A21&amp;"-"&amp;B21&amp;"-"&amp;C21)</f>
        <v/>
      </c>
      <c r="K21" s="8">
        <f>IF(OR(J21="",G21=""),"",IF(COUNTIF(J22:J$402,J21)=0,J21,""))</f>
        <v/>
      </c>
    </row>
    <row r="22">
      <c r="A22" s="15" t="n">
        <v>5</v>
      </c>
      <c r="B22" s="15" t="inlineStr">
        <is>
          <t>梅</t>
        </is>
      </c>
      <c r="C22" s="15" t="n">
        <v>16</v>
      </c>
      <c r="D22" s="15" t="inlineStr">
        <is>
          <t>集会</t>
        </is>
      </c>
      <c r="E22" s="15" t="inlineStr">
        <is>
          <t>広報</t>
        </is>
      </c>
      <c r="F22" s="15" t="inlineStr">
        <is>
          <t>飼育</t>
        </is>
      </c>
      <c r="G22" s="3">
        <f>IF(J22="","",IFERROR(INDEX(児童名簿!$D$2:$D$301,MATCH(J22,児童名簿!$F$2:$F$301,0)),""))</f>
        <v/>
      </c>
      <c r="H22" s="19">
        <f>IF(J22="","",IF(G22="","名簿にいない",IF(COUNTIF(J23:J$402,J22)&gt;0,"2回提出（下の行を使います）",IF(OR(AND(D22&lt;&gt;"",COUNTIF(設定!$G$8:$G$27,D22)=0),AND(E22&lt;&gt;"",COUNTIF(設定!$G$8:$G$27,E22)=0),AND(F22&lt;&gt;"",COUNTIF(設定!$G$8:$G$27,F22)=0)),"委員会名がちがう",IF(D22="","第1希望がない",IF(OR(AND(D22&lt;&gt;"",D22=E22),AND(D22&lt;&gt;"",D22=F22),AND(E22&lt;&gt;"",E22=F22)),"同じ委員会を重複して希望","OK"))))))</f>
        <v/>
      </c>
      <c r="J22" s="8">
        <f>IF(A22="","",A22&amp;"-"&amp;B22&amp;"-"&amp;C22)</f>
        <v/>
      </c>
      <c r="K22" s="8">
        <f>IF(OR(J22="",G22=""),"",IF(COUNTIF(J23:J$402,J22)=0,J22,""))</f>
        <v/>
      </c>
    </row>
    <row r="23">
      <c r="A23" s="15" t="n">
        <v>6</v>
      </c>
      <c r="B23" s="15" t="inlineStr">
        <is>
          <t>竹</t>
        </is>
      </c>
      <c r="C23" s="15" t="n">
        <v>26</v>
      </c>
      <c r="D23" s="15" t="inlineStr">
        <is>
          <t>体育</t>
        </is>
      </c>
      <c r="E23" s="15" t="inlineStr">
        <is>
          <t>音楽</t>
        </is>
      </c>
      <c r="F23" s="15" t="inlineStr">
        <is>
          <t>集会</t>
        </is>
      </c>
      <c r="G23" s="3">
        <f>IF(J23="","",IFERROR(INDEX(児童名簿!$D$2:$D$301,MATCH(J23,児童名簿!$F$2:$F$301,0)),""))</f>
        <v/>
      </c>
      <c r="H23" s="19">
        <f>IF(J23="","",IF(G23="","名簿にいない",IF(COUNTIF(J24:J$402,J23)&gt;0,"2回提出（下の行を使います）",IF(OR(AND(D23&lt;&gt;"",COUNTIF(設定!$G$8:$G$27,D23)=0),AND(E23&lt;&gt;"",COUNTIF(設定!$G$8:$G$27,E23)=0),AND(F23&lt;&gt;"",COUNTIF(設定!$G$8:$G$27,F23)=0)),"委員会名がちがう",IF(D23="","第1希望がない",IF(OR(AND(D23&lt;&gt;"",D23=E23),AND(D23&lt;&gt;"",D23=F23),AND(E23&lt;&gt;"",E23=F23)),"同じ委員会を重複して希望","OK"))))))</f>
        <v/>
      </c>
      <c r="J23" s="8">
        <f>IF(A23="","",A23&amp;"-"&amp;B23&amp;"-"&amp;C23)</f>
        <v/>
      </c>
      <c r="K23" s="8">
        <f>IF(OR(J23="",G23=""),"",IF(COUNTIF(J24:J$402,J23)=0,J23,""))</f>
        <v/>
      </c>
    </row>
    <row r="24">
      <c r="A24" s="15" t="n">
        <v>6</v>
      </c>
      <c r="B24" s="15" t="inlineStr">
        <is>
          <t>梅</t>
        </is>
      </c>
      <c r="C24" s="15" t="n">
        <v>27</v>
      </c>
      <c r="D24" s="15" t="inlineStr">
        <is>
          <t>集会</t>
        </is>
      </c>
      <c r="E24" s="15" t="inlineStr">
        <is>
          <t>図書</t>
        </is>
      </c>
      <c r="F24" s="15" t="inlineStr">
        <is>
          <t>体育</t>
        </is>
      </c>
      <c r="G24" s="3">
        <f>IF(J24="","",IFERROR(INDEX(児童名簿!$D$2:$D$301,MATCH(J24,児童名簿!$F$2:$F$301,0)),""))</f>
        <v/>
      </c>
      <c r="H24" s="19">
        <f>IF(J24="","",IF(G24="","名簿にいない",IF(COUNTIF(J25:J$402,J24)&gt;0,"2回提出（下の行を使います）",IF(OR(AND(D24&lt;&gt;"",COUNTIF(設定!$G$8:$G$27,D24)=0),AND(E24&lt;&gt;"",COUNTIF(設定!$G$8:$G$27,E24)=0),AND(F24&lt;&gt;"",COUNTIF(設定!$G$8:$G$27,F24)=0)),"委員会名がちがう",IF(D24="","第1希望がない",IF(OR(AND(D24&lt;&gt;"",D24=E24),AND(D24&lt;&gt;"",D24=F24),AND(E24&lt;&gt;"",E24=F24)),"同じ委員会を重複して希望","OK"))))))</f>
        <v/>
      </c>
      <c r="J24" s="8">
        <f>IF(A24="","",A24&amp;"-"&amp;B24&amp;"-"&amp;C24)</f>
        <v/>
      </c>
      <c r="K24" s="8">
        <f>IF(OR(J24="",G24=""),"",IF(COUNTIF(J25:J$402,J24)=0,J24,""))</f>
        <v/>
      </c>
    </row>
    <row r="25">
      <c r="A25" s="15" t="n">
        <v>6</v>
      </c>
      <c r="B25" s="15" t="inlineStr">
        <is>
          <t>松</t>
        </is>
      </c>
      <c r="C25" s="15" t="n">
        <v>25</v>
      </c>
      <c r="D25" s="15" t="inlineStr">
        <is>
          <t>放送</t>
        </is>
      </c>
      <c r="E25" s="15" t="inlineStr">
        <is>
          <t>掲示</t>
        </is>
      </c>
      <c r="F25" s="15" t="inlineStr">
        <is>
          <t>給食</t>
        </is>
      </c>
      <c r="G25" s="3">
        <f>IF(J25="","",IFERROR(INDEX(児童名簿!$D$2:$D$301,MATCH(J25,児童名簿!$F$2:$F$301,0)),""))</f>
        <v/>
      </c>
      <c r="H25" s="19">
        <f>IF(J25="","",IF(G25="","名簿にいない",IF(COUNTIF(J26:J$402,J25)&gt;0,"2回提出（下の行を使います）",IF(OR(AND(D25&lt;&gt;"",COUNTIF(設定!$G$8:$G$27,D25)=0),AND(E25&lt;&gt;"",COUNTIF(設定!$G$8:$G$27,E25)=0),AND(F25&lt;&gt;"",COUNTIF(設定!$G$8:$G$27,F25)=0)),"委員会名がちがう",IF(D25="","第1希望がない",IF(OR(AND(D25&lt;&gt;"",D25=E25),AND(D25&lt;&gt;"",D25=F25),AND(E25&lt;&gt;"",E25=F25)),"同じ委員会を重複して希望","OK"))))))</f>
        <v/>
      </c>
      <c r="J25" s="8">
        <f>IF(A25="","",A25&amp;"-"&amp;B25&amp;"-"&amp;C25)</f>
        <v/>
      </c>
      <c r="K25" s="8">
        <f>IF(OR(J25="",G25=""),"",IF(COUNTIF(J26:J$402,J25)=0,J25,""))</f>
        <v/>
      </c>
    </row>
    <row r="26">
      <c r="A26" s="15" t="n">
        <v>6</v>
      </c>
      <c r="B26" s="15" t="inlineStr">
        <is>
          <t>松</t>
        </is>
      </c>
      <c r="C26" s="15" t="n">
        <v>13</v>
      </c>
      <c r="D26" s="15" t="inlineStr">
        <is>
          <t>集会</t>
        </is>
      </c>
      <c r="E26" s="15" t="inlineStr">
        <is>
          <t>放送</t>
        </is>
      </c>
      <c r="F26" s="15" t="inlineStr">
        <is>
          <t>給食</t>
        </is>
      </c>
      <c r="G26" s="3">
        <f>IF(J26="","",IFERROR(INDEX(児童名簿!$D$2:$D$301,MATCH(J26,児童名簿!$F$2:$F$301,0)),""))</f>
        <v/>
      </c>
      <c r="H26" s="19">
        <f>IF(J26="","",IF(G26="","名簿にいない",IF(COUNTIF(J27:J$402,J26)&gt;0,"2回提出（下の行を使います）",IF(OR(AND(D26&lt;&gt;"",COUNTIF(設定!$G$8:$G$27,D26)=0),AND(E26&lt;&gt;"",COUNTIF(設定!$G$8:$G$27,E26)=0),AND(F26&lt;&gt;"",COUNTIF(設定!$G$8:$G$27,F26)=0)),"委員会名がちがう",IF(D26="","第1希望がない",IF(OR(AND(D26&lt;&gt;"",D26=E26),AND(D26&lt;&gt;"",D26=F26),AND(E26&lt;&gt;"",E26=F26)),"同じ委員会を重複して希望","OK"))))))</f>
        <v/>
      </c>
      <c r="J26" s="8">
        <f>IF(A26="","",A26&amp;"-"&amp;B26&amp;"-"&amp;C26)</f>
        <v/>
      </c>
      <c r="K26" s="8">
        <f>IF(OR(J26="",G26=""),"",IF(COUNTIF(J27:J$402,J26)=0,J26,""))</f>
        <v/>
      </c>
    </row>
    <row r="27">
      <c r="A27" s="15" t="n">
        <v>5</v>
      </c>
      <c r="B27" s="15" t="inlineStr">
        <is>
          <t>月</t>
        </is>
      </c>
      <c r="C27" s="15" t="n">
        <v>25</v>
      </c>
      <c r="D27" s="15" t="inlineStr">
        <is>
          <t>集会</t>
        </is>
      </c>
      <c r="E27" s="15" t="inlineStr">
        <is>
          <t>飼育</t>
        </is>
      </c>
      <c r="F27" s="15" t="inlineStr">
        <is>
          <t>図書</t>
        </is>
      </c>
      <c r="G27" s="3">
        <f>IF(J27="","",IFERROR(INDEX(児童名簿!$D$2:$D$301,MATCH(J27,児童名簿!$F$2:$F$301,0)),""))</f>
        <v/>
      </c>
      <c r="H27" s="19">
        <f>IF(J27="","",IF(G27="","名簿にいない",IF(COUNTIF(J28:J$402,J27)&gt;0,"2回提出（下の行を使います）",IF(OR(AND(D27&lt;&gt;"",COUNTIF(設定!$G$8:$G$27,D27)=0),AND(E27&lt;&gt;"",COUNTIF(設定!$G$8:$G$27,E27)=0),AND(F27&lt;&gt;"",COUNTIF(設定!$G$8:$G$27,F27)=0)),"委員会名がちがう",IF(D27="","第1希望がない",IF(OR(AND(D27&lt;&gt;"",D27=E27),AND(D27&lt;&gt;"",D27=F27),AND(E27&lt;&gt;"",E27=F27)),"同じ委員会を重複して希望","OK"))))))</f>
        <v/>
      </c>
      <c r="J27" s="8">
        <f>IF(A27="","",A27&amp;"-"&amp;B27&amp;"-"&amp;C27)</f>
        <v/>
      </c>
      <c r="K27" s="8">
        <f>IF(OR(J27="",G27=""),"",IF(COUNTIF(J28:J$402,J27)=0,J27,""))</f>
        <v/>
      </c>
    </row>
    <row r="28">
      <c r="A28" s="15" t="n">
        <v>5</v>
      </c>
      <c r="B28" s="15" t="inlineStr">
        <is>
          <t>梅</t>
        </is>
      </c>
      <c r="C28" s="15" t="n">
        <v>11</v>
      </c>
      <c r="D28" s="15" t="inlineStr">
        <is>
          <t>給食</t>
        </is>
      </c>
      <c r="E28" s="15" t="inlineStr">
        <is>
          <t>音楽</t>
        </is>
      </c>
      <c r="F28" s="15" t="inlineStr">
        <is>
          <t>代表</t>
        </is>
      </c>
      <c r="G28" s="3">
        <f>IF(J28="","",IFERROR(INDEX(児童名簿!$D$2:$D$301,MATCH(J28,児童名簿!$F$2:$F$301,0)),""))</f>
        <v/>
      </c>
      <c r="H28" s="19">
        <f>IF(J28="","",IF(G28="","名簿にいない",IF(COUNTIF(J29:J$402,J28)&gt;0,"2回提出（下の行を使います）",IF(OR(AND(D28&lt;&gt;"",COUNTIF(設定!$G$8:$G$27,D28)=0),AND(E28&lt;&gt;"",COUNTIF(設定!$G$8:$G$27,E28)=0),AND(F28&lt;&gt;"",COUNTIF(設定!$G$8:$G$27,F28)=0)),"委員会名がちがう",IF(D28="","第1希望がない",IF(OR(AND(D28&lt;&gt;"",D28=E28),AND(D28&lt;&gt;"",D28=F28),AND(E28&lt;&gt;"",E28=F28)),"同じ委員会を重複して希望","OK"))))))</f>
        <v/>
      </c>
      <c r="J28" s="8">
        <f>IF(A28="","",A28&amp;"-"&amp;B28&amp;"-"&amp;C28)</f>
        <v/>
      </c>
      <c r="K28" s="8">
        <f>IF(OR(J28="",G28=""),"",IF(COUNTIF(J29:J$402,J28)=0,J28,""))</f>
        <v/>
      </c>
    </row>
    <row r="29">
      <c r="A29" s="15" t="n">
        <v>6</v>
      </c>
      <c r="B29" s="15" t="inlineStr">
        <is>
          <t>梅</t>
        </is>
      </c>
      <c r="C29" s="15" t="n">
        <v>11</v>
      </c>
      <c r="D29" s="15" t="inlineStr">
        <is>
          <t>掲示</t>
        </is>
      </c>
      <c r="E29" s="15" t="inlineStr">
        <is>
          <t>集会</t>
        </is>
      </c>
      <c r="F29" s="15" t="inlineStr">
        <is>
          <t>音楽</t>
        </is>
      </c>
      <c r="G29" s="3">
        <f>IF(J29="","",IFERROR(INDEX(児童名簿!$D$2:$D$301,MATCH(J29,児童名簿!$F$2:$F$301,0)),""))</f>
        <v/>
      </c>
      <c r="H29" s="19">
        <f>IF(J29="","",IF(G29="","名簿にいない",IF(COUNTIF(J30:J$402,J29)&gt;0,"2回提出（下の行を使います）",IF(OR(AND(D29&lt;&gt;"",COUNTIF(設定!$G$8:$G$27,D29)=0),AND(E29&lt;&gt;"",COUNTIF(設定!$G$8:$G$27,E29)=0),AND(F29&lt;&gt;"",COUNTIF(設定!$G$8:$G$27,F29)=0)),"委員会名がちがう",IF(D29="","第1希望がない",IF(OR(AND(D29&lt;&gt;"",D29=E29),AND(D29&lt;&gt;"",D29=F29),AND(E29&lt;&gt;"",E29=F29)),"同じ委員会を重複して希望","OK"))))))</f>
        <v/>
      </c>
      <c r="J29" s="8">
        <f>IF(A29="","",A29&amp;"-"&amp;B29&amp;"-"&amp;C29)</f>
        <v/>
      </c>
      <c r="K29" s="8">
        <f>IF(OR(J29="",G29=""),"",IF(COUNTIF(J30:J$402,J29)=0,J29,""))</f>
        <v/>
      </c>
    </row>
    <row r="30">
      <c r="A30" s="15" t="n">
        <v>5</v>
      </c>
      <c r="B30" s="15" t="inlineStr">
        <is>
          <t>竹</t>
        </is>
      </c>
      <c r="C30" s="15" t="n">
        <v>27</v>
      </c>
      <c r="D30" s="15" t="inlineStr">
        <is>
          <t>集会</t>
        </is>
      </c>
      <c r="E30" s="15" t="inlineStr">
        <is>
          <t>代表</t>
        </is>
      </c>
      <c r="F30" s="15" t="inlineStr">
        <is>
          <t>放送</t>
        </is>
      </c>
      <c r="G30" s="3">
        <f>IF(J30="","",IFERROR(INDEX(児童名簿!$D$2:$D$301,MATCH(J30,児童名簿!$F$2:$F$301,0)),""))</f>
        <v/>
      </c>
      <c r="H30" s="19">
        <f>IF(J30="","",IF(G30="","名簿にいない",IF(COUNTIF(J31:J$402,J30)&gt;0,"2回提出（下の行を使います）",IF(OR(AND(D30&lt;&gt;"",COUNTIF(設定!$G$8:$G$27,D30)=0),AND(E30&lt;&gt;"",COUNTIF(設定!$G$8:$G$27,E30)=0),AND(F30&lt;&gt;"",COUNTIF(設定!$G$8:$G$27,F30)=0)),"委員会名がちがう",IF(D30="","第1希望がない",IF(OR(AND(D30&lt;&gt;"",D30=E30),AND(D30&lt;&gt;"",D30=F30),AND(E30&lt;&gt;"",E30=F30)),"同じ委員会を重複して希望","OK"))))))</f>
        <v/>
      </c>
      <c r="J30" s="8">
        <f>IF(A30="","",A30&amp;"-"&amp;B30&amp;"-"&amp;C30)</f>
        <v/>
      </c>
      <c r="K30" s="8">
        <f>IF(OR(J30="",G30=""),"",IF(COUNTIF(J31:J$402,J30)=0,J30,""))</f>
        <v/>
      </c>
    </row>
    <row r="31">
      <c r="A31" s="15" t="n">
        <v>5</v>
      </c>
      <c r="B31" s="15" t="inlineStr">
        <is>
          <t>梅</t>
        </is>
      </c>
      <c r="C31" s="15" t="n">
        <v>13</v>
      </c>
      <c r="D31" s="15" t="inlineStr">
        <is>
          <t>保健</t>
        </is>
      </c>
      <c r="E31" s="15" t="inlineStr">
        <is>
          <t>放送</t>
        </is>
      </c>
      <c r="F31" s="15" t="inlineStr">
        <is>
          <t>代表</t>
        </is>
      </c>
      <c r="G31" s="3">
        <f>IF(J31="","",IFERROR(INDEX(児童名簿!$D$2:$D$301,MATCH(J31,児童名簿!$F$2:$F$301,0)),""))</f>
        <v/>
      </c>
      <c r="H31" s="19">
        <f>IF(J31="","",IF(G31="","名簿にいない",IF(COUNTIF(J32:J$402,J31)&gt;0,"2回提出（下の行を使います）",IF(OR(AND(D31&lt;&gt;"",COUNTIF(設定!$G$8:$G$27,D31)=0),AND(E31&lt;&gt;"",COUNTIF(設定!$G$8:$G$27,E31)=0),AND(F31&lt;&gt;"",COUNTIF(設定!$G$8:$G$27,F31)=0)),"委員会名がちがう",IF(D31="","第1希望がない",IF(OR(AND(D31&lt;&gt;"",D31=E31),AND(D31&lt;&gt;"",D31=F31),AND(E31&lt;&gt;"",E31=F31)),"同じ委員会を重複して希望","OK"))))))</f>
        <v/>
      </c>
      <c r="J31" s="8">
        <f>IF(A31="","",A31&amp;"-"&amp;B31&amp;"-"&amp;C31)</f>
        <v/>
      </c>
      <c r="K31" s="8">
        <f>IF(OR(J31="",G31=""),"",IF(COUNTIF(J32:J$402,J31)=0,J31,""))</f>
        <v/>
      </c>
    </row>
    <row r="32">
      <c r="A32" s="15" t="n">
        <v>5</v>
      </c>
      <c r="B32" s="15" t="inlineStr">
        <is>
          <t>松</t>
        </is>
      </c>
      <c r="C32" s="15" t="n">
        <v>11</v>
      </c>
      <c r="D32" s="15" t="inlineStr">
        <is>
          <t>音楽</t>
        </is>
      </c>
      <c r="E32" s="15" t="inlineStr">
        <is>
          <t>代表</t>
        </is>
      </c>
      <c r="F32" s="15" t="inlineStr">
        <is>
          <t>掲示</t>
        </is>
      </c>
      <c r="G32" s="3">
        <f>IF(J32="","",IFERROR(INDEX(児童名簿!$D$2:$D$301,MATCH(J32,児童名簿!$F$2:$F$301,0)),""))</f>
        <v/>
      </c>
      <c r="H32" s="19">
        <f>IF(J32="","",IF(G32="","名簿にいない",IF(COUNTIF(J33:J$402,J32)&gt;0,"2回提出（下の行を使います）",IF(OR(AND(D32&lt;&gt;"",COUNTIF(設定!$G$8:$G$27,D32)=0),AND(E32&lt;&gt;"",COUNTIF(設定!$G$8:$G$27,E32)=0),AND(F32&lt;&gt;"",COUNTIF(設定!$G$8:$G$27,F32)=0)),"委員会名がちがう",IF(D32="","第1希望がない",IF(OR(AND(D32&lt;&gt;"",D32=E32),AND(D32&lt;&gt;"",D32=F32),AND(E32&lt;&gt;"",E32=F32)),"同じ委員会を重複して希望","OK"))))))</f>
        <v/>
      </c>
      <c r="J32" s="8">
        <f>IF(A32="","",A32&amp;"-"&amp;B32&amp;"-"&amp;C32)</f>
        <v/>
      </c>
      <c r="K32" s="8">
        <f>IF(OR(J32="",G32=""),"",IF(COUNTIF(J33:J$402,J32)=0,J32,""))</f>
        <v/>
      </c>
    </row>
    <row r="33">
      <c r="A33" s="15" t="n">
        <v>6</v>
      </c>
      <c r="B33" s="15" t="inlineStr">
        <is>
          <t>竹</t>
        </is>
      </c>
      <c r="C33" s="15" t="n">
        <v>16</v>
      </c>
      <c r="D33" s="15" t="inlineStr">
        <is>
          <t>体育</t>
        </is>
      </c>
      <c r="E33" s="15" t="inlineStr">
        <is>
          <t>飼育</t>
        </is>
      </c>
      <c r="F33" s="15" t="inlineStr">
        <is>
          <t>代表</t>
        </is>
      </c>
      <c r="G33" s="3">
        <f>IF(J33="","",IFERROR(INDEX(児童名簿!$D$2:$D$301,MATCH(J33,児童名簿!$F$2:$F$301,0)),""))</f>
        <v/>
      </c>
      <c r="H33" s="19">
        <f>IF(J33="","",IF(G33="","名簿にいない",IF(COUNTIF(J34:J$402,J33)&gt;0,"2回提出（下の行を使います）",IF(OR(AND(D33&lt;&gt;"",COUNTIF(設定!$G$8:$G$27,D33)=0),AND(E33&lt;&gt;"",COUNTIF(設定!$G$8:$G$27,E33)=0),AND(F33&lt;&gt;"",COUNTIF(設定!$G$8:$G$27,F33)=0)),"委員会名がちがう",IF(D33="","第1希望がない",IF(OR(AND(D33&lt;&gt;"",D33=E33),AND(D33&lt;&gt;"",D33=F33),AND(E33&lt;&gt;"",E33=F33)),"同じ委員会を重複して希望","OK"))))))</f>
        <v/>
      </c>
      <c r="J33" s="8">
        <f>IF(A33="","",A33&amp;"-"&amp;B33&amp;"-"&amp;C33)</f>
        <v/>
      </c>
      <c r="K33" s="8">
        <f>IF(OR(J33="",G33=""),"",IF(COUNTIF(J34:J$402,J33)=0,J33,""))</f>
        <v/>
      </c>
    </row>
    <row r="34">
      <c r="A34" s="15" t="n">
        <v>5</v>
      </c>
      <c r="B34" s="15" t="inlineStr">
        <is>
          <t>梅</t>
        </is>
      </c>
      <c r="C34" s="15" t="n">
        <v>27</v>
      </c>
      <c r="D34" s="15" t="inlineStr">
        <is>
          <t>放送</t>
        </is>
      </c>
      <c r="E34" s="15" t="inlineStr">
        <is>
          <t>音楽</t>
        </is>
      </c>
      <c r="F34" s="15" t="inlineStr">
        <is>
          <t>給食</t>
        </is>
      </c>
      <c r="G34" s="3">
        <f>IF(J34="","",IFERROR(INDEX(児童名簿!$D$2:$D$301,MATCH(J34,児童名簿!$F$2:$F$301,0)),""))</f>
        <v/>
      </c>
      <c r="H34" s="19">
        <f>IF(J34="","",IF(G34="","名簿にいない",IF(COUNTIF(J35:J$402,J34)&gt;0,"2回提出（下の行を使います）",IF(OR(AND(D34&lt;&gt;"",COUNTIF(設定!$G$8:$G$27,D34)=0),AND(E34&lt;&gt;"",COUNTIF(設定!$G$8:$G$27,E34)=0),AND(F34&lt;&gt;"",COUNTIF(設定!$G$8:$G$27,F34)=0)),"委員会名がちがう",IF(D34="","第1希望がない",IF(OR(AND(D34&lt;&gt;"",D34=E34),AND(D34&lt;&gt;"",D34=F34),AND(E34&lt;&gt;"",E34=F34)),"同じ委員会を重複して希望","OK"))))))</f>
        <v/>
      </c>
      <c r="J34" s="8">
        <f>IF(A34="","",A34&amp;"-"&amp;B34&amp;"-"&amp;C34)</f>
        <v/>
      </c>
      <c r="K34" s="8">
        <f>IF(OR(J34="",G34=""),"",IF(COUNTIF(J35:J$402,J34)=0,J34,""))</f>
        <v/>
      </c>
    </row>
    <row r="35">
      <c r="A35" s="15" t="n">
        <v>6</v>
      </c>
      <c r="B35" s="15" t="inlineStr">
        <is>
          <t>松</t>
        </is>
      </c>
      <c r="C35" s="15" t="n">
        <v>16</v>
      </c>
      <c r="D35" s="15" t="inlineStr">
        <is>
          <t>給食</t>
        </is>
      </c>
      <c r="E35" s="15" t="inlineStr">
        <is>
          <t>代表</t>
        </is>
      </c>
      <c r="F35" s="15" t="inlineStr">
        <is>
          <t>飼育</t>
        </is>
      </c>
      <c r="G35" s="3">
        <f>IF(J35="","",IFERROR(INDEX(児童名簿!$D$2:$D$301,MATCH(J35,児童名簿!$F$2:$F$301,0)),""))</f>
        <v/>
      </c>
      <c r="H35" s="19">
        <f>IF(J35="","",IF(G35="","名簿にいない",IF(COUNTIF(J36:J$402,J35)&gt;0,"2回提出（下の行を使います）",IF(OR(AND(D35&lt;&gt;"",COUNTIF(設定!$G$8:$G$27,D35)=0),AND(E35&lt;&gt;"",COUNTIF(設定!$G$8:$G$27,E35)=0),AND(F35&lt;&gt;"",COUNTIF(設定!$G$8:$G$27,F35)=0)),"委員会名がちがう",IF(D35="","第1希望がない",IF(OR(AND(D35&lt;&gt;"",D35=E35),AND(D35&lt;&gt;"",D35=F35),AND(E35&lt;&gt;"",E35=F35)),"同じ委員会を重複して希望","OK"))))))</f>
        <v/>
      </c>
      <c r="J35" s="8">
        <f>IF(A35="","",A35&amp;"-"&amp;B35&amp;"-"&amp;C35)</f>
        <v/>
      </c>
      <c r="K35" s="8">
        <f>IF(OR(J35="",G35=""),"",IF(COUNTIF(J36:J$402,J35)=0,J35,""))</f>
        <v/>
      </c>
    </row>
    <row r="36">
      <c r="A36" s="15" t="n">
        <v>6</v>
      </c>
      <c r="B36" s="15" t="inlineStr">
        <is>
          <t>竹</t>
        </is>
      </c>
      <c r="C36" s="15" t="n">
        <v>24</v>
      </c>
      <c r="D36" s="15" t="inlineStr">
        <is>
          <t>図書</t>
        </is>
      </c>
      <c r="E36" s="15" t="inlineStr">
        <is>
          <t>代表</t>
        </is>
      </c>
      <c r="F36" s="15" t="inlineStr">
        <is>
          <t>保健</t>
        </is>
      </c>
      <c r="G36" s="3">
        <f>IF(J36="","",IFERROR(INDEX(児童名簿!$D$2:$D$301,MATCH(J36,児童名簿!$F$2:$F$301,0)),""))</f>
        <v/>
      </c>
      <c r="H36" s="19">
        <f>IF(J36="","",IF(G36="","名簿にいない",IF(COUNTIF(J37:J$402,J36)&gt;0,"2回提出（下の行を使います）",IF(OR(AND(D36&lt;&gt;"",COUNTIF(設定!$G$8:$G$27,D36)=0),AND(E36&lt;&gt;"",COUNTIF(設定!$G$8:$G$27,E36)=0),AND(F36&lt;&gt;"",COUNTIF(設定!$G$8:$G$27,F36)=0)),"委員会名がちがう",IF(D36="","第1希望がない",IF(OR(AND(D36&lt;&gt;"",D36=E36),AND(D36&lt;&gt;"",D36=F36),AND(E36&lt;&gt;"",E36=F36)),"同じ委員会を重複して希望","OK"))))))</f>
        <v/>
      </c>
      <c r="J36" s="8">
        <f>IF(A36="","",A36&amp;"-"&amp;B36&amp;"-"&amp;C36)</f>
        <v/>
      </c>
      <c r="K36" s="8">
        <f>IF(OR(J36="",G36=""),"",IF(COUNTIF(J37:J$402,J36)=0,J36,""))</f>
        <v/>
      </c>
    </row>
    <row r="37">
      <c r="A37" s="15" t="n">
        <v>6</v>
      </c>
      <c r="B37" s="15" t="inlineStr">
        <is>
          <t>梅</t>
        </is>
      </c>
      <c r="C37" s="15" t="n">
        <v>4</v>
      </c>
      <c r="D37" s="15" t="inlineStr">
        <is>
          <t>掲示</t>
        </is>
      </c>
      <c r="E37" s="15" t="inlineStr">
        <is>
          <t>飼育</t>
        </is>
      </c>
      <c r="F37" s="15" t="inlineStr">
        <is>
          <t>広報</t>
        </is>
      </c>
      <c r="G37" s="3">
        <f>IF(J37="","",IFERROR(INDEX(児童名簿!$D$2:$D$301,MATCH(J37,児童名簿!$F$2:$F$301,0)),""))</f>
        <v/>
      </c>
      <c r="H37" s="19">
        <f>IF(J37="","",IF(G37="","名簿にいない",IF(COUNTIF(J38:J$402,J37)&gt;0,"2回提出（下の行を使います）",IF(OR(AND(D37&lt;&gt;"",COUNTIF(設定!$G$8:$G$27,D37)=0),AND(E37&lt;&gt;"",COUNTIF(設定!$G$8:$G$27,E37)=0),AND(F37&lt;&gt;"",COUNTIF(設定!$G$8:$G$27,F37)=0)),"委員会名がちがう",IF(D37="","第1希望がない",IF(OR(AND(D37&lt;&gt;"",D37=E37),AND(D37&lt;&gt;"",D37=F37),AND(E37&lt;&gt;"",E37=F37)),"同じ委員会を重複して希望","OK"))))))</f>
        <v/>
      </c>
      <c r="J37" s="8">
        <f>IF(A37="","",A37&amp;"-"&amp;B37&amp;"-"&amp;C37)</f>
        <v/>
      </c>
      <c r="K37" s="8">
        <f>IF(OR(J37="",G37=""),"",IF(COUNTIF(J38:J$402,J37)=0,J37,""))</f>
        <v/>
      </c>
    </row>
    <row r="38">
      <c r="A38" s="15" t="n">
        <v>6</v>
      </c>
      <c r="B38" s="15" t="inlineStr">
        <is>
          <t>月</t>
        </is>
      </c>
      <c r="C38" s="15" t="n">
        <v>2</v>
      </c>
      <c r="D38" s="15" t="inlineStr">
        <is>
          <t>環境</t>
        </is>
      </c>
      <c r="E38" s="15" t="inlineStr">
        <is>
          <t>給食</t>
        </is>
      </c>
      <c r="F38" s="15" t="inlineStr">
        <is>
          <t>音楽</t>
        </is>
      </c>
      <c r="G38" s="3">
        <f>IF(J38="","",IFERROR(INDEX(児童名簿!$D$2:$D$301,MATCH(J38,児童名簿!$F$2:$F$301,0)),""))</f>
        <v/>
      </c>
      <c r="H38" s="19">
        <f>IF(J38="","",IF(G38="","名簿にいない",IF(COUNTIF(J39:J$402,J38)&gt;0,"2回提出（下の行を使います）",IF(OR(AND(D38&lt;&gt;"",COUNTIF(設定!$G$8:$G$27,D38)=0),AND(E38&lt;&gt;"",COUNTIF(設定!$G$8:$G$27,E38)=0),AND(F38&lt;&gt;"",COUNTIF(設定!$G$8:$G$27,F38)=0)),"委員会名がちがう",IF(D38="","第1希望がない",IF(OR(AND(D38&lt;&gt;"",D38=E38),AND(D38&lt;&gt;"",D38=F38),AND(E38&lt;&gt;"",E38=F38)),"同じ委員会を重複して希望","OK"))))))</f>
        <v/>
      </c>
      <c r="J38" s="8">
        <f>IF(A38="","",A38&amp;"-"&amp;B38&amp;"-"&amp;C38)</f>
        <v/>
      </c>
      <c r="K38" s="8">
        <f>IF(OR(J38="",G38=""),"",IF(COUNTIF(J39:J$402,J38)=0,J38,""))</f>
        <v/>
      </c>
    </row>
    <row r="39">
      <c r="A39" s="15" t="n">
        <v>5</v>
      </c>
      <c r="B39" s="15" t="inlineStr">
        <is>
          <t>竹</t>
        </is>
      </c>
      <c r="C39" s="15" t="n">
        <v>23</v>
      </c>
      <c r="D39" s="15" t="inlineStr">
        <is>
          <t>放送</t>
        </is>
      </c>
      <c r="E39" s="15" t="inlineStr">
        <is>
          <t>飼育</t>
        </is>
      </c>
      <c r="F39" s="15" t="inlineStr">
        <is>
          <t>給食</t>
        </is>
      </c>
      <c r="G39" s="3">
        <f>IF(J39="","",IFERROR(INDEX(児童名簿!$D$2:$D$301,MATCH(J39,児童名簿!$F$2:$F$301,0)),""))</f>
        <v/>
      </c>
      <c r="H39" s="19">
        <f>IF(J39="","",IF(G39="","名簿にいない",IF(COUNTIF(J40:J$402,J39)&gt;0,"2回提出（下の行を使います）",IF(OR(AND(D39&lt;&gt;"",COUNTIF(設定!$G$8:$G$27,D39)=0),AND(E39&lt;&gt;"",COUNTIF(設定!$G$8:$G$27,E39)=0),AND(F39&lt;&gt;"",COUNTIF(設定!$G$8:$G$27,F39)=0)),"委員会名がちがう",IF(D39="","第1希望がない",IF(OR(AND(D39&lt;&gt;"",D39=E39),AND(D39&lt;&gt;"",D39=F39),AND(E39&lt;&gt;"",E39=F39)),"同じ委員会を重複して希望","OK"))))))</f>
        <v/>
      </c>
      <c r="J39" s="8">
        <f>IF(A39="","",A39&amp;"-"&amp;B39&amp;"-"&amp;C39)</f>
        <v/>
      </c>
      <c r="K39" s="8">
        <f>IF(OR(J39="",G39=""),"",IF(COUNTIF(J40:J$402,J39)=0,J39,""))</f>
        <v/>
      </c>
    </row>
    <row r="40">
      <c r="A40" s="15" t="n">
        <v>5</v>
      </c>
      <c r="B40" s="15" t="inlineStr">
        <is>
          <t>松</t>
        </is>
      </c>
      <c r="C40" s="15" t="n">
        <v>15</v>
      </c>
      <c r="D40" s="15" t="inlineStr">
        <is>
          <t>音楽</t>
        </is>
      </c>
      <c r="E40" s="15" t="inlineStr">
        <is>
          <t>環境</t>
        </is>
      </c>
      <c r="F40" s="15" t="inlineStr">
        <is>
          <t>保健</t>
        </is>
      </c>
      <c r="G40" s="3">
        <f>IF(J40="","",IFERROR(INDEX(児童名簿!$D$2:$D$301,MATCH(J40,児童名簿!$F$2:$F$301,0)),""))</f>
        <v/>
      </c>
      <c r="H40" s="19">
        <f>IF(J40="","",IF(G40="","名簿にいない",IF(COUNTIF(J41:J$402,J40)&gt;0,"2回提出（下の行を使います）",IF(OR(AND(D40&lt;&gt;"",COUNTIF(設定!$G$8:$G$27,D40)=0),AND(E40&lt;&gt;"",COUNTIF(設定!$G$8:$G$27,E40)=0),AND(F40&lt;&gt;"",COUNTIF(設定!$G$8:$G$27,F40)=0)),"委員会名がちがう",IF(D40="","第1希望がない",IF(OR(AND(D40&lt;&gt;"",D40=E40),AND(D40&lt;&gt;"",D40=F40),AND(E40&lt;&gt;"",E40=F40)),"同じ委員会を重複して希望","OK"))))))</f>
        <v/>
      </c>
      <c r="J40" s="8">
        <f>IF(A40="","",A40&amp;"-"&amp;B40&amp;"-"&amp;C40)</f>
        <v/>
      </c>
      <c r="K40" s="8">
        <f>IF(OR(J40="",G40=""),"",IF(COUNTIF(J41:J$402,J40)=0,J40,""))</f>
        <v/>
      </c>
    </row>
    <row r="41">
      <c r="A41" s="15" t="n">
        <v>5</v>
      </c>
      <c r="B41" s="15" t="inlineStr">
        <is>
          <t>竹</t>
        </is>
      </c>
      <c r="C41" s="15" t="n">
        <v>16</v>
      </c>
      <c r="D41" s="15" t="inlineStr">
        <is>
          <t>図書</t>
        </is>
      </c>
      <c r="E41" s="15" t="inlineStr">
        <is>
          <t>音楽</t>
        </is>
      </c>
      <c r="F41" s="15" t="inlineStr">
        <is>
          <t>環境</t>
        </is>
      </c>
      <c r="G41" s="3">
        <f>IF(J41="","",IFERROR(INDEX(児童名簿!$D$2:$D$301,MATCH(J41,児童名簿!$F$2:$F$301,0)),""))</f>
        <v/>
      </c>
      <c r="H41" s="19">
        <f>IF(J41="","",IF(G41="","名簿にいない",IF(COUNTIF(J42:J$402,J41)&gt;0,"2回提出（下の行を使います）",IF(OR(AND(D41&lt;&gt;"",COUNTIF(設定!$G$8:$G$27,D41)=0),AND(E41&lt;&gt;"",COUNTIF(設定!$G$8:$G$27,E41)=0),AND(F41&lt;&gt;"",COUNTIF(設定!$G$8:$G$27,F41)=0)),"委員会名がちがう",IF(D41="","第1希望がない",IF(OR(AND(D41&lt;&gt;"",D41=E41),AND(D41&lt;&gt;"",D41=F41),AND(E41&lt;&gt;"",E41=F41)),"同じ委員会を重複して希望","OK"))))))</f>
        <v/>
      </c>
      <c r="J41" s="8">
        <f>IF(A41="","",A41&amp;"-"&amp;B41&amp;"-"&amp;C41)</f>
        <v/>
      </c>
      <c r="K41" s="8">
        <f>IF(OR(J41="",G41=""),"",IF(COUNTIF(J42:J$402,J41)=0,J41,""))</f>
        <v/>
      </c>
    </row>
    <row r="42">
      <c r="A42" s="15" t="n">
        <v>5</v>
      </c>
      <c r="B42" s="15" t="inlineStr">
        <is>
          <t>竹</t>
        </is>
      </c>
      <c r="C42" s="15" t="n">
        <v>28</v>
      </c>
      <c r="D42" s="15" t="inlineStr">
        <is>
          <t>図書</t>
        </is>
      </c>
      <c r="E42" s="15" t="inlineStr">
        <is>
          <t>代表</t>
        </is>
      </c>
      <c r="F42" s="15" t="inlineStr">
        <is>
          <t>環境</t>
        </is>
      </c>
      <c r="G42" s="3">
        <f>IF(J42="","",IFERROR(INDEX(児童名簿!$D$2:$D$301,MATCH(J42,児童名簿!$F$2:$F$301,0)),""))</f>
        <v/>
      </c>
      <c r="H42" s="19">
        <f>IF(J42="","",IF(G42="","名簿にいない",IF(COUNTIF(J43:J$402,J42)&gt;0,"2回提出（下の行を使います）",IF(OR(AND(D42&lt;&gt;"",COUNTIF(設定!$G$8:$G$27,D42)=0),AND(E42&lt;&gt;"",COUNTIF(設定!$G$8:$G$27,E42)=0),AND(F42&lt;&gt;"",COUNTIF(設定!$G$8:$G$27,F42)=0)),"委員会名がちがう",IF(D42="","第1希望がない",IF(OR(AND(D42&lt;&gt;"",D42=E42),AND(D42&lt;&gt;"",D42=F42),AND(E42&lt;&gt;"",E42=F42)),"同じ委員会を重複して希望","OK"))))))</f>
        <v/>
      </c>
      <c r="J42" s="8">
        <f>IF(A42="","",A42&amp;"-"&amp;B42&amp;"-"&amp;C42)</f>
        <v/>
      </c>
      <c r="K42" s="8">
        <f>IF(OR(J42="",G42=""),"",IF(COUNTIF(J43:J$402,J42)=0,J42,""))</f>
        <v/>
      </c>
    </row>
    <row r="43">
      <c r="A43" s="15" t="n">
        <v>6</v>
      </c>
      <c r="B43" s="15" t="inlineStr">
        <is>
          <t>月</t>
        </is>
      </c>
      <c r="C43" s="15" t="n">
        <v>18</v>
      </c>
      <c r="D43" s="15" t="inlineStr">
        <is>
          <t>飼育</t>
        </is>
      </c>
      <c r="E43" s="15" t="inlineStr">
        <is>
          <t>集会</t>
        </is>
      </c>
      <c r="F43" s="15" t="inlineStr">
        <is>
          <t>給食</t>
        </is>
      </c>
      <c r="G43" s="3">
        <f>IF(J43="","",IFERROR(INDEX(児童名簿!$D$2:$D$301,MATCH(J43,児童名簿!$F$2:$F$301,0)),""))</f>
        <v/>
      </c>
      <c r="H43" s="19">
        <f>IF(J43="","",IF(G43="","名簿にいない",IF(COUNTIF(J44:J$402,J43)&gt;0,"2回提出（下の行を使います）",IF(OR(AND(D43&lt;&gt;"",COUNTIF(設定!$G$8:$G$27,D43)=0),AND(E43&lt;&gt;"",COUNTIF(設定!$G$8:$G$27,E43)=0),AND(F43&lt;&gt;"",COUNTIF(設定!$G$8:$G$27,F43)=0)),"委員会名がちがう",IF(D43="","第1希望がない",IF(OR(AND(D43&lt;&gt;"",D43=E43),AND(D43&lt;&gt;"",D43=F43),AND(E43&lt;&gt;"",E43=F43)),"同じ委員会を重複して希望","OK"))))))</f>
        <v/>
      </c>
      <c r="J43" s="8">
        <f>IF(A43="","",A43&amp;"-"&amp;B43&amp;"-"&amp;C43)</f>
        <v/>
      </c>
      <c r="K43" s="8">
        <f>IF(OR(J43="",G43=""),"",IF(COUNTIF(J44:J$402,J43)=0,J43,""))</f>
        <v/>
      </c>
    </row>
    <row r="44">
      <c r="A44" s="15" t="n">
        <v>5</v>
      </c>
      <c r="B44" s="15" t="inlineStr">
        <is>
          <t>梅</t>
        </is>
      </c>
      <c r="C44" s="15" t="n">
        <v>30</v>
      </c>
      <c r="D44" s="15" t="inlineStr">
        <is>
          <t>飼育</t>
        </is>
      </c>
      <c r="E44" s="15" t="inlineStr">
        <is>
          <t>保健</t>
        </is>
      </c>
      <c r="F44" s="15" t="inlineStr">
        <is>
          <t>図書</t>
        </is>
      </c>
      <c r="G44" s="3">
        <f>IF(J44="","",IFERROR(INDEX(児童名簿!$D$2:$D$301,MATCH(J44,児童名簿!$F$2:$F$301,0)),""))</f>
        <v/>
      </c>
      <c r="H44" s="19">
        <f>IF(J44="","",IF(G44="","名簿にいない",IF(COUNTIF(J45:J$402,J44)&gt;0,"2回提出（下の行を使います）",IF(OR(AND(D44&lt;&gt;"",COUNTIF(設定!$G$8:$G$27,D44)=0),AND(E44&lt;&gt;"",COUNTIF(設定!$G$8:$G$27,E44)=0),AND(F44&lt;&gt;"",COUNTIF(設定!$G$8:$G$27,F44)=0)),"委員会名がちがう",IF(D44="","第1希望がない",IF(OR(AND(D44&lt;&gt;"",D44=E44),AND(D44&lt;&gt;"",D44=F44),AND(E44&lt;&gt;"",E44=F44)),"同じ委員会を重複して希望","OK"))))))</f>
        <v/>
      </c>
      <c r="J44" s="8">
        <f>IF(A44="","",A44&amp;"-"&amp;B44&amp;"-"&amp;C44)</f>
        <v/>
      </c>
      <c r="K44" s="8">
        <f>IF(OR(J44="",G44=""),"",IF(COUNTIF(J45:J$402,J44)=0,J44,""))</f>
        <v/>
      </c>
    </row>
    <row r="45">
      <c r="A45" s="15" t="n">
        <v>6</v>
      </c>
      <c r="B45" s="15" t="inlineStr">
        <is>
          <t>月</t>
        </is>
      </c>
      <c r="C45" s="15" t="n">
        <v>7</v>
      </c>
      <c r="D45" s="15" t="inlineStr">
        <is>
          <t>飼育</t>
        </is>
      </c>
      <c r="E45" s="15" t="inlineStr">
        <is>
          <t>代表</t>
        </is>
      </c>
      <c r="F45" s="15" t="inlineStr">
        <is>
          <t>放送</t>
        </is>
      </c>
      <c r="G45" s="3">
        <f>IF(J45="","",IFERROR(INDEX(児童名簿!$D$2:$D$301,MATCH(J45,児童名簿!$F$2:$F$301,0)),""))</f>
        <v/>
      </c>
      <c r="H45" s="19">
        <f>IF(J45="","",IF(G45="","名簿にいない",IF(COUNTIF(J46:J$402,J45)&gt;0,"2回提出（下の行を使います）",IF(OR(AND(D45&lt;&gt;"",COUNTIF(設定!$G$8:$G$27,D45)=0),AND(E45&lt;&gt;"",COUNTIF(設定!$G$8:$G$27,E45)=0),AND(F45&lt;&gt;"",COUNTIF(設定!$G$8:$G$27,F45)=0)),"委員会名がちがう",IF(D45="","第1希望がない",IF(OR(AND(D45&lt;&gt;"",D45=E45),AND(D45&lt;&gt;"",D45=F45),AND(E45&lt;&gt;"",E45=F45)),"同じ委員会を重複して希望","OK"))))))</f>
        <v/>
      </c>
      <c r="J45" s="8">
        <f>IF(A45="","",A45&amp;"-"&amp;B45&amp;"-"&amp;C45)</f>
        <v/>
      </c>
      <c r="K45" s="8">
        <f>IF(OR(J45="",G45=""),"",IF(COUNTIF(J46:J$402,J45)=0,J45,""))</f>
        <v/>
      </c>
    </row>
    <row r="46">
      <c r="A46" s="15" t="n">
        <v>5</v>
      </c>
      <c r="B46" s="15" t="inlineStr">
        <is>
          <t>松</t>
        </is>
      </c>
      <c r="C46" s="15" t="n">
        <v>10</v>
      </c>
      <c r="D46" s="15" t="inlineStr">
        <is>
          <t>放送</t>
        </is>
      </c>
      <c r="E46" s="15" t="inlineStr">
        <is>
          <t>図書</t>
        </is>
      </c>
      <c r="F46" s="15" t="inlineStr">
        <is>
          <t>広報</t>
        </is>
      </c>
      <c r="G46" s="3">
        <f>IF(J46="","",IFERROR(INDEX(児童名簿!$D$2:$D$301,MATCH(J46,児童名簿!$F$2:$F$301,0)),""))</f>
        <v/>
      </c>
      <c r="H46" s="19">
        <f>IF(J46="","",IF(G46="","名簿にいない",IF(COUNTIF(J47:J$402,J46)&gt;0,"2回提出（下の行を使います）",IF(OR(AND(D46&lt;&gt;"",COUNTIF(設定!$G$8:$G$27,D46)=0),AND(E46&lt;&gt;"",COUNTIF(設定!$G$8:$G$27,E46)=0),AND(F46&lt;&gt;"",COUNTIF(設定!$G$8:$G$27,F46)=0)),"委員会名がちがう",IF(D46="","第1希望がない",IF(OR(AND(D46&lt;&gt;"",D46=E46),AND(D46&lt;&gt;"",D46=F46),AND(E46&lt;&gt;"",E46=F46)),"同じ委員会を重複して希望","OK"))))))</f>
        <v/>
      </c>
      <c r="J46" s="8">
        <f>IF(A46="","",A46&amp;"-"&amp;B46&amp;"-"&amp;C46)</f>
        <v/>
      </c>
      <c r="K46" s="8">
        <f>IF(OR(J46="",G46=""),"",IF(COUNTIF(J47:J$402,J46)=0,J46,""))</f>
        <v/>
      </c>
    </row>
    <row r="47">
      <c r="A47" s="15" t="n">
        <v>6</v>
      </c>
      <c r="B47" s="15" t="inlineStr">
        <is>
          <t>竹</t>
        </is>
      </c>
      <c r="C47" s="15" t="n">
        <v>30</v>
      </c>
      <c r="D47" s="15" t="inlineStr">
        <is>
          <t>集会</t>
        </is>
      </c>
      <c r="E47" s="15" t="inlineStr">
        <is>
          <t>環境</t>
        </is>
      </c>
      <c r="F47" s="15" t="inlineStr">
        <is>
          <t>代表</t>
        </is>
      </c>
      <c r="G47" s="3">
        <f>IF(J47="","",IFERROR(INDEX(児童名簿!$D$2:$D$301,MATCH(J47,児童名簿!$F$2:$F$301,0)),""))</f>
        <v/>
      </c>
      <c r="H47" s="19">
        <f>IF(J47="","",IF(G47="","名簿にいない",IF(COUNTIF(J48:J$402,J47)&gt;0,"2回提出（下の行を使います）",IF(OR(AND(D47&lt;&gt;"",COUNTIF(設定!$G$8:$G$27,D47)=0),AND(E47&lt;&gt;"",COUNTIF(設定!$G$8:$G$27,E47)=0),AND(F47&lt;&gt;"",COUNTIF(設定!$G$8:$G$27,F47)=0)),"委員会名がちがう",IF(D47="","第1希望がない",IF(OR(AND(D47&lt;&gt;"",D47=E47),AND(D47&lt;&gt;"",D47=F47),AND(E47&lt;&gt;"",E47=F47)),"同じ委員会を重複して希望","OK"))))))</f>
        <v/>
      </c>
      <c r="J47" s="8">
        <f>IF(A47="","",A47&amp;"-"&amp;B47&amp;"-"&amp;C47)</f>
        <v/>
      </c>
      <c r="K47" s="8">
        <f>IF(OR(J47="",G47=""),"",IF(COUNTIF(J48:J$402,J47)=0,J47,""))</f>
        <v/>
      </c>
    </row>
    <row r="48">
      <c r="A48" s="15" t="n">
        <v>5</v>
      </c>
      <c r="B48" s="15" t="inlineStr">
        <is>
          <t>竹</t>
        </is>
      </c>
      <c r="C48" s="15" t="n">
        <v>1</v>
      </c>
      <c r="D48" s="15" t="inlineStr">
        <is>
          <t>飼育</t>
        </is>
      </c>
      <c r="E48" s="15" t="inlineStr">
        <is>
          <t>放送</t>
        </is>
      </c>
      <c r="F48" s="15" t="inlineStr">
        <is>
          <t>保健</t>
        </is>
      </c>
      <c r="G48" s="3">
        <f>IF(J48="","",IFERROR(INDEX(児童名簿!$D$2:$D$301,MATCH(J48,児童名簿!$F$2:$F$301,0)),""))</f>
        <v/>
      </c>
      <c r="H48" s="19">
        <f>IF(J48="","",IF(G48="","名簿にいない",IF(COUNTIF(J49:J$402,J48)&gt;0,"2回提出（下の行を使います）",IF(OR(AND(D48&lt;&gt;"",COUNTIF(設定!$G$8:$G$27,D48)=0),AND(E48&lt;&gt;"",COUNTIF(設定!$G$8:$G$27,E48)=0),AND(F48&lt;&gt;"",COUNTIF(設定!$G$8:$G$27,F48)=0)),"委員会名がちがう",IF(D48="","第1希望がない",IF(OR(AND(D48&lt;&gt;"",D48=E48),AND(D48&lt;&gt;"",D48=F48),AND(E48&lt;&gt;"",E48=F48)),"同じ委員会を重複して希望","OK"))))))</f>
        <v/>
      </c>
      <c r="J48" s="8">
        <f>IF(A48="","",A48&amp;"-"&amp;B48&amp;"-"&amp;C48)</f>
        <v/>
      </c>
      <c r="K48" s="8">
        <f>IF(OR(J48="",G48=""),"",IF(COUNTIF(J49:J$402,J48)=0,J48,""))</f>
        <v/>
      </c>
    </row>
    <row r="49">
      <c r="A49" s="15" t="n">
        <v>5</v>
      </c>
      <c r="B49" s="15" t="inlineStr">
        <is>
          <t>松</t>
        </is>
      </c>
      <c r="C49" s="15" t="n">
        <v>20</v>
      </c>
      <c r="D49" s="15" t="inlineStr">
        <is>
          <t>給食</t>
        </is>
      </c>
      <c r="E49" s="15" t="inlineStr">
        <is>
          <t>放送</t>
        </is>
      </c>
      <c r="F49" s="15" t="inlineStr">
        <is>
          <t>掲示</t>
        </is>
      </c>
      <c r="G49" s="3">
        <f>IF(J49="","",IFERROR(INDEX(児童名簿!$D$2:$D$301,MATCH(J49,児童名簿!$F$2:$F$301,0)),""))</f>
        <v/>
      </c>
      <c r="H49" s="19">
        <f>IF(J49="","",IF(G49="","名簿にいない",IF(COUNTIF(J50:J$402,J49)&gt;0,"2回提出（下の行を使います）",IF(OR(AND(D49&lt;&gt;"",COUNTIF(設定!$G$8:$G$27,D49)=0),AND(E49&lt;&gt;"",COUNTIF(設定!$G$8:$G$27,E49)=0),AND(F49&lt;&gt;"",COUNTIF(設定!$G$8:$G$27,F49)=0)),"委員会名がちがう",IF(D49="","第1希望がない",IF(OR(AND(D49&lt;&gt;"",D49=E49),AND(D49&lt;&gt;"",D49=F49),AND(E49&lt;&gt;"",E49=F49)),"同じ委員会を重複して希望","OK"))))))</f>
        <v/>
      </c>
      <c r="J49" s="8">
        <f>IF(A49="","",A49&amp;"-"&amp;B49&amp;"-"&amp;C49)</f>
        <v/>
      </c>
      <c r="K49" s="8">
        <f>IF(OR(J49="",G49=""),"",IF(COUNTIF(J50:J$402,J49)=0,J49,""))</f>
        <v/>
      </c>
    </row>
    <row r="50">
      <c r="A50" s="15" t="n">
        <v>6</v>
      </c>
      <c r="B50" s="15" t="inlineStr">
        <is>
          <t>梅</t>
        </is>
      </c>
      <c r="C50" s="15" t="n">
        <v>29</v>
      </c>
      <c r="D50" s="15" t="inlineStr">
        <is>
          <t>給食</t>
        </is>
      </c>
      <c r="E50" s="15" t="inlineStr">
        <is>
          <t>飼育</t>
        </is>
      </c>
      <c r="F50" s="15" t="inlineStr">
        <is>
          <t>掲示</t>
        </is>
      </c>
      <c r="G50" s="3">
        <f>IF(J50="","",IFERROR(INDEX(児童名簿!$D$2:$D$301,MATCH(J50,児童名簿!$F$2:$F$301,0)),""))</f>
        <v/>
      </c>
      <c r="H50" s="19">
        <f>IF(J50="","",IF(G50="","名簿にいない",IF(COUNTIF(J51:J$402,J50)&gt;0,"2回提出（下の行を使います）",IF(OR(AND(D50&lt;&gt;"",COUNTIF(設定!$G$8:$G$27,D50)=0),AND(E50&lt;&gt;"",COUNTIF(設定!$G$8:$G$27,E50)=0),AND(F50&lt;&gt;"",COUNTIF(設定!$G$8:$G$27,F50)=0)),"委員会名がちがう",IF(D50="","第1希望がない",IF(OR(AND(D50&lt;&gt;"",D50=E50),AND(D50&lt;&gt;"",D50=F50),AND(E50&lt;&gt;"",E50=F50)),"同じ委員会を重複して希望","OK"))))))</f>
        <v/>
      </c>
      <c r="J50" s="8">
        <f>IF(A50="","",A50&amp;"-"&amp;B50&amp;"-"&amp;C50)</f>
        <v/>
      </c>
      <c r="K50" s="8">
        <f>IF(OR(J50="",G50=""),"",IF(COUNTIF(J51:J$402,J50)=0,J50,""))</f>
        <v/>
      </c>
    </row>
    <row r="51">
      <c r="A51" s="15" t="n">
        <v>6</v>
      </c>
      <c r="B51" s="15" t="inlineStr">
        <is>
          <t>梅</t>
        </is>
      </c>
      <c r="C51" s="15" t="n">
        <v>18</v>
      </c>
      <c r="D51" s="15" t="inlineStr">
        <is>
          <t>飼育</t>
        </is>
      </c>
      <c r="E51" s="15" t="inlineStr">
        <is>
          <t>集会</t>
        </is>
      </c>
      <c r="F51" s="15" t="inlineStr">
        <is>
          <t>放送</t>
        </is>
      </c>
      <c r="G51" s="3">
        <f>IF(J51="","",IFERROR(INDEX(児童名簿!$D$2:$D$301,MATCH(J51,児童名簿!$F$2:$F$301,0)),""))</f>
        <v/>
      </c>
      <c r="H51" s="19">
        <f>IF(J51="","",IF(G51="","名簿にいない",IF(COUNTIF(J52:J$402,J51)&gt;0,"2回提出（下の行を使います）",IF(OR(AND(D51&lt;&gt;"",COUNTIF(設定!$G$8:$G$27,D51)=0),AND(E51&lt;&gt;"",COUNTIF(設定!$G$8:$G$27,E51)=0),AND(F51&lt;&gt;"",COUNTIF(設定!$G$8:$G$27,F51)=0)),"委員会名がちがう",IF(D51="","第1希望がない",IF(OR(AND(D51&lt;&gt;"",D51=E51),AND(D51&lt;&gt;"",D51=F51),AND(E51&lt;&gt;"",E51=F51)),"同じ委員会を重複して希望","OK"))))))</f>
        <v/>
      </c>
      <c r="J51" s="8">
        <f>IF(A51="","",A51&amp;"-"&amp;B51&amp;"-"&amp;C51)</f>
        <v/>
      </c>
      <c r="K51" s="8">
        <f>IF(OR(J51="",G51=""),"",IF(COUNTIF(J52:J$402,J51)=0,J51,""))</f>
        <v/>
      </c>
    </row>
    <row r="52">
      <c r="A52" s="15" t="n">
        <v>5</v>
      </c>
      <c r="B52" s="15" t="inlineStr">
        <is>
          <t>月</t>
        </is>
      </c>
      <c r="C52" s="15" t="n">
        <v>3</v>
      </c>
      <c r="D52" s="15" t="inlineStr">
        <is>
          <t>図書</t>
        </is>
      </c>
      <c r="E52" s="15" t="inlineStr">
        <is>
          <t>飼育</t>
        </is>
      </c>
      <c r="F52" s="15" t="inlineStr">
        <is>
          <t>掲示</t>
        </is>
      </c>
      <c r="G52" s="3">
        <f>IF(J52="","",IFERROR(INDEX(児童名簿!$D$2:$D$301,MATCH(J52,児童名簿!$F$2:$F$301,0)),""))</f>
        <v/>
      </c>
      <c r="H52" s="19">
        <f>IF(J52="","",IF(G52="","名簿にいない",IF(COUNTIF(J53:J$402,J52)&gt;0,"2回提出（下の行を使います）",IF(OR(AND(D52&lt;&gt;"",COUNTIF(設定!$G$8:$G$27,D52)=0),AND(E52&lt;&gt;"",COUNTIF(設定!$G$8:$G$27,E52)=0),AND(F52&lt;&gt;"",COUNTIF(設定!$G$8:$G$27,F52)=0)),"委員会名がちがう",IF(D52="","第1希望がない",IF(OR(AND(D52&lt;&gt;"",D52=E52),AND(D52&lt;&gt;"",D52=F52),AND(E52&lt;&gt;"",E52=F52)),"同じ委員会を重複して希望","OK"))))))</f>
        <v/>
      </c>
      <c r="J52" s="8">
        <f>IF(A52="","",A52&amp;"-"&amp;B52&amp;"-"&amp;C52)</f>
        <v/>
      </c>
      <c r="K52" s="8">
        <f>IF(OR(J52="",G52=""),"",IF(COUNTIF(J53:J$402,J52)=0,J52,""))</f>
        <v/>
      </c>
    </row>
    <row r="53">
      <c r="A53" s="15" t="n">
        <v>6</v>
      </c>
      <c r="B53" s="15" t="inlineStr">
        <is>
          <t>梅</t>
        </is>
      </c>
      <c r="C53" s="15" t="n">
        <v>19</v>
      </c>
      <c r="D53" s="15" t="inlineStr">
        <is>
          <t>代表</t>
        </is>
      </c>
      <c r="E53" s="15" t="inlineStr">
        <is>
          <t>体育</t>
        </is>
      </c>
      <c r="F53" s="15" t="inlineStr">
        <is>
          <t>給食</t>
        </is>
      </c>
      <c r="G53" s="3">
        <f>IF(J53="","",IFERROR(INDEX(児童名簿!$D$2:$D$301,MATCH(J53,児童名簿!$F$2:$F$301,0)),""))</f>
        <v/>
      </c>
      <c r="H53" s="19">
        <f>IF(J53="","",IF(G53="","名簿にいない",IF(COUNTIF(J54:J$402,J53)&gt;0,"2回提出（下の行を使います）",IF(OR(AND(D53&lt;&gt;"",COUNTIF(設定!$G$8:$G$27,D53)=0),AND(E53&lt;&gt;"",COUNTIF(設定!$G$8:$G$27,E53)=0),AND(F53&lt;&gt;"",COUNTIF(設定!$G$8:$G$27,F53)=0)),"委員会名がちがう",IF(D53="","第1希望がない",IF(OR(AND(D53&lt;&gt;"",D53=E53),AND(D53&lt;&gt;"",D53=F53),AND(E53&lt;&gt;"",E53=F53)),"同じ委員会を重複して希望","OK"))))))</f>
        <v/>
      </c>
      <c r="J53" s="8">
        <f>IF(A53="","",A53&amp;"-"&amp;B53&amp;"-"&amp;C53)</f>
        <v/>
      </c>
      <c r="K53" s="8">
        <f>IF(OR(J53="",G53=""),"",IF(COUNTIF(J54:J$402,J53)=0,J53,""))</f>
        <v/>
      </c>
    </row>
    <row r="54">
      <c r="A54" s="15" t="n">
        <v>5</v>
      </c>
      <c r="B54" s="15" t="inlineStr">
        <is>
          <t>竹</t>
        </is>
      </c>
      <c r="C54" s="15" t="n">
        <v>6</v>
      </c>
      <c r="D54" s="15" t="inlineStr">
        <is>
          <t>給食</t>
        </is>
      </c>
      <c r="E54" s="15" t="inlineStr">
        <is>
          <t>保健</t>
        </is>
      </c>
      <c r="F54" s="15" t="inlineStr">
        <is>
          <t>広報</t>
        </is>
      </c>
      <c r="G54" s="3">
        <f>IF(J54="","",IFERROR(INDEX(児童名簿!$D$2:$D$301,MATCH(J54,児童名簿!$F$2:$F$301,0)),""))</f>
        <v/>
      </c>
      <c r="H54" s="19">
        <f>IF(J54="","",IF(G54="","名簿にいない",IF(COUNTIF(J55:J$402,J54)&gt;0,"2回提出（下の行を使います）",IF(OR(AND(D54&lt;&gt;"",COUNTIF(設定!$G$8:$G$27,D54)=0),AND(E54&lt;&gt;"",COUNTIF(設定!$G$8:$G$27,E54)=0),AND(F54&lt;&gt;"",COUNTIF(設定!$G$8:$G$27,F54)=0)),"委員会名がちがう",IF(D54="","第1希望がない",IF(OR(AND(D54&lt;&gt;"",D54=E54),AND(D54&lt;&gt;"",D54=F54),AND(E54&lt;&gt;"",E54=F54)),"同じ委員会を重複して希望","OK"))))))</f>
        <v/>
      </c>
      <c r="J54" s="8">
        <f>IF(A54="","",A54&amp;"-"&amp;B54&amp;"-"&amp;C54)</f>
        <v/>
      </c>
      <c r="K54" s="8">
        <f>IF(OR(J54="",G54=""),"",IF(COUNTIF(J55:J$402,J54)=0,J54,""))</f>
        <v/>
      </c>
    </row>
    <row r="55">
      <c r="A55" s="15" t="n">
        <v>5</v>
      </c>
      <c r="B55" s="15" t="inlineStr">
        <is>
          <t>月</t>
        </is>
      </c>
      <c r="C55" s="15" t="n">
        <v>10</v>
      </c>
      <c r="D55" s="15" t="inlineStr">
        <is>
          <t>代表</t>
        </is>
      </c>
      <c r="E55" s="15" t="inlineStr">
        <is>
          <t>保健</t>
        </is>
      </c>
      <c r="F55" s="15" t="inlineStr">
        <is>
          <t>放送</t>
        </is>
      </c>
      <c r="G55" s="3">
        <f>IF(J55="","",IFERROR(INDEX(児童名簿!$D$2:$D$301,MATCH(J55,児童名簿!$F$2:$F$301,0)),""))</f>
        <v/>
      </c>
      <c r="H55" s="19">
        <f>IF(J55="","",IF(G55="","名簿にいない",IF(COUNTIF(J56:J$402,J55)&gt;0,"2回提出（下の行を使います）",IF(OR(AND(D55&lt;&gt;"",COUNTIF(設定!$G$8:$G$27,D55)=0),AND(E55&lt;&gt;"",COUNTIF(設定!$G$8:$G$27,E55)=0),AND(F55&lt;&gt;"",COUNTIF(設定!$G$8:$G$27,F55)=0)),"委員会名がちがう",IF(D55="","第1希望がない",IF(OR(AND(D55&lt;&gt;"",D55=E55),AND(D55&lt;&gt;"",D55=F55),AND(E55&lt;&gt;"",E55=F55)),"同じ委員会を重複して希望","OK"))))))</f>
        <v/>
      </c>
      <c r="J55" s="8">
        <f>IF(A55="","",A55&amp;"-"&amp;B55&amp;"-"&amp;C55)</f>
        <v/>
      </c>
      <c r="K55" s="8">
        <f>IF(OR(J55="",G55=""),"",IF(COUNTIF(J56:J$402,J55)=0,J55,""))</f>
        <v/>
      </c>
    </row>
    <row r="56">
      <c r="A56" s="15" t="n">
        <v>6</v>
      </c>
      <c r="B56" s="15" t="inlineStr">
        <is>
          <t>梅</t>
        </is>
      </c>
      <c r="C56" s="15" t="n">
        <v>3</v>
      </c>
      <c r="D56" s="15" t="inlineStr">
        <is>
          <t>飼育</t>
        </is>
      </c>
      <c r="E56" s="15" t="inlineStr">
        <is>
          <t>保健</t>
        </is>
      </c>
      <c r="F56" s="15" t="inlineStr">
        <is>
          <t>体育</t>
        </is>
      </c>
      <c r="G56" s="3">
        <f>IF(J56="","",IFERROR(INDEX(児童名簿!$D$2:$D$301,MATCH(J56,児童名簿!$F$2:$F$301,0)),""))</f>
        <v/>
      </c>
      <c r="H56" s="19">
        <f>IF(J56="","",IF(G56="","名簿にいない",IF(COUNTIF(J57:J$402,J56)&gt;0,"2回提出（下の行を使います）",IF(OR(AND(D56&lt;&gt;"",COUNTIF(設定!$G$8:$G$27,D56)=0),AND(E56&lt;&gt;"",COUNTIF(設定!$G$8:$G$27,E56)=0),AND(F56&lt;&gt;"",COUNTIF(設定!$G$8:$G$27,F56)=0)),"委員会名がちがう",IF(D56="","第1希望がない",IF(OR(AND(D56&lt;&gt;"",D56=E56),AND(D56&lt;&gt;"",D56=F56),AND(E56&lt;&gt;"",E56=F56)),"同じ委員会を重複して希望","OK"))))))</f>
        <v/>
      </c>
      <c r="J56" s="8">
        <f>IF(A56="","",A56&amp;"-"&amp;B56&amp;"-"&amp;C56)</f>
        <v/>
      </c>
      <c r="K56" s="8">
        <f>IF(OR(J56="",G56=""),"",IF(COUNTIF(J57:J$402,J56)=0,J56,""))</f>
        <v/>
      </c>
    </row>
    <row r="57">
      <c r="A57" s="15" t="n">
        <v>6</v>
      </c>
      <c r="B57" s="15" t="inlineStr">
        <is>
          <t>松</t>
        </is>
      </c>
      <c r="C57" s="15" t="n">
        <v>2</v>
      </c>
      <c r="D57" s="15" t="inlineStr">
        <is>
          <t>給食</t>
        </is>
      </c>
      <c r="E57" s="15" t="inlineStr">
        <is>
          <t>放送</t>
        </is>
      </c>
      <c r="F57" s="15" t="inlineStr">
        <is>
          <t>図書</t>
        </is>
      </c>
      <c r="G57" s="3">
        <f>IF(J57="","",IFERROR(INDEX(児童名簿!$D$2:$D$301,MATCH(J57,児童名簿!$F$2:$F$301,0)),""))</f>
        <v/>
      </c>
      <c r="H57" s="19">
        <f>IF(J57="","",IF(G57="","名簿にいない",IF(COUNTIF(J58:J$402,J57)&gt;0,"2回提出（下の行を使います）",IF(OR(AND(D57&lt;&gt;"",COUNTIF(設定!$G$8:$G$27,D57)=0),AND(E57&lt;&gt;"",COUNTIF(設定!$G$8:$G$27,E57)=0),AND(F57&lt;&gt;"",COUNTIF(設定!$G$8:$G$27,F57)=0)),"委員会名がちがう",IF(D57="","第1希望がない",IF(OR(AND(D57&lt;&gt;"",D57=E57),AND(D57&lt;&gt;"",D57=F57),AND(E57&lt;&gt;"",E57=F57)),"同じ委員会を重複して希望","OK"))))))</f>
        <v/>
      </c>
      <c r="J57" s="8">
        <f>IF(A57="","",A57&amp;"-"&amp;B57&amp;"-"&amp;C57)</f>
        <v/>
      </c>
      <c r="K57" s="8">
        <f>IF(OR(J57="",G57=""),"",IF(COUNTIF(J58:J$402,J57)=0,J57,""))</f>
        <v/>
      </c>
    </row>
    <row r="58">
      <c r="A58" s="15" t="n">
        <v>6</v>
      </c>
      <c r="B58" s="15" t="inlineStr">
        <is>
          <t>松</t>
        </is>
      </c>
      <c r="C58" s="15" t="n">
        <v>3</v>
      </c>
      <c r="D58" s="15" t="inlineStr">
        <is>
          <t>掲示</t>
        </is>
      </c>
      <c r="E58" s="15" t="inlineStr">
        <is>
          <t>飼育</t>
        </is>
      </c>
      <c r="F58" s="15" t="inlineStr">
        <is>
          <t>広報</t>
        </is>
      </c>
      <c r="G58" s="3">
        <f>IF(J58="","",IFERROR(INDEX(児童名簿!$D$2:$D$301,MATCH(J58,児童名簿!$F$2:$F$301,0)),""))</f>
        <v/>
      </c>
      <c r="H58" s="19">
        <f>IF(J58="","",IF(G58="","名簿にいない",IF(COUNTIF(J59:J$402,J58)&gt;0,"2回提出（下の行を使います）",IF(OR(AND(D58&lt;&gt;"",COUNTIF(設定!$G$8:$G$27,D58)=0),AND(E58&lt;&gt;"",COUNTIF(設定!$G$8:$G$27,E58)=0),AND(F58&lt;&gt;"",COUNTIF(設定!$G$8:$G$27,F58)=0)),"委員会名がちがう",IF(D58="","第1希望がない",IF(OR(AND(D58&lt;&gt;"",D58=E58),AND(D58&lt;&gt;"",D58=F58),AND(E58&lt;&gt;"",E58=F58)),"同じ委員会を重複して希望","OK"))))))</f>
        <v/>
      </c>
      <c r="J58" s="8">
        <f>IF(A58="","",A58&amp;"-"&amp;B58&amp;"-"&amp;C58)</f>
        <v/>
      </c>
      <c r="K58" s="8">
        <f>IF(OR(J58="",G58=""),"",IF(COUNTIF(J59:J$402,J58)=0,J58,""))</f>
        <v/>
      </c>
    </row>
    <row r="59">
      <c r="A59" s="15" t="n">
        <v>5</v>
      </c>
      <c r="B59" s="15" t="inlineStr">
        <is>
          <t>月</t>
        </is>
      </c>
      <c r="C59" s="15" t="n">
        <v>26</v>
      </c>
      <c r="D59" s="15" t="inlineStr">
        <is>
          <t>飼育</t>
        </is>
      </c>
      <c r="E59" s="15" t="inlineStr">
        <is>
          <t>放送</t>
        </is>
      </c>
      <c r="F59" s="15" t="inlineStr">
        <is>
          <t>代表</t>
        </is>
      </c>
      <c r="G59" s="3">
        <f>IF(J59="","",IFERROR(INDEX(児童名簿!$D$2:$D$301,MATCH(J59,児童名簿!$F$2:$F$301,0)),""))</f>
        <v/>
      </c>
      <c r="H59" s="19">
        <f>IF(J59="","",IF(G59="","名簿にいない",IF(COUNTIF(J60:J$402,J59)&gt;0,"2回提出（下の行を使います）",IF(OR(AND(D59&lt;&gt;"",COUNTIF(設定!$G$8:$G$27,D59)=0),AND(E59&lt;&gt;"",COUNTIF(設定!$G$8:$G$27,E59)=0),AND(F59&lt;&gt;"",COUNTIF(設定!$G$8:$G$27,F59)=0)),"委員会名がちがう",IF(D59="","第1希望がない",IF(OR(AND(D59&lt;&gt;"",D59=E59),AND(D59&lt;&gt;"",D59=F59),AND(E59&lt;&gt;"",E59=F59)),"同じ委員会を重複して希望","OK"))))))</f>
        <v/>
      </c>
      <c r="J59" s="8">
        <f>IF(A59="","",A59&amp;"-"&amp;B59&amp;"-"&amp;C59)</f>
        <v/>
      </c>
      <c r="K59" s="8">
        <f>IF(OR(J59="",G59=""),"",IF(COUNTIF(J60:J$402,J59)=0,J59,""))</f>
        <v/>
      </c>
    </row>
    <row r="60">
      <c r="A60" s="15" t="n">
        <v>6</v>
      </c>
      <c r="B60" s="15" t="inlineStr">
        <is>
          <t>梅</t>
        </is>
      </c>
      <c r="C60" s="15" t="n">
        <v>14</v>
      </c>
      <c r="D60" s="15" t="inlineStr">
        <is>
          <t>体育</t>
        </is>
      </c>
      <c r="E60" s="15" t="inlineStr">
        <is>
          <t>環境</t>
        </is>
      </c>
      <c r="F60" s="15" t="inlineStr">
        <is>
          <t>図書</t>
        </is>
      </c>
      <c r="G60" s="3">
        <f>IF(J60="","",IFERROR(INDEX(児童名簿!$D$2:$D$301,MATCH(J60,児童名簿!$F$2:$F$301,0)),""))</f>
        <v/>
      </c>
      <c r="H60" s="19">
        <f>IF(J60="","",IF(G60="","名簿にいない",IF(COUNTIF(J61:J$402,J60)&gt;0,"2回提出（下の行を使います）",IF(OR(AND(D60&lt;&gt;"",COUNTIF(設定!$G$8:$G$27,D60)=0),AND(E60&lt;&gt;"",COUNTIF(設定!$G$8:$G$27,E60)=0),AND(F60&lt;&gt;"",COUNTIF(設定!$G$8:$G$27,F60)=0)),"委員会名がちがう",IF(D60="","第1希望がない",IF(OR(AND(D60&lt;&gt;"",D60=E60),AND(D60&lt;&gt;"",D60=F60),AND(E60&lt;&gt;"",E60=F60)),"同じ委員会を重複して希望","OK"))))))</f>
        <v/>
      </c>
      <c r="J60" s="8">
        <f>IF(A60="","",A60&amp;"-"&amp;B60&amp;"-"&amp;C60)</f>
        <v/>
      </c>
      <c r="K60" s="8">
        <f>IF(OR(J60="",G60=""),"",IF(COUNTIF(J61:J$402,J60)=0,J60,""))</f>
        <v/>
      </c>
    </row>
    <row r="61">
      <c r="A61" s="15" t="n">
        <v>6</v>
      </c>
      <c r="B61" s="15" t="inlineStr">
        <is>
          <t>月</t>
        </is>
      </c>
      <c r="C61" s="15" t="n">
        <v>16</v>
      </c>
      <c r="D61" s="15" t="inlineStr">
        <is>
          <t>飼育</t>
        </is>
      </c>
      <c r="E61" s="15" t="inlineStr">
        <is>
          <t>給食</t>
        </is>
      </c>
      <c r="F61" s="15" t="inlineStr">
        <is>
          <t>集会</t>
        </is>
      </c>
      <c r="G61" s="3">
        <f>IF(J61="","",IFERROR(INDEX(児童名簿!$D$2:$D$301,MATCH(J61,児童名簿!$F$2:$F$301,0)),""))</f>
        <v/>
      </c>
      <c r="H61" s="19">
        <f>IF(J61="","",IF(G61="","名簿にいない",IF(COUNTIF(J62:J$402,J61)&gt;0,"2回提出（下の行を使います）",IF(OR(AND(D61&lt;&gt;"",COUNTIF(設定!$G$8:$G$27,D61)=0),AND(E61&lt;&gt;"",COUNTIF(設定!$G$8:$G$27,E61)=0),AND(F61&lt;&gt;"",COUNTIF(設定!$G$8:$G$27,F61)=0)),"委員会名がちがう",IF(D61="","第1希望がない",IF(OR(AND(D61&lt;&gt;"",D61=E61),AND(D61&lt;&gt;"",D61=F61),AND(E61&lt;&gt;"",E61=F61)),"同じ委員会を重複して希望","OK"))))))</f>
        <v/>
      </c>
      <c r="J61" s="8">
        <f>IF(A61="","",A61&amp;"-"&amp;B61&amp;"-"&amp;C61)</f>
        <v/>
      </c>
      <c r="K61" s="8">
        <f>IF(OR(J61="",G61=""),"",IF(COUNTIF(J62:J$402,J61)=0,J61,""))</f>
        <v/>
      </c>
    </row>
    <row r="62">
      <c r="A62" s="15" t="n">
        <v>5</v>
      </c>
      <c r="B62" s="15" t="inlineStr">
        <is>
          <t>月</t>
        </is>
      </c>
      <c r="C62" s="15" t="n">
        <v>29</v>
      </c>
      <c r="D62" s="15" t="inlineStr">
        <is>
          <t>図書</t>
        </is>
      </c>
      <c r="E62" s="15" t="inlineStr">
        <is>
          <t>広報</t>
        </is>
      </c>
      <c r="F62" s="15" t="inlineStr">
        <is>
          <t>保健</t>
        </is>
      </c>
      <c r="G62" s="3">
        <f>IF(J62="","",IFERROR(INDEX(児童名簿!$D$2:$D$301,MATCH(J62,児童名簿!$F$2:$F$301,0)),""))</f>
        <v/>
      </c>
      <c r="H62" s="19">
        <f>IF(J62="","",IF(G62="","名簿にいない",IF(COUNTIF(J63:J$402,J62)&gt;0,"2回提出（下の行を使います）",IF(OR(AND(D62&lt;&gt;"",COUNTIF(設定!$G$8:$G$27,D62)=0),AND(E62&lt;&gt;"",COUNTIF(設定!$G$8:$G$27,E62)=0),AND(F62&lt;&gt;"",COUNTIF(設定!$G$8:$G$27,F62)=0)),"委員会名がちがう",IF(D62="","第1希望がない",IF(OR(AND(D62&lt;&gt;"",D62=E62),AND(D62&lt;&gt;"",D62=F62),AND(E62&lt;&gt;"",E62=F62)),"同じ委員会を重複して希望","OK"))))))</f>
        <v/>
      </c>
      <c r="J62" s="8">
        <f>IF(A62="","",A62&amp;"-"&amp;B62&amp;"-"&amp;C62)</f>
        <v/>
      </c>
      <c r="K62" s="8">
        <f>IF(OR(J62="",G62=""),"",IF(COUNTIF(J63:J$402,J62)=0,J62,""))</f>
        <v/>
      </c>
    </row>
    <row r="63">
      <c r="A63" s="15" t="n">
        <v>6</v>
      </c>
      <c r="B63" s="15" t="inlineStr">
        <is>
          <t>松</t>
        </is>
      </c>
      <c r="C63" s="15" t="n">
        <v>9</v>
      </c>
      <c r="D63" s="15" t="inlineStr">
        <is>
          <t>集会</t>
        </is>
      </c>
      <c r="E63" s="15" t="inlineStr">
        <is>
          <t>飼育</t>
        </is>
      </c>
      <c r="F63" s="15" t="inlineStr">
        <is>
          <t>環境</t>
        </is>
      </c>
      <c r="G63" s="3">
        <f>IF(J63="","",IFERROR(INDEX(児童名簿!$D$2:$D$301,MATCH(J63,児童名簿!$F$2:$F$301,0)),""))</f>
        <v/>
      </c>
      <c r="H63" s="19">
        <f>IF(J63="","",IF(G63="","名簿にいない",IF(COUNTIF(J64:J$402,J63)&gt;0,"2回提出（下の行を使います）",IF(OR(AND(D63&lt;&gt;"",COUNTIF(設定!$G$8:$G$27,D63)=0),AND(E63&lt;&gt;"",COUNTIF(設定!$G$8:$G$27,E63)=0),AND(F63&lt;&gt;"",COUNTIF(設定!$G$8:$G$27,F63)=0)),"委員会名がちがう",IF(D63="","第1希望がない",IF(OR(AND(D63&lt;&gt;"",D63=E63),AND(D63&lt;&gt;"",D63=F63),AND(E63&lt;&gt;"",E63=F63)),"同じ委員会を重複して希望","OK"))))))</f>
        <v/>
      </c>
      <c r="J63" s="8">
        <f>IF(A63="","",A63&amp;"-"&amp;B63&amp;"-"&amp;C63)</f>
        <v/>
      </c>
      <c r="K63" s="8">
        <f>IF(OR(J63="",G63=""),"",IF(COUNTIF(J64:J$402,J63)=0,J63,""))</f>
        <v/>
      </c>
    </row>
    <row r="64">
      <c r="A64" s="15" t="n">
        <v>6</v>
      </c>
      <c r="B64" s="15" t="inlineStr">
        <is>
          <t>松</t>
        </is>
      </c>
      <c r="C64" s="15" t="n">
        <v>4</v>
      </c>
      <c r="D64" s="15" t="inlineStr">
        <is>
          <t>体育</t>
        </is>
      </c>
      <c r="E64" s="15" t="inlineStr">
        <is>
          <t>掲示</t>
        </is>
      </c>
      <c r="F64" s="15" t="inlineStr">
        <is>
          <t>広報</t>
        </is>
      </c>
      <c r="G64" s="3">
        <f>IF(J64="","",IFERROR(INDEX(児童名簿!$D$2:$D$301,MATCH(J64,児童名簿!$F$2:$F$301,0)),""))</f>
        <v/>
      </c>
      <c r="H64" s="19">
        <f>IF(J64="","",IF(G64="","名簿にいない",IF(COUNTIF(J65:J$402,J64)&gt;0,"2回提出（下の行を使います）",IF(OR(AND(D64&lt;&gt;"",COUNTIF(設定!$G$8:$G$27,D64)=0),AND(E64&lt;&gt;"",COUNTIF(設定!$G$8:$G$27,E64)=0),AND(F64&lt;&gt;"",COUNTIF(設定!$G$8:$G$27,F64)=0)),"委員会名がちがう",IF(D64="","第1希望がない",IF(OR(AND(D64&lt;&gt;"",D64=E64),AND(D64&lt;&gt;"",D64=F64),AND(E64&lt;&gt;"",E64=F64)),"同じ委員会を重複して希望","OK"))))))</f>
        <v/>
      </c>
      <c r="J64" s="8">
        <f>IF(A64="","",A64&amp;"-"&amp;B64&amp;"-"&amp;C64)</f>
        <v/>
      </c>
      <c r="K64" s="8">
        <f>IF(OR(J64="",G64=""),"",IF(COUNTIF(J65:J$402,J64)=0,J64,""))</f>
        <v/>
      </c>
    </row>
    <row r="65">
      <c r="A65" s="15" t="n">
        <v>5</v>
      </c>
      <c r="B65" s="15" t="inlineStr">
        <is>
          <t>月</t>
        </is>
      </c>
      <c r="C65" s="15" t="n">
        <v>21</v>
      </c>
      <c r="D65" s="15" t="inlineStr">
        <is>
          <t>給食</t>
        </is>
      </c>
      <c r="E65" s="15" t="inlineStr">
        <is>
          <t>給食</t>
        </is>
      </c>
      <c r="F65" s="15" t="inlineStr">
        <is>
          <t>掲示</t>
        </is>
      </c>
      <c r="G65" s="3">
        <f>IF(J65="","",IFERROR(INDEX(児童名簿!$D$2:$D$301,MATCH(J65,児童名簿!$F$2:$F$301,0)),""))</f>
        <v/>
      </c>
      <c r="H65" s="19">
        <f>IF(J65="","",IF(G65="","名簿にいない",IF(COUNTIF(J66:J$402,J65)&gt;0,"2回提出（下の行を使います）",IF(OR(AND(D65&lt;&gt;"",COUNTIF(設定!$G$8:$G$27,D65)=0),AND(E65&lt;&gt;"",COUNTIF(設定!$G$8:$G$27,E65)=0),AND(F65&lt;&gt;"",COUNTIF(設定!$G$8:$G$27,F65)=0)),"委員会名がちがう",IF(D65="","第1希望がない",IF(OR(AND(D65&lt;&gt;"",D65=E65),AND(D65&lt;&gt;"",D65=F65),AND(E65&lt;&gt;"",E65=F65)),"同じ委員会を重複して希望","OK"))))))</f>
        <v/>
      </c>
      <c r="J65" s="8">
        <f>IF(A65="","",A65&amp;"-"&amp;B65&amp;"-"&amp;C65)</f>
        <v/>
      </c>
      <c r="K65" s="8">
        <f>IF(OR(J65="",G65=""),"",IF(COUNTIF(J66:J$402,J65)=0,J65,""))</f>
        <v/>
      </c>
    </row>
    <row r="66">
      <c r="A66" s="15" t="n">
        <v>5</v>
      </c>
      <c r="B66" s="15" t="inlineStr">
        <is>
          <t>松</t>
        </is>
      </c>
      <c r="C66" s="15" t="n">
        <v>17</v>
      </c>
      <c r="D66" s="15" t="inlineStr">
        <is>
          <t>体育</t>
        </is>
      </c>
      <c r="E66" s="15" t="inlineStr">
        <is>
          <t>環境</t>
        </is>
      </c>
      <c r="F66" s="15" t="inlineStr">
        <is>
          <t>放送</t>
        </is>
      </c>
      <c r="G66" s="3">
        <f>IF(J66="","",IFERROR(INDEX(児童名簿!$D$2:$D$301,MATCH(J66,児童名簿!$F$2:$F$301,0)),""))</f>
        <v/>
      </c>
      <c r="H66" s="19">
        <f>IF(J66="","",IF(G66="","名簿にいない",IF(COUNTIF(J67:J$402,J66)&gt;0,"2回提出（下の行を使います）",IF(OR(AND(D66&lt;&gt;"",COUNTIF(設定!$G$8:$G$27,D66)=0),AND(E66&lt;&gt;"",COUNTIF(設定!$G$8:$G$27,E66)=0),AND(F66&lt;&gt;"",COUNTIF(設定!$G$8:$G$27,F66)=0)),"委員会名がちがう",IF(D66="","第1希望がない",IF(OR(AND(D66&lt;&gt;"",D66=E66),AND(D66&lt;&gt;"",D66=F66),AND(E66&lt;&gt;"",E66=F66)),"同じ委員会を重複して希望","OK"))))))</f>
        <v/>
      </c>
      <c r="J66" s="8">
        <f>IF(A66="","",A66&amp;"-"&amp;B66&amp;"-"&amp;C66)</f>
        <v/>
      </c>
      <c r="K66" s="8">
        <f>IF(OR(J66="",G66=""),"",IF(COUNTIF(J67:J$402,J66)=0,J66,""))</f>
        <v/>
      </c>
    </row>
    <row r="67">
      <c r="A67" s="15" t="n">
        <v>6</v>
      </c>
      <c r="B67" s="15" t="inlineStr">
        <is>
          <t>竹</t>
        </is>
      </c>
      <c r="C67" s="15" t="n">
        <v>25</v>
      </c>
      <c r="D67" s="15" t="inlineStr">
        <is>
          <t>図書</t>
        </is>
      </c>
      <c r="E67" s="15" t="inlineStr">
        <is>
          <t>給食</t>
        </is>
      </c>
      <c r="F67" s="15" t="inlineStr">
        <is>
          <t>広報</t>
        </is>
      </c>
      <c r="G67" s="3">
        <f>IF(J67="","",IFERROR(INDEX(児童名簿!$D$2:$D$301,MATCH(J67,児童名簿!$F$2:$F$301,0)),""))</f>
        <v/>
      </c>
      <c r="H67" s="19">
        <f>IF(J67="","",IF(G67="","名簿にいない",IF(COUNTIF(J68:J$402,J67)&gt;0,"2回提出（下の行を使います）",IF(OR(AND(D67&lt;&gt;"",COUNTIF(設定!$G$8:$G$27,D67)=0),AND(E67&lt;&gt;"",COUNTIF(設定!$G$8:$G$27,E67)=0),AND(F67&lt;&gt;"",COUNTIF(設定!$G$8:$G$27,F67)=0)),"委員会名がちがう",IF(D67="","第1希望がない",IF(OR(AND(D67&lt;&gt;"",D67=E67),AND(D67&lt;&gt;"",D67=F67),AND(E67&lt;&gt;"",E67=F67)),"同じ委員会を重複して希望","OK"))))))</f>
        <v/>
      </c>
      <c r="J67" s="8">
        <f>IF(A67="","",A67&amp;"-"&amp;B67&amp;"-"&amp;C67)</f>
        <v/>
      </c>
      <c r="K67" s="8">
        <f>IF(OR(J67="",G67=""),"",IF(COUNTIF(J68:J$402,J67)=0,J67,""))</f>
        <v/>
      </c>
    </row>
    <row r="68">
      <c r="A68" s="15" t="n">
        <v>5</v>
      </c>
      <c r="B68" s="15" t="inlineStr">
        <is>
          <t>月</t>
        </is>
      </c>
      <c r="C68" s="15" t="n">
        <v>13</v>
      </c>
      <c r="D68" s="15" t="inlineStr">
        <is>
          <t>飼育</t>
        </is>
      </c>
      <c r="E68" s="15" t="inlineStr">
        <is>
          <t>環境</t>
        </is>
      </c>
      <c r="F68" s="15" t="inlineStr">
        <is>
          <t>放送</t>
        </is>
      </c>
      <c r="G68" s="3">
        <f>IF(J68="","",IFERROR(INDEX(児童名簿!$D$2:$D$301,MATCH(J68,児童名簿!$F$2:$F$301,0)),""))</f>
        <v/>
      </c>
      <c r="H68" s="19">
        <f>IF(J68="","",IF(G68="","名簿にいない",IF(COUNTIF(J69:J$402,J68)&gt;0,"2回提出（下の行を使います）",IF(OR(AND(D68&lt;&gt;"",COUNTIF(設定!$G$8:$G$27,D68)=0),AND(E68&lt;&gt;"",COUNTIF(設定!$G$8:$G$27,E68)=0),AND(F68&lt;&gt;"",COUNTIF(設定!$G$8:$G$27,F68)=0)),"委員会名がちがう",IF(D68="","第1希望がない",IF(OR(AND(D68&lt;&gt;"",D68=E68),AND(D68&lt;&gt;"",D68=F68),AND(E68&lt;&gt;"",E68=F68)),"同じ委員会を重複して希望","OK"))))))</f>
        <v/>
      </c>
      <c r="J68" s="8">
        <f>IF(A68="","",A68&amp;"-"&amp;B68&amp;"-"&amp;C68)</f>
        <v/>
      </c>
      <c r="K68" s="8">
        <f>IF(OR(J68="",G68=""),"",IF(COUNTIF(J69:J$402,J68)=0,J68,""))</f>
        <v/>
      </c>
    </row>
    <row r="69">
      <c r="A69" s="15" t="n">
        <v>5</v>
      </c>
      <c r="B69" s="15" t="inlineStr">
        <is>
          <t>松</t>
        </is>
      </c>
      <c r="C69" s="15" t="n">
        <v>25</v>
      </c>
      <c r="D69" s="15" t="inlineStr">
        <is>
          <t>飼育</t>
        </is>
      </c>
      <c r="E69" s="15" t="inlineStr">
        <is>
          <t>音楽</t>
        </is>
      </c>
      <c r="F69" s="15" t="inlineStr">
        <is>
          <t>保健</t>
        </is>
      </c>
      <c r="G69" s="3">
        <f>IF(J69="","",IFERROR(INDEX(児童名簿!$D$2:$D$301,MATCH(J69,児童名簿!$F$2:$F$301,0)),""))</f>
        <v/>
      </c>
      <c r="H69" s="19">
        <f>IF(J69="","",IF(G69="","名簿にいない",IF(COUNTIF(J70:J$402,J69)&gt;0,"2回提出（下の行を使います）",IF(OR(AND(D69&lt;&gt;"",COUNTIF(設定!$G$8:$G$27,D69)=0),AND(E69&lt;&gt;"",COUNTIF(設定!$G$8:$G$27,E69)=0),AND(F69&lt;&gt;"",COUNTIF(設定!$G$8:$G$27,F69)=0)),"委員会名がちがう",IF(D69="","第1希望がない",IF(OR(AND(D69&lt;&gt;"",D69=E69),AND(D69&lt;&gt;"",D69=F69),AND(E69&lt;&gt;"",E69=F69)),"同じ委員会を重複して希望","OK"))))))</f>
        <v/>
      </c>
      <c r="J69" s="8">
        <f>IF(A69="","",A69&amp;"-"&amp;B69&amp;"-"&amp;C69)</f>
        <v/>
      </c>
      <c r="K69" s="8">
        <f>IF(OR(J69="",G69=""),"",IF(COUNTIF(J70:J$402,J69)=0,J69,""))</f>
        <v/>
      </c>
    </row>
    <row r="70">
      <c r="A70" s="15" t="n">
        <v>6</v>
      </c>
      <c r="B70" s="15" t="inlineStr">
        <is>
          <t>松</t>
        </is>
      </c>
      <c r="C70" s="15" t="n">
        <v>20</v>
      </c>
      <c r="D70" s="15" t="inlineStr">
        <is>
          <t>放送</t>
        </is>
      </c>
      <c r="E70" s="15" t="inlineStr">
        <is>
          <t>飼育</t>
        </is>
      </c>
      <c r="F70" s="15" t="inlineStr">
        <is>
          <t>広報</t>
        </is>
      </c>
      <c r="G70" s="3">
        <f>IF(J70="","",IFERROR(INDEX(児童名簿!$D$2:$D$301,MATCH(J70,児童名簿!$F$2:$F$301,0)),""))</f>
        <v/>
      </c>
      <c r="H70" s="19">
        <f>IF(J70="","",IF(G70="","名簿にいない",IF(COUNTIF(J71:J$402,J70)&gt;0,"2回提出（下の行を使います）",IF(OR(AND(D70&lt;&gt;"",COUNTIF(設定!$G$8:$G$27,D70)=0),AND(E70&lt;&gt;"",COUNTIF(設定!$G$8:$G$27,E70)=0),AND(F70&lt;&gt;"",COUNTIF(設定!$G$8:$G$27,F70)=0)),"委員会名がちがう",IF(D70="","第1希望がない",IF(OR(AND(D70&lt;&gt;"",D70=E70),AND(D70&lt;&gt;"",D70=F70),AND(E70&lt;&gt;"",E70=F70)),"同じ委員会を重複して希望","OK"))))))</f>
        <v/>
      </c>
      <c r="J70" s="8">
        <f>IF(A70="","",A70&amp;"-"&amp;B70&amp;"-"&amp;C70)</f>
        <v/>
      </c>
      <c r="K70" s="8">
        <f>IF(OR(J70="",G70=""),"",IF(COUNTIF(J71:J$402,J70)=0,J70,""))</f>
        <v/>
      </c>
    </row>
    <row r="71">
      <c r="A71" s="15" t="n">
        <v>5</v>
      </c>
      <c r="B71" s="15" t="inlineStr">
        <is>
          <t>月</t>
        </is>
      </c>
      <c r="C71" s="15" t="n">
        <v>24</v>
      </c>
      <c r="D71" s="15" t="inlineStr">
        <is>
          <t>代表</t>
        </is>
      </c>
      <c r="E71" s="15" t="inlineStr">
        <is>
          <t>保健</t>
        </is>
      </c>
      <c r="F71" s="15" t="inlineStr">
        <is>
          <t>環境</t>
        </is>
      </c>
      <c r="G71" s="3">
        <f>IF(J71="","",IFERROR(INDEX(児童名簿!$D$2:$D$301,MATCH(J71,児童名簿!$F$2:$F$301,0)),""))</f>
        <v/>
      </c>
      <c r="H71" s="19">
        <f>IF(J71="","",IF(G71="","名簿にいない",IF(COUNTIF(J72:J$402,J71)&gt;0,"2回提出（下の行を使います）",IF(OR(AND(D71&lt;&gt;"",COUNTIF(設定!$G$8:$G$27,D71)=0),AND(E71&lt;&gt;"",COUNTIF(設定!$G$8:$G$27,E71)=0),AND(F71&lt;&gt;"",COUNTIF(設定!$G$8:$G$27,F71)=0)),"委員会名がちがう",IF(D71="","第1希望がない",IF(OR(AND(D71&lt;&gt;"",D71=E71),AND(D71&lt;&gt;"",D71=F71),AND(E71&lt;&gt;"",E71=F71)),"同じ委員会を重複して希望","OK"))))))</f>
        <v/>
      </c>
      <c r="J71" s="8">
        <f>IF(A71="","",A71&amp;"-"&amp;B71&amp;"-"&amp;C71)</f>
        <v/>
      </c>
      <c r="K71" s="8">
        <f>IF(OR(J71="",G71=""),"",IF(COUNTIF(J72:J$402,J71)=0,J71,""))</f>
        <v/>
      </c>
    </row>
    <row r="72">
      <c r="A72" s="15" t="n">
        <v>5</v>
      </c>
      <c r="B72" s="15" t="inlineStr">
        <is>
          <t>松</t>
        </is>
      </c>
      <c r="C72" s="15" t="n">
        <v>1</v>
      </c>
      <c r="D72" s="15" t="inlineStr">
        <is>
          <t>体育</t>
        </is>
      </c>
      <c r="E72" s="15" t="inlineStr">
        <is>
          <t>代表</t>
        </is>
      </c>
      <c r="F72" s="15" t="inlineStr">
        <is>
          <t>環境</t>
        </is>
      </c>
      <c r="G72" s="3">
        <f>IF(J72="","",IFERROR(INDEX(児童名簿!$D$2:$D$301,MATCH(J72,児童名簿!$F$2:$F$301,0)),""))</f>
        <v/>
      </c>
      <c r="H72" s="19">
        <f>IF(J72="","",IF(G72="","名簿にいない",IF(COUNTIF(J73:J$402,J72)&gt;0,"2回提出（下の行を使います）",IF(OR(AND(D72&lt;&gt;"",COUNTIF(設定!$G$8:$G$27,D72)=0),AND(E72&lt;&gt;"",COUNTIF(設定!$G$8:$G$27,E72)=0),AND(F72&lt;&gt;"",COUNTIF(設定!$G$8:$G$27,F72)=0)),"委員会名がちがう",IF(D72="","第1希望がない",IF(OR(AND(D72&lt;&gt;"",D72=E72),AND(D72&lt;&gt;"",D72=F72),AND(E72&lt;&gt;"",E72=F72)),"同じ委員会を重複して希望","OK"))))))</f>
        <v/>
      </c>
      <c r="J72" s="8">
        <f>IF(A72="","",A72&amp;"-"&amp;B72&amp;"-"&amp;C72)</f>
        <v/>
      </c>
      <c r="K72" s="8">
        <f>IF(OR(J72="",G72=""),"",IF(COUNTIF(J73:J$402,J72)=0,J72,""))</f>
        <v/>
      </c>
    </row>
    <row r="73">
      <c r="A73" s="15" t="n">
        <v>5</v>
      </c>
      <c r="B73" s="15" t="inlineStr">
        <is>
          <t>梅</t>
        </is>
      </c>
      <c r="C73" s="15" t="n">
        <v>2</v>
      </c>
      <c r="D73" s="15" t="inlineStr">
        <is>
          <t>集会</t>
        </is>
      </c>
      <c r="E73" s="15" t="inlineStr">
        <is>
          <t>放送</t>
        </is>
      </c>
      <c r="F73" s="15" t="inlineStr">
        <is>
          <t>代表</t>
        </is>
      </c>
      <c r="G73" s="3">
        <f>IF(J73="","",IFERROR(INDEX(児童名簿!$D$2:$D$301,MATCH(J73,児童名簿!$F$2:$F$301,0)),""))</f>
        <v/>
      </c>
      <c r="H73" s="19">
        <f>IF(J73="","",IF(G73="","名簿にいない",IF(COUNTIF(J74:J$402,J73)&gt;0,"2回提出（下の行を使います）",IF(OR(AND(D73&lt;&gt;"",COUNTIF(設定!$G$8:$G$27,D73)=0),AND(E73&lt;&gt;"",COUNTIF(設定!$G$8:$G$27,E73)=0),AND(F73&lt;&gt;"",COUNTIF(設定!$G$8:$G$27,F73)=0)),"委員会名がちがう",IF(D73="","第1希望がない",IF(OR(AND(D73&lt;&gt;"",D73=E73),AND(D73&lt;&gt;"",D73=F73),AND(E73&lt;&gt;"",E73=F73)),"同じ委員会を重複して希望","OK"))))))</f>
        <v/>
      </c>
      <c r="J73" s="8">
        <f>IF(A73="","",A73&amp;"-"&amp;B73&amp;"-"&amp;C73)</f>
        <v/>
      </c>
      <c r="K73" s="8">
        <f>IF(OR(J73="",G73=""),"",IF(COUNTIF(J74:J$402,J73)=0,J73,""))</f>
        <v/>
      </c>
    </row>
    <row r="74">
      <c r="A74" s="15" t="n">
        <v>5</v>
      </c>
      <c r="B74" s="15" t="inlineStr">
        <is>
          <t>松</t>
        </is>
      </c>
      <c r="C74" s="15" t="n">
        <v>3</v>
      </c>
      <c r="D74" s="15" t="inlineStr">
        <is>
          <t>保健</t>
        </is>
      </c>
      <c r="E74" s="15" t="inlineStr">
        <is>
          <t>飼育</t>
        </is>
      </c>
      <c r="F74" s="15" t="inlineStr">
        <is>
          <t>音楽</t>
        </is>
      </c>
      <c r="G74" s="3">
        <f>IF(J74="","",IFERROR(INDEX(児童名簿!$D$2:$D$301,MATCH(J74,児童名簿!$F$2:$F$301,0)),""))</f>
        <v/>
      </c>
      <c r="H74" s="19">
        <f>IF(J74="","",IF(G74="","名簿にいない",IF(COUNTIF(J75:J$402,J74)&gt;0,"2回提出（下の行を使います）",IF(OR(AND(D74&lt;&gt;"",COUNTIF(設定!$G$8:$G$27,D74)=0),AND(E74&lt;&gt;"",COUNTIF(設定!$G$8:$G$27,E74)=0),AND(F74&lt;&gt;"",COUNTIF(設定!$G$8:$G$27,F74)=0)),"委員会名がちがう",IF(D74="","第1希望がない",IF(OR(AND(D74&lt;&gt;"",D74=E74),AND(D74&lt;&gt;"",D74=F74),AND(E74&lt;&gt;"",E74=F74)),"同じ委員会を重複して希望","OK"))))))</f>
        <v/>
      </c>
      <c r="J74" s="8">
        <f>IF(A74="","",A74&amp;"-"&amp;B74&amp;"-"&amp;C74)</f>
        <v/>
      </c>
      <c r="K74" s="8">
        <f>IF(OR(J74="",G74=""),"",IF(COUNTIF(J75:J$402,J74)=0,J74,""))</f>
        <v/>
      </c>
    </row>
    <row r="75">
      <c r="A75" s="15" t="n">
        <v>6</v>
      </c>
      <c r="B75" s="15" t="inlineStr">
        <is>
          <t>竹</t>
        </is>
      </c>
      <c r="C75" s="15" t="n">
        <v>10</v>
      </c>
      <c r="D75" s="15" t="inlineStr">
        <is>
          <t>広報</t>
        </is>
      </c>
      <c r="E75" s="15" t="inlineStr">
        <is>
          <t>飼育</t>
        </is>
      </c>
      <c r="F75" s="15" t="inlineStr">
        <is>
          <t>掲示</t>
        </is>
      </c>
      <c r="G75" s="3">
        <f>IF(J75="","",IFERROR(INDEX(児童名簿!$D$2:$D$301,MATCH(J75,児童名簿!$F$2:$F$301,0)),""))</f>
        <v/>
      </c>
      <c r="H75" s="19">
        <f>IF(J75="","",IF(G75="","名簿にいない",IF(COUNTIF(J76:J$402,J75)&gt;0,"2回提出（下の行を使います）",IF(OR(AND(D75&lt;&gt;"",COUNTIF(設定!$G$8:$G$27,D75)=0),AND(E75&lt;&gt;"",COUNTIF(設定!$G$8:$G$27,E75)=0),AND(F75&lt;&gt;"",COUNTIF(設定!$G$8:$G$27,F75)=0)),"委員会名がちがう",IF(D75="","第1希望がない",IF(OR(AND(D75&lt;&gt;"",D75=E75),AND(D75&lt;&gt;"",D75=F75),AND(E75&lt;&gt;"",E75=F75)),"同じ委員会を重複して希望","OK"))))))</f>
        <v/>
      </c>
      <c r="J75" s="8">
        <f>IF(A75="","",A75&amp;"-"&amp;B75&amp;"-"&amp;C75)</f>
        <v/>
      </c>
      <c r="K75" s="8">
        <f>IF(OR(J75="",G75=""),"",IF(COUNTIF(J76:J$402,J75)=0,J75,""))</f>
        <v/>
      </c>
    </row>
    <row r="76">
      <c r="A76" s="15" t="n">
        <v>6</v>
      </c>
      <c r="B76" s="15" t="inlineStr">
        <is>
          <t>月</t>
        </is>
      </c>
      <c r="C76" s="15" t="n">
        <v>4</v>
      </c>
      <c r="D76" s="15" t="inlineStr">
        <is>
          <t>飼育</t>
        </is>
      </c>
      <c r="E76" s="15" t="inlineStr">
        <is>
          <t>音楽</t>
        </is>
      </c>
      <c r="F76" s="15" t="inlineStr">
        <is>
          <t>保健</t>
        </is>
      </c>
      <c r="G76" s="3">
        <f>IF(J76="","",IFERROR(INDEX(児童名簿!$D$2:$D$301,MATCH(J76,児童名簿!$F$2:$F$301,0)),""))</f>
        <v/>
      </c>
      <c r="H76" s="19">
        <f>IF(J76="","",IF(G76="","名簿にいない",IF(COUNTIF(J77:J$402,J76)&gt;0,"2回提出（下の行を使います）",IF(OR(AND(D76&lt;&gt;"",COUNTIF(設定!$G$8:$G$27,D76)=0),AND(E76&lt;&gt;"",COUNTIF(設定!$G$8:$G$27,E76)=0),AND(F76&lt;&gt;"",COUNTIF(設定!$G$8:$G$27,F76)=0)),"委員会名がちがう",IF(D76="","第1希望がない",IF(OR(AND(D76&lt;&gt;"",D76=E76),AND(D76&lt;&gt;"",D76=F76),AND(E76&lt;&gt;"",E76=F76)),"同じ委員会を重複して希望","OK"))))))</f>
        <v/>
      </c>
      <c r="J76" s="8">
        <f>IF(A76="","",A76&amp;"-"&amp;B76&amp;"-"&amp;C76)</f>
        <v/>
      </c>
      <c r="K76" s="8">
        <f>IF(OR(J76="",G76=""),"",IF(COUNTIF(J77:J$402,J76)=0,J76,""))</f>
        <v/>
      </c>
    </row>
    <row r="77">
      <c r="A77" s="15" t="n">
        <v>5</v>
      </c>
      <c r="B77" s="15" t="inlineStr">
        <is>
          <t>竹</t>
        </is>
      </c>
      <c r="C77" s="15" t="n">
        <v>2</v>
      </c>
      <c r="D77" s="15" t="inlineStr">
        <is>
          <t>掲示</t>
        </is>
      </c>
      <c r="E77" s="15" t="inlineStr">
        <is>
          <t>集会</t>
        </is>
      </c>
      <c r="F77" s="15" t="inlineStr">
        <is>
          <t>広報</t>
        </is>
      </c>
      <c r="G77" s="3">
        <f>IF(J77="","",IFERROR(INDEX(児童名簿!$D$2:$D$301,MATCH(J77,児童名簿!$F$2:$F$301,0)),""))</f>
        <v/>
      </c>
      <c r="H77" s="19">
        <f>IF(J77="","",IF(G77="","名簿にいない",IF(COUNTIF(J78:J$402,J77)&gt;0,"2回提出（下の行を使います）",IF(OR(AND(D77&lt;&gt;"",COUNTIF(設定!$G$8:$G$27,D77)=0),AND(E77&lt;&gt;"",COUNTIF(設定!$G$8:$G$27,E77)=0),AND(F77&lt;&gt;"",COUNTIF(設定!$G$8:$G$27,F77)=0)),"委員会名がちがう",IF(D77="","第1希望がない",IF(OR(AND(D77&lt;&gt;"",D77=E77),AND(D77&lt;&gt;"",D77=F77),AND(E77&lt;&gt;"",E77=F77)),"同じ委員会を重複して希望","OK"))))))</f>
        <v/>
      </c>
      <c r="J77" s="8">
        <f>IF(A77="","",A77&amp;"-"&amp;B77&amp;"-"&amp;C77)</f>
        <v/>
      </c>
      <c r="K77" s="8">
        <f>IF(OR(J77="",G77=""),"",IF(COUNTIF(J78:J$402,J77)=0,J77,""))</f>
        <v/>
      </c>
    </row>
    <row r="78">
      <c r="A78" s="15" t="n">
        <v>6</v>
      </c>
      <c r="B78" s="15" t="inlineStr">
        <is>
          <t>竹</t>
        </is>
      </c>
      <c r="C78" s="15" t="n">
        <v>8</v>
      </c>
      <c r="D78" s="15" t="inlineStr">
        <is>
          <t>集会</t>
        </is>
      </c>
      <c r="E78" s="15" t="inlineStr">
        <is>
          <t>保健</t>
        </is>
      </c>
      <c r="F78" s="15" t="inlineStr">
        <is>
          <t>放送</t>
        </is>
      </c>
      <c r="G78" s="3">
        <f>IF(J78="","",IFERROR(INDEX(児童名簿!$D$2:$D$301,MATCH(J78,児童名簿!$F$2:$F$301,0)),""))</f>
        <v/>
      </c>
      <c r="H78" s="19">
        <f>IF(J78="","",IF(G78="","名簿にいない",IF(COUNTIF(J79:J$402,J78)&gt;0,"2回提出（下の行を使います）",IF(OR(AND(D78&lt;&gt;"",COUNTIF(設定!$G$8:$G$27,D78)=0),AND(E78&lt;&gt;"",COUNTIF(設定!$G$8:$G$27,E78)=0),AND(F78&lt;&gt;"",COUNTIF(設定!$G$8:$G$27,F78)=0)),"委員会名がちがう",IF(D78="","第1希望がない",IF(OR(AND(D78&lt;&gt;"",D78=E78),AND(D78&lt;&gt;"",D78=F78),AND(E78&lt;&gt;"",E78=F78)),"同じ委員会を重複して希望","OK"))))))</f>
        <v/>
      </c>
      <c r="J78" s="8">
        <f>IF(A78="","",A78&amp;"-"&amp;B78&amp;"-"&amp;C78)</f>
        <v/>
      </c>
      <c r="K78" s="8">
        <f>IF(OR(J78="",G78=""),"",IF(COUNTIF(J79:J$402,J78)=0,J78,""))</f>
        <v/>
      </c>
    </row>
    <row r="79">
      <c r="A79" s="15" t="n">
        <v>5</v>
      </c>
      <c r="B79" s="15" t="inlineStr">
        <is>
          <t>梅</t>
        </is>
      </c>
      <c r="C79" s="15" t="n">
        <v>15</v>
      </c>
      <c r="D79" s="15" t="inlineStr">
        <is>
          <t>広報</t>
        </is>
      </c>
      <c r="E79" s="15" t="inlineStr">
        <is>
          <t>代表</t>
        </is>
      </c>
      <c r="F79" s="15" t="inlineStr">
        <is>
          <t>給食</t>
        </is>
      </c>
      <c r="G79" s="3">
        <f>IF(J79="","",IFERROR(INDEX(児童名簿!$D$2:$D$301,MATCH(J79,児童名簿!$F$2:$F$301,0)),""))</f>
        <v/>
      </c>
      <c r="H79" s="19">
        <f>IF(J79="","",IF(G79="","名簿にいない",IF(COUNTIF(J80:J$402,J79)&gt;0,"2回提出（下の行を使います）",IF(OR(AND(D79&lt;&gt;"",COUNTIF(設定!$G$8:$G$27,D79)=0),AND(E79&lt;&gt;"",COUNTIF(設定!$G$8:$G$27,E79)=0),AND(F79&lt;&gt;"",COUNTIF(設定!$G$8:$G$27,F79)=0)),"委員会名がちがう",IF(D79="","第1希望がない",IF(OR(AND(D79&lt;&gt;"",D79=E79),AND(D79&lt;&gt;"",D79=F79),AND(E79&lt;&gt;"",E79=F79)),"同じ委員会を重複して希望","OK"))))))</f>
        <v/>
      </c>
      <c r="J79" s="8">
        <f>IF(A79="","",A79&amp;"-"&amp;B79&amp;"-"&amp;C79)</f>
        <v/>
      </c>
      <c r="K79" s="8">
        <f>IF(OR(J79="",G79=""),"",IF(COUNTIF(J80:J$402,J79)=0,J79,""))</f>
        <v/>
      </c>
    </row>
    <row r="80">
      <c r="A80" s="15" t="n">
        <v>6</v>
      </c>
      <c r="B80" s="15" t="inlineStr">
        <is>
          <t>松</t>
        </is>
      </c>
      <c r="C80" s="15" t="n">
        <v>23</v>
      </c>
      <c r="D80" s="15" t="inlineStr">
        <is>
          <t>音楽</t>
        </is>
      </c>
      <c r="E80" s="15" t="inlineStr">
        <is>
          <t>給食</t>
        </is>
      </c>
      <c r="F80" s="15" t="inlineStr">
        <is>
          <t>図書</t>
        </is>
      </c>
      <c r="G80" s="3">
        <f>IF(J80="","",IFERROR(INDEX(児童名簿!$D$2:$D$301,MATCH(J80,児童名簿!$F$2:$F$301,0)),""))</f>
        <v/>
      </c>
      <c r="H80" s="19">
        <f>IF(J80="","",IF(G80="","名簿にいない",IF(COUNTIF(J81:J$402,J80)&gt;0,"2回提出（下の行を使います）",IF(OR(AND(D80&lt;&gt;"",COUNTIF(設定!$G$8:$G$27,D80)=0),AND(E80&lt;&gt;"",COUNTIF(設定!$G$8:$G$27,E80)=0),AND(F80&lt;&gt;"",COUNTIF(設定!$G$8:$G$27,F80)=0)),"委員会名がちがう",IF(D80="","第1希望がない",IF(OR(AND(D80&lt;&gt;"",D80=E80),AND(D80&lt;&gt;"",D80=F80),AND(E80&lt;&gt;"",E80=F80)),"同じ委員会を重複して希望","OK"))))))</f>
        <v/>
      </c>
      <c r="J80" s="8">
        <f>IF(A80="","",A80&amp;"-"&amp;B80&amp;"-"&amp;C80)</f>
        <v/>
      </c>
      <c r="K80" s="8">
        <f>IF(OR(J80="",G80=""),"",IF(COUNTIF(J81:J$402,J80)=0,J80,""))</f>
        <v/>
      </c>
    </row>
    <row r="81">
      <c r="A81" s="15" t="n">
        <v>6</v>
      </c>
      <c r="B81" s="15" t="inlineStr">
        <is>
          <t>松</t>
        </is>
      </c>
      <c r="C81" s="15" t="n">
        <v>30</v>
      </c>
      <c r="D81" s="15" t="inlineStr">
        <is>
          <t>環境</t>
        </is>
      </c>
      <c r="E81" s="15" t="inlineStr">
        <is>
          <t>放送</t>
        </is>
      </c>
      <c r="F81" s="15" t="inlineStr">
        <is>
          <t>代表</t>
        </is>
      </c>
      <c r="G81" s="3">
        <f>IF(J81="","",IFERROR(INDEX(児童名簿!$D$2:$D$301,MATCH(J81,児童名簿!$F$2:$F$301,0)),""))</f>
        <v/>
      </c>
      <c r="H81" s="19">
        <f>IF(J81="","",IF(G81="","名簿にいない",IF(COUNTIF(J82:J$402,J81)&gt;0,"2回提出（下の行を使います）",IF(OR(AND(D81&lt;&gt;"",COUNTIF(設定!$G$8:$G$27,D81)=0),AND(E81&lt;&gt;"",COUNTIF(設定!$G$8:$G$27,E81)=0),AND(F81&lt;&gt;"",COUNTIF(設定!$G$8:$G$27,F81)=0)),"委員会名がちがう",IF(D81="","第1希望がない",IF(OR(AND(D81&lt;&gt;"",D81=E81),AND(D81&lt;&gt;"",D81=F81),AND(E81&lt;&gt;"",E81=F81)),"同じ委員会を重複して希望","OK"))))))</f>
        <v/>
      </c>
      <c r="J81" s="8">
        <f>IF(A81="","",A81&amp;"-"&amp;B81&amp;"-"&amp;C81)</f>
        <v/>
      </c>
      <c r="K81" s="8">
        <f>IF(OR(J81="",G81=""),"",IF(COUNTIF(J82:J$402,J81)=0,J81,""))</f>
        <v/>
      </c>
    </row>
    <row r="82">
      <c r="A82" s="15" t="n">
        <v>5</v>
      </c>
      <c r="B82" s="15" t="inlineStr">
        <is>
          <t>松</t>
        </is>
      </c>
      <c r="C82" s="15" t="n">
        <v>22</v>
      </c>
      <c r="D82" s="15" t="inlineStr">
        <is>
          <t>図書</t>
        </is>
      </c>
      <c r="E82" s="15" t="inlineStr">
        <is>
          <t>体育</t>
        </is>
      </c>
      <c r="F82" s="15" t="inlineStr">
        <is>
          <t>環境</t>
        </is>
      </c>
      <c r="G82" s="3">
        <f>IF(J82="","",IFERROR(INDEX(児童名簿!$D$2:$D$301,MATCH(J82,児童名簿!$F$2:$F$301,0)),""))</f>
        <v/>
      </c>
      <c r="H82" s="19">
        <f>IF(J82="","",IF(G82="","名簿にいない",IF(COUNTIF(J83:J$402,J82)&gt;0,"2回提出（下の行を使います）",IF(OR(AND(D82&lt;&gt;"",COUNTIF(設定!$G$8:$G$27,D82)=0),AND(E82&lt;&gt;"",COUNTIF(設定!$G$8:$G$27,E82)=0),AND(F82&lt;&gt;"",COUNTIF(設定!$G$8:$G$27,F82)=0)),"委員会名がちがう",IF(D82="","第1希望がない",IF(OR(AND(D82&lt;&gt;"",D82=E82),AND(D82&lt;&gt;"",D82=F82),AND(E82&lt;&gt;"",E82=F82)),"同じ委員会を重複して希望","OK"))))))</f>
        <v/>
      </c>
      <c r="J82" s="8">
        <f>IF(A82="","",A82&amp;"-"&amp;B82&amp;"-"&amp;C82)</f>
        <v/>
      </c>
      <c r="K82" s="8">
        <f>IF(OR(J82="",G82=""),"",IF(COUNTIF(J83:J$402,J82)=0,J82,""))</f>
        <v/>
      </c>
    </row>
    <row r="83">
      <c r="A83" s="15" t="n">
        <v>5</v>
      </c>
      <c r="B83" s="15" t="inlineStr">
        <is>
          <t>竹</t>
        </is>
      </c>
      <c r="C83" s="15" t="n">
        <v>10</v>
      </c>
      <c r="D83" s="15" t="inlineStr">
        <is>
          <t>保健</t>
        </is>
      </c>
      <c r="E83" s="15" t="inlineStr">
        <is>
          <t>広報</t>
        </is>
      </c>
      <c r="F83" s="15" t="inlineStr">
        <is>
          <t>音楽</t>
        </is>
      </c>
      <c r="G83" s="3">
        <f>IF(J83="","",IFERROR(INDEX(児童名簿!$D$2:$D$301,MATCH(J83,児童名簿!$F$2:$F$301,0)),""))</f>
        <v/>
      </c>
      <c r="H83" s="19">
        <f>IF(J83="","",IF(G83="","名簿にいない",IF(COUNTIF(J84:J$402,J83)&gt;0,"2回提出（下の行を使います）",IF(OR(AND(D83&lt;&gt;"",COUNTIF(設定!$G$8:$G$27,D83)=0),AND(E83&lt;&gt;"",COUNTIF(設定!$G$8:$G$27,E83)=0),AND(F83&lt;&gt;"",COUNTIF(設定!$G$8:$G$27,F83)=0)),"委員会名がちがう",IF(D83="","第1希望がない",IF(OR(AND(D83&lt;&gt;"",D83=E83),AND(D83&lt;&gt;"",D83=F83),AND(E83&lt;&gt;"",E83=F83)),"同じ委員会を重複して希望","OK"))))))</f>
        <v/>
      </c>
      <c r="J83" s="8">
        <f>IF(A83="","",A83&amp;"-"&amp;B83&amp;"-"&amp;C83)</f>
        <v/>
      </c>
      <c r="K83" s="8">
        <f>IF(OR(J83="",G83=""),"",IF(COUNTIF(J84:J$402,J83)=0,J83,""))</f>
        <v/>
      </c>
    </row>
    <row r="84">
      <c r="A84" s="15" t="n">
        <v>5</v>
      </c>
      <c r="B84" s="15" t="inlineStr">
        <is>
          <t>松</t>
        </is>
      </c>
      <c r="C84" s="15" t="n">
        <v>23</v>
      </c>
      <c r="D84" s="15" t="inlineStr">
        <is>
          <t>飼育</t>
        </is>
      </c>
      <c r="E84" s="15" t="inlineStr">
        <is>
          <t>体育</t>
        </is>
      </c>
      <c r="F84" s="15" t="inlineStr">
        <is>
          <t>掲示</t>
        </is>
      </c>
      <c r="G84" s="3">
        <f>IF(J84="","",IFERROR(INDEX(児童名簿!$D$2:$D$301,MATCH(J84,児童名簿!$F$2:$F$301,0)),""))</f>
        <v/>
      </c>
      <c r="H84" s="19">
        <f>IF(J84="","",IF(G84="","名簿にいない",IF(COUNTIF(J85:J$402,J84)&gt;0,"2回提出（下の行を使います）",IF(OR(AND(D84&lt;&gt;"",COUNTIF(設定!$G$8:$G$27,D84)=0),AND(E84&lt;&gt;"",COUNTIF(設定!$G$8:$G$27,E84)=0),AND(F84&lt;&gt;"",COUNTIF(設定!$G$8:$G$27,F84)=0)),"委員会名がちがう",IF(D84="","第1希望がない",IF(OR(AND(D84&lt;&gt;"",D84=E84),AND(D84&lt;&gt;"",D84=F84),AND(E84&lt;&gt;"",E84=F84)),"同じ委員会を重複して希望","OK"))))))</f>
        <v/>
      </c>
      <c r="J84" s="8">
        <f>IF(A84="","",A84&amp;"-"&amp;B84&amp;"-"&amp;C84)</f>
        <v/>
      </c>
      <c r="K84" s="8">
        <f>IF(OR(J84="",G84=""),"",IF(COUNTIF(J85:J$402,J84)=0,J84,""))</f>
        <v/>
      </c>
    </row>
    <row r="85">
      <c r="A85" s="15" t="n">
        <v>5</v>
      </c>
      <c r="B85" s="15" t="inlineStr">
        <is>
          <t>梅</t>
        </is>
      </c>
      <c r="C85" s="15" t="n">
        <v>10</v>
      </c>
      <c r="D85" s="15" t="inlineStr">
        <is>
          <t>広報</t>
        </is>
      </c>
      <c r="E85" s="15" t="inlineStr">
        <is>
          <t>給食</t>
        </is>
      </c>
      <c r="F85" s="15" t="inlineStr">
        <is>
          <t>図書</t>
        </is>
      </c>
      <c r="G85" s="3">
        <f>IF(J85="","",IFERROR(INDEX(児童名簿!$D$2:$D$301,MATCH(J85,児童名簿!$F$2:$F$301,0)),""))</f>
        <v/>
      </c>
      <c r="H85" s="19">
        <f>IF(J85="","",IF(G85="","名簿にいない",IF(COUNTIF(J86:J$402,J85)&gt;0,"2回提出（下の行を使います）",IF(OR(AND(D85&lt;&gt;"",COUNTIF(設定!$G$8:$G$27,D85)=0),AND(E85&lt;&gt;"",COUNTIF(設定!$G$8:$G$27,E85)=0),AND(F85&lt;&gt;"",COUNTIF(設定!$G$8:$G$27,F85)=0)),"委員会名がちがう",IF(D85="","第1希望がない",IF(OR(AND(D85&lt;&gt;"",D85=E85),AND(D85&lt;&gt;"",D85=F85),AND(E85&lt;&gt;"",E85=F85)),"同じ委員会を重複して希望","OK"))))))</f>
        <v/>
      </c>
      <c r="J85" s="8">
        <f>IF(A85="","",A85&amp;"-"&amp;B85&amp;"-"&amp;C85)</f>
        <v/>
      </c>
      <c r="K85" s="8">
        <f>IF(OR(J85="",G85=""),"",IF(COUNTIF(J86:J$402,J85)=0,J85,""))</f>
        <v/>
      </c>
    </row>
    <row r="86">
      <c r="A86" s="15" t="n">
        <v>6</v>
      </c>
      <c r="B86" s="15" t="inlineStr">
        <is>
          <t>松</t>
        </is>
      </c>
      <c r="C86" s="15" t="n">
        <v>19</v>
      </c>
      <c r="D86" s="15" t="inlineStr">
        <is>
          <t>図書</t>
        </is>
      </c>
      <c r="E86" s="15" t="inlineStr">
        <is>
          <t>飼育</t>
        </is>
      </c>
      <c r="F86" s="15" t="inlineStr">
        <is>
          <t>保健</t>
        </is>
      </c>
      <c r="G86" s="3">
        <f>IF(J86="","",IFERROR(INDEX(児童名簿!$D$2:$D$301,MATCH(J86,児童名簿!$F$2:$F$301,0)),""))</f>
        <v/>
      </c>
      <c r="H86" s="19">
        <f>IF(J86="","",IF(G86="","名簿にいない",IF(COUNTIF(J87:J$402,J86)&gt;0,"2回提出（下の行を使います）",IF(OR(AND(D86&lt;&gt;"",COUNTIF(設定!$G$8:$G$27,D86)=0),AND(E86&lt;&gt;"",COUNTIF(設定!$G$8:$G$27,E86)=0),AND(F86&lt;&gt;"",COUNTIF(設定!$G$8:$G$27,F86)=0)),"委員会名がちがう",IF(D86="","第1希望がない",IF(OR(AND(D86&lt;&gt;"",D86=E86),AND(D86&lt;&gt;"",D86=F86),AND(E86&lt;&gt;"",E86=F86)),"同じ委員会を重複して希望","OK"))))))</f>
        <v/>
      </c>
      <c r="J86" s="8">
        <f>IF(A86="","",A86&amp;"-"&amp;B86&amp;"-"&amp;C86)</f>
        <v/>
      </c>
      <c r="K86" s="8">
        <f>IF(OR(J86="",G86=""),"",IF(COUNTIF(J87:J$402,J86)=0,J86,""))</f>
        <v/>
      </c>
    </row>
    <row r="87">
      <c r="A87" s="15" t="n">
        <v>5</v>
      </c>
      <c r="B87" s="15" t="inlineStr">
        <is>
          <t>梅</t>
        </is>
      </c>
      <c r="C87" s="15" t="n">
        <v>20</v>
      </c>
      <c r="D87" s="15" t="inlineStr">
        <is>
          <t>放送</t>
        </is>
      </c>
      <c r="E87" s="15" t="inlineStr">
        <is>
          <t>音楽</t>
        </is>
      </c>
      <c r="F87" s="15" t="inlineStr">
        <is>
          <t>掲示</t>
        </is>
      </c>
      <c r="G87" s="3">
        <f>IF(J87="","",IFERROR(INDEX(児童名簿!$D$2:$D$301,MATCH(J87,児童名簿!$F$2:$F$301,0)),""))</f>
        <v/>
      </c>
      <c r="H87" s="19">
        <f>IF(J87="","",IF(G87="","名簿にいない",IF(COUNTIF(J88:J$402,J87)&gt;0,"2回提出（下の行を使います）",IF(OR(AND(D87&lt;&gt;"",COUNTIF(設定!$G$8:$G$27,D87)=0),AND(E87&lt;&gt;"",COUNTIF(設定!$G$8:$G$27,E87)=0),AND(F87&lt;&gt;"",COUNTIF(設定!$G$8:$G$27,F87)=0)),"委員会名がちがう",IF(D87="","第1希望がない",IF(OR(AND(D87&lt;&gt;"",D87=E87),AND(D87&lt;&gt;"",D87=F87),AND(E87&lt;&gt;"",E87=F87)),"同じ委員会を重複して希望","OK"))))))</f>
        <v/>
      </c>
      <c r="J87" s="8">
        <f>IF(A87="","",A87&amp;"-"&amp;B87&amp;"-"&amp;C87)</f>
        <v/>
      </c>
      <c r="K87" s="8">
        <f>IF(OR(J87="",G87=""),"",IF(COUNTIF(J88:J$402,J87)=0,J87,""))</f>
        <v/>
      </c>
    </row>
    <row r="88">
      <c r="A88" s="15" t="n">
        <v>5</v>
      </c>
      <c r="B88" s="15" t="inlineStr">
        <is>
          <t>梅</t>
        </is>
      </c>
      <c r="C88" s="15" t="n">
        <v>8</v>
      </c>
      <c r="D88" s="15" t="inlineStr">
        <is>
          <t>広報</t>
        </is>
      </c>
      <c r="E88" s="15" t="inlineStr">
        <is>
          <t>飼育</t>
        </is>
      </c>
      <c r="F88" s="15" t="inlineStr">
        <is>
          <t>代表</t>
        </is>
      </c>
      <c r="G88" s="3">
        <f>IF(J88="","",IFERROR(INDEX(児童名簿!$D$2:$D$301,MATCH(J88,児童名簿!$F$2:$F$301,0)),""))</f>
        <v/>
      </c>
      <c r="H88" s="19">
        <f>IF(J88="","",IF(G88="","名簿にいない",IF(COUNTIF(J89:J$402,J88)&gt;0,"2回提出（下の行を使います）",IF(OR(AND(D88&lt;&gt;"",COUNTIF(設定!$G$8:$G$27,D88)=0),AND(E88&lt;&gt;"",COUNTIF(設定!$G$8:$G$27,E88)=0),AND(F88&lt;&gt;"",COUNTIF(設定!$G$8:$G$27,F88)=0)),"委員会名がちがう",IF(D88="","第1希望がない",IF(OR(AND(D88&lt;&gt;"",D88=E88),AND(D88&lt;&gt;"",D88=F88),AND(E88&lt;&gt;"",E88=F88)),"同じ委員会を重複して希望","OK"))))))</f>
        <v/>
      </c>
      <c r="J88" s="8">
        <f>IF(A88="","",A88&amp;"-"&amp;B88&amp;"-"&amp;C88)</f>
        <v/>
      </c>
      <c r="K88" s="8">
        <f>IF(OR(J88="",G88=""),"",IF(COUNTIF(J89:J$402,J88)=0,J88,""))</f>
        <v/>
      </c>
    </row>
    <row r="89">
      <c r="A89" s="15" t="n">
        <v>6</v>
      </c>
      <c r="B89" s="15" t="inlineStr">
        <is>
          <t>月</t>
        </is>
      </c>
      <c r="C89" s="15" t="n">
        <v>21</v>
      </c>
      <c r="D89" s="15" t="inlineStr">
        <is>
          <t>代表</t>
        </is>
      </c>
      <c r="E89" s="15" t="inlineStr">
        <is>
          <t>掲示</t>
        </is>
      </c>
      <c r="F89" s="15" t="inlineStr">
        <is>
          <t>集会</t>
        </is>
      </c>
      <c r="G89" s="3">
        <f>IF(J89="","",IFERROR(INDEX(児童名簿!$D$2:$D$301,MATCH(J89,児童名簿!$F$2:$F$301,0)),""))</f>
        <v/>
      </c>
      <c r="H89" s="19">
        <f>IF(J89="","",IF(G89="","名簿にいない",IF(COUNTIF(J90:J$402,J89)&gt;0,"2回提出（下の行を使います）",IF(OR(AND(D89&lt;&gt;"",COUNTIF(設定!$G$8:$G$27,D89)=0),AND(E89&lt;&gt;"",COUNTIF(設定!$G$8:$G$27,E89)=0),AND(F89&lt;&gt;"",COUNTIF(設定!$G$8:$G$27,F89)=0)),"委員会名がちがう",IF(D89="","第1希望がない",IF(OR(AND(D89&lt;&gt;"",D89=E89),AND(D89&lt;&gt;"",D89=F89),AND(E89&lt;&gt;"",E89=F89)),"同じ委員会を重複して希望","OK"))))))</f>
        <v/>
      </c>
      <c r="J89" s="8">
        <f>IF(A89="","",A89&amp;"-"&amp;B89&amp;"-"&amp;C89)</f>
        <v/>
      </c>
      <c r="K89" s="8">
        <f>IF(OR(J89="",G89=""),"",IF(COUNTIF(J90:J$402,J89)=0,J89,""))</f>
        <v/>
      </c>
    </row>
    <row r="90">
      <c r="A90" s="15" t="n">
        <v>6</v>
      </c>
      <c r="B90" s="15" t="inlineStr">
        <is>
          <t>月</t>
        </is>
      </c>
      <c r="C90" s="15" t="n">
        <v>17</v>
      </c>
      <c r="D90" s="15" t="inlineStr">
        <is>
          <t>体育</t>
        </is>
      </c>
      <c r="E90" s="15" t="inlineStr">
        <is>
          <t>広報</t>
        </is>
      </c>
      <c r="F90" s="15" t="inlineStr">
        <is>
          <t>環境</t>
        </is>
      </c>
      <c r="G90" s="3">
        <f>IF(J90="","",IFERROR(INDEX(児童名簿!$D$2:$D$301,MATCH(J90,児童名簿!$F$2:$F$301,0)),""))</f>
        <v/>
      </c>
      <c r="H90" s="19">
        <f>IF(J90="","",IF(G90="","名簿にいない",IF(COUNTIF(J91:J$402,J90)&gt;0,"2回提出（下の行を使います）",IF(OR(AND(D90&lt;&gt;"",COUNTIF(設定!$G$8:$G$27,D90)=0),AND(E90&lt;&gt;"",COUNTIF(設定!$G$8:$G$27,E90)=0),AND(F90&lt;&gt;"",COUNTIF(設定!$G$8:$G$27,F90)=0)),"委員会名がちがう",IF(D90="","第1希望がない",IF(OR(AND(D90&lt;&gt;"",D90=E90),AND(D90&lt;&gt;"",D90=F90),AND(E90&lt;&gt;"",E90=F90)),"同じ委員会を重複して希望","OK"))))))</f>
        <v/>
      </c>
      <c r="J90" s="8">
        <f>IF(A90="","",A90&amp;"-"&amp;B90&amp;"-"&amp;C90)</f>
        <v/>
      </c>
      <c r="K90" s="8">
        <f>IF(OR(J90="",G90=""),"",IF(COUNTIF(J91:J$402,J90)=0,J90,""))</f>
        <v/>
      </c>
    </row>
    <row r="91">
      <c r="A91" s="15" t="n">
        <v>5</v>
      </c>
      <c r="B91" s="15" t="inlineStr">
        <is>
          <t>竹</t>
        </is>
      </c>
      <c r="C91" s="15" t="n">
        <v>29</v>
      </c>
      <c r="D91" s="15" t="inlineStr">
        <is>
          <t>飼育</t>
        </is>
      </c>
      <c r="E91" s="15" t="inlineStr">
        <is>
          <t>音楽</t>
        </is>
      </c>
      <c r="F91" s="15" t="inlineStr">
        <is>
          <t>環境</t>
        </is>
      </c>
      <c r="G91" s="3">
        <f>IF(J91="","",IFERROR(INDEX(児童名簿!$D$2:$D$301,MATCH(J91,児童名簿!$F$2:$F$301,0)),""))</f>
        <v/>
      </c>
      <c r="H91" s="19">
        <f>IF(J91="","",IF(G91="","名簿にいない",IF(COUNTIF(J92:J$402,J91)&gt;0,"2回提出（下の行を使います）",IF(OR(AND(D91&lt;&gt;"",COUNTIF(設定!$G$8:$G$27,D91)=0),AND(E91&lt;&gt;"",COUNTIF(設定!$G$8:$G$27,E91)=0),AND(F91&lt;&gt;"",COUNTIF(設定!$G$8:$G$27,F91)=0)),"委員会名がちがう",IF(D91="","第1希望がない",IF(OR(AND(D91&lt;&gt;"",D91=E91),AND(D91&lt;&gt;"",D91=F91),AND(E91&lt;&gt;"",E91=F91)),"同じ委員会を重複して希望","OK"))))))</f>
        <v/>
      </c>
      <c r="J91" s="8">
        <f>IF(A91="","",A91&amp;"-"&amp;B91&amp;"-"&amp;C91)</f>
        <v/>
      </c>
      <c r="K91" s="8">
        <f>IF(OR(J91="",G91=""),"",IF(COUNTIF(J92:J$402,J91)=0,J91,""))</f>
        <v/>
      </c>
    </row>
    <row r="92">
      <c r="A92" s="15" t="n">
        <v>5</v>
      </c>
      <c r="B92" s="15" t="inlineStr">
        <is>
          <t>月</t>
        </is>
      </c>
      <c r="C92" s="15" t="n">
        <v>18</v>
      </c>
      <c r="D92" s="15" t="inlineStr">
        <is>
          <t>集会</t>
        </is>
      </c>
      <c r="E92" s="15" t="inlineStr">
        <is>
          <t>掲示</t>
        </is>
      </c>
      <c r="F92" s="15" t="inlineStr">
        <is>
          <t>体育</t>
        </is>
      </c>
      <c r="G92" s="3">
        <f>IF(J92="","",IFERROR(INDEX(児童名簿!$D$2:$D$301,MATCH(J92,児童名簿!$F$2:$F$301,0)),""))</f>
        <v/>
      </c>
      <c r="H92" s="19">
        <f>IF(J92="","",IF(G92="","名簿にいない",IF(COUNTIF(J93:J$402,J92)&gt;0,"2回提出（下の行を使います）",IF(OR(AND(D92&lt;&gt;"",COUNTIF(設定!$G$8:$G$27,D92)=0),AND(E92&lt;&gt;"",COUNTIF(設定!$G$8:$G$27,E92)=0),AND(F92&lt;&gt;"",COUNTIF(設定!$G$8:$G$27,F92)=0)),"委員会名がちがう",IF(D92="","第1希望がない",IF(OR(AND(D92&lt;&gt;"",D92=E92),AND(D92&lt;&gt;"",D92=F92),AND(E92&lt;&gt;"",E92=F92)),"同じ委員会を重複して希望","OK"))))))</f>
        <v/>
      </c>
      <c r="J92" s="8">
        <f>IF(A92="","",A92&amp;"-"&amp;B92&amp;"-"&amp;C92)</f>
        <v/>
      </c>
      <c r="K92" s="8">
        <f>IF(OR(J92="",G92=""),"",IF(COUNTIF(J93:J$402,J92)=0,J92,""))</f>
        <v/>
      </c>
    </row>
    <row r="93">
      <c r="A93" s="15" t="n">
        <v>5</v>
      </c>
      <c r="B93" s="15" t="inlineStr">
        <is>
          <t>梅</t>
        </is>
      </c>
      <c r="C93" s="15" t="n">
        <v>22</v>
      </c>
      <c r="D93" s="15" t="inlineStr">
        <is>
          <t>給食</t>
        </is>
      </c>
      <c r="E93" s="15" t="inlineStr">
        <is>
          <t>音楽</t>
        </is>
      </c>
      <c r="F93" s="15" t="inlineStr">
        <is>
          <t>代表</t>
        </is>
      </c>
      <c r="G93" s="3">
        <f>IF(J93="","",IFERROR(INDEX(児童名簿!$D$2:$D$301,MATCH(J93,児童名簿!$F$2:$F$301,0)),""))</f>
        <v/>
      </c>
      <c r="H93" s="19">
        <f>IF(J93="","",IF(G93="","名簿にいない",IF(COUNTIF(J94:J$402,J93)&gt;0,"2回提出（下の行を使います）",IF(OR(AND(D93&lt;&gt;"",COUNTIF(設定!$G$8:$G$27,D93)=0),AND(E93&lt;&gt;"",COUNTIF(設定!$G$8:$G$27,E93)=0),AND(F93&lt;&gt;"",COUNTIF(設定!$G$8:$G$27,F93)=0)),"委員会名がちがう",IF(D93="","第1希望がない",IF(OR(AND(D93&lt;&gt;"",D93=E93),AND(D93&lt;&gt;"",D93=F93),AND(E93&lt;&gt;"",E93=F93)),"同じ委員会を重複して希望","OK"))))))</f>
        <v/>
      </c>
      <c r="J93" s="8">
        <f>IF(A93="","",A93&amp;"-"&amp;B93&amp;"-"&amp;C93)</f>
        <v/>
      </c>
      <c r="K93" s="8">
        <f>IF(OR(J93="",G93=""),"",IF(COUNTIF(J94:J$402,J93)=0,J93,""))</f>
        <v/>
      </c>
    </row>
    <row r="94">
      <c r="A94" s="15" t="n">
        <v>6</v>
      </c>
      <c r="B94" s="15" t="inlineStr">
        <is>
          <t>梅</t>
        </is>
      </c>
      <c r="C94" s="15" t="n">
        <v>10</v>
      </c>
      <c r="D94" s="15" t="inlineStr">
        <is>
          <t>体育</t>
        </is>
      </c>
      <c r="E94" s="15" t="inlineStr">
        <is>
          <t>広報</t>
        </is>
      </c>
      <c r="F94" s="15" t="inlineStr">
        <is>
          <t>放送</t>
        </is>
      </c>
      <c r="G94" s="3">
        <f>IF(J94="","",IFERROR(INDEX(児童名簿!$D$2:$D$301,MATCH(J94,児童名簿!$F$2:$F$301,0)),""))</f>
        <v/>
      </c>
      <c r="H94" s="19">
        <f>IF(J94="","",IF(G94="","名簿にいない",IF(COUNTIF(J95:J$402,J94)&gt;0,"2回提出（下の行を使います）",IF(OR(AND(D94&lt;&gt;"",COUNTIF(設定!$G$8:$G$27,D94)=0),AND(E94&lt;&gt;"",COUNTIF(設定!$G$8:$G$27,E94)=0),AND(F94&lt;&gt;"",COUNTIF(設定!$G$8:$G$27,F94)=0)),"委員会名がちがう",IF(D94="","第1希望がない",IF(OR(AND(D94&lt;&gt;"",D94=E94),AND(D94&lt;&gt;"",D94=F94),AND(E94&lt;&gt;"",E94=F94)),"同じ委員会を重複して希望","OK"))))))</f>
        <v/>
      </c>
      <c r="J94" s="8">
        <f>IF(A94="","",A94&amp;"-"&amp;B94&amp;"-"&amp;C94)</f>
        <v/>
      </c>
      <c r="K94" s="8">
        <f>IF(OR(J94="",G94=""),"",IF(COUNTIF(J95:J$402,J94)=0,J94,""))</f>
        <v/>
      </c>
    </row>
    <row r="95">
      <c r="A95" s="15" t="n">
        <v>5</v>
      </c>
      <c r="B95" s="15" t="inlineStr">
        <is>
          <t>竹</t>
        </is>
      </c>
      <c r="C95" s="15" t="n">
        <v>19</v>
      </c>
      <c r="D95" s="15" t="inlineStr">
        <is>
          <t>掲示</t>
        </is>
      </c>
      <c r="E95" s="15" t="inlineStr">
        <is>
          <t>放送</t>
        </is>
      </c>
      <c r="F95" s="15" t="inlineStr">
        <is>
          <t>飼育</t>
        </is>
      </c>
      <c r="G95" s="3">
        <f>IF(J95="","",IFERROR(INDEX(児童名簿!$D$2:$D$301,MATCH(J95,児童名簿!$F$2:$F$301,0)),""))</f>
        <v/>
      </c>
      <c r="H95" s="19">
        <f>IF(J95="","",IF(G95="","名簿にいない",IF(COUNTIF(J96:J$402,J95)&gt;0,"2回提出（下の行を使います）",IF(OR(AND(D95&lt;&gt;"",COUNTIF(設定!$G$8:$G$27,D95)=0),AND(E95&lt;&gt;"",COUNTIF(設定!$G$8:$G$27,E95)=0),AND(F95&lt;&gt;"",COUNTIF(設定!$G$8:$G$27,F95)=0)),"委員会名がちがう",IF(D95="","第1希望がない",IF(OR(AND(D95&lt;&gt;"",D95=E95),AND(D95&lt;&gt;"",D95=F95),AND(E95&lt;&gt;"",E95=F95)),"同じ委員会を重複して希望","OK"))))))</f>
        <v/>
      </c>
      <c r="J95" s="8">
        <f>IF(A95="","",A95&amp;"-"&amp;B95&amp;"-"&amp;C95)</f>
        <v/>
      </c>
      <c r="K95" s="8">
        <f>IF(OR(J95="",G95=""),"",IF(COUNTIF(J96:J$402,J95)=0,J95,""))</f>
        <v/>
      </c>
    </row>
    <row r="96">
      <c r="A96" s="15" t="n">
        <v>5</v>
      </c>
      <c r="B96" s="15" t="inlineStr">
        <is>
          <t>竹</t>
        </is>
      </c>
      <c r="C96" s="15" t="n">
        <v>4</v>
      </c>
      <c r="D96" s="15" t="inlineStr">
        <is>
          <t>環境</t>
        </is>
      </c>
      <c r="E96" s="15" t="inlineStr">
        <is>
          <t>集会</t>
        </is>
      </c>
      <c r="F96" s="15" t="inlineStr">
        <is>
          <t>音楽</t>
        </is>
      </c>
      <c r="G96" s="3">
        <f>IF(J96="","",IFERROR(INDEX(児童名簿!$D$2:$D$301,MATCH(J96,児童名簿!$F$2:$F$301,0)),""))</f>
        <v/>
      </c>
      <c r="H96" s="19">
        <f>IF(J96="","",IF(G96="","名簿にいない",IF(COUNTIF(J97:J$402,J96)&gt;0,"2回提出（下の行を使います）",IF(OR(AND(D96&lt;&gt;"",COUNTIF(設定!$G$8:$G$27,D96)=0),AND(E96&lt;&gt;"",COUNTIF(設定!$G$8:$G$27,E96)=0),AND(F96&lt;&gt;"",COUNTIF(設定!$G$8:$G$27,F96)=0)),"委員会名がちがう",IF(D96="","第1希望がない",IF(OR(AND(D96&lt;&gt;"",D96=E96),AND(D96&lt;&gt;"",D96=F96),AND(E96&lt;&gt;"",E96=F96)),"同じ委員会を重複して希望","OK"))))))</f>
        <v/>
      </c>
      <c r="J96" s="8">
        <f>IF(A96="","",A96&amp;"-"&amp;B96&amp;"-"&amp;C96)</f>
        <v/>
      </c>
      <c r="K96" s="8">
        <f>IF(OR(J96="",G96=""),"",IF(COUNTIF(J97:J$402,J96)=0,J96,""))</f>
        <v/>
      </c>
    </row>
    <row r="97">
      <c r="A97" s="15" t="n">
        <v>6</v>
      </c>
      <c r="B97" s="15" t="inlineStr">
        <is>
          <t>梅</t>
        </is>
      </c>
      <c r="C97" s="15" t="n">
        <v>30</v>
      </c>
      <c r="D97" s="15" t="inlineStr">
        <is>
          <t>掲示</t>
        </is>
      </c>
      <c r="E97" s="15" t="inlineStr">
        <is>
          <t>図書</t>
        </is>
      </c>
      <c r="F97" s="15" t="inlineStr">
        <is>
          <t>放送</t>
        </is>
      </c>
      <c r="G97" s="3">
        <f>IF(J97="","",IFERROR(INDEX(児童名簿!$D$2:$D$301,MATCH(J97,児童名簿!$F$2:$F$301,0)),""))</f>
        <v/>
      </c>
      <c r="H97" s="19">
        <f>IF(J97="","",IF(G97="","名簿にいない",IF(COUNTIF(J98:J$402,J97)&gt;0,"2回提出（下の行を使います）",IF(OR(AND(D97&lt;&gt;"",COUNTIF(設定!$G$8:$G$27,D97)=0),AND(E97&lt;&gt;"",COUNTIF(設定!$G$8:$G$27,E97)=0),AND(F97&lt;&gt;"",COUNTIF(設定!$G$8:$G$27,F97)=0)),"委員会名がちがう",IF(D97="","第1希望がない",IF(OR(AND(D97&lt;&gt;"",D97=E97),AND(D97&lt;&gt;"",D97=F97),AND(E97&lt;&gt;"",E97=F97)),"同じ委員会を重複して希望","OK"))))))</f>
        <v/>
      </c>
      <c r="J97" s="8">
        <f>IF(A97="","",A97&amp;"-"&amp;B97&amp;"-"&amp;C97)</f>
        <v/>
      </c>
      <c r="K97" s="8">
        <f>IF(OR(J97="",G97=""),"",IF(COUNTIF(J98:J$402,J97)=0,J97,""))</f>
        <v/>
      </c>
    </row>
    <row r="98">
      <c r="A98" s="15" t="n">
        <v>6</v>
      </c>
      <c r="B98" s="15" t="inlineStr">
        <is>
          <t>梅</t>
        </is>
      </c>
      <c r="C98" s="15" t="n">
        <v>16</v>
      </c>
      <c r="D98" s="15" t="inlineStr">
        <is>
          <t>飼育</t>
        </is>
      </c>
      <c r="E98" s="15" t="inlineStr">
        <is>
          <t>放送</t>
        </is>
      </c>
      <c r="F98" s="15" t="inlineStr">
        <is>
          <t>給食</t>
        </is>
      </c>
      <c r="G98" s="3">
        <f>IF(J98="","",IFERROR(INDEX(児童名簿!$D$2:$D$301,MATCH(J98,児童名簿!$F$2:$F$301,0)),""))</f>
        <v/>
      </c>
      <c r="H98" s="19">
        <f>IF(J98="","",IF(G98="","名簿にいない",IF(COUNTIF(J99:J$402,J98)&gt;0,"2回提出（下の行を使います）",IF(OR(AND(D98&lt;&gt;"",COUNTIF(設定!$G$8:$G$27,D98)=0),AND(E98&lt;&gt;"",COUNTIF(設定!$G$8:$G$27,E98)=0),AND(F98&lt;&gt;"",COUNTIF(設定!$G$8:$G$27,F98)=0)),"委員会名がちがう",IF(D98="","第1希望がない",IF(OR(AND(D98&lt;&gt;"",D98=E98),AND(D98&lt;&gt;"",D98=F98),AND(E98&lt;&gt;"",E98=F98)),"同じ委員会を重複して希望","OK"))))))</f>
        <v/>
      </c>
      <c r="J98" s="8">
        <f>IF(A98="","",A98&amp;"-"&amp;B98&amp;"-"&amp;C98)</f>
        <v/>
      </c>
      <c r="K98" s="8">
        <f>IF(OR(J98="",G98=""),"",IF(COUNTIF(J99:J$402,J98)=0,J98,""))</f>
        <v/>
      </c>
    </row>
    <row r="99">
      <c r="A99" s="15" t="n">
        <v>6</v>
      </c>
      <c r="B99" s="15" t="inlineStr">
        <is>
          <t>梅</t>
        </is>
      </c>
      <c r="C99" s="15" t="n">
        <v>8</v>
      </c>
      <c r="D99" s="15" t="inlineStr">
        <is>
          <t>飼育</t>
        </is>
      </c>
      <c r="E99" s="15" t="inlineStr">
        <is>
          <t>給食</t>
        </is>
      </c>
      <c r="F99" s="15" t="inlineStr">
        <is>
          <t>保健</t>
        </is>
      </c>
      <c r="G99" s="3">
        <f>IF(J99="","",IFERROR(INDEX(児童名簿!$D$2:$D$301,MATCH(J99,児童名簿!$F$2:$F$301,0)),""))</f>
        <v/>
      </c>
      <c r="H99" s="19">
        <f>IF(J99="","",IF(G99="","名簿にいない",IF(COUNTIF(J100:J$402,J99)&gt;0,"2回提出（下の行を使います）",IF(OR(AND(D99&lt;&gt;"",COUNTIF(設定!$G$8:$G$27,D99)=0),AND(E99&lt;&gt;"",COUNTIF(設定!$G$8:$G$27,E99)=0),AND(F99&lt;&gt;"",COUNTIF(設定!$G$8:$G$27,F99)=0)),"委員会名がちがう",IF(D99="","第1希望がない",IF(OR(AND(D99&lt;&gt;"",D99=E99),AND(D99&lt;&gt;"",D99=F99),AND(E99&lt;&gt;"",E99=F99)),"同じ委員会を重複して希望","OK"))))))</f>
        <v/>
      </c>
      <c r="J99" s="8">
        <f>IF(A99="","",A99&amp;"-"&amp;B99&amp;"-"&amp;C99)</f>
        <v/>
      </c>
      <c r="K99" s="8">
        <f>IF(OR(J99="",G99=""),"",IF(COUNTIF(J100:J$402,J99)=0,J99,""))</f>
        <v/>
      </c>
    </row>
    <row r="100">
      <c r="A100" s="15" t="n">
        <v>6</v>
      </c>
      <c r="B100" s="15" t="inlineStr">
        <is>
          <t>梅</t>
        </is>
      </c>
      <c r="C100" s="15" t="n">
        <v>13</v>
      </c>
      <c r="D100" s="15" t="inlineStr">
        <is>
          <t>放送</t>
        </is>
      </c>
      <c r="E100" s="15" t="inlineStr">
        <is>
          <t>給食</t>
        </is>
      </c>
      <c r="F100" s="15" t="inlineStr">
        <is>
          <t>飼育</t>
        </is>
      </c>
      <c r="G100" s="3">
        <f>IF(J100="","",IFERROR(INDEX(児童名簿!$D$2:$D$301,MATCH(J100,児童名簿!$F$2:$F$301,0)),""))</f>
        <v/>
      </c>
      <c r="H100" s="19">
        <f>IF(J100="","",IF(G100="","名簿にいない",IF(COUNTIF(J101:J$402,J100)&gt;0,"2回提出（下の行を使います）",IF(OR(AND(D100&lt;&gt;"",COUNTIF(設定!$G$8:$G$27,D100)=0),AND(E100&lt;&gt;"",COUNTIF(設定!$G$8:$G$27,E100)=0),AND(F100&lt;&gt;"",COUNTIF(設定!$G$8:$G$27,F100)=0)),"委員会名がちがう",IF(D100="","第1希望がない",IF(OR(AND(D100&lt;&gt;"",D100=E100),AND(D100&lt;&gt;"",D100=F100),AND(E100&lt;&gt;"",E100=F100)),"同じ委員会を重複して希望","OK"))))))</f>
        <v/>
      </c>
      <c r="J100" s="8">
        <f>IF(A100="","",A100&amp;"-"&amp;B100&amp;"-"&amp;C100)</f>
        <v/>
      </c>
      <c r="K100" s="8">
        <f>IF(OR(J100="",G100=""),"",IF(COUNTIF(J101:J$402,J100)=0,J100,""))</f>
        <v/>
      </c>
    </row>
    <row r="101">
      <c r="A101" s="15" t="n">
        <v>6</v>
      </c>
      <c r="B101" s="15" t="inlineStr">
        <is>
          <t>竹</t>
        </is>
      </c>
      <c r="C101" s="15" t="n">
        <v>29</v>
      </c>
      <c r="D101" s="15" t="inlineStr">
        <is>
          <t>環境</t>
        </is>
      </c>
      <c r="E101" s="15" t="inlineStr">
        <is>
          <t>放送</t>
        </is>
      </c>
      <c r="F101" s="15" t="inlineStr">
        <is>
          <t>飼育</t>
        </is>
      </c>
      <c r="G101" s="3">
        <f>IF(J101="","",IFERROR(INDEX(児童名簿!$D$2:$D$301,MATCH(J101,児童名簿!$F$2:$F$301,0)),""))</f>
        <v/>
      </c>
      <c r="H101" s="19">
        <f>IF(J101="","",IF(G101="","名簿にいない",IF(COUNTIF(J102:J$402,J101)&gt;0,"2回提出（下の行を使います）",IF(OR(AND(D101&lt;&gt;"",COUNTIF(設定!$G$8:$G$27,D101)=0),AND(E101&lt;&gt;"",COUNTIF(設定!$G$8:$G$27,E101)=0),AND(F101&lt;&gt;"",COUNTIF(設定!$G$8:$G$27,F101)=0)),"委員会名がちがう",IF(D101="","第1希望がない",IF(OR(AND(D101&lt;&gt;"",D101=E101),AND(D101&lt;&gt;"",D101=F101),AND(E101&lt;&gt;"",E101=F101)),"同じ委員会を重複して希望","OK"))))))</f>
        <v/>
      </c>
      <c r="J101" s="8">
        <f>IF(A101="","",A101&amp;"-"&amp;B101&amp;"-"&amp;C101)</f>
        <v/>
      </c>
      <c r="K101" s="8">
        <f>IF(OR(J101="",G101=""),"",IF(COUNTIF(J102:J$402,J101)=0,J101,""))</f>
        <v/>
      </c>
    </row>
    <row r="102">
      <c r="A102" s="15" t="n">
        <v>5</v>
      </c>
      <c r="B102" s="15" t="inlineStr">
        <is>
          <t>月</t>
        </is>
      </c>
      <c r="C102" s="15" t="n">
        <v>15</v>
      </c>
      <c r="D102" s="15" t="inlineStr">
        <is>
          <t>環境</t>
        </is>
      </c>
      <c r="E102" s="15" t="inlineStr">
        <is>
          <t>代表</t>
        </is>
      </c>
      <c r="F102" s="15" t="inlineStr">
        <is>
          <t>給食</t>
        </is>
      </c>
      <c r="G102" s="3">
        <f>IF(J102="","",IFERROR(INDEX(児童名簿!$D$2:$D$301,MATCH(J102,児童名簿!$F$2:$F$301,0)),""))</f>
        <v/>
      </c>
      <c r="H102" s="19">
        <f>IF(J102="","",IF(G102="","名簿にいない",IF(COUNTIF(J103:J$402,J102)&gt;0,"2回提出（下の行を使います）",IF(OR(AND(D102&lt;&gt;"",COUNTIF(設定!$G$8:$G$27,D102)=0),AND(E102&lt;&gt;"",COUNTIF(設定!$G$8:$G$27,E102)=0),AND(F102&lt;&gt;"",COUNTIF(設定!$G$8:$G$27,F102)=0)),"委員会名がちがう",IF(D102="","第1希望がない",IF(OR(AND(D102&lt;&gt;"",D102=E102),AND(D102&lt;&gt;"",D102=F102),AND(E102&lt;&gt;"",E102=F102)),"同じ委員会を重複して希望","OK"))))))</f>
        <v/>
      </c>
      <c r="J102" s="8">
        <f>IF(A102="","",A102&amp;"-"&amp;B102&amp;"-"&amp;C102)</f>
        <v/>
      </c>
      <c r="K102" s="8">
        <f>IF(OR(J102="",G102=""),"",IF(COUNTIF(J103:J$402,J102)=0,J102,""))</f>
        <v/>
      </c>
    </row>
    <row r="103">
      <c r="A103" s="15" t="n">
        <v>5</v>
      </c>
      <c r="B103" s="15" t="inlineStr">
        <is>
          <t>梅</t>
        </is>
      </c>
      <c r="C103" s="15" t="n">
        <v>19</v>
      </c>
      <c r="D103" s="15" t="inlineStr">
        <is>
          <t>音楽</t>
        </is>
      </c>
      <c r="E103" s="15" t="inlineStr">
        <is>
          <t>保健</t>
        </is>
      </c>
      <c r="F103" s="15" t="inlineStr">
        <is>
          <t>体育</t>
        </is>
      </c>
      <c r="G103" s="3">
        <f>IF(J103="","",IFERROR(INDEX(児童名簿!$D$2:$D$301,MATCH(J103,児童名簿!$F$2:$F$301,0)),""))</f>
        <v/>
      </c>
      <c r="H103" s="19">
        <f>IF(J103="","",IF(G103="","名簿にいない",IF(COUNTIF(J104:J$402,J103)&gt;0,"2回提出（下の行を使います）",IF(OR(AND(D103&lt;&gt;"",COUNTIF(設定!$G$8:$G$27,D103)=0),AND(E103&lt;&gt;"",COUNTIF(設定!$G$8:$G$27,E103)=0),AND(F103&lt;&gt;"",COUNTIF(設定!$G$8:$G$27,F103)=0)),"委員会名がちがう",IF(D103="","第1希望がない",IF(OR(AND(D103&lt;&gt;"",D103=E103),AND(D103&lt;&gt;"",D103=F103),AND(E103&lt;&gt;"",E103=F103)),"同じ委員会を重複して希望","OK"))))))</f>
        <v/>
      </c>
      <c r="J103" s="8">
        <f>IF(A103="","",A103&amp;"-"&amp;B103&amp;"-"&amp;C103)</f>
        <v/>
      </c>
      <c r="K103" s="8">
        <f>IF(OR(J103="",G103=""),"",IF(COUNTIF(J104:J$402,J103)=0,J103,""))</f>
        <v/>
      </c>
    </row>
    <row r="104">
      <c r="A104" s="15" t="n">
        <v>5</v>
      </c>
      <c r="B104" s="15" t="inlineStr">
        <is>
          <t>松</t>
        </is>
      </c>
      <c r="C104" s="15" t="n">
        <v>30</v>
      </c>
      <c r="D104" s="15" t="inlineStr">
        <is>
          <t>飼育</t>
        </is>
      </c>
      <c r="E104" s="15" t="inlineStr">
        <is>
          <t>給食</t>
        </is>
      </c>
      <c r="F104" s="15" t="inlineStr">
        <is>
          <t>体育</t>
        </is>
      </c>
      <c r="G104" s="3">
        <f>IF(J104="","",IFERROR(INDEX(児童名簿!$D$2:$D$301,MATCH(J104,児童名簿!$F$2:$F$301,0)),""))</f>
        <v/>
      </c>
      <c r="H104" s="19">
        <f>IF(J104="","",IF(G104="","名簿にいない",IF(COUNTIF(J105:J$402,J104)&gt;0,"2回提出（下の行を使います）",IF(OR(AND(D104&lt;&gt;"",COUNTIF(設定!$G$8:$G$27,D104)=0),AND(E104&lt;&gt;"",COUNTIF(設定!$G$8:$G$27,E104)=0),AND(F104&lt;&gt;"",COUNTIF(設定!$G$8:$G$27,F104)=0)),"委員会名がちがう",IF(D104="","第1希望がない",IF(OR(AND(D104&lt;&gt;"",D104=E104),AND(D104&lt;&gt;"",D104=F104),AND(E104&lt;&gt;"",E104=F104)),"同じ委員会を重複して希望","OK"))))))</f>
        <v/>
      </c>
      <c r="J104" s="8">
        <f>IF(A104="","",A104&amp;"-"&amp;B104&amp;"-"&amp;C104)</f>
        <v/>
      </c>
      <c r="K104" s="8">
        <f>IF(OR(J104="",G104=""),"",IF(COUNTIF(J105:J$402,J104)=0,J104,""))</f>
        <v/>
      </c>
    </row>
    <row r="105">
      <c r="A105" s="15" t="n">
        <v>6</v>
      </c>
      <c r="B105" s="15" t="inlineStr">
        <is>
          <t>梅</t>
        </is>
      </c>
      <c r="C105" s="15" t="n">
        <v>9</v>
      </c>
      <c r="D105" s="15" t="inlineStr">
        <is>
          <t>体育</t>
        </is>
      </c>
      <c r="E105" s="15" t="inlineStr">
        <is>
          <t>集会</t>
        </is>
      </c>
      <c r="F105" s="15" t="inlineStr">
        <is>
          <t>放送</t>
        </is>
      </c>
      <c r="G105" s="3">
        <f>IF(J105="","",IFERROR(INDEX(児童名簿!$D$2:$D$301,MATCH(J105,児童名簿!$F$2:$F$301,0)),""))</f>
        <v/>
      </c>
      <c r="H105" s="19">
        <f>IF(J105="","",IF(G105="","名簿にいない",IF(COUNTIF(J106:J$402,J105)&gt;0,"2回提出（下の行を使います）",IF(OR(AND(D105&lt;&gt;"",COUNTIF(設定!$G$8:$G$27,D105)=0),AND(E105&lt;&gt;"",COUNTIF(設定!$G$8:$G$27,E105)=0),AND(F105&lt;&gt;"",COUNTIF(設定!$G$8:$G$27,F105)=0)),"委員会名がちがう",IF(D105="","第1希望がない",IF(OR(AND(D105&lt;&gt;"",D105=E105),AND(D105&lt;&gt;"",D105=F105),AND(E105&lt;&gt;"",E105=F105)),"同じ委員会を重複して希望","OK"))))))</f>
        <v/>
      </c>
      <c r="J105" s="8">
        <f>IF(A105="","",A105&amp;"-"&amp;B105&amp;"-"&amp;C105)</f>
        <v/>
      </c>
      <c r="K105" s="8">
        <f>IF(OR(J105="",G105=""),"",IF(COUNTIF(J106:J$402,J105)=0,J105,""))</f>
        <v/>
      </c>
    </row>
    <row r="106">
      <c r="A106" s="15" t="n">
        <v>5</v>
      </c>
      <c r="B106" s="15" t="inlineStr">
        <is>
          <t>月</t>
        </is>
      </c>
      <c r="C106" s="15" t="n">
        <v>8</v>
      </c>
      <c r="D106" s="15" t="inlineStr">
        <is>
          <t>飼育</t>
        </is>
      </c>
      <c r="E106" s="15" t="inlineStr">
        <is>
          <t>音楽</t>
        </is>
      </c>
      <c r="F106" s="15" t="inlineStr">
        <is>
          <t>代表</t>
        </is>
      </c>
      <c r="G106" s="3">
        <f>IF(J106="","",IFERROR(INDEX(児童名簿!$D$2:$D$301,MATCH(J106,児童名簿!$F$2:$F$301,0)),""))</f>
        <v/>
      </c>
      <c r="H106" s="19">
        <f>IF(J106="","",IF(G106="","名簿にいない",IF(COUNTIF(J107:J$402,J106)&gt;0,"2回提出（下の行を使います）",IF(OR(AND(D106&lt;&gt;"",COUNTIF(設定!$G$8:$G$27,D106)=0),AND(E106&lt;&gt;"",COUNTIF(設定!$G$8:$G$27,E106)=0),AND(F106&lt;&gt;"",COUNTIF(設定!$G$8:$G$27,F106)=0)),"委員会名がちがう",IF(D106="","第1希望がない",IF(OR(AND(D106&lt;&gt;"",D106=E106),AND(D106&lt;&gt;"",D106=F106),AND(E106&lt;&gt;"",E106=F106)),"同じ委員会を重複して希望","OK"))))))</f>
        <v/>
      </c>
      <c r="J106" s="8">
        <f>IF(A106="","",A106&amp;"-"&amp;B106&amp;"-"&amp;C106)</f>
        <v/>
      </c>
      <c r="K106" s="8">
        <f>IF(OR(J106="",G106=""),"",IF(COUNTIF(J107:J$402,J106)=0,J106,""))</f>
        <v/>
      </c>
    </row>
    <row r="107">
      <c r="A107" s="15" t="n">
        <v>6</v>
      </c>
      <c r="B107" s="15" t="inlineStr">
        <is>
          <t>松</t>
        </is>
      </c>
      <c r="C107" s="15" t="n">
        <v>15</v>
      </c>
      <c r="D107" s="15" t="inlineStr">
        <is>
          <t>広報</t>
        </is>
      </c>
      <c r="E107" s="15" t="inlineStr">
        <is>
          <t>集会</t>
        </is>
      </c>
      <c r="F107" s="15" t="inlineStr">
        <is>
          <t>保健</t>
        </is>
      </c>
      <c r="G107" s="3">
        <f>IF(J107="","",IFERROR(INDEX(児童名簿!$D$2:$D$301,MATCH(J107,児童名簿!$F$2:$F$301,0)),""))</f>
        <v/>
      </c>
      <c r="H107" s="19">
        <f>IF(J107="","",IF(G107="","名簿にいない",IF(COUNTIF(J108:J$402,J107)&gt;0,"2回提出（下の行を使います）",IF(OR(AND(D107&lt;&gt;"",COUNTIF(設定!$G$8:$G$27,D107)=0),AND(E107&lt;&gt;"",COUNTIF(設定!$G$8:$G$27,E107)=0),AND(F107&lt;&gt;"",COUNTIF(設定!$G$8:$G$27,F107)=0)),"委員会名がちがう",IF(D107="","第1希望がない",IF(OR(AND(D107&lt;&gt;"",D107=E107),AND(D107&lt;&gt;"",D107=F107),AND(E107&lt;&gt;"",E107=F107)),"同じ委員会を重複して希望","OK"))))))</f>
        <v/>
      </c>
      <c r="J107" s="8">
        <f>IF(A107="","",A107&amp;"-"&amp;B107&amp;"-"&amp;C107)</f>
        <v/>
      </c>
      <c r="K107" s="8">
        <f>IF(OR(J107="",G107=""),"",IF(COUNTIF(J108:J$402,J107)=0,J107,""))</f>
        <v/>
      </c>
    </row>
    <row r="108">
      <c r="A108" s="15" t="n">
        <v>5</v>
      </c>
      <c r="B108" s="15" t="inlineStr">
        <is>
          <t>松</t>
        </is>
      </c>
      <c r="C108" s="15" t="n">
        <v>8</v>
      </c>
      <c r="D108" s="15" t="inlineStr">
        <is>
          <t>図書</t>
        </is>
      </c>
      <c r="E108" s="15" t="inlineStr">
        <is>
          <t>掲示</t>
        </is>
      </c>
      <c r="F108" s="15" t="inlineStr">
        <is>
          <t>代表</t>
        </is>
      </c>
      <c r="G108" s="3">
        <f>IF(J108="","",IFERROR(INDEX(児童名簿!$D$2:$D$301,MATCH(J108,児童名簿!$F$2:$F$301,0)),""))</f>
        <v/>
      </c>
      <c r="H108" s="19">
        <f>IF(J108="","",IF(G108="","名簿にいない",IF(COUNTIF(J109:J$402,J108)&gt;0,"2回提出（下の行を使います）",IF(OR(AND(D108&lt;&gt;"",COUNTIF(設定!$G$8:$G$27,D108)=0),AND(E108&lt;&gt;"",COUNTIF(設定!$G$8:$G$27,E108)=0),AND(F108&lt;&gt;"",COUNTIF(設定!$G$8:$G$27,F108)=0)),"委員会名がちがう",IF(D108="","第1希望がない",IF(OR(AND(D108&lt;&gt;"",D108=E108),AND(D108&lt;&gt;"",D108=F108),AND(E108&lt;&gt;"",E108=F108)),"同じ委員会を重複して希望","OK"))))))</f>
        <v/>
      </c>
      <c r="J108" s="8">
        <f>IF(A108="","",A108&amp;"-"&amp;B108&amp;"-"&amp;C108)</f>
        <v/>
      </c>
      <c r="K108" s="8">
        <f>IF(OR(J108="",G108=""),"",IF(COUNTIF(J109:J$402,J108)=0,J108,""))</f>
        <v/>
      </c>
    </row>
    <row r="109">
      <c r="A109" s="15" t="n">
        <v>6</v>
      </c>
      <c r="B109" s="15" t="inlineStr">
        <is>
          <t>月</t>
        </is>
      </c>
      <c r="C109" s="15" t="n">
        <v>12</v>
      </c>
      <c r="D109" s="15" t="inlineStr">
        <is>
          <t>音楽</t>
        </is>
      </c>
      <c r="E109" s="15" t="inlineStr">
        <is>
          <t>給食</t>
        </is>
      </c>
      <c r="F109" s="15" t="inlineStr">
        <is>
          <t>環境</t>
        </is>
      </c>
      <c r="G109" s="3">
        <f>IF(J109="","",IFERROR(INDEX(児童名簿!$D$2:$D$301,MATCH(J109,児童名簿!$F$2:$F$301,0)),""))</f>
        <v/>
      </c>
      <c r="H109" s="19">
        <f>IF(J109="","",IF(G109="","名簿にいない",IF(COUNTIF(J110:J$402,J109)&gt;0,"2回提出（下の行を使います）",IF(OR(AND(D109&lt;&gt;"",COUNTIF(設定!$G$8:$G$27,D109)=0),AND(E109&lt;&gt;"",COUNTIF(設定!$G$8:$G$27,E109)=0),AND(F109&lt;&gt;"",COUNTIF(設定!$G$8:$G$27,F109)=0)),"委員会名がちがう",IF(D109="","第1希望がない",IF(OR(AND(D109&lt;&gt;"",D109=E109),AND(D109&lt;&gt;"",D109=F109),AND(E109&lt;&gt;"",E109=F109)),"同じ委員会を重複して希望","OK"))))))</f>
        <v/>
      </c>
      <c r="J109" s="8">
        <f>IF(A109="","",A109&amp;"-"&amp;B109&amp;"-"&amp;C109)</f>
        <v/>
      </c>
      <c r="K109" s="8">
        <f>IF(OR(J109="",G109=""),"",IF(COUNTIF(J110:J$402,J109)=0,J109,""))</f>
        <v/>
      </c>
    </row>
    <row r="110">
      <c r="A110" s="15" t="n">
        <v>6</v>
      </c>
      <c r="B110" s="15" t="inlineStr">
        <is>
          <t>月</t>
        </is>
      </c>
      <c r="C110" s="15" t="n">
        <v>13</v>
      </c>
      <c r="D110" s="15" t="inlineStr">
        <is>
          <t>飼育</t>
        </is>
      </c>
      <c r="E110" s="15" t="inlineStr">
        <is>
          <t>環境</t>
        </is>
      </c>
      <c r="F110" s="15" t="inlineStr">
        <is>
          <t>音楽</t>
        </is>
      </c>
      <c r="G110" s="3">
        <f>IF(J110="","",IFERROR(INDEX(児童名簿!$D$2:$D$301,MATCH(J110,児童名簿!$F$2:$F$301,0)),""))</f>
        <v/>
      </c>
      <c r="H110" s="19">
        <f>IF(J110="","",IF(G110="","名簿にいない",IF(COUNTIF(J111:J$402,J110)&gt;0,"2回提出（下の行を使います）",IF(OR(AND(D110&lt;&gt;"",COUNTIF(設定!$G$8:$G$27,D110)=0),AND(E110&lt;&gt;"",COUNTIF(設定!$G$8:$G$27,E110)=0),AND(F110&lt;&gt;"",COUNTIF(設定!$G$8:$G$27,F110)=0)),"委員会名がちがう",IF(D110="","第1希望がない",IF(OR(AND(D110&lt;&gt;"",D110=E110),AND(D110&lt;&gt;"",D110=F110),AND(E110&lt;&gt;"",E110=F110)),"同じ委員会を重複して希望","OK"))))))</f>
        <v/>
      </c>
      <c r="J110" s="8">
        <f>IF(A110="","",A110&amp;"-"&amp;B110&amp;"-"&amp;C110)</f>
        <v/>
      </c>
      <c r="K110" s="8">
        <f>IF(OR(J110="",G110=""),"",IF(COUNTIF(J111:J$402,J110)=0,J110,""))</f>
        <v/>
      </c>
    </row>
    <row r="111">
      <c r="A111" s="15" t="n">
        <v>5</v>
      </c>
      <c r="B111" s="15" t="inlineStr">
        <is>
          <t>竹</t>
        </is>
      </c>
      <c r="C111" s="15" t="n">
        <v>8</v>
      </c>
      <c r="D111" s="15" t="inlineStr">
        <is>
          <t>体育</t>
        </is>
      </c>
      <c r="E111" s="15" t="inlineStr">
        <is>
          <t>放送</t>
        </is>
      </c>
      <c r="F111" s="15" t="inlineStr">
        <is>
          <t>保健</t>
        </is>
      </c>
      <c r="G111" s="3">
        <f>IF(J111="","",IFERROR(INDEX(児童名簿!$D$2:$D$301,MATCH(J111,児童名簿!$F$2:$F$301,0)),""))</f>
        <v/>
      </c>
      <c r="H111" s="19">
        <f>IF(J111="","",IF(G111="","名簿にいない",IF(COUNTIF(J112:J$402,J111)&gt;0,"2回提出（下の行を使います）",IF(OR(AND(D111&lt;&gt;"",COUNTIF(設定!$G$8:$G$27,D111)=0),AND(E111&lt;&gt;"",COUNTIF(設定!$G$8:$G$27,E111)=0),AND(F111&lt;&gt;"",COUNTIF(設定!$G$8:$G$27,F111)=0)),"委員会名がちがう",IF(D111="","第1希望がない",IF(OR(AND(D111&lt;&gt;"",D111=E111),AND(D111&lt;&gt;"",D111=F111),AND(E111&lt;&gt;"",E111=F111)),"同じ委員会を重複して希望","OK"))))))</f>
        <v/>
      </c>
      <c r="J111" s="8">
        <f>IF(A111="","",A111&amp;"-"&amp;B111&amp;"-"&amp;C111)</f>
        <v/>
      </c>
      <c r="K111" s="8">
        <f>IF(OR(J111="",G111=""),"",IF(COUNTIF(J112:J$402,J111)=0,J111,""))</f>
        <v/>
      </c>
    </row>
    <row r="112">
      <c r="A112" s="15" t="n">
        <v>6</v>
      </c>
      <c r="B112" s="15" t="inlineStr">
        <is>
          <t>竹</t>
        </is>
      </c>
      <c r="C112" s="15" t="n">
        <v>20</v>
      </c>
      <c r="D112" s="15" t="inlineStr">
        <is>
          <t>広報</t>
        </is>
      </c>
      <c r="E112" s="15" t="inlineStr">
        <is>
          <t>音楽</t>
        </is>
      </c>
      <c r="F112" s="15" t="inlineStr">
        <is>
          <t>飼育</t>
        </is>
      </c>
      <c r="G112" s="3">
        <f>IF(J112="","",IFERROR(INDEX(児童名簿!$D$2:$D$301,MATCH(J112,児童名簿!$F$2:$F$301,0)),""))</f>
        <v/>
      </c>
      <c r="H112" s="19">
        <f>IF(J112="","",IF(G112="","名簿にいない",IF(COUNTIF(J113:J$402,J112)&gt;0,"2回提出（下の行を使います）",IF(OR(AND(D112&lt;&gt;"",COUNTIF(設定!$G$8:$G$27,D112)=0),AND(E112&lt;&gt;"",COUNTIF(設定!$G$8:$G$27,E112)=0),AND(F112&lt;&gt;"",COUNTIF(設定!$G$8:$G$27,F112)=0)),"委員会名がちがう",IF(D112="","第1希望がない",IF(OR(AND(D112&lt;&gt;"",D112=E112),AND(D112&lt;&gt;"",D112=F112),AND(E112&lt;&gt;"",E112=F112)),"同じ委員会を重複して希望","OK"))))))</f>
        <v/>
      </c>
      <c r="J112" s="8">
        <f>IF(A112="","",A112&amp;"-"&amp;B112&amp;"-"&amp;C112)</f>
        <v/>
      </c>
      <c r="K112" s="8">
        <f>IF(OR(J112="",G112=""),"",IF(COUNTIF(J113:J$402,J112)=0,J112,""))</f>
        <v/>
      </c>
    </row>
    <row r="113">
      <c r="A113" s="15" t="n">
        <v>5</v>
      </c>
      <c r="B113" s="15" t="inlineStr">
        <is>
          <t>月</t>
        </is>
      </c>
      <c r="C113" s="15" t="n">
        <v>27</v>
      </c>
      <c r="D113" s="15" t="inlineStr">
        <is>
          <t>保健</t>
        </is>
      </c>
      <c r="E113" s="15" t="inlineStr">
        <is>
          <t>環境</t>
        </is>
      </c>
      <c r="F113" s="15" t="inlineStr">
        <is>
          <t>図書</t>
        </is>
      </c>
      <c r="G113" s="3">
        <f>IF(J113="","",IFERROR(INDEX(児童名簿!$D$2:$D$301,MATCH(J113,児童名簿!$F$2:$F$301,0)),""))</f>
        <v/>
      </c>
      <c r="H113" s="19">
        <f>IF(J113="","",IF(G113="","名簿にいない",IF(COUNTIF(J114:J$402,J113)&gt;0,"2回提出（下の行を使います）",IF(OR(AND(D113&lt;&gt;"",COUNTIF(設定!$G$8:$G$27,D113)=0),AND(E113&lt;&gt;"",COUNTIF(設定!$G$8:$G$27,E113)=0),AND(F113&lt;&gt;"",COUNTIF(設定!$G$8:$G$27,F113)=0)),"委員会名がちがう",IF(D113="","第1希望がない",IF(OR(AND(D113&lt;&gt;"",D113=E113),AND(D113&lt;&gt;"",D113=F113),AND(E113&lt;&gt;"",E113=F113)),"同じ委員会を重複して希望","OK"))))))</f>
        <v/>
      </c>
      <c r="J113" s="8">
        <f>IF(A113="","",A113&amp;"-"&amp;B113&amp;"-"&amp;C113)</f>
        <v/>
      </c>
      <c r="K113" s="8">
        <f>IF(OR(J113="",G113=""),"",IF(COUNTIF(J114:J$402,J113)=0,J113,""))</f>
        <v/>
      </c>
    </row>
    <row r="114">
      <c r="A114" s="15" t="n">
        <v>6</v>
      </c>
      <c r="B114" s="15" t="inlineStr">
        <is>
          <t>梅</t>
        </is>
      </c>
      <c r="C114" s="15" t="n">
        <v>28</v>
      </c>
      <c r="D114" s="15" t="inlineStr">
        <is>
          <t>給食</t>
        </is>
      </c>
      <c r="E114" s="15" t="inlineStr">
        <is>
          <t>代表</t>
        </is>
      </c>
      <c r="F114" s="15" t="inlineStr">
        <is>
          <t>保健</t>
        </is>
      </c>
      <c r="G114" s="3">
        <f>IF(J114="","",IFERROR(INDEX(児童名簿!$D$2:$D$301,MATCH(J114,児童名簿!$F$2:$F$301,0)),""))</f>
        <v/>
      </c>
      <c r="H114" s="19">
        <f>IF(J114="","",IF(G114="","名簿にいない",IF(COUNTIF(J115:J$402,J114)&gt;0,"2回提出（下の行を使います）",IF(OR(AND(D114&lt;&gt;"",COUNTIF(設定!$G$8:$G$27,D114)=0),AND(E114&lt;&gt;"",COUNTIF(設定!$G$8:$G$27,E114)=0),AND(F114&lt;&gt;"",COUNTIF(設定!$G$8:$G$27,F114)=0)),"委員会名がちがう",IF(D114="","第1希望がない",IF(OR(AND(D114&lt;&gt;"",D114=E114),AND(D114&lt;&gt;"",D114=F114),AND(E114&lt;&gt;"",E114=F114)),"同じ委員会を重複して希望","OK"))))))</f>
        <v/>
      </c>
      <c r="J114" s="8">
        <f>IF(A114="","",A114&amp;"-"&amp;B114&amp;"-"&amp;C114)</f>
        <v/>
      </c>
      <c r="K114" s="8">
        <f>IF(OR(J114="",G114=""),"",IF(COUNTIF(J115:J$402,J114)=0,J114,""))</f>
        <v/>
      </c>
    </row>
    <row r="115">
      <c r="A115" s="15" t="n">
        <v>6</v>
      </c>
      <c r="B115" s="15" t="inlineStr">
        <is>
          <t>竹</t>
        </is>
      </c>
      <c r="C115" s="15" t="n">
        <v>6</v>
      </c>
      <c r="D115" s="15" t="inlineStr">
        <is>
          <t>音楽</t>
        </is>
      </c>
      <c r="E115" s="15" t="inlineStr">
        <is>
          <t>体育</t>
        </is>
      </c>
      <c r="F115" s="15" t="inlineStr">
        <is>
          <t>代表</t>
        </is>
      </c>
      <c r="G115" s="3">
        <f>IF(J115="","",IFERROR(INDEX(児童名簿!$D$2:$D$301,MATCH(J115,児童名簿!$F$2:$F$301,0)),""))</f>
        <v/>
      </c>
      <c r="H115" s="19">
        <f>IF(J115="","",IF(G115="","名簿にいない",IF(COUNTIF(J116:J$402,J115)&gt;0,"2回提出（下の行を使います）",IF(OR(AND(D115&lt;&gt;"",COUNTIF(設定!$G$8:$G$27,D115)=0),AND(E115&lt;&gt;"",COUNTIF(設定!$G$8:$G$27,E115)=0),AND(F115&lt;&gt;"",COUNTIF(設定!$G$8:$G$27,F115)=0)),"委員会名がちがう",IF(D115="","第1希望がない",IF(OR(AND(D115&lt;&gt;"",D115=E115),AND(D115&lt;&gt;"",D115=F115),AND(E115&lt;&gt;"",E115=F115)),"同じ委員会を重複して希望","OK"))))))</f>
        <v/>
      </c>
      <c r="J115" s="8">
        <f>IF(A115="","",A115&amp;"-"&amp;B115&amp;"-"&amp;C115)</f>
        <v/>
      </c>
      <c r="K115" s="8">
        <f>IF(OR(J115="",G115=""),"",IF(COUNTIF(J116:J$402,J115)=0,J115,""))</f>
        <v/>
      </c>
    </row>
    <row r="116">
      <c r="A116" s="15" t="n">
        <v>6</v>
      </c>
      <c r="B116" s="15" t="inlineStr">
        <is>
          <t>梅</t>
        </is>
      </c>
      <c r="C116" s="15" t="n">
        <v>23</v>
      </c>
      <c r="D116" s="15" t="inlineStr">
        <is>
          <t>図書</t>
        </is>
      </c>
      <c r="E116" s="15" t="inlineStr">
        <is>
          <t>音楽</t>
        </is>
      </c>
      <c r="F116" s="15" t="inlineStr">
        <is>
          <t>代表</t>
        </is>
      </c>
      <c r="G116" s="3">
        <f>IF(J116="","",IFERROR(INDEX(児童名簿!$D$2:$D$301,MATCH(J116,児童名簿!$F$2:$F$301,0)),""))</f>
        <v/>
      </c>
      <c r="H116" s="19">
        <f>IF(J116="","",IF(G116="","名簿にいない",IF(COUNTIF(J117:J$402,J116)&gt;0,"2回提出（下の行を使います）",IF(OR(AND(D116&lt;&gt;"",COUNTIF(設定!$G$8:$G$27,D116)=0),AND(E116&lt;&gt;"",COUNTIF(設定!$G$8:$G$27,E116)=0),AND(F116&lt;&gt;"",COUNTIF(設定!$G$8:$G$27,F116)=0)),"委員会名がちがう",IF(D116="","第1希望がない",IF(OR(AND(D116&lt;&gt;"",D116=E116),AND(D116&lt;&gt;"",D116=F116),AND(E116&lt;&gt;"",E116=F116)),"同じ委員会を重複して希望","OK"))))))</f>
        <v/>
      </c>
      <c r="J116" s="8">
        <f>IF(A116="","",A116&amp;"-"&amp;B116&amp;"-"&amp;C116)</f>
        <v/>
      </c>
      <c r="K116" s="8">
        <f>IF(OR(J116="",G116=""),"",IF(COUNTIF(J117:J$402,J116)=0,J116,""))</f>
        <v/>
      </c>
    </row>
    <row r="117">
      <c r="A117" s="15" t="n">
        <v>5</v>
      </c>
      <c r="B117" s="15" t="inlineStr">
        <is>
          <t>竹</t>
        </is>
      </c>
      <c r="C117" s="15" t="n">
        <v>5</v>
      </c>
      <c r="D117" s="15" t="inlineStr">
        <is>
          <t>体育</t>
        </is>
      </c>
      <c r="E117" s="15" t="inlineStr">
        <is>
          <t>集会</t>
        </is>
      </c>
      <c r="F117" s="15" t="inlineStr">
        <is>
          <t>保健</t>
        </is>
      </c>
      <c r="G117" s="3">
        <f>IF(J117="","",IFERROR(INDEX(児童名簿!$D$2:$D$301,MATCH(J117,児童名簿!$F$2:$F$301,0)),""))</f>
        <v/>
      </c>
      <c r="H117" s="19">
        <f>IF(J117="","",IF(G117="","名簿にいない",IF(COUNTIF(J118:J$402,J117)&gt;0,"2回提出（下の行を使います）",IF(OR(AND(D117&lt;&gt;"",COUNTIF(設定!$G$8:$G$27,D117)=0),AND(E117&lt;&gt;"",COUNTIF(設定!$G$8:$G$27,E117)=0),AND(F117&lt;&gt;"",COUNTIF(設定!$G$8:$G$27,F117)=0)),"委員会名がちがう",IF(D117="","第1希望がない",IF(OR(AND(D117&lt;&gt;"",D117=E117),AND(D117&lt;&gt;"",D117=F117),AND(E117&lt;&gt;"",E117=F117)),"同じ委員会を重複して希望","OK"))))))</f>
        <v/>
      </c>
      <c r="J117" s="8">
        <f>IF(A117="","",A117&amp;"-"&amp;B117&amp;"-"&amp;C117)</f>
        <v/>
      </c>
      <c r="K117" s="8">
        <f>IF(OR(J117="",G117=""),"",IF(COUNTIF(J118:J$402,J117)=0,J117,""))</f>
        <v/>
      </c>
    </row>
    <row r="118">
      <c r="A118" s="15" t="n">
        <v>6</v>
      </c>
      <c r="B118" s="15" t="inlineStr">
        <is>
          <t>竹</t>
        </is>
      </c>
      <c r="C118" s="15" t="n">
        <v>23</v>
      </c>
      <c r="D118" s="15" t="inlineStr">
        <is>
          <t>給食</t>
        </is>
      </c>
      <c r="E118" s="15" t="inlineStr">
        <is>
          <t>図書</t>
        </is>
      </c>
      <c r="F118" s="15" t="inlineStr">
        <is>
          <t>体育</t>
        </is>
      </c>
      <c r="G118" s="3">
        <f>IF(J118="","",IFERROR(INDEX(児童名簿!$D$2:$D$301,MATCH(J118,児童名簿!$F$2:$F$301,0)),""))</f>
        <v/>
      </c>
      <c r="H118" s="19">
        <f>IF(J118="","",IF(G118="","名簿にいない",IF(COUNTIF(J119:J$402,J118)&gt;0,"2回提出（下の行を使います）",IF(OR(AND(D118&lt;&gt;"",COUNTIF(設定!$G$8:$G$27,D118)=0),AND(E118&lt;&gt;"",COUNTIF(設定!$G$8:$G$27,E118)=0),AND(F118&lt;&gt;"",COUNTIF(設定!$G$8:$G$27,F118)=0)),"委員会名がちがう",IF(D118="","第1希望がない",IF(OR(AND(D118&lt;&gt;"",D118=E118),AND(D118&lt;&gt;"",D118=F118),AND(E118&lt;&gt;"",E118=F118)),"同じ委員会を重複して希望","OK"))))))</f>
        <v/>
      </c>
      <c r="J118" s="8">
        <f>IF(A118="","",A118&amp;"-"&amp;B118&amp;"-"&amp;C118)</f>
        <v/>
      </c>
      <c r="K118" s="8">
        <f>IF(OR(J118="",G118=""),"",IF(COUNTIF(J119:J$402,J118)=0,J118,""))</f>
        <v/>
      </c>
    </row>
    <row r="119">
      <c r="A119" s="15" t="n">
        <v>5</v>
      </c>
      <c r="B119" s="15" t="inlineStr">
        <is>
          <t>竹</t>
        </is>
      </c>
      <c r="C119" s="15" t="n">
        <v>15</v>
      </c>
      <c r="D119" s="15" t="inlineStr">
        <is>
          <t>飼育</t>
        </is>
      </c>
      <c r="E119" s="15" t="inlineStr">
        <is>
          <t>図書</t>
        </is>
      </c>
      <c r="F119" s="15" t="inlineStr">
        <is>
          <t>広報</t>
        </is>
      </c>
      <c r="G119" s="3">
        <f>IF(J119="","",IFERROR(INDEX(児童名簿!$D$2:$D$301,MATCH(J119,児童名簿!$F$2:$F$301,0)),""))</f>
        <v/>
      </c>
      <c r="H119" s="19">
        <f>IF(J119="","",IF(G119="","名簿にいない",IF(COUNTIF(J120:J$402,J119)&gt;0,"2回提出（下の行を使います）",IF(OR(AND(D119&lt;&gt;"",COUNTIF(設定!$G$8:$G$27,D119)=0),AND(E119&lt;&gt;"",COUNTIF(設定!$G$8:$G$27,E119)=0),AND(F119&lt;&gt;"",COUNTIF(設定!$G$8:$G$27,F119)=0)),"委員会名がちがう",IF(D119="","第1希望がない",IF(OR(AND(D119&lt;&gt;"",D119=E119),AND(D119&lt;&gt;"",D119=F119),AND(E119&lt;&gt;"",E119=F119)),"同じ委員会を重複して希望","OK"))))))</f>
        <v/>
      </c>
      <c r="J119" s="8">
        <f>IF(A119="","",A119&amp;"-"&amp;B119&amp;"-"&amp;C119)</f>
        <v/>
      </c>
      <c r="K119" s="8">
        <f>IF(OR(J119="",G119=""),"",IF(COUNTIF(J120:J$402,J119)=0,J119,""))</f>
        <v/>
      </c>
    </row>
    <row r="120">
      <c r="A120" s="15" t="n">
        <v>6</v>
      </c>
      <c r="B120" s="15" t="inlineStr">
        <is>
          <t>松</t>
        </is>
      </c>
      <c r="C120" s="15" t="n">
        <v>26</v>
      </c>
      <c r="D120" s="15" t="inlineStr">
        <is>
          <t>保健</t>
        </is>
      </c>
      <c r="E120" s="15" t="inlineStr">
        <is>
          <t>飼育</t>
        </is>
      </c>
      <c r="F120" s="15" t="inlineStr">
        <is>
          <t>集会</t>
        </is>
      </c>
      <c r="G120" s="3">
        <f>IF(J120="","",IFERROR(INDEX(児童名簿!$D$2:$D$301,MATCH(J120,児童名簿!$F$2:$F$301,0)),""))</f>
        <v/>
      </c>
      <c r="H120" s="19">
        <f>IF(J120="","",IF(G120="","名簿にいない",IF(COUNTIF(J121:J$402,J120)&gt;0,"2回提出（下の行を使います）",IF(OR(AND(D120&lt;&gt;"",COUNTIF(設定!$G$8:$G$27,D120)=0),AND(E120&lt;&gt;"",COUNTIF(設定!$G$8:$G$27,E120)=0),AND(F120&lt;&gt;"",COUNTIF(設定!$G$8:$G$27,F120)=0)),"委員会名がちがう",IF(D120="","第1希望がない",IF(OR(AND(D120&lt;&gt;"",D120=E120),AND(D120&lt;&gt;"",D120=F120),AND(E120&lt;&gt;"",E120=F120)),"同じ委員会を重複して希望","OK"))))))</f>
        <v/>
      </c>
      <c r="J120" s="8">
        <f>IF(A120="","",A120&amp;"-"&amp;B120&amp;"-"&amp;C120)</f>
        <v/>
      </c>
      <c r="K120" s="8">
        <f>IF(OR(J120="",G120=""),"",IF(COUNTIF(J121:J$402,J120)=0,J120,""))</f>
        <v/>
      </c>
    </row>
    <row r="121">
      <c r="A121" s="15" t="n">
        <v>6</v>
      </c>
      <c r="B121" s="15" t="inlineStr">
        <is>
          <t>松</t>
        </is>
      </c>
      <c r="C121" s="15" t="n">
        <v>5</v>
      </c>
      <c r="D121" s="15" t="inlineStr">
        <is>
          <t>広報</t>
        </is>
      </c>
      <c r="E121" s="15" t="inlineStr">
        <is>
          <t>放送</t>
        </is>
      </c>
      <c r="F121" s="15" t="inlineStr">
        <is>
          <t>代表</t>
        </is>
      </c>
      <c r="G121" s="3">
        <f>IF(J121="","",IFERROR(INDEX(児童名簿!$D$2:$D$301,MATCH(J121,児童名簿!$F$2:$F$301,0)),""))</f>
        <v/>
      </c>
      <c r="H121" s="19">
        <f>IF(J121="","",IF(G121="","名簿にいない",IF(COUNTIF(J122:J$402,J121)&gt;0,"2回提出（下の行を使います）",IF(OR(AND(D121&lt;&gt;"",COUNTIF(設定!$G$8:$G$27,D121)=0),AND(E121&lt;&gt;"",COUNTIF(設定!$G$8:$G$27,E121)=0),AND(F121&lt;&gt;"",COUNTIF(設定!$G$8:$G$27,F121)=0)),"委員会名がちがう",IF(D121="","第1希望がない",IF(OR(AND(D121&lt;&gt;"",D121=E121),AND(D121&lt;&gt;"",D121=F121),AND(E121&lt;&gt;"",E121=F121)),"同じ委員会を重複して希望","OK"))))))</f>
        <v/>
      </c>
      <c r="J121" s="8">
        <f>IF(A121="","",A121&amp;"-"&amp;B121&amp;"-"&amp;C121)</f>
        <v/>
      </c>
      <c r="K121" s="8">
        <f>IF(OR(J121="",G121=""),"",IF(COUNTIF(J122:J$402,J121)=0,J121,""))</f>
        <v/>
      </c>
    </row>
    <row r="122">
      <c r="A122" s="15" t="n">
        <v>6</v>
      </c>
      <c r="B122" s="15" t="inlineStr">
        <is>
          <t>竹</t>
        </is>
      </c>
      <c r="C122" s="15" t="n">
        <v>19</v>
      </c>
      <c r="D122" s="15" t="inlineStr">
        <is>
          <t>給食</t>
        </is>
      </c>
      <c r="E122" s="15" t="inlineStr">
        <is>
          <t>広報</t>
        </is>
      </c>
      <c r="F122" s="15" t="inlineStr">
        <is>
          <t>放送</t>
        </is>
      </c>
      <c r="G122" s="3">
        <f>IF(J122="","",IFERROR(INDEX(児童名簿!$D$2:$D$301,MATCH(J122,児童名簿!$F$2:$F$301,0)),""))</f>
        <v/>
      </c>
      <c r="H122" s="19">
        <f>IF(J122="","",IF(G122="","名簿にいない",IF(COUNTIF(J123:J$402,J122)&gt;0,"2回提出（下の行を使います）",IF(OR(AND(D122&lt;&gt;"",COUNTIF(設定!$G$8:$G$27,D122)=0),AND(E122&lt;&gt;"",COUNTIF(設定!$G$8:$G$27,E122)=0),AND(F122&lt;&gt;"",COUNTIF(設定!$G$8:$G$27,F122)=0)),"委員会名がちがう",IF(D122="","第1希望がない",IF(OR(AND(D122&lt;&gt;"",D122=E122),AND(D122&lt;&gt;"",D122=F122),AND(E122&lt;&gt;"",E122=F122)),"同じ委員会を重複して希望","OK"))))))</f>
        <v/>
      </c>
      <c r="J122" s="8">
        <f>IF(A122="","",A122&amp;"-"&amp;B122&amp;"-"&amp;C122)</f>
        <v/>
      </c>
      <c r="K122" s="8">
        <f>IF(OR(J122="",G122=""),"",IF(COUNTIF(J123:J$402,J122)=0,J122,""))</f>
        <v/>
      </c>
    </row>
    <row r="123">
      <c r="A123" s="15" t="n">
        <v>5</v>
      </c>
      <c r="B123" s="15" t="inlineStr">
        <is>
          <t>松</t>
        </is>
      </c>
      <c r="C123" s="15" t="n">
        <v>18</v>
      </c>
      <c r="D123" s="15" t="inlineStr">
        <is>
          <t>集会</t>
        </is>
      </c>
      <c r="E123" s="15" t="inlineStr">
        <is>
          <t>環境</t>
        </is>
      </c>
      <c r="F123" s="15" t="inlineStr">
        <is>
          <t>音楽</t>
        </is>
      </c>
      <c r="G123" s="3">
        <f>IF(J123="","",IFERROR(INDEX(児童名簿!$D$2:$D$301,MATCH(J123,児童名簿!$F$2:$F$301,0)),""))</f>
        <v/>
      </c>
      <c r="H123" s="19">
        <f>IF(J123="","",IF(G123="","名簿にいない",IF(COUNTIF(J124:J$402,J123)&gt;0,"2回提出（下の行を使います）",IF(OR(AND(D123&lt;&gt;"",COUNTIF(設定!$G$8:$G$27,D123)=0),AND(E123&lt;&gt;"",COUNTIF(設定!$G$8:$G$27,E123)=0),AND(F123&lt;&gt;"",COUNTIF(設定!$G$8:$G$27,F123)=0)),"委員会名がちがう",IF(D123="","第1希望がない",IF(OR(AND(D123&lt;&gt;"",D123=E123),AND(D123&lt;&gt;"",D123=F123),AND(E123&lt;&gt;"",E123=F123)),"同じ委員会を重複して希望","OK"))))))</f>
        <v/>
      </c>
      <c r="J123" s="8">
        <f>IF(A123="","",A123&amp;"-"&amp;B123&amp;"-"&amp;C123)</f>
        <v/>
      </c>
      <c r="K123" s="8">
        <f>IF(OR(J123="",G123=""),"",IF(COUNTIF(J124:J$402,J123)=0,J123,""))</f>
        <v/>
      </c>
    </row>
    <row r="124">
      <c r="A124" s="15" t="n">
        <v>5</v>
      </c>
      <c r="B124" s="15" t="inlineStr">
        <is>
          <t>梅</t>
        </is>
      </c>
      <c r="C124" s="15" t="n">
        <v>24</v>
      </c>
      <c r="D124" s="15" t="inlineStr">
        <is>
          <t>広報</t>
        </is>
      </c>
      <c r="E124" s="15" t="inlineStr">
        <is>
          <t>保健</t>
        </is>
      </c>
      <c r="F124" s="15" t="inlineStr">
        <is>
          <t>集会</t>
        </is>
      </c>
      <c r="G124" s="3">
        <f>IF(J124="","",IFERROR(INDEX(児童名簿!$D$2:$D$301,MATCH(J124,児童名簿!$F$2:$F$301,0)),""))</f>
        <v/>
      </c>
      <c r="H124" s="19">
        <f>IF(J124="","",IF(G124="","名簿にいない",IF(COUNTIF(J125:J$402,J124)&gt;0,"2回提出（下の行を使います）",IF(OR(AND(D124&lt;&gt;"",COUNTIF(設定!$G$8:$G$27,D124)=0),AND(E124&lt;&gt;"",COUNTIF(設定!$G$8:$G$27,E124)=0),AND(F124&lt;&gt;"",COUNTIF(設定!$G$8:$G$27,F124)=0)),"委員会名がちがう",IF(D124="","第1希望がない",IF(OR(AND(D124&lt;&gt;"",D124=E124),AND(D124&lt;&gt;"",D124=F124),AND(E124&lt;&gt;"",E124=F124)),"同じ委員会を重複して希望","OK"))))))</f>
        <v/>
      </c>
      <c r="J124" s="8">
        <f>IF(A124="","",A124&amp;"-"&amp;B124&amp;"-"&amp;C124)</f>
        <v/>
      </c>
      <c r="K124" s="8">
        <f>IF(OR(J124="",G124=""),"",IF(COUNTIF(J125:J$402,J124)=0,J124,""))</f>
        <v/>
      </c>
    </row>
    <row r="125">
      <c r="A125" s="15" t="n">
        <v>5</v>
      </c>
      <c r="B125" s="15" t="inlineStr">
        <is>
          <t>松</t>
        </is>
      </c>
      <c r="C125" s="15" t="n">
        <v>19</v>
      </c>
      <c r="D125" s="15" t="inlineStr">
        <is>
          <t>代表</t>
        </is>
      </c>
      <c r="E125" s="15" t="inlineStr">
        <is>
          <t>集会</t>
        </is>
      </c>
      <c r="F125" s="15" t="inlineStr">
        <is>
          <t>図書</t>
        </is>
      </c>
      <c r="G125" s="3">
        <f>IF(J125="","",IFERROR(INDEX(児童名簿!$D$2:$D$301,MATCH(J125,児童名簿!$F$2:$F$301,0)),""))</f>
        <v/>
      </c>
      <c r="H125" s="19">
        <f>IF(J125="","",IF(G125="","名簿にいない",IF(COUNTIF(J126:J$402,J125)&gt;0,"2回提出（下の行を使います）",IF(OR(AND(D125&lt;&gt;"",COUNTIF(設定!$G$8:$G$27,D125)=0),AND(E125&lt;&gt;"",COUNTIF(設定!$G$8:$G$27,E125)=0),AND(F125&lt;&gt;"",COUNTIF(設定!$G$8:$G$27,F125)=0)),"委員会名がちがう",IF(D125="","第1希望がない",IF(OR(AND(D125&lt;&gt;"",D125=E125),AND(D125&lt;&gt;"",D125=F125),AND(E125&lt;&gt;"",E125=F125)),"同じ委員会を重複して希望","OK"))))))</f>
        <v/>
      </c>
      <c r="J125" s="8">
        <f>IF(A125="","",A125&amp;"-"&amp;B125&amp;"-"&amp;C125)</f>
        <v/>
      </c>
      <c r="K125" s="8">
        <f>IF(OR(J125="",G125=""),"",IF(COUNTIF(J126:J$402,J125)=0,J125,""))</f>
        <v/>
      </c>
    </row>
    <row r="126">
      <c r="A126" s="15" t="n">
        <v>5</v>
      </c>
      <c r="B126" s="15" t="inlineStr">
        <is>
          <t>梅</t>
        </is>
      </c>
      <c r="C126" s="15" t="n">
        <v>14</v>
      </c>
      <c r="D126" s="15" t="inlineStr">
        <is>
          <t>放送</t>
        </is>
      </c>
      <c r="E126" s="15" t="inlineStr">
        <is>
          <t>飼育</t>
        </is>
      </c>
      <c r="F126" s="15" t="inlineStr">
        <is>
          <t>図書</t>
        </is>
      </c>
      <c r="G126" s="3">
        <f>IF(J126="","",IFERROR(INDEX(児童名簿!$D$2:$D$301,MATCH(J126,児童名簿!$F$2:$F$301,0)),""))</f>
        <v/>
      </c>
      <c r="H126" s="19">
        <f>IF(J126="","",IF(G126="","名簿にいない",IF(COUNTIF(J127:J$402,J126)&gt;0,"2回提出（下の行を使います）",IF(OR(AND(D126&lt;&gt;"",COUNTIF(設定!$G$8:$G$27,D126)=0),AND(E126&lt;&gt;"",COUNTIF(設定!$G$8:$G$27,E126)=0),AND(F126&lt;&gt;"",COUNTIF(設定!$G$8:$G$27,F126)=0)),"委員会名がちがう",IF(D126="","第1希望がない",IF(OR(AND(D126&lt;&gt;"",D126=E126),AND(D126&lt;&gt;"",D126=F126),AND(E126&lt;&gt;"",E126=F126)),"同じ委員会を重複して希望","OK"))))))</f>
        <v/>
      </c>
      <c r="J126" s="8">
        <f>IF(A126="","",A126&amp;"-"&amp;B126&amp;"-"&amp;C126)</f>
        <v/>
      </c>
      <c r="K126" s="8">
        <f>IF(OR(J126="",G126=""),"",IF(COUNTIF(J127:J$402,J126)=0,J126,""))</f>
        <v/>
      </c>
    </row>
    <row r="127">
      <c r="A127" s="15" t="n">
        <v>5</v>
      </c>
      <c r="B127" s="15" t="inlineStr">
        <is>
          <t>松</t>
        </is>
      </c>
      <c r="C127" s="15" t="n">
        <v>26</v>
      </c>
      <c r="D127" s="15" t="inlineStr">
        <is>
          <t>図書</t>
        </is>
      </c>
      <c r="E127" s="15" t="inlineStr">
        <is>
          <t>放送</t>
        </is>
      </c>
      <c r="F127" s="15" t="inlineStr">
        <is>
          <t>音楽</t>
        </is>
      </c>
      <c r="G127" s="3">
        <f>IF(J127="","",IFERROR(INDEX(児童名簿!$D$2:$D$301,MATCH(J127,児童名簿!$F$2:$F$301,0)),""))</f>
        <v/>
      </c>
      <c r="H127" s="19">
        <f>IF(J127="","",IF(G127="","名簿にいない",IF(COUNTIF(J128:J$402,J127)&gt;0,"2回提出（下の行を使います）",IF(OR(AND(D127&lt;&gt;"",COUNTIF(設定!$G$8:$G$27,D127)=0),AND(E127&lt;&gt;"",COUNTIF(設定!$G$8:$G$27,E127)=0),AND(F127&lt;&gt;"",COUNTIF(設定!$G$8:$G$27,F127)=0)),"委員会名がちがう",IF(D127="","第1希望がない",IF(OR(AND(D127&lt;&gt;"",D127=E127),AND(D127&lt;&gt;"",D127=F127),AND(E127&lt;&gt;"",E127=F127)),"同じ委員会を重複して希望","OK"))))))</f>
        <v/>
      </c>
      <c r="J127" s="8">
        <f>IF(A127="","",A127&amp;"-"&amp;B127&amp;"-"&amp;C127)</f>
        <v/>
      </c>
      <c r="K127" s="8">
        <f>IF(OR(J127="",G127=""),"",IF(COUNTIF(J128:J$402,J127)=0,J127,""))</f>
        <v/>
      </c>
    </row>
    <row r="128">
      <c r="A128" s="15" t="n">
        <v>6</v>
      </c>
      <c r="B128" s="15" t="inlineStr">
        <is>
          <t>梅</t>
        </is>
      </c>
      <c r="C128" s="15" t="n">
        <v>17</v>
      </c>
      <c r="D128" s="15" t="inlineStr">
        <is>
          <t>保健</t>
        </is>
      </c>
      <c r="E128" s="15" t="inlineStr">
        <is>
          <t>音楽</t>
        </is>
      </c>
      <c r="F128" s="15" t="inlineStr">
        <is>
          <t>広報</t>
        </is>
      </c>
      <c r="G128" s="3">
        <f>IF(J128="","",IFERROR(INDEX(児童名簿!$D$2:$D$301,MATCH(J128,児童名簿!$F$2:$F$301,0)),""))</f>
        <v/>
      </c>
      <c r="H128" s="19">
        <f>IF(J128="","",IF(G128="","名簿にいない",IF(COUNTIF(J129:J$402,J128)&gt;0,"2回提出（下の行を使います）",IF(OR(AND(D128&lt;&gt;"",COUNTIF(設定!$G$8:$G$27,D128)=0),AND(E128&lt;&gt;"",COUNTIF(設定!$G$8:$G$27,E128)=0),AND(F128&lt;&gt;"",COUNTIF(設定!$G$8:$G$27,F128)=0)),"委員会名がちがう",IF(D128="","第1希望がない",IF(OR(AND(D128&lt;&gt;"",D128=E128),AND(D128&lt;&gt;"",D128=F128),AND(E128&lt;&gt;"",E128=F128)),"同じ委員会を重複して希望","OK"))))))</f>
        <v/>
      </c>
      <c r="J128" s="8">
        <f>IF(A128="","",A128&amp;"-"&amp;B128&amp;"-"&amp;C128)</f>
        <v/>
      </c>
      <c r="K128" s="8">
        <f>IF(OR(J128="",G128=""),"",IF(COUNTIF(J129:J$402,J128)=0,J128,""))</f>
        <v/>
      </c>
    </row>
    <row r="129">
      <c r="A129" s="15" t="n">
        <v>6</v>
      </c>
      <c r="B129" s="15" t="inlineStr">
        <is>
          <t>松</t>
        </is>
      </c>
      <c r="C129" s="15" t="n">
        <v>27</v>
      </c>
      <c r="D129" s="15" t="inlineStr">
        <is>
          <t>飼育</t>
        </is>
      </c>
      <c r="E129" s="15" t="inlineStr">
        <is>
          <t>体育</t>
        </is>
      </c>
      <c r="F129" s="15" t="inlineStr">
        <is>
          <t>音楽</t>
        </is>
      </c>
      <c r="G129" s="3">
        <f>IF(J129="","",IFERROR(INDEX(児童名簿!$D$2:$D$301,MATCH(J129,児童名簿!$F$2:$F$301,0)),""))</f>
        <v/>
      </c>
      <c r="H129" s="19">
        <f>IF(J129="","",IF(G129="","名簿にいない",IF(COUNTIF(J130:J$402,J129)&gt;0,"2回提出（下の行を使います）",IF(OR(AND(D129&lt;&gt;"",COUNTIF(設定!$G$8:$G$27,D129)=0),AND(E129&lt;&gt;"",COUNTIF(設定!$G$8:$G$27,E129)=0),AND(F129&lt;&gt;"",COUNTIF(設定!$G$8:$G$27,F129)=0)),"委員会名がちがう",IF(D129="","第1希望がない",IF(OR(AND(D129&lt;&gt;"",D129=E129),AND(D129&lt;&gt;"",D129=F129),AND(E129&lt;&gt;"",E129=F129)),"同じ委員会を重複して希望","OK"))))))</f>
        <v/>
      </c>
      <c r="J129" s="8">
        <f>IF(A129="","",A129&amp;"-"&amp;B129&amp;"-"&amp;C129)</f>
        <v/>
      </c>
      <c r="K129" s="8">
        <f>IF(OR(J129="",G129=""),"",IF(COUNTIF(J130:J$402,J129)=0,J129,""))</f>
        <v/>
      </c>
    </row>
    <row r="130">
      <c r="A130" s="15" t="n">
        <v>5</v>
      </c>
      <c r="B130" s="15" t="inlineStr">
        <is>
          <t>松</t>
        </is>
      </c>
      <c r="C130" s="15" t="n">
        <v>6</v>
      </c>
      <c r="D130" s="15" t="inlineStr">
        <is>
          <t>掲示</t>
        </is>
      </c>
      <c r="E130" s="15" t="inlineStr">
        <is>
          <t>図書</t>
        </is>
      </c>
      <c r="F130" s="15" t="inlineStr">
        <is>
          <t>広報</t>
        </is>
      </c>
      <c r="G130" s="3">
        <f>IF(J130="","",IFERROR(INDEX(児童名簿!$D$2:$D$301,MATCH(J130,児童名簿!$F$2:$F$301,0)),""))</f>
        <v/>
      </c>
      <c r="H130" s="19">
        <f>IF(J130="","",IF(G130="","名簿にいない",IF(COUNTIF(J131:J$402,J130)&gt;0,"2回提出（下の行を使います）",IF(OR(AND(D130&lt;&gt;"",COUNTIF(設定!$G$8:$G$27,D130)=0),AND(E130&lt;&gt;"",COUNTIF(設定!$G$8:$G$27,E130)=0),AND(F130&lt;&gt;"",COUNTIF(設定!$G$8:$G$27,F130)=0)),"委員会名がちがう",IF(D130="","第1希望がない",IF(OR(AND(D130&lt;&gt;"",D130=E130),AND(D130&lt;&gt;"",D130=F130),AND(E130&lt;&gt;"",E130=F130)),"同じ委員会を重複して希望","OK"))))))</f>
        <v/>
      </c>
      <c r="J130" s="8">
        <f>IF(A130="","",A130&amp;"-"&amp;B130&amp;"-"&amp;C130)</f>
        <v/>
      </c>
      <c r="K130" s="8">
        <f>IF(OR(J130="",G130=""),"",IF(COUNTIF(J131:J$402,J130)=0,J130,""))</f>
        <v/>
      </c>
    </row>
    <row r="131">
      <c r="A131" s="15" t="n">
        <v>5</v>
      </c>
      <c r="B131" s="15" t="inlineStr">
        <is>
          <t>梅</t>
        </is>
      </c>
      <c r="C131" s="15" t="n">
        <v>6</v>
      </c>
      <c r="D131" s="15" t="inlineStr">
        <is>
          <t>放送</t>
        </is>
      </c>
      <c r="E131" s="15" t="inlineStr">
        <is>
          <t>給食</t>
        </is>
      </c>
      <c r="F131" s="15" t="inlineStr">
        <is>
          <t>音楽</t>
        </is>
      </c>
      <c r="G131" s="3">
        <f>IF(J131="","",IFERROR(INDEX(児童名簿!$D$2:$D$301,MATCH(J131,児童名簿!$F$2:$F$301,0)),""))</f>
        <v/>
      </c>
      <c r="H131" s="19">
        <f>IF(J131="","",IF(G131="","名簿にいない",IF(COUNTIF(J132:J$402,J131)&gt;0,"2回提出（下の行を使います）",IF(OR(AND(D131&lt;&gt;"",COUNTIF(設定!$G$8:$G$27,D131)=0),AND(E131&lt;&gt;"",COUNTIF(設定!$G$8:$G$27,E131)=0),AND(F131&lt;&gt;"",COUNTIF(設定!$G$8:$G$27,F131)=0)),"委員会名がちがう",IF(D131="","第1希望がない",IF(OR(AND(D131&lt;&gt;"",D131=E131),AND(D131&lt;&gt;"",D131=F131),AND(E131&lt;&gt;"",E131=F131)),"同じ委員会を重複して希望","OK"))))))</f>
        <v/>
      </c>
      <c r="J131" s="8">
        <f>IF(A131="","",A131&amp;"-"&amp;B131&amp;"-"&amp;C131)</f>
        <v/>
      </c>
      <c r="K131" s="8">
        <f>IF(OR(J131="",G131=""),"",IF(COUNTIF(J132:J$402,J131)=0,J131,""))</f>
        <v/>
      </c>
    </row>
    <row r="132">
      <c r="A132" s="15" t="n">
        <v>6</v>
      </c>
      <c r="B132" s="15" t="inlineStr">
        <is>
          <t>梅</t>
        </is>
      </c>
      <c r="C132" s="15" t="n">
        <v>7</v>
      </c>
      <c r="D132" s="15" t="inlineStr">
        <is>
          <t>環境</t>
        </is>
      </c>
      <c r="E132" s="15" t="inlineStr">
        <is>
          <t>飼育</t>
        </is>
      </c>
      <c r="F132" s="15" t="inlineStr">
        <is>
          <t>保健</t>
        </is>
      </c>
      <c r="G132" s="3">
        <f>IF(J132="","",IFERROR(INDEX(児童名簿!$D$2:$D$301,MATCH(J132,児童名簿!$F$2:$F$301,0)),""))</f>
        <v/>
      </c>
      <c r="H132" s="19">
        <f>IF(J132="","",IF(G132="","名簿にいない",IF(COUNTIF(J133:J$402,J132)&gt;0,"2回提出（下の行を使います）",IF(OR(AND(D132&lt;&gt;"",COUNTIF(設定!$G$8:$G$27,D132)=0),AND(E132&lt;&gt;"",COUNTIF(設定!$G$8:$G$27,E132)=0),AND(F132&lt;&gt;"",COUNTIF(設定!$G$8:$G$27,F132)=0)),"委員会名がちがう",IF(D132="","第1希望がない",IF(OR(AND(D132&lt;&gt;"",D132=E132),AND(D132&lt;&gt;"",D132=F132),AND(E132&lt;&gt;"",E132=F132)),"同じ委員会を重複して希望","OK"))))))</f>
        <v/>
      </c>
      <c r="J132" s="8">
        <f>IF(A132="","",A132&amp;"-"&amp;B132&amp;"-"&amp;C132)</f>
        <v/>
      </c>
      <c r="K132" s="8">
        <f>IF(OR(J132="",G132=""),"",IF(COUNTIF(J133:J$402,J132)=0,J132,""))</f>
        <v/>
      </c>
    </row>
    <row r="133">
      <c r="A133" s="15" t="n">
        <v>6</v>
      </c>
      <c r="B133" s="15" t="inlineStr">
        <is>
          <t>竹</t>
        </is>
      </c>
      <c r="C133" s="15" t="n">
        <v>7</v>
      </c>
      <c r="D133" s="15" t="inlineStr">
        <is>
          <t>音楽</t>
        </is>
      </c>
      <c r="E133" s="15" t="inlineStr">
        <is>
          <t>体育</t>
        </is>
      </c>
      <c r="F133" s="15" t="inlineStr">
        <is>
          <t>広報</t>
        </is>
      </c>
      <c r="G133" s="3">
        <f>IF(J133="","",IFERROR(INDEX(児童名簿!$D$2:$D$301,MATCH(J133,児童名簿!$F$2:$F$301,0)),""))</f>
        <v/>
      </c>
      <c r="H133" s="19">
        <f>IF(J133="","",IF(G133="","名簿にいない",IF(COUNTIF(J134:J$402,J133)&gt;0,"2回提出（下の行を使います）",IF(OR(AND(D133&lt;&gt;"",COUNTIF(設定!$G$8:$G$27,D133)=0),AND(E133&lt;&gt;"",COUNTIF(設定!$G$8:$G$27,E133)=0),AND(F133&lt;&gt;"",COUNTIF(設定!$G$8:$G$27,F133)=0)),"委員会名がちがう",IF(D133="","第1希望がない",IF(OR(AND(D133&lt;&gt;"",D133=E133),AND(D133&lt;&gt;"",D133=F133),AND(E133&lt;&gt;"",E133=F133)),"同じ委員会を重複して希望","OK"))))))</f>
        <v/>
      </c>
      <c r="J133" s="8">
        <f>IF(A133="","",A133&amp;"-"&amp;B133&amp;"-"&amp;C133)</f>
        <v/>
      </c>
      <c r="K133" s="8">
        <f>IF(OR(J133="",G133=""),"",IF(COUNTIF(J134:J$402,J133)=0,J133,""))</f>
        <v/>
      </c>
    </row>
    <row r="134">
      <c r="A134" s="15" t="n">
        <v>5</v>
      </c>
      <c r="B134" s="15" t="inlineStr">
        <is>
          <t>梅</t>
        </is>
      </c>
      <c r="C134" s="15" t="n">
        <v>21</v>
      </c>
      <c r="D134" s="15" t="inlineStr">
        <is>
          <t>図書</t>
        </is>
      </c>
      <c r="E134" s="15" t="inlineStr">
        <is>
          <t>飼育</t>
        </is>
      </c>
      <c r="F134" s="15" t="inlineStr">
        <is>
          <t>集会</t>
        </is>
      </c>
      <c r="G134" s="3">
        <f>IF(J134="","",IFERROR(INDEX(児童名簿!$D$2:$D$301,MATCH(J134,児童名簿!$F$2:$F$301,0)),""))</f>
        <v/>
      </c>
      <c r="H134" s="19">
        <f>IF(J134="","",IF(G134="","名簿にいない",IF(COUNTIF(J135:J$402,J134)&gt;0,"2回提出（下の行を使います）",IF(OR(AND(D134&lt;&gt;"",COUNTIF(設定!$G$8:$G$27,D134)=0),AND(E134&lt;&gt;"",COUNTIF(設定!$G$8:$G$27,E134)=0),AND(F134&lt;&gt;"",COUNTIF(設定!$G$8:$G$27,F134)=0)),"委員会名がちがう",IF(D134="","第1希望がない",IF(OR(AND(D134&lt;&gt;"",D134=E134),AND(D134&lt;&gt;"",D134=F134),AND(E134&lt;&gt;"",E134=F134)),"同じ委員会を重複して希望","OK"))))))</f>
        <v/>
      </c>
      <c r="J134" s="8">
        <f>IF(A134="","",A134&amp;"-"&amp;B134&amp;"-"&amp;C134)</f>
        <v/>
      </c>
      <c r="K134" s="8">
        <f>IF(OR(J134="",G134=""),"",IF(COUNTIF(J135:J$402,J134)=0,J134,""))</f>
        <v/>
      </c>
    </row>
    <row r="135">
      <c r="A135" s="15" t="n">
        <v>6</v>
      </c>
      <c r="B135" s="15" t="inlineStr">
        <is>
          <t>梅</t>
        </is>
      </c>
      <c r="C135" s="15" t="n">
        <v>12</v>
      </c>
      <c r="D135" s="15" t="inlineStr">
        <is>
          <t>図書</t>
        </is>
      </c>
      <c r="E135" s="15" t="inlineStr">
        <is>
          <t>給食</t>
        </is>
      </c>
      <c r="F135" s="15" t="inlineStr">
        <is>
          <t>環境</t>
        </is>
      </c>
      <c r="G135" s="3">
        <f>IF(J135="","",IFERROR(INDEX(児童名簿!$D$2:$D$301,MATCH(J135,児童名簿!$F$2:$F$301,0)),""))</f>
        <v/>
      </c>
      <c r="H135" s="19">
        <f>IF(J135="","",IF(G135="","名簿にいない",IF(COUNTIF(J136:J$402,J135)&gt;0,"2回提出（下の行を使います）",IF(OR(AND(D135&lt;&gt;"",COUNTIF(設定!$G$8:$G$27,D135)=0),AND(E135&lt;&gt;"",COUNTIF(設定!$G$8:$G$27,E135)=0),AND(F135&lt;&gt;"",COUNTIF(設定!$G$8:$G$27,F135)=0)),"委員会名がちがう",IF(D135="","第1希望がない",IF(OR(AND(D135&lt;&gt;"",D135=E135),AND(D135&lt;&gt;"",D135=F135),AND(E135&lt;&gt;"",E135=F135)),"同じ委員会を重複して希望","OK"))))))</f>
        <v/>
      </c>
      <c r="J135" s="8">
        <f>IF(A135="","",A135&amp;"-"&amp;B135&amp;"-"&amp;C135)</f>
        <v/>
      </c>
      <c r="K135" s="8">
        <f>IF(OR(J135="",G135=""),"",IF(COUNTIF(J136:J$402,J135)=0,J135,""))</f>
        <v/>
      </c>
    </row>
    <row r="136">
      <c r="A136" s="15" t="n">
        <v>5</v>
      </c>
      <c r="B136" s="15" t="inlineStr">
        <is>
          <t>梅</t>
        </is>
      </c>
      <c r="C136" s="15" t="n">
        <v>25</v>
      </c>
      <c r="D136" s="15" t="inlineStr">
        <is>
          <t>給食</t>
        </is>
      </c>
      <c r="E136" s="15" t="inlineStr">
        <is>
          <t>体育</t>
        </is>
      </c>
      <c r="F136" s="15" t="inlineStr">
        <is>
          <t>集会</t>
        </is>
      </c>
      <c r="G136" s="3">
        <f>IF(J136="","",IFERROR(INDEX(児童名簿!$D$2:$D$301,MATCH(J136,児童名簿!$F$2:$F$301,0)),""))</f>
        <v/>
      </c>
      <c r="H136" s="19">
        <f>IF(J136="","",IF(G136="","名簿にいない",IF(COUNTIF(J137:J$402,J136)&gt;0,"2回提出（下の行を使います）",IF(OR(AND(D136&lt;&gt;"",COUNTIF(設定!$G$8:$G$27,D136)=0),AND(E136&lt;&gt;"",COUNTIF(設定!$G$8:$G$27,E136)=0),AND(F136&lt;&gt;"",COUNTIF(設定!$G$8:$G$27,F136)=0)),"委員会名がちがう",IF(D136="","第1希望がない",IF(OR(AND(D136&lt;&gt;"",D136=E136),AND(D136&lt;&gt;"",D136=F136),AND(E136&lt;&gt;"",E136=F136)),"同じ委員会を重複して希望","OK"))))))</f>
        <v/>
      </c>
      <c r="J136" s="8">
        <f>IF(A136="","",A136&amp;"-"&amp;B136&amp;"-"&amp;C136)</f>
        <v/>
      </c>
      <c r="K136" s="8">
        <f>IF(OR(J136="",G136=""),"",IF(COUNTIF(J137:J$402,J136)=0,J136,""))</f>
        <v/>
      </c>
    </row>
    <row r="137">
      <c r="A137" s="15" t="n">
        <v>5</v>
      </c>
      <c r="B137" s="15" t="inlineStr">
        <is>
          <t>月</t>
        </is>
      </c>
      <c r="C137" s="15" t="n">
        <v>9</v>
      </c>
      <c r="D137" s="15" t="inlineStr">
        <is>
          <t>環境</t>
        </is>
      </c>
      <c r="E137" s="15" t="inlineStr">
        <is>
          <t>体育</t>
        </is>
      </c>
      <c r="F137" s="15" t="inlineStr">
        <is>
          <t>放送</t>
        </is>
      </c>
      <c r="G137" s="3">
        <f>IF(J137="","",IFERROR(INDEX(児童名簿!$D$2:$D$301,MATCH(J137,児童名簿!$F$2:$F$301,0)),""))</f>
        <v/>
      </c>
      <c r="H137" s="19">
        <f>IF(J137="","",IF(G137="","名簿にいない",IF(COUNTIF(J138:J$402,J137)&gt;0,"2回提出（下の行を使います）",IF(OR(AND(D137&lt;&gt;"",COUNTIF(設定!$G$8:$G$27,D137)=0),AND(E137&lt;&gt;"",COUNTIF(設定!$G$8:$G$27,E137)=0),AND(F137&lt;&gt;"",COUNTIF(設定!$G$8:$G$27,F137)=0)),"委員会名がちがう",IF(D137="","第1希望がない",IF(OR(AND(D137&lt;&gt;"",D137=E137),AND(D137&lt;&gt;"",D137=F137),AND(E137&lt;&gt;"",E137=F137)),"同じ委員会を重複して希望","OK"))))))</f>
        <v/>
      </c>
      <c r="J137" s="8">
        <f>IF(A137="","",A137&amp;"-"&amp;B137&amp;"-"&amp;C137)</f>
        <v/>
      </c>
      <c r="K137" s="8">
        <f>IF(OR(J137="",G137=""),"",IF(COUNTIF(J138:J$402,J137)=0,J137,""))</f>
        <v/>
      </c>
    </row>
    <row r="138">
      <c r="A138" s="15" t="n">
        <v>6</v>
      </c>
      <c r="B138" s="15" t="inlineStr">
        <is>
          <t>梅</t>
        </is>
      </c>
      <c r="C138" s="15" t="n">
        <v>6</v>
      </c>
      <c r="D138" s="15" t="inlineStr">
        <is>
          <t>保健</t>
        </is>
      </c>
      <c r="E138" s="15" t="inlineStr">
        <is>
          <t>体育</t>
        </is>
      </c>
      <c r="F138" s="15" t="inlineStr">
        <is>
          <t>音楽</t>
        </is>
      </c>
      <c r="G138" s="3">
        <f>IF(J138="","",IFERROR(INDEX(児童名簿!$D$2:$D$301,MATCH(J138,児童名簿!$F$2:$F$301,0)),""))</f>
        <v/>
      </c>
      <c r="H138" s="19">
        <f>IF(J138="","",IF(G138="","名簿にいない",IF(COUNTIF(J139:J$402,J138)&gt;0,"2回提出（下の行を使います）",IF(OR(AND(D138&lt;&gt;"",COUNTIF(設定!$G$8:$G$27,D138)=0),AND(E138&lt;&gt;"",COUNTIF(設定!$G$8:$G$27,E138)=0),AND(F138&lt;&gt;"",COUNTIF(設定!$G$8:$G$27,F138)=0)),"委員会名がちがう",IF(D138="","第1希望がない",IF(OR(AND(D138&lt;&gt;"",D138=E138),AND(D138&lt;&gt;"",D138=F138),AND(E138&lt;&gt;"",E138=F138)),"同じ委員会を重複して希望","OK"))))))</f>
        <v/>
      </c>
      <c r="J138" s="8">
        <f>IF(A138="","",A138&amp;"-"&amp;B138&amp;"-"&amp;C138)</f>
        <v/>
      </c>
      <c r="K138" s="8">
        <f>IF(OR(J138="",G138=""),"",IF(COUNTIF(J139:J$402,J138)=0,J138,""))</f>
        <v/>
      </c>
    </row>
    <row r="139">
      <c r="A139" s="15" t="n">
        <v>6</v>
      </c>
      <c r="B139" s="15" t="inlineStr">
        <is>
          <t>月</t>
        </is>
      </c>
      <c r="C139" s="15" t="n">
        <v>1</v>
      </c>
      <c r="D139" s="15" t="inlineStr">
        <is>
          <t>音楽</t>
        </is>
      </c>
      <c r="E139" s="15" t="inlineStr">
        <is>
          <t>広報</t>
        </is>
      </c>
      <c r="F139" s="15" t="inlineStr">
        <is>
          <t>給食</t>
        </is>
      </c>
      <c r="G139" s="3">
        <f>IF(J139="","",IFERROR(INDEX(児童名簿!$D$2:$D$301,MATCH(J139,児童名簿!$F$2:$F$301,0)),""))</f>
        <v/>
      </c>
      <c r="H139" s="19">
        <f>IF(J139="","",IF(G139="","名簿にいない",IF(COUNTIF(J140:J$402,J139)&gt;0,"2回提出（下の行を使います）",IF(OR(AND(D139&lt;&gt;"",COUNTIF(設定!$G$8:$G$27,D139)=0),AND(E139&lt;&gt;"",COUNTIF(設定!$G$8:$G$27,E139)=0),AND(F139&lt;&gt;"",COUNTIF(設定!$G$8:$G$27,F139)=0)),"委員会名がちがう",IF(D139="","第1希望がない",IF(OR(AND(D139&lt;&gt;"",D139=E139),AND(D139&lt;&gt;"",D139=F139),AND(E139&lt;&gt;"",E139=F139)),"同じ委員会を重複して希望","OK"))))))</f>
        <v/>
      </c>
      <c r="J139" s="8">
        <f>IF(A139="","",A139&amp;"-"&amp;B139&amp;"-"&amp;C139)</f>
        <v/>
      </c>
      <c r="K139" s="8">
        <f>IF(OR(J139="",G139=""),"",IF(COUNTIF(J140:J$402,J139)=0,J139,""))</f>
        <v/>
      </c>
    </row>
    <row r="140">
      <c r="A140" s="15" t="n">
        <v>5</v>
      </c>
      <c r="B140" s="15" t="inlineStr">
        <is>
          <t>松</t>
        </is>
      </c>
      <c r="C140" s="15" t="n">
        <v>29</v>
      </c>
      <c r="D140" s="15" t="inlineStr">
        <is>
          <t>体育</t>
        </is>
      </c>
      <c r="E140" s="15" t="inlineStr">
        <is>
          <t>環境</t>
        </is>
      </c>
      <c r="F140" s="15" t="inlineStr">
        <is>
          <t>給食</t>
        </is>
      </c>
      <c r="G140" s="3">
        <f>IF(J140="","",IFERROR(INDEX(児童名簿!$D$2:$D$301,MATCH(J140,児童名簿!$F$2:$F$301,0)),""))</f>
        <v/>
      </c>
      <c r="H140" s="19">
        <f>IF(J140="","",IF(G140="","名簿にいない",IF(COUNTIF(J141:J$402,J140)&gt;0,"2回提出（下の行を使います）",IF(OR(AND(D140&lt;&gt;"",COUNTIF(設定!$G$8:$G$27,D140)=0),AND(E140&lt;&gt;"",COUNTIF(設定!$G$8:$G$27,E140)=0),AND(F140&lt;&gt;"",COUNTIF(設定!$G$8:$G$27,F140)=0)),"委員会名がちがう",IF(D140="","第1希望がない",IF(OR(AND(D140&lt;&gt;"",D140=E140),AND(D140&lt;&gt;"",D140=F140),AND(E140&lt;&gt;"",E140=F140)),"同じ委員会を重複して希望","OK"))))))</f>
        <v/>
      </c>
      <c r="J140" s="8">
        <f>IF(A140="","",A140&amp;"-"&amp;B140&amp;"-"&amp;C140)</f>
        <v/>
      </c>
      <c r="K140" s="8">
        <f>IF(OR(J140="",G140=""),"",IF(COUNTIF(J141:J$402,J140)=0,J140,""))</f>
        <v/>
      </c>
    </row>
    <row r="141">
      <c r="A141" s="15" t="n">
        <v>5</v>
      </c>
      <c r="B141" s="15" t="inlineStr">
        <is>
          <t>月</t>
        </is>
      </c>
      <c r="C141" s="15" t="n">
        <v>28</v>
      </c>
      <c r="D141" s="15" t="inlineStr">
        <is>
          <t>環境</t>
        </is>
      </c>
      <c r="E141" s="15" t="inlineStr">
        <is>
          <t>代表</t>
        </is>
      </c>
      <c r="F141" s="15" t="inlineStr">
        <is>
          <t>掲示</t>
        </is>
      </c>
      <c r="G141" s="3">
        <f>IF(J141="","",IFERROR(INDEX(児童名簿!$D$2:$D$301,MATCH(J141,児童名簿!$F$2:$F$301,0)),""))</f>
        <v/>
      </c>
      <c r="H141" s="19">
        <f>IF(J141="","",IF(G141="","名簿にいない",IF(COUNTIF(J142:J$402,J141)&gt;0,"2回提出（下の行を使います）",IF(OR(AND(D141&lt;&gt;"",COUNTIF(設定!$G$8:$G$27,D141)=0),AND(E141&lt;&gt;"",COUNTIF(設定!$G$8:$G$27,E141)=0),AND(F141&lt;&gt;"",COUNTIF(設定!$G$8:$G$27,F141)=0)),"委員会名がちがう",IF(D141="","第1希望がない",IF(OR(AND(D141&lt;&gt;"",D141=E141),AND(D141&lt;&gt;"",D141=F141),AND(E141&lt;&gt;"",E141=F141)),"同じ委員会を重複して希望","OK"))))))</f>
        <v/>
      </c>
      <c r="J141" s="8">
        <f>IF(A141="","",A141&amp;"-"&amp;B141&amp;"-"&amp;C141)</f>
        <v/>
      </c>
      <c r="K141" s="8">
        <f>IF(OR(J141="",G141=""),"",IF(COUNTIF(J142:J$402,J141)=0,J141,""))</f>
        <v/>
      </c>
    </row>
    <row r="142">
      <c r="A142" s="15" t="n">
        <v>6</v>
      </c>
      <c r="B142" s="15" t="inlineStr">
        <is>
          <t>竹</t>
        </is>
      </c>
      <c r="C142" s="15" t="n">
        <v>14</v>
      </c>
      <c r="D142" s="15" t="inlineStr">
        <is>
          <t>環境</t>
        </is>
      </c>
      <c r="E142" s="15" t="inlineStr">
        <is>
          <t>掲示</t>
        </is>
      </c>
      <c r="F142" s="15" t="inlineStr">
        <is>
          <t>集会</t>
        </is>
      </c>
      <c r="G142" s="3">
        <f>IF(J142="","",IFERROR(INDEX(児童名簿!$D$2:$D$301,MATCH(J142,児童名簿!$F$2:$F$301,0)),""))</f>
        <v/>
      </c>
      <c r="H142" s="19">
        <f>IF(J142="","",IF(G142="","名簿にいない",IF(COUNTIF(J143:J$402,J142)&gt;0,"2回提出（下の行を使います）",IF(OR(AND(D142&lt;&gt;"",COUNTIF(設定!$G$8:$G$27,D142)=0),AND(E142&lt;&gt;"",COUNTIF(設定!$G$8:$G$27,E142)=0),AND(F142&lt;&gt;"",COUNTIF(設定!$G$8:$G$27,F142)=0)),"委員会名がちがう",IF(D142="","第1希望がない",IF(OR(AND(D142&lt;&gt;"",D142=E142),AND(D142&lt;&gt;"",D142=F142),AND(E142&lt;&gt;"",E142=F142)),"同じ委員会を重複して希望","OK"))))))</f>
        <v/>
      </c>
      <c r="J142" s="8">
        <f>IF(A142="","",A142&amp;"-"&amp;B142&amp;"-"&amp;C142)</f>
        <v/>
      </c>
      <c r="K142" s="8">
        <f>IF(OR(J142="",G142=""),"",IF(COUNTIF(J143:J$402,J142)=0,J142,""))</f>
        <v/>
      </c>
    </row>
    <row r="143">
      <c r="A143" s="15" t="n">
        <v>6</v>
      </c>
      <c r="B143" s="15" t="inlineStr">
        <is>
          <t>梅</t>
        </is>
      </c>
      <c r="C143" s="15" t="n">
        <v>15</v>
      </c>
      <c r="D143" s="15" t="inlineStr">
        <is>
          <t>給食</t>
        </is>
      </c>
      <c r="E143" s="15" t="inlineStr">
        <is>
          <t>保健</t>
        </is>
      </c>
      <c r="F143" s="15" t="inlineStr">
        <is>
          <t>体育</t>
        </is>
      </c>
      <c r="G143" s="3">
        <f>IF(J143="","",IFERROR(INDEX(児童名簿!$D$2:$D$301,MATCH(J143,児童名簿!$F$2:$F$301,0)),""))</f>
        <v/>
      </c>
      <c r="H143" s="19">
        <f>IF(J143="","",IF(G143="","名簿にいない",IF(COUNTIF(J144:J$402,J143)&gt;0,"2回提出（下の行を使います）",IF(OR(AND(D143&lt;&gt;"",COUNTIF(設定!$G$8:$G$27,D143)=0),AND(E143&lt;&gt;"",COUNTIF(設定!$G$8:$G$27,E143)=0),AND(F143&lt;&gt;"",COUNTIF(設定!$G$8:$G$27,F143)=0)),"委員会名がちがう",IF(D143="","第1希望がない",IF(OR(AND(D143&lt;&gt;"",D143=E143),AND(D143&lt;&gt;"",D143=F143),AND(E143&lt;&gt;"",E143=F143)),"同じ委員会を重複して希望","OK"))))))</f>
        <v/>
      </c>
      <c r="J143" s="8">
        <f>IF(A143="","",A143&amp;"-"&amp;B143&amp;"-"&amp;C143)</f>
        <v/>
      </c>
      <c r="K143" s="8">
        <f>IF(OR(J143="",G143=""),"",IF(COUNTIF(J144:J$402,J143)=0,J143,""))</f>
        <v/>
      </c>
    </row>
    <row r="144">
      <c r="A144" s="15" t="n">
        <v>5</v>
      </c>
      <c r="B144" s="15" t="inlineStr">
        <is>
          <t>月</t>
        </is>
      </c>
      <c r="C144" s="15" t="n">
        <v>30</v>
      </c>
      <c r="D144" s="15" t="inlineStr">
        <is>
          <t>代表</t>
        </is>
      </c>
      <c r="E144" s="15" t="inlineStr">
        <is>
          <t>放送</t>
        </is>
      </c>
      <c r="F144" s="15" t="inlineStr">
        <is>
          <t>掲示</t>
        </is>
      </c>
      <c r="G144" s="3">
        <f>IF(J144="","",IFERROR(INDEX(児童名簿!$D$2:$D$301,MATCH(J144,児童名簿!$F$2:$F$301,0)),""))</f>
        <v/>
      </c>
      <c r="H144" s="19">
        <f>IF(J144="","",IF(G144="","名簿にいない",IF(COUNTIF(J145:J$402,J144)&gt;0,"2回提出（下の行を使います）",IF(OR(AND(D144&lt;&gt;"",COUNTIF(設定!$G$8:$G$27,D144)=0),AND(E144&lt;&gt;"",COUNTIF(設定!$G$8:$G$27,E144)=0),AND(F144&lt;&gt;"",COUNTIF(設定!$G$8:$G$27,F144)=0)),"委員会名がちがう",IF(D144="","第1希望がない",IF(OR(AND(D144&lt;&gt;"",D144=E144),AND(D144&lt;&gt;"",D144=F144),AND(E144&lt;&gt;"",E144=F144)),"同じ委員会を重複して希望","OK"))))))</f>
        <v/>
      </c>
      <c r="J144" s="8">
        <f>IF(A144="","",A144&amp;"-"&amp;B144&amp;"-"&amp;C144)</f>
        <v/>
      </c>
      <c r="K144" s="8">
        <f>IF(OR(J144="",G144=""),"",IF(COUNTIF(J145:J$402,J144)=0,J144,""))</f>
        <v/>
      </c>
    </row>
    <row r="145">
      <c r="A145" s="15" t="n">
        <v>5</v>
      </c>
      <c r="B145" s="15" t="inlineStr">
        <is>
          <t>竹</t>
        </is>
      </c>
      <c r="C145" s="15" t="n">
        <v>9</v>
      </c>
      <c r="D145" s="15" t="inlineStr">
        <is>
          <t>体育</t>
        </is>
      </c>
      <c r="E145" s="15" t="inlineStr">
        <is>
          <t>環境</t>
        </is>
      </c>
      <c r="F145" s="15" t="inlineStr">
        <is>
          <t>掲示</t>
        </is>
      </c>
      <c r="G145" s="3">
        <f>IF(J145="","",IFERROR(INDEX(児童名簿!$D$2:$D$301,MATCH(J145,児童名簿!$F$2:$F$301,0)),""))</f>
        <v/>
      </c>
      <c r="H145" s="19">
        <f>IF(J145="","",IF(G145="","名簿にいない",IF(COUNTIF(J146:J$402,J145)&gt;0,"2回提出（下の行を使います）",IF(OR(AND(D145&lt;&gt;"",COUNTIF(設定!$G$8:$G$27,D145)=0),AND(E145&lt;&gt;"",COUNTIF(設定!$G$8:$G$27,E145)=0),AND(F145&lt;&gt;"",COUNTIF(設定!$G$8:$G$27,F145)=0)),"委員会名がちがう",IF(D145="","第1希望がない",IF(OR(AND(D145&lt;&gt;"",D145=E145),AND(D145&lt;&gt;"",D145=F145),AND(E145&lt;&gt;"",E145=F145)),"同じ委員会を重複して希望","OK"))))))</f>
        <v/>
      </c>
      <c r="J145" s="8">
        <f>IF(A145="","",A145&amp;"-"&amp;B145&amp;"-"&amp;C145)</f>
        <v/>
      </c>
      <c r="K145" s="8">
        <f>IF(OR(J145="",G145=""),"",IF(COUNTIF(J146:J$402,J145)=0,J145,""))</f>
        <v/>
      </c>
    </row>
    <row r="146">
      <c r="A146" s="15" t="n">
        <v>5</v>
      </c>
      <c r="B146" s="15" t="inlineStr">
        <is>
          <t>月</t>
        </is>
      </c>
      <c r="C146" s="15" t="n">
        <v>2</v>
      </c>
      <c r="D146" s="15" t="inlineStr">
        <is>
          <t>放送</t>
        </is>
      </c>
      <c r="E146" s="15" t="inlineStr">
        <is>
          <t>保健</t>
        </is>
      </c>
      <c r="F146" s="15" t="inlineStr">
        <is>
          <t>代表</t>
        </is>
      </c>
      <c r="G146" s="3">
        <f>IF(J146="","",IFERROR(INDEX(児童名簿!$D$2:$D$301,MATCH(J146,児童名簿!$F$2:$F$301,0)),""))</f>
        <v/>
      </c>
      <c r="H146" s="19">
        <f>IF(J146="","",IF(G146="","名簿にいない",IF(COUNTIF(J147:J$402,J146)&gt;0,"2回提出（下の行を使います）",IF(OR(AND(D146&lt;&gt;"",COUNTIF(設定!$G$8:$G$27,D146)=0),AND(E146&lt;&gt;"",COUNTIF(設定!$G$8:$G$27,E146)=0),AND(F146&lt;&gt;"",COUNTIF(設定!$G$8:$G$27,F146)=0)),"委員会名がちがう",IF(D146="","第1希望がない",IF(OR(AND(D146&lt;&gt;"",D146=E146),AND(D146&lt;&gt;"",D146=F146),AND(E146&lt;&gt;"",E146=F146)),"同じ委員会を重複して希望","OK"))))))</f>
        <v/>
      </c>
      <c r="J146" s="8">
        <f>IF(A146="","",A146&amp;"-"&amp;B146&amp;"-"&amp;C146)</f>
        <v/>
      </c>
      <c r="K146" s="8">
        <f>IF(OR(J146="",G146=""),"",IF(COUNTIF(J147:J$402,J146)=0,J146,""))</f>
        <v/>
      </c>
    </row>
    <row r="147">
      <c r="A147" s="15" t="n">
        <v>6</v>
      </c>
      <c r="B147" s="15" t="inlineStr">
        <is>
          <t>松</t>
        </is>
      </c>
      <c r="C147" s="15" t="n">
        <v>29</v>
      </c>
      <c r="D147" s="15" t="inlineStr">
        <is>
          <t>体育</t>
        </is>
      </c>
      <c r="E147" s="15" t="inlineStr">
        <is>
          <t>保健</t>
        </is>
      </c>
      <c r="F147" s="15" t="inlineStr">
        <is>
          <t>代表</t>
        </is>
      </c>
      <c r="G147" s="3">
        <f>IF(J147="","",IFERROR(INDEX(児童名簿!$D$2:$D$301,MATCH(J147,児童名簿!$F$2:$F$301,0)),""))</f>
        <v/>
      </c>
      <c r="H147" s="19">
        <f>IF(J147="","",IF(G147="","名簿にいない",IF(COUNTIF(J148:J$402,J147)&gt;0,"2回提出（下の行を使います）",IF(OR(AND(D147&lt;&gt;"",COUNTIF(設定!$G$8:$G$27,D147)=0),AND(E147&lt;&gt;"",COUNTIF(設定!$G$8:$G$27,E147)=0),AND(F147&lt;&gt;"",COUNTIF(設定!$G$8:$G$27,F147)=0)),"委員会名がちがう",IF(D147="","第1希望がない",IF(OR(AND(D147&lt;&gt;"",D147=E147),AND(D147&lt;&gt;"",D147=F147),AND(E147&lt;&gt;"",E147=F147)),"同じ委員会を重複して希望","OK"))))))</f>
        <v/>
      </c>
      <c r="J147" s="8">
        <f>IF(A147="","",A147&amp;"-"&amp;B147&amp;"-"&amp;C147)</f>
        <v/>
      </c>
      <c r="K147" s="8">
        <f>IF(OR(J147="",G147=""),"",IF(COUNTIF(J148:J$402,J147)=0,J147,""))</f>
        <v/>
      </c>
    </row>
    <row r="148">
      <c r="A148" s="15" t="n">
        <v>6</v>
      </c>
      <c r="B148" s="15" t="inlineStr">
        <is>
          <t>松</t>
        </is>
      </c>
      <c r="C148" s="15" t="n">
        <v>17</v>
      </c>
      <c r="D148" s="15" t="inlineStr">
        <is>
          <t>体育</t>
        </is>
      </c>
      <c r="E148" s="15" t="inlineStr">
        <is>
          <t>環境</t>
        </is>
      </c>
      <c r="F148" s="15" t="inlineStr">
        <is>
          <t>集会</t>
        </is>
      </c>
      <c r="G148" s="3">
        <f>IF(J148="","",IFERROR(INDEX(児童名簿!$D$2:$D$301,MATCH(J148,児童名簿!$F$2:$F$301,0)),""))</f>
        <v/>
      </c>
      <c r="H148" s="19">
        <f>IF(J148="","",IF(G148="","名簿にいない",IF(COUNTIF(J149:J$402,J148)&gt;0,"2回提出（下の行を使います）",IF(OR(AND(D148&lt;&gt;"",COUNTIF(設定!$G$8:$G$27,D148)=0),AND(E148&lt;&gt;"",COUNTIF(設定!$G$8:$G$27,E148)=0),AND(F148&lt;&gt;"",COUNTIF(設定!$G$8:$G$27,F148)=0)),"委員会名がちがう",IF(D148="","第1希望がない",IF(OR(AND(D148&lt;&gt;"",D148=E148),AND(D148&lt;&gt;"",D148=F148),AND(E148&lt;&gt;"",E148=F148)),"同じ委員会を重複して希望","OK"))))))</f>
        <v/>
      </c>
      <c r="J148" s="8">
        <f>IF(A148="","",A148&amp;"-"&amp;B148&amp;"-"&amp;C148)</f>
        <v/>
      </c>
      <c r="K148" s="8">
        <f>IF(OR(J148="",G148=""),"",IF(COUNTIF(J149:J$402,J148)=0,J148,""))</f>
        <v/>
      </c>
    </row>
    <row r="149">
      <c r="A149" s="15" t="n">
        <v>6</v>
      </c>
      <c r="B149" s="15" t="inlineStr">
        <is>
          <t>松</t>
        </is>
      </c>
      <c r="C149" s="15" t="n">
        <v>7</v>
      </c>
      <c r="D149" s="15" t="inlineStr">
        <is>
          <t>体育</t>
        </is>
      </c>
      <c r="E149" s="15" t="inlineStr">
        <is>
          <t>環境</t>
        </is>
      </c>
      <c r="F149" s="15" t="inlineStr">
        <is>
          <t>飼育</t>
        </is>
      </c>
      <c r="G149" s="3">
        <f>IF(J149="","",IFERROR(INDEX(児童名簿!$D$2:$D$301,MATCH(J149,児童名簿!$F$2:$F$301,0)),""))</f>
        <v/>
      </c>
      <c r="H149" s="19">
        <f>IF(J149="","",IF(G149="","名簿にいない",IF(COUNTIF(J150:J$402,J149)&gt;0,"2回提出（下の行を使います）",IF(OR(AND(D149&lt;&gt;"",COUNTIF(設定!$G$8:$G$27,D149)=0),AND(E149&lt;&gt;"",COUNTIF(設定!$G$8:$G$27,E149)=0),AND(F149&lt;&gt;"",COUNTIF(設定!$G$8:$G$27,F149)=0)),"委員会名がちがう",IF(D149="","第1希望がない",IF(OR(AND(D149&lt;&gt;"",D149=E149),AND(D149&lt;&gt;"",D149=F149),AND(E149&lt;&gt;"",E149=F149)),"同じ委員会を重複して希望","OK"))))))</f>
        <v/>
      </c>
      <c r="J149" s="8">
        <f>IF(A149="","",A149&amp;"-"&amp;B149&amp;"-"&amp;C149)</f>
        <v/>
      </c>
      <c r="K149" s="8">
        <f>IF(OR(J149="",G149=""),"",IF(COUNTIF(J150:J$402,J149)=0,J149,""))</f>
        <v/>
      </c>
    </row>
    <row r="150">
      <c r="A150" s="15" t="n">
        <v>6</v>
      </c>
      <c r="B150" s="15" t="inlineStr">
        <is>
          <t>竹</t>
        </is>
      </c>
      <c r="C150" s="15" t="n">
        <v>5</v>
      </c>
      <c r="D150" s="15" t="inlineStr">
        <is>
          <t>代表</t>
        </is>
      </c>
      <c r="E150" s="15" t="inlineStr">
        <is>
          <t>体育</t>
        </is>
      </c>
      <c r="F150" s="15" t="inlineStr">
        <is>
          <t>放送</t>
        </is>
      </c>
      <c r="G150" s="3">
        <f>IF(J150="","",IFERROR(INDEX(児童名簿!$D$2:$D$301,MATCH(J150,児童名簿!$F$2:$F$301,0)),""))</f>
        <v/>
      </c>
      <c r="H150" s="19">
        <f>IF(J150="","",IF(G150="","名簿にいない",IF(COUNTIF(J151:J$402,J150)&gt;0,"2回提出（下の行を使います）",IF(OR(AND(D150&lt;&gt;"",COUNTIF(設定!$G$8:$G$27,D150)=0),AND(E150&lt;&gt;"",COUNTIF(設定!$G$8:$G$27,E150)=0),AND(F150&lt;&gt;"",COUNTIF(設定!$G$8:$G$27,F150)=0)),"委員会名がちがう",IF(D150="","第1希望がない",IF(OR(AND(D150&lt;&gt;"",D150=E150),AND(D150&lt;&gt;"",D150=F150),AND(E150&lt;&gt;"",E150=F150)),"同じ委員会を重複して希望","OK"))))))</f>
        <v/>
      </c>
      <c r="J150" s="8">
        <f>IF(A150="","",A150&amp;"-"&amp;B150&amp;"-"&amp;C150)</f>
        <v/>
      </c>
      <c r="K150" s="8">
        <f>IF(OR(J150="",G150=""),"",IF(COUNTIF(J151:J$402,J150)=0,J150,""))</f>
        <v/>
      </c>
    </row>
    <row r="151">
      <c r="A151" s="15" t="n">
        <v>6</v>
      </c>
      <c r="B151" s="15" t="inlineStr">
        <is>
          <t>月</t>
        </is>
      </c>
      <c r="C151" s="15" t="n">
        <v>8</v>
      </c>
      <c r="D151" s="15" t="inlineStr">
        <is>
          <t>掲示</t>
        </is>
      </c>
      <c r="E151" s="15" t="inlineStr">
        <is>
          <t>代表</t>
        </is>
      </c>
      <c r="F151" s="15" t="inlineStr">
        <is>
          <t>体育</t>
        </is>
      </c>
      <c r="G151" s="3">
        <f>IF(J151="","",IFERROR(INDEX(児童名簿!$D$2:$D$301,MATCH(J151,児童名簿!$F$2:$F$301,0)),""))</f>
        <v/>
      </c>
      <c r="H151" s="19">
        <f>IF(J151="","",IF(G151="","名簿にいない",IF(COUNTIF(J152:J$402,J151)&gt;0,"2回提出（下の行を使います）",IF(OR(AND(D151&lt;&gt;"",COUNTIF(設定!$G$8:$G$27,D151)=0),AND(E151&lt;&gt;"",COUNTIF(設定!$G$8:$G$27,E151)=0),AND(F151&lt;&gt;"",COUNTIF(設定!$G$8:$G$27,F151)=0)),"委員会名がちがう",IF(D151="","第1希望がない",IF(OR(AND(D151&lt;&gt;"",D151=E151),AND(D151&lt;&gt;"",D151=F151),AND(E151&lt;&gt;"",E151=F151)),"同じ委員会を重複して希望","OK"))))))</f>
        <v/>
      </c>
      <c r="J151" s="8">
        <f>IF(A151="","",A151&amp;"-"&amp;B151&amp;"-"&amp;C151)</f>
        <v/>
      </c>
      <c r="K151" s="8">
        <f>IF(OR(J151="",G151=""),"",IF(COUNTIF(J152:J$402,J151)=0,J151,""))</f>
        <v/>
      </c>
    </row>
    <row r="152">
      <c r="A152" s="15" t="n">
        <v>5</v>
      </c>
      <c r="B152" s="15" t="inlineStr">
        <is>
          <t>竹</t>
        </is>
      </c>
      <c r="C152" s="15" t="n">
        <v>13</v>
      </c>
      <c r="D152" s="15" t="inlineStr">
        <is>
          <t>保健</t>
        </is>
      </c>
      <c r="E152" s="15" t="inlineStr">
        <is>
          <t>飼育</t>
        </is>
      </c>
      <c r="F152" s="15" t="inlineStr">
        <is>
          <t>掲示</t>
        </is>
      </c>
      <c r="G152" s="3">
        <f>IF(J152="","",IFERROR(INDEX(児童名簿!$D$2:$D$301,MATCH(J152,児童名簿!$F$2:$F$301,0)),""))</f>
        <v/>
      </c>
      <c r="H152" s="19">
        <f>IF(J152="","",IF(G152="","名簿にいない",IF(COUNTIF(J153:J$402,J152)&gt;0,"2回提出（下の行を使います）",IF(OR(AND(D152&lt;&gt;"",COUNTIF(設定!$G$8:$G$27,D152)=0),AND(E152&lt;&gt;"",COUNTIF(設定!$G$8:$G$27,E152)=0),AND(F152&lt;&gt;"",COUNTIF(設定!$G$8:$G$27,F152)=0)),"委員会名がちがう",IF(D152="","第1希望がない",IF(OR(AND(D152&lt;&gt;"",D152=E152),AND(D152&lt;&gt;"",D152=F152),AND(E152&lt;&gt;"",E152=F152)),"同じ委員会を重複して希望","OK"))))))</f>
        <v/>
      </c>
      <c r="J152" s="8">
        <f>IF(A152="","",A152&amp;"-"&amp;B152&amp;"-"&amp;C152)</f>
        <v/>
      </c>
      <c r="K152" s="8">
        <f>IF(OR(J152="",G152=""),"",IF(COUNTIF(J153:J$402,J152)=0,J152,""))</f>
        <v/>
      </c>
    </row>
    <row r="153">
      <c r="A153" s="15" t="n">
        <v>6</v>
      </c>
      <c r="B153" s="15" t="inlineStr">
        <is>
          <t>松</t>
        </is>
      </c>
      <c r="C153" s="15" t="n">
        <v>14</v>
      </c>
      <c r="D153" s="15" t="inlineStr">
        <is>
          <t>給食</t>
        </is>
      </c>
      <c r="E153" s="15" t="inlineStr">
        <is>
          <t>音楽</t>
        </is>
      </c>
      <c r="F153" s="15" t="inlineStr">
        <is>
          <t>飼育</t>
        </is>
      </c>
      <c r="G153" s="3">
        <f>IF(J153="","",IFERROR(INDEX(児童名簿!$D$2:$D$301,MATCH(J153,児童名簿!$F$2:$F$301,0)),""))</f>
        <v/>
      </c>
      <c r="H153" s="19">
        <f>IF(J153="","",IF(G153="","名簿にいない",IF(COUNTIF(J154:J$402,J153)&gt;0,"2回提出（下の行を使います）",IF(OR(AND(D153&lt;&gt;"",COUNTIF(設定!$G$8:$G$27,D153)=0),AND(E153&lt;&gt;"",COUNTIF(設定!$G$8:$G$27,E153)=0),AND(F153&lt;&gt;"",COUNTIF(設定!$G$8:$G$27,F153)=0)),"委員会名がちがう",IF(D153="","第1希望がない",IF(OR(AND(D153&lt;&gt;"",D153=E153),AND(D153&lt;&gt;"",D153=F153),AND(E153&lt;&gt;"",E153=F153)),"同じ委員会を重複して希望","OK"))))))</f>
        <v/>
      </c>
      <c r="J153" s="8">
        <f>IF(A153="","",A153&amp;"-"&amp;B153&amp;"-"&amp;C153)</f>
        <v/>
      </c>
      <c r="K153" s="8">
        <f>IF(OR(J153="",G153=""),"",IF(COUNTIF(J154:J$402,J153)=0,J153,""))</f>
        <v/>
      </c>
    </row>
    <row r="154">
      <c r="A154" s="15" t="n">
        <v>6</v>
      </c>
      <c r="B154" s="15" t="inlineStr">
        <is>
          <t>松</t>
        </is>
      </c>
      <c r="C154" s="15" t="n">
        <v>21</v>
      </c>
      <c r="D154" s="15" t="inlineStr">
        <is>
          <t>体育</t>
        </is>
      </c>
      <c r="E154" s="15" t="inlineStr">
        <is>
          <t>集会</t>
        </is>
      </c>
      <c r="F154" s="15" t="inlineStr">
        <is>
          <t>掲示</t>
        </is>
      </c>
      <c r="G154" s="3">
        <f>IF(J154="","",IFERROR(INDEX(児童名簿!$D$2:$D$301,MATCH(J154,児童名簿!$F$2:$F$301,0)),""))</f>
        <v/>
      </c>
      <c r="H154" s="19">
        <f>IF(J154="","",IF(G154="","名簿にいない",IF(COUNTIF(J155:J$402,J154)&gt;0,"2回提出（下の行を使います）",IF(OR(AND(D154&lt;&gt;"",COUNTIF(設定!$G$8:$G$27,D154)=0),AND(E154&lt;&gt;"",COUNTIF(設定!$G$8:$G$27,E154)=0),AND(F154&lt;&gt;"",COUNTIF(設定!$G$8:$G$27,F154)=0)),"委員会名がちがう",IF(D154="","第1希望がない",IF(OR(AND(D154&lt;&gt;"",D154=E154),AND(D154&lt;&gt;"",D154=F154),AND(E154&lt;&gt;"",E154=F154)),"同じ委員会を重複して希望","OK"))))))</f>
        <v/>
      </c>
      <c r="J154" s="8">
        <f>IF(A154="","",A154&amp;"-"&amp;B154&amp;"-"&amp;C154)</f>
        <v/>
      </c>
      <c r="K154" s="8">
        <f>IF(OR(J154="",G154=""),"",IF(COUNTIF(J155:J$402,J154)=0,J154,""))</f>
        <v/>
      </c>
    </row>
    <row r="155">
      <c r="A155" s="15" t="n">
        <v>5</v>
      </c>
      <c r="B155" s="15" t="inlineStr">
        <is>
          <t>梅</t>
        </is>
      </c>
      <c r="C155" s="15" t="n">
        <v>28</v>
      </c>
      <c r="D155" s="15" t="inlineStr">
        <is>
          <t>集会</t>
        </is>
      </c>
      <c r="E155" s="15" t="inlineStr">
        <is>
          <t>放送</t>
        </is>
      </c>
      <c r="F155" s="15" t="inlineStr">
        <is>
          <t>音楽</t>
        </is>
      </c>
      <c r="G155" s="3">
        <f>IF(J155="","",IFERROR(INDEX(児童名簿!$D$2:$D$301,MATCH(J155,児童名簿!$F$2:$F$301,0)),""))</f>
        <v/>
      </c>
      <c r="H155" s="19">
        <f>IF(J155="","",IF(G155="","名簿にいない",IF(COUNTIF(J156:J$402,J155)&gt;0,"2回提出（下の行を使います）",IF(OR(AND(D155&lt;&gt;"",COUNTIF(設定!$G$8:$G$27,D155)=0),AND(E155&lt;&gt;"",COUNTIF(設定!$G$8:$G$27,E155)=0),AND(F155&lt;&gt;"",COUNTIF(設定!$G$8:$G$27,F155)=0)),"委員会名がちがう",IF(D155="","第1希望がない",IF(OR(AND(D155&lt;&gt;"",D155=E155),AND(D155&lt;&gt;"",D155=F155),AND(E155&lt;&gt;"",E155=F155)),"同じ委員会を重複して希望","OK"))))))</f>
        <v/>
      </c>
      <c r="J155" s="8">
        <f>IF(A155="","",A155&amp;"-"&amp;B155&amp;"-"&amp;C155)</f>
        <v/>
      </c>
      <c r="K155" s="8">
        <f>IF(OR(J155="",G155=""),"",IF(COUNTIF(J156:J$402,J155)=0,J155,""))</f>
        <v/>
      </c>
    </row>
    <row r="156">
      <c r="A156" s="15" t="n">
        <v>6</v>
      </c>
      <c r="B156" s="15" t="inlineStr">
        <is>
          <t>梅</t>
        </is>
      </c>
      <c r="C156" s="15" t="n">
        <v>22</v>
      </c>
      <c r="D156" s="15" t="inlineStr">
        <is>
          <t>体育</t>
        </is>
      </c>
      <c r="E156" s="15" t="inlineStr">
        <is>
          <t>飼育</t>
        </is>
      </c>
      <c r="F156" s="15" t="inlineStr">
        <is>
          <t>掲示</t>
        </is>
      </c>
      <c r="G156" s="3">
        <f>IF(J156="","",IFERROR(INDEX(児童名簿!$D$2:$D$301,MATCH(J156,児童名簿!$F$2:$F$301,0)),""))</f>
        <v/>
      </c>
      <c r="H156" s="19">
        <f>IF(J156="","",IF(G156="","名簿にいない",IF(COUNTIF(J157:J$402,J156)&gt;0,"2回提出（下の行を使います）",IF(OR(AND(D156&lt;&gt;"",COUNTIF(設定!$G$8:$G$27,D156)=0),AND(E156&lt;&gt;"",COUNTIF(設定!$G$8:$G$27,E156)=0),AND(F156&lt;&gt;"",COUNTIF(設定!$G$8:$G$27,F156)=0)),"委員会名がちがう",IF(D156="","第1希望がない",IF(OR(AND(D156&lt;&gt;"",D156=E156),AND(D156&lt;&gt;"",D156=F156),AND(E156&lt;&gt;"",E156=F156)),"同じ委員会を重複して希望","OK"))))))</f>
        <v/>
      </c>
      <c r="J156" s="8">
        <f>IF(A156="","",A156&amp;"-"&amp;B156&amp;"-"&amp;C156)</f>
        <v/>
      </c>
      <c r="K156" s="8">
        <f>IF(OR(J156="",G156=""),"",IF(COUNTIF(J157:J$402,J156)=0,J156,""))</f>
        <v/>
      </c>
    </row>
    <row r="157">
      <c r="A157" s="15" t="n">
        <v>6</v>
      </c>
      <c r="B157" s="15" t="inlineStr">
        <is>
          <t>松</t>
        </is>
      </c>
      <c r="C157" s="15" t="n">
        <v>22</v>
      </c>
      <c r="D157" s="15" t="inlineStr">
        <is>
          <t>放送</t>
        </is>
      </c>
      <c r="E157" s="15" t="inlineStr">
        <is>
          <t>集会</t>
        </is>
      </c>
      <c r="F157" s="15" t="inlineStr">
        <is>
          <t>音楽</t>
        </is>
      </c>
      <c r="G157" s="3">
        <f>IF(J157="","",IFERROR(INDEX(児童名簿!$D$2:$D$301,MATCH(J157,児童名簿!$F$2:$F$301,0)),""))</f>
        <v/>
      </c>
      <c r="H157" s="19">
        <f>IF(J157="","",IF(G157="","名簿にいない",IF(COUNTIF(J158:J$402,J157)&gt;0,"2回提出（下の行を使います）",IF(OR(AND(D157&lt;&gt;"",COUNTIF(設定!$G$8:$G$27,D157)=0),AND(E157&lt;&gt;"",COUNTIF(設定!$G$8:$G$27,E157)=0),AND(F157&lt;&gt;"",COUNTIF(設定!$G$8:$G$27,F157)=0)),"委員会名がちがう",IF(D157="","第1希望がない",IF(OR(AND(D157&lt;&gt;"",D157=E157),AND(D157&lt;&gt;"",D157=F157),AND(E157&lt;&gt;"",E157=F157)),"同じ委員会を重複して希望","OK"))))))</f>
        <v/>
      </c>
      <c r="J157" s="8">
        <f>IF(A157="","",A157&amp;"-"&amp;B157&amp;"-"&amp;C157)</f>
        <v/>
      </c>
      <c r="K157" s="8">
        <f>IF(OR(J157="",G157=""),"",IF(COUNTIF(J158:J$402,J157)=0,J157,""))</f>
        <v/>
      </c>
    </row>
    <row r="158">
      <c r="A158" s="15" t="n">
        <v>6</v>
      </c>
      <c r="B158" s="15" t="inlineStr">
        <is>
          <t>竹</t>
        </is>
      </c>
      <c r="C158" s="15" t="n">
        <v>4</v>
      </c>
      <c r="D158" s="15" t="inlineStr">
        <is>
          <t>飼育</t>
        </is>
      </c>
      <c r="E158" s="15" t="inlineStr">
        <is>
          <t>体育</t>
        </is>
      </c>
      <c r="F158" s="15" t="inlineStr">
        <is>
          <t>保健</t>
        </is>
      </c>
      <c r="G158" s="3">
        <f>IF(J158="","",IFERROR(INDEX(児童名簿!$D$2:$D$301,MATCH(J158,児童名簿!$F$2:$F$301,0)),""))</f>
        <v/>
      </c>
      <c r="H158" s="19">
        <f>IF(J158="","",IF(G158="","名簿にいない",IF(COUNTIF(J159:J$402,J158)&gt;0,"2回提出（下の行を使います）",IF(OR(AND(D158&lt;&gt;"",COUNTIF(設定!$G$8:$G$27,D158)=0),AND(E158&lt;&gt;"",COUNTIF(設定!$G$8:$G$27,E158)=0),AND(F158&lt;&gt;"",COUNTIF(設定!$G$8:$G$27,F158)=0)),"委員会名がちがう",IF(D158="","第1希望がない",IF(OR(AND(D158&lt;&gt;"",D158=E158),AND(D158&lt;&gt;"",D158=F158),AND(E158&lt;&gt;"",E158=F158)),"同じ委員会を重複して希望","OK"))))))</f>
        <v/>
      </c>
      <c r="J158" s="8">
        <f>IF(A158="","",A158&amp;"-"&amp;B158&amp;"-"&amp;C158)</f>
        <v/>
      </c>
      <c r="K158" s="8">
        <f>IF(OR(J158="",G158=""),"",IF(COUNTIF(J159:J$402,J158)=0,J158,""))</f>
        <v/>
      </c>
    </row>
    <row r="159">
      <c r="A159" s="15" t="n">
        <v>5</v>
      </c>
      <c r="B159" s="15" t="inlineStr">
        <is>
          <t>月</t>
        </is>
      </c>
      <c r="C159" s="15" t="n">
        <v>20</v>
      </c>
      <c r="D159" s="15" t="inlineStr">
        <is>
          <t>保健</t>
        </is>
      </c>
      <c r="E159" s="15" t="inlineStr">
        <is>
          <t>放送</t>
        </is>
      </c>
      <c r="F159" s="15" t="inlineStr">
        <is>
          <t>図書</t>
        </is>
      </c>
      <c r="G159" s="3">
        <f>IF(J159="","",IFERROR(INDEX(児童名簿!$D$2:$D$301,MATCH(J159,児童名簿!$F$2:$F$301,0)),""))</f>
        <v/>
      </c>
      <c r="H159" s="19">
        <f>IF(J159="","",IF(G159="","名簿にいない",IF(COUNTIF(J160:J$402,J159)&gt;0,"2回提出（下の行を使います）",IF(OR(AND(D159&lt;&gt;"",COUNTIF(設定!$G$8:$G$27,D159)=0),AND(E159&lt;&gt;"",COUNTIF(設定!$G$8:$G$27,E159)=0),AND(F159&lt;&gt;"",COUNTIF(設定!$G$8:$G$27,F159)=0)),"委員会名がちがう",IF(D159="","第1希望がない",IF(OR(AND(D159&lt;&gt;"",D159=E159),AND(D159&lt;&gt;"",D159=F159),AND(E159&lt;&gt;"",E159=F159)),"同じ委員会を重複して希望","OK"))))))</f>
        <v/>
      </c>
      <c r="J159" s="8">
        <f>IF(A159="","",A159&amp;"-"&amp;B159&amp;"-"&amp;C159)</f>
        <v/>
      </c>
      <c r="K159" s="8">
        <f>IF(OR(J159="",G159=""),"",IF(COUNTIF(J160:J$402,J159)=0,J159,""))</f>
        <v/>
      </c>
    </row>
    <row r="160">
      <c r="A160" s="15" t="n">
        <v>5</v>
      </c>
      <c r="B160" s="15" t="inlineStr">
        <is>
          <t>月</t>
        </is>
      </c>
      <c r="C160" s="15" t="n">
        <v>1</v>
      </c>
      <c r="D160" s="15" t="inlineStr">
        <is>
          <t>代表</t>
        </is>
      </c>
      <c r="E160" s="15" t="inlineStr">
        <is>
          <t>広報</t>
        </is>
      </c>
      <c r="F160" s="15" t="inlineStr">
        <is>
          <t>図書</t>
        </is>
      </c>
      <c r="G160" s="3">
        <f>IF(J160="","",IFERROR(INDEX(児童名簿!$D$2:$D$301,MATCH(J160,児童名簿!$F$2:$F$301,0)),""))</f>
        <v/>
      </c>
      <c r="H160" s="19">
        <f>IF(J160="","",IF(G160="","名簿にいない",IF(COUNTIF(J161:J$402,J160)&gt;0,"2回提出（下の行を使います）",IF(OR(AND(D160&lt;&gt;"",COUNTIF(設定!$G$8:$G$27,D160)=0),AND(E160&lt;&gt;"",COUNTIF(設定!$G$8:$G$27,E160)=0),AND(F160&lt;&gt;"",COUNTIF(設定!$G$8:$G$27,F160)=0)),"委員会名がちがう",IF(D160="","第1希望がない",IF(OR(AND(D160&lt;&gt;"",D160=E160),AND(D160&lt;&gt;"",D160=F160),AND(E160&lt;&gt;"",E160=F160)),"同じ委員会を重複して希望","OK"))))))</f>
        <v/>
      </c>
      <c r="J160" s="8">
        <f>IF(A160="","",A160&amp;"-"&amp;B160&amp;"-"&amp;C160)</f>
        <v/>
      </c>
      <c r="K160" s="8">
        <f>IF(OR(J160="",G160=""),"",IF(COUNTIF(J161:J$402,J160)=0,J160,""))</f>
        <v/>
      </c>
    </row>
    <row r="161">
      <c r="A161" s="15" t="n">
        <v>5</v>
      </c>
      <c r="B161" s="15" t="inlineStr">
        <is>
          <t>松</t>
        </is>
      </c>
      <c r="C161" s="15" t="n">
        <v>14</v>
      </c>
      <c r="D161" s="15" t="inlineStr">
        <is>
          <t>図書</t>
        </is>
      </c>
      <c r="E161" s="15" t="inlineStr">
        <is>
          <t>集会</t>
        </is>
      </c>
      <c r="F161" s="15" t="inlineStr">
        <is>
          <t>環境</t>
        </is>
      </c>
      <c r="G161" s="3">
        <f>IF(J161="","",IFERROR(INDEX(児童名簿!$D$2:$D$301,MATCH(J161,児童名簿!$F$2:$F$301,0)),""))</f>
        <v/>
      </c>
      <c r="H161" s="19">
        <f>IF(J161="","",IF(G161="","名簿にいない",IF(COUNTIF(J162:J$402,J161)&gt;0,"2回提出（下の行を使います）",IF(OR(AND(D161&lt;&gt;"",COUNTIF(設定!$G$8:$G$27,D161)=0),AND(E161&lt;&gt;"",COUNTIF(設定!$G$8:$G$27,E161)=0),AND(F161&lt;&gt;"",COUNTIF(設定!$G$8:$G$27,F161)=0)),"委員会名がちがう",IF(D161="","第1希望がない",IF(OR(AND(D161&lt;&gt;"",D161=E161),AND(D161&lt;&gt;"",D161=F161),AND(E161&lt;&gt;"",E161=F161)),"同じ委員会を重複して希望","OK"))))))</f>
        <v/>
      </c>
      <c r="J161" s="8">
        <f>IF(A161="","",A161&amp;"-"&amp;B161&amp;"-"&amp;C161)</f>
        <v/>
      </c>
      <c r="K161" s="8">
        <f>IF(OR(J161="",G161=""),"",IF(COUNTIF(J162:J$402,J161)=0,J161,""))</f>
        <v/>
      </c>
    </row>
    <row r="162">
      <c r="A162" s="15" t="n">
        <v>5</v>
      </c>
      <c r="B162" s="15" t="inlineStr">
        <is>
          <t>松</t>
        </is>
      </c>
      <c r="C162" s="15" t="n">
        <v>13</v>
      </c>
      <c r="D162" s="15" t="inlineStr">
        <is>
          <t>保健</t>
        </is>
      </c>
      <c r="E162" s="15" t="inlineStr">
        <is>
          <t>代表</t>
        </is>
      </c>
      <c r="F162" s="15" t="inlineStr">
        <is>
          <t>音楽</t>
        </is>
      </c>
      <c r="G162" s="3">
        <f>IF(J162="","",IFERROR(INDEX(児童名簿!$D$2:$D$301,MATCH(J162,児童名簿!$F$2:$F$301,0)),""))</f>
        <v/>
      </c>
      <c r="H162" s="19">
        <f>IF(J162="","",IF(G162="","名簿にいない",IF(COUNTIF(J163:J$402,J162)&gt;0,"2回提出（下の行を使います）",IF(OR(AND(D162&lt;&gt;"",COUNTIF(設定!$G$8:$G$27,D162)=0),AND(E162&lt;&gt;"",COUNTIF(設定!$G$8:$G$27,E162)=0),AND(F162&lt;&gt;"",COUNTIF(設定!$G$8:$G$27,F162)=0)),"委員会名がちがう",IF(D162="","第1希望がない",IF(OR(AND(D162&lt;&gt;"",D162=E162),AND(D162&lt;&gt;"",D162=F162),AND(E162&lt;&gt;"",E162=F162)),"同じ委員会を重複して希望","OK"))))))</f>
        <v/>
      </c>
      <c r="J162" s="8">
        <f>IF(A162="","",A162&amp;"-"&amp;B162&amp;"-"&amp;C162)</f>
        <v/>
      </c>
      <c r="K162" s="8">
        <f>IF(OR(J162="",G162=""),"",IF(COUNTIF(J163:J$402,J162)=0,J162,""))</f>
        <v/>
      </c>
    </row>
    <row r="163">
      <c r="A163" s="15" t="n">
        <v>6</v>
      </c>
      <c r="B163" s="15" t="inlineStr">
        <is>
          <t>月</t>
        </is>
      </c>
      <c r="C163" s="15" t="n">
        <v>25</v>
      </c>
      <c r="D163" s="15" t="inlineStr">
        <is>
          <t>放送</t>
        </is>
      </c>
      <c r="E163" s="15" t="inlineStr">
        <is>
          <t>集会</t>
        </is>
      </c>
      <c r="F163" s="15" t="inlineStr">
        <is>
          <t>広報</t>
        </is>
      </c>
      <c r="G163" s="3">
        <f>IF(J163="","",IFERROR(INDEX(児童名簿!$D$2:$D$301,MATCH(J163,児童名簿!$F$2:$F$301,0)),""))</f>
        <v/>
      </c>
      <c r="H163" s="19">
        <f>IF(J163="","",IF(G163="","名簿にいない",IF(COUNTIF(J164:J$402,J163)&gt;0,"2回提出（下の行を使います）",IF(OR(AND(D163&lt;&gt;"",COUNTIF(設定!$G$8:$G$27,D163)=0),AND(E163&lt;&gt;"",COUNTIF(設定!$G$8:$G$27,E163)=0),AND(F163&lt;&gt;"",COUNTIF(設定!$G$8:$G$27,F163)=0)),"委員会名がちがう",IF(D163="","第1希望がない",IF(OR(AND(D163&lt;&gt;"",D163=E163),AND(D163&lt;&gt;"",D163=F163),AND(E163&lt;&gt;"",E163=F163)),"同じ委員会を重複して希望","OK"))))))</f>
        <v/>
      </c>
      <c r="J163" s="8">
        <f>IF(A163="","",A163&amp;"-"&amp;B163&amp;"-"&amp;C163)</f>
        <v/>
      </c>
      <c r="K163" s="8">
        <f>IF(OR(J163="",G163=""),"",IF(COUNTIF(J164:J$402,J163)=0,J163,""))</f>
        <v/>
      </c>
    </row>
    <row r="164">
      <c r="A164" s="15" t="n">
        <v>6</v>
      </c>
      <c r="B164" s="15" t="inlineStr">
        <is>
          <t>松</t>
        </is>
      </c>
      <c r="C164" s="15" t="n">
        <v>24</v>
      </c>
      <c r="D164" s="15" t="inlineStr">
        <is>
          <t>放送</t>
        </is>
      </c>
      <c r="E164" s="15" t="inlineStr">
        <is>
          <t>体育</t>
        </is>
      </c>
      <c r="F164" s="15" t="inlineStr">
        <is>
          <t>音楽</t>
        </is>
      </c>
      <c r="G164" s="3">
        <f>IF(J164="","",IFERROR(INDEX(児童名簿!$D$2:$D$301,MATCH(J164,児童名簿!$F$2:$F$301,0)),""))</f>
        <v/>
      </c>
      <c r="H164" s="19">
        <f>IF(J164="","",IF(G164="","名簿にいない",IF(COUNTIF(J165:J$402,J164)&gt;0,"2回提出（下の行を使います）",IF(OR(AND(D164&lt;&gt;"",COUNTIF(設定!$G$8:$G$27,D164)=0),AND(E164&lt;&gt;"",COUNTIF(設定!$G$8:$G$27,E164)=0),AND(F164&lt;&gt;"",COUNTIF(設定!$G$8:$G$27,F164)=0)),"委員会名がちがう",IF(D164="","第1希望がない",IF(OR(AND(D164&lt;&gt;"",D164=E164),AND(D164&lt;&gt;"",D164=F164),AND(E164&lt;&gt;"",E164=F164)),"同じ委員会を重複して希望","OK"))))))</f>
        <v/>
      </c>
      <c r="J164" s="8">
        <f>IF(A164="","",A164&amp;"-"&amp;B164&amp;"-"&amp;C164)</f>
        <v/>
      </c>
      <c r="K164" s="8">
        <f>IF(OR(J164="",G164=""),"",IF(COUNTIF(J165:J$402,J164)=0,J164,""))</f>
        <v/>
      </c>
    </row>
    <row r="165">
      <c r="A165" s="15" t="n">
        <v>6</v>
      </c>
      <c r="B165" s="15" t="inlineStr">
        <is>
          <t>月</t>
        </is>
      </c>
      <c r="C165" s="15" t="n">
        <v>5</v>
      </c>
      <c r="D165" s="15" t="inlineStr">
        <is>
          <t>体育</t>
        </is>
      </c>
      <c r="E165" s="15" t="inlineStr">
        <is>
          <t>保健</t>
        </is>
      </c>
      <c r="F165" s="15" t="inlineStr">
        <is>
          <t>環境</t>
        </is>
      </c>
      <c r="G165" s="3">
        <f>IF(J165="","",IFERROR(INDEX(児童名簿!$D$2:$D$301,MATCH(J165,児童名簿!$F$2:$F$301,0)),""))</f>
        <v/>
      </c>
      <c r="H165" s="19">
        <f>IF(J165="","",IF(G165="","名簿にいない",IF(COUNTIF(J166:J$402,J165)&gt;0,"2回提出（下の行を使います）",IF(OR(AND(D165&lt;&gt;"",COUNTIF(設定!$G$8:$G$27,D165)=0),AND(E165&lt;&gt;"",COUNTIF(設定!$G$8:$G$27,E165)=0),AND(F165&lt;&gt;"",COUNTIF(設定!$G$8:$G$27,F165)=0)),"委員会名がちがう",IF(D165="","第1希望がない",IF(OR(AND(D165&lt;&gt;"",D165=E165),AND(D165&lt;&gt;"",D165=F165),AND(E165&lt;&gt;"",E165=F165)),"同じ委員会を重複して希望","OK"))))))</f>
        <v/>
      </c>
      <c r="J165" s="8">
        <f>IF(A165="","",A165&amp;"-"&amp;B165&amp;"-"&amp;C165)</f>
        <v/>
      </c>
      <c r="K165" s="8">
        <f>IF(OR(J165="",G165=""),"",IF(COUNTIF(J166:J$402,J165)=0,J165,""))</f>
        <v/>
      </c>
    </row>
    <row r="166">
      <c r="A166" s="15" t="n">
        <v>6</v>
      </c>
      <c r="B166" s="15" t="inlineStr">
        <is>
          <t>月</t>
        </is>
      </c>
      <c r="C166" s="15" t="n">
        <v>22</v>
      </c>
      <c r="D166" s="15" t="inlineStr">
        <is>
          <t>図書</t>
        </is>
      </c>
      <c r="E166" s="15" t="inlineStr">
        <is>
          <t>広報</t>
        </is>
      </c>
      <c r="F166" s="15" t="inlineStr">
        <is>
          <t>飼育</t>
        </is>
      </c>
      <c r="G166" s="3">
        <f>IF(J166="","",IFERROR(INDEX(児童名簿!$D$2:$D$301,MATCH(J166,児童名簿!$F$2:$F$301,0)),""))</f>
        <v/>
      </c>
      <c r="H166" s="19">
        <f>IF(J166="","",IF(G166="","名簿にいない",IF(COUNTIF(J167:J$402,J166)&gt;0,"2回提出（下の行を使います）",IF(OR(AND(D166&lt;&gt;"",COUNTIF(設定!$G$8:$G$27,D166)=0),AND(E166&lt;&gt;"",COUNTIF(設定!$G$8:$G$27,E166)=0),AND(F166&lt;&gt;"",COUNTIF(設定!$G$8:$G$27,F166)=0)),"委員会名がちがう",IF(D166="","第1希望がない",IF(OR(AND(D166&lt;&gt;"",D166=E166),AND(D166&lt;&gt;"",D166=F166),AND(E166&lt;&gt;"",E166=F166)),"同じ委員会を重複して希望","OK"))))))</f>
        <v/>
      </c>
      <c r="J166" s="8">
        <f>IF(A166="","",A166&amp;"-"&amp;B166&amp;"-"&amp;C166)</f>
        <v/>
      </c>
      <c r="K166" s="8">
        <f>IF(OR(J166="",G166=""),"",IF(COUNTIF(J167:J$402,J166)=0,J166,""))</f>
        <v/>
      </c>
    </row>
    <row r="167">
      <c r="A167" s="15" t="n">
        <v>5</v>
      </c>
      <c r="B167" s="15" t="inlineStr">
        <is>
          <t>月</t>
        </is>
      </c>
      <c r="C167" s="15" t="n">
        <v>17</v>
      </c>
      <c r="D167" s="15" t="inlineStr">
        <is>
          <t>音楽</t>
        </is>
      </c>
      <c r="E167" s="15" t="inlineStr">
        <is>
          <t>集会</t>
        </is>
      </c>
      <c r="F167" s="15" t="inlineStr">
        <is>
          <t>掲示</t>
        </is>
      </c>
      <c r="G167" s="3">
        <f>IF(J167="","",IFERROR(INDEX(児童名簿!$D$2:$D$301,MATCH(J167,児童名簿!$F$2:$F$301,0)),""))</f>
        <v/>
      </c>
      <c r="H167" s="19">
        <f>IF(J167="","",IF(G167="","名簿にいない",IF(COUNTIF(J168:J$402,J167)&gt;0,"2回提出（下の行を使います）",IF(OR(AND(D167&lt;&gt;"",COUNTIF(設定!$G$8:$G$27,D167)=0),AND(E167&lt;&gt;"",COUNTIF(設定!$G$8:$G$27,E167)=0),AND(F167&lt;&gt;"",COUNTIF(設定!$G$8:$G$27,F167)=0)),"委員会名がちがう",IF(D167="","第1希望がない",IF(OR(AND(D167&lt;&gt;"",D167=E167),AND(D167&lt;&gt;"",D167=F167),AND(E167&lt;&gt;"",E167=F167)),"同じ委員会を重複して希望","OK"))))))</f>
        <v/>
      </c>
      <c r="J167" s="8">
        <f>IF(A167="","",A167&amp;"-"&amp;B167&amp;"-"&amp;C167)</f>
        <v/>
      </c>
      <c r="K167" s="8">
        <f>IF(OR(J167="",G167=""),"",IF(COUNTIF(J168:J$402,J167)=0,J167,""))</f>
        <v/>
      </c>
    </row>
    <row r="168">
      <c r="A168" s="15" t="n">
        <v>6</v>
      </c>
      <c r="B168" s="15" t="inlineStr">
        <is>
          <t>竹</t>
        </is>
      </c>
      <c r="C168" s="15" t="n">
        <v>3</v>
      </c>
      <c r="D168" s="15" t="inlineStr">
        <is>
          <t>放送</t>
        </is>
      </c>
      <c r="E168" s="15" t="inlineStr">
        <is>
          <t>音楽</t>
        </is>
      </c>
      <c r="F168" s="15" t="inlineStr">
        <is>
          <t>保健</t>
        </is>
      </c>
      <c r="G168" s="3">
        <f>IF(J168="","",IFERROR(INDEX(児童名簿!$D$2:$D$301,MATCH(J168,児童名簿!$F$2:$F$301,0)),""))</f>
        <v/>
      </c>
      <c r="H168" s="19">
        <f>IF(J168="","",IF(G168="","名簿にいない",IF(COUNTIF(J169:J$402,J168)&gt;0,"2回提出（下の行を使います）",IF(OR(AND(D168&lt;&gt;"",COUNTIF(設定!$G$8:$G$27,D168)=0),AND(E168&lt;&gt;"",COUNTIF(設定!$G$8:$G$27,E168)=0),AND(F168&lt;&gt;"",COUNTIF(設定!$G$8:$G$27,F168)=0)),"委員会名がちがう",IF(D168="","第1希望がない",IF(OR(AND(D168&lt;&gt;"",D168=E168),AND(D168&lt;&gt;"",D168=F168),AND(E168&lt;&gt;"",E168=F168)),"同じ委員会を重複して希望","OK"))))))</f>
        <v/>
      </c>
      <c r="J168" s="8">
        <f>IF(A168="","",A168&amp;"-"&amp;B168&amp;"-"&amp;C168)</f>
        <v/>
      </c>
      <c r="K168" s="8">
        <f>IF(OR(J168="",G168=""),"",IF(COUNTIF(J169:J$402,J168)=0,J168,""))</f>
        <v/>
      </c>
    </row>
    <row r="169">
      <c r="A169" s="15" t="n">
        <v>6</v>
      </c>
      <c r="B169" s="15" t="inlineStr">
        <is>
          <t>松</t>
        </is>
      </c>
      <c r="C169" s="15" t="n">
        <v>18</v>
      </c>
      <c r="D169" s="15" t="inlineStr">
        <is>
          <t>飼育</t>
        </is>
      </c>
      <c r="E169" s="15" t="inlineStr">
        <is>
          <t>給食</t>
        </is>
      </c>
      <c r="F169" s="15" t="inlineStr">
        <is>
          <t>環境</t>
        </is>
      </c>
      <c r="G169" s="3">
        <f>IF(J169="","",IFERROR(INDEX(児童名簿!$D$2:$D$301,MATCH(J169,児童名簿!$F$2:$F$301,0)),""))</f>
        <v/>
      </c>
      <c r="H169" s="19">
        <f>IF(J169="","",IF(G169="","名簿にいない",IF(COUNTIF(J170:J$402,J169)&gt;0,"2回提出（下の行を使います）",IF(OR(AND(D169&lt;&gt;"",COUNTIF(設定!$G$8:$G$27,D169)=0),AND(E169&lt;&gt;"",COUNTIF(設定!$G$8:$G$27,E169)=0),AND(F169&lt;&gt;"",COUNTIF(設定!$G$8:$G$27,F169)=0)),"委員会名がちがう",IF(D169="","第1希望がない",IF(OR(AND(D169&lt;&gt;"",D169=E169),AND(D169&lt;&gt;"",D169=F169),AND(E169&lt;&gt;"",E169=F169)),"同じ委員会を重複して希望","OK"))))))</f>
        <v/>
      </c>
      <c r="J169" s="8">
        <f>IF(A169="","",A169&amp;"-"&amp;B169&amp;"-"&amp;C169)</f>
        <v/>
      </c>
      <c r="K169" s="8">
        <f>IF(OR(J169="",G169=""),"",IF(COUNTIF(J170:J$402,J169)=0,J169,""))</f>
        <v/>
      </c>
    </row>
    <row r="170">
      <c r="A170" s="15" t="n">
        <v>6</v>
      </c>
      <c r="B170" s="15" t="inlineStr">
        <is>
          <t>松</t>
        </is>
      </c>
      <c r="C170" s="15" t="n">
        <v>28</v>
      </c>
      <c r="D170" s="15" t="inlineStr">
        <is>
          <t>給食</t>
        </is>
      </c>
      <c r="E170" s="15" t="inlineStr">
        <is>
          <t>保健</t>
        </is>
      </c>
      <c r="F170" s="15" t="inlineStr">
        <is>
          <t>広報</t>
        </is>
      </c>
      <c r="G170" s="3">
        <f>IF(J170="","",IFERROR(INDEX(児童名簿!$D$2:$D$301,MATCH(J170,児童名簿!$F$2:$F$301,0)),""))</f>
        <v/>
      </c>
      <c r="H170" s="19">
        <f>IF(J170="","",IF(G170="","名簿にいない",IF(COUNTIF(J171:J$402,J170)&gt;0,"2回提出（下の行を使います）",IF(OR(AND(D170&lt;&gt;"",COUNTIF(設定!$G$8:$G$27,D170)=0),AND(E170&lt;&gt;"",COUNTIF(設定!$G$8:$G$27,E170)=0),AND(F170&lt;&gt;"",COUNTIF(設定!$G$8:$G$27,F170)=0)),"委員会名がちがう",IF(D170="","第1希望がない",IF(OR(AND(D170&lt;&gt;"",D170=E170),AND(D170&lt;&gt;"",D170=F170),AND(E170&lt;&gt;"",E170=F170)),"同じ委員会を重複して希望","OK"))))))</f>
        <v/>
      </c>
      <c r="J170" s="8">
        <f>IF(A170="","",A170&amp;"-"&amp;B170&amp;"-"&amp;C170)</f>
        <v/>
      </c>
      <c r="K170" s="8">
        <f>IF(OR(J170="",G170=""),"",IF(COUNTIF(J171:J$402,J170)=0,J170,""))</f>
        <v/>
      </c>
    </row>
    <row r="171">
      <c r="A171" s="15" t="n">
        <v>5</v>
      </c>
      <c r="B171" s="15" t="inlineStr">
        <is>
          <t>月</t>
        </is>
      </c>
      <c r="C171" s="15" t="n">
        <v>19</v>
      </c>
      <c r="D171" s="15" t="inlineStr">
        <is>
          <t>図書</t>
        </is>
      </c>
      <c r="E171" s="15" t="inlineStr">
        <is>
          <t>給食</t>
        </is>
      </c>
      <c r="F171" s="15" t="inlineStr">
        <is>
          <t>放送</t>
        </is>
      </c>
      <c r="G171" s="3">
        <f>IF(J171="","",IFERROR(INDEX(児童名簿!$D$2:$D$301,MATCH(J171,児童名簿!$F$2:$F$301,0)),""))</f>
        <v/>
      </c>
      <c r="H171" s="19">
        <f>IF(J171="","",IF(G171="","名簿にいない",IF(COUNTIF(J172:J$402,J171)&gt;0,"2回提出（下の行を使います）",IF(OR(AND(D171&lt;&gt;"",COUNTIF(設定!$G$8:$G$27,D171)=0),AND(E171&lt;&gt;"",COUNTIF(設定!$G$8:$G$27,E171)=0),AND(F171&lt;&gt;"",COUNTIF(設定!$G$8:$G$27,F171)=0)),"委員会名がちがう",IF(D171="","第1希望がない",IF(OR(AND(D171&lt;&gt;"",D171=E171),AND(D171&lt;&gt;"",D171=F171),AND(E171&lt;&gt;"",E171=F171)),"同じ委員会を重複して希望","OK"))))))</f>
        <v/>
      </c>
      <c r="J171" s="8">
        <f>IF(A171="","",A171&amp;"-"&amp;B171&amp;"-"&amp;C171)</f>
        <v/>
      </c>
      <c r="K171" s="8">
        <f>IF(OR(J171="",G171=""),"",IF(COUNTIF(J172:J$402,J171)=0,J171,""))</f>
        <v/>
      </c>
    </row>
    <row r="172">
      <c r="A172" s="15" t="n">
        <v>5</v>
      </c>
      <c r="B172" s="15" t="inlineStr">
        <is>
          <t>月</t>
        </is>
      </c>
      <c r="C172" s="15" t="n">
        <v>16</v>
      </c>
      <c r="D172" s="15" t="inlineStr">
        <is>
          <t>放送</t>
        </is>
      </c>
      <c r="E172" s="15" t="inlineStr">
        <is>
          <t>音楽</t>
        </is>
      </c>
      <c r="F172" s="15" t="inlineStr">
        <is>
          <t>保健</t>
        </is>
      </c>
      <c r="G172" s="3">
        <f>IF(J172="","",IFERROR(INDEX(児童名簿!$D$2:$D$301,MATCH(J172,児童名簿!$F$2:$F$301,0)),""))</f>
        <v/>
      </c>
      <c r="H172" s="19">
        <f>IF(J172="","",IF(G172="","名簿にいない",IF(COUNTIF(J173:J$402,J172)&gt;0,"2回提出（下の行を使います）",IF(OR(AND(D172&lt;&gt;"",COUNTIF(設定!$G$8:$G$27,D172)=0),AND(E172&lt;&gt;"",COUNTIF(設定!$G$8:$G$27,E172)=0),AND(F172&lt;&gt;"",COUNTIF(設定!$G$8:$G$27,F172)=0)),"委員会名がちがう",IF(D172="","第1希望がない",IF(OR(AND(D172&lt;&gt;"",D172=E172),AND(D172&lt;&gt;"",D172=F172),AND(E172&lt;&gt;"",E172=F172)),"同じ委員会を重複して希望","OK"))))))</f>
        <v/>
      </c>
      <c r="J172" s="8">
        <f>IF(A172="","",A172&amp;"-"&amp;B172&amp;"-"&amp;C172)</f>
        <v/>
      </c>
      <c r="K172" s="8">
        <f>IF(OR(J172="",G172=""),"",IF(COUNTIF(J173:J$402,J172)=0,J172,""))</f>
        <v/>
      </c>
    </row>
    <row r="173">
      <c r="A173" s="15" t="n">
        <v>5</v>
      </c>
      <c r="B173" s="15" t="inlineStr">
        <is>
          <t>梅</t>
        </is>
      </c>
      <c r="C173" s="15" t="n">
        <v>4</v>
      </c>
      <c r="D173" s="15" t="inlineStr">
        <is>
          <t>体育</t>
        </is>
      </c>
      <c r="E173" s="15" t="inlineStr">
        <is>
          <t>掲示</t>
        </is>
      </c>
      <c r="F173" s="15" t="inlineStr">
        <is>
          <t>音楽</t>
        </is>
      </c>
      <c r="G173" s="3">
        <f>IF(J173="","",IFERROR(INDEX(児童名簿!$D$2:$D$301,MATCH(J173,児童名簿!$F$2:$F$301,0)),""))</f>
        <v/>
      </c>
      <c r="H173" s="19">
        <f>IF(J173="","",IF(G173="","名簿にいない",IF(COUNTIF(J174:J$402,J173)&gt;0,"2回提出（下の行を使います）",IF(OR(AND(D173&lt;&gt;"",COUNTIF(設定!$G$8:$G$27,D173)=0),AND(E173&lt;&gt;"",COUNTIF(設定!$G$8:$G$27,E173)=0),AND(F173&lt;&gt;"",COUNTIF(設定!$G$8:$G$27,F173)=0)),"委員会名がちがう",IF(D173="","第1希望がない",IF(OR(AND(D173&lt;&gt;"",D173=E173),AND(D173&lt;&gt;"",D173=F173),AND(E173&lt;&gt;"",E173=F173)),"同じ委員会を重複して希望","OK"))))))</f>
        <v/>
      </c>
      <c r="J173" s="8">
        <f>IF(A173="","",A173&amp;"-"&amp;B173&amp;"-"&amp;C173)</f>
        <v/>
      </c>
      <c r="K173" s="8">
        <f>IF(OR(J173="",G173=""),"",IF(COUNTIF(J174:J$402,J173)=0,J173,""))</f>
        <v/>
      </c>
    </row>
    <row r="174">
      <c r="A174" s="15" t="n">
        <v>6</v>
      </c>
      <c r="B174" s="15" t="inlineStr">
        <is>
          <t>月</t>
        </is>
      </c>
      <c r="C174" s="15" t="n">
        <v>30</v>
      </c>
      <c r="D174" s="15" t="inlineStr">
        <is>
          <t>環境</t>
        </is>
      </c>
      <c r="E174" s="15" t="inlineStr">
        <is>
          <t>飼育</t>
        </is>
      </c>
      <c r="F174" s="15" t="inlineStr">
        <is>
          <t>音楽</t>
        </is>
      </c>
      <c r="G174" s="3">
        <f>IF(J174="","",IFERROR(INDEX(児童名簿!$D$2:$D$301,MATCH(J174,児童名簿!$F$2:$F$301,0)),""))</f>
        <v/>
      </c>
      <c r="H174" s="19">
        <f>IF(J174="","",IF(G174="","名簿にいない",IF(COUNTIF(J175:J$402,J174)&gt;0,"2回提出（下の行を使います）",IF(OR(AND(D174&lt;&gt;"",COUNTIF(設定!$G$8:$G$27,D174)=0),AND(E174&lt;&gt;"",COUNTIF(設定!$G$8:$G$27,E174)=0),AND(F174&lt;&gt;"",COUNTIF(設定!$G$8:$G$27,F174)=0)),"委員会名がちがう",IF(D174="","第1希望がない",IF(OR(AND(D174&lt;&gt;"",D174=E174),AND(D174&lt;&gt;"",D174=F174),AND(E174&lt;&gt;"",E174=F174)),"同じ委員会を重複して希望","OK"))))))</f>
        <v/>
      </c>
      <c r="J174" s="8">
        <f>IF(A174="","",A174&amp;"-"&amp;B174&amp;"-"&amp;C174)</f>
        <v/>
      </c>
      <c r="K174" s="8">
        <f>IF(OR(J174="",G174=""),"",IF(COUNTIF(J175:J$402,J174)=0,J174,""))</f>
        <v/>
      </c>
    </row>
    <row r="175">
      <c r="A175" s="15" t="n">
        <v>5</v>
      </c>
      <c r="B175" s="15" t="inlineStr">
        <is>
          <t>梅</t>
        </is>
      </c>
      <c r="C175" s="15" t="n">
        <v>1</v>
      </c>
      <c r="D175" s="15" t="inlineStr">
        <is>
          <t>環境</t>
        </is>
      </c>
      <c r="E175" s="15" t="inlineStr">
        <is>
          <t>飼育</t>
        </is>
      </c>
      <c r="F175" s="15" t="inlineStr">
        <is>
          <t>音楽</t>
        </is>
      </c>
      <c r="G175" s="3">
        <f>IF(J175="","",IFERROR(INDEX(児童名簿!$D$2:$D$301,MATCH(J175,児童名簿!$F$2:$F$301,0)),""))</f>
        <v/>
      </c>
      <c r="H175" s="19">
        <f>IF(J175="","",IF(G175="","名簿にいない",IF(COUNTIF(J176:J$402,J175)&gt;0,"2回提出（下の行を使います）",IF(OR(AND(D175&lt;&gt;"",COUNTIF(設定!$G$8:$G$27,D175)=0),AND(E175&lt;&gt;"",COUNTIF(設定!$G$8:$G$27,E175)=0),AND(F175&lt;&gt;"",COUNTIF(設定!$G$8:$G$27,F175)=0)),"委員会名がちがう",IF(D175="","第1希望がない",IF(OR(AND(D175&lt;&gt;"",D175=E175),AND(D175&lt;&gt;"",D175=F175),AND(E175&lt;&gt;"",E175=F175)),"同じ委員会を重複して希望","OK"))))))</f>
        <v/>
      </c>
      <c r="J175" s="8">
        <f>IF(A175="","",A175&amp;"-"&amp;B175&amp;"-"&amp;C175)</f>
        <v/>
      </c>
      <c r="K175" s="8">
        <f>IF(OR(J175="",G175=""),"",IF(COUNTIF(J176:J$402,J175)=0,J175,""))</f>
        <v/>
      </c>
    </row>
    <row r="176">
      <c r="A176" s="15" t="n">
        <v>5</v>
      </c>
      <c r="B176" s="15" t="inlineStr">
        <is>
          <t>梅</t>
        </is>
      </c>
      <c r="C176" s="15" t="n">
        <v>7</v>
      </c>
      <c r="D176" s="15" t="inlineStr">
        <is>
          <t>集会</t>
        </is>
      </c>
      <c r="E176" s="15" t="inlineStr">
        <is>
          <t>環境</t>
        </is>
      </c>
      <c r="F176" s="15" t="inlineStr">
        <is>
          <t>掲示</t>
        </is>
      </c>
      <c r="G176" s="3">
        <f>IF(J176="","",IFERROR(INDEX(児童名簿!$D$2:$D$301,MATCH(J176,児童名簿!$F$2:$F$301,0)),""))</f>
        <v/>
      </c>
      <c r="H176" s="19">
        <f>IF(J176="","",IF(G176="","名簿にいない",IF(COUNTIF(J177:J$402,J176)&gt;0,"2回提出（下の行を使います）",IF(OR(AND(D176&lt;&gt;"",COUNTIF(設定!$G$8:$G$27,D176)=0),AND(E176&lt;&gt;"",COUNTIF(設定!$G$8:$G$27,E176)=0),AND(F176&lt;&gt;"",COUNTIF(設定!$G$8:$G$27,F176)=0)),"委員会名がちがう",IF(D176="","第1希望がない",IF(OR(AND(D176&lt;&gt;"",D176=E176),AND(D176&lt;&gt;"",D176=F176),AND(E176&lt;&gt;"",E176=F176)),"同じ委員会を重複して希望","OK"))))))</f>
        <v/>
      </c>
      <c r="J176" s="8">
        <f>IF(A176="","",A176&amp;"-"&amp;B176&amp;"-"&amp;C176)</f>
        <v/>
      </c>
      <c r="K176" s="8">
        <f>IF(OR(J176="",G176=""),"",IF(COUNTIF(J177:J$402,J176)=0,J176,""))</f>
        <v/>
      </c>
    </row>
    <row r="177">
      <c r="A177" s="15" t="n">
        <v>6</v>
      </c>
      <c r="B177" s="15" t="inlineStr">
        <is>
          <t>梅</t>
        </is>
      </c>
      <c r="C177" s="15" t="n">
        <v>2</v>
      </c>
      <c r="D177" s="15" t="inlineStr">
        <is>
          <t>保健</t>
        </is>
      </c>
      <c r="E177" s="15" t="inlineStr">
        <is>
          <t>放送</t>
        </is>
      </c>
      <c r="F177" s="15" t="inlineStr">
        <is>
          <t>環境</t>
        </is>
      </c>
      <c r="G177" s="3">
        <f>IF(J177="","",IFERROR(INDEX(児童名簿!$D$2:$D$301,MATCH(J177,児童名簿!$F$2:$F$301,0)),""))</f>
        <v/>
      </c>
      <c r="H177" s="19">
        <f>IF(J177="","",IF(G177="","名簿にいない",IF(COUNTIF(J178:J$402,J177)&gt;0,"2回提出（下の行を使います）",IF(OR(AND(D177&lt;&gt;"",COUNTIF(設定!$G$8:$G$27,D177)=0),AND(E177&lt;&gt;"",COUNTIF(設定!$G$8:$G$27,E177)=0),AND(F177&lt;&gt;"",COUNTIF(設定!$G$8:$G$27,F177)=0)),"委員会名がちがう",IF(D177="","第1希望がない",IF(OR(AND(D177&lt;&gt;"",D177=E177),AND(D177&lt;&gt;"",D177=F177),AND(E177&lt;&gt;"",E177=F177)),"同じ委員会を重複して希望","OK"))))))</f>
        <v/>
      </c>
      <c r="J177" s="8">
        <f>IF(A177="","",A177&amp;"-"&amp;B177&amp;"-"&amp;C177)</f>
        <v/>
      </c>
      <c r="K177" s="8">
        <f>IF(OR(J177="",G177=""),"",IF(COUNTIF(J178:J$402,J177)=0,J177,""))</f>
        <v/>
      </c>
    </row>
    <row r="178">
      <c r="A178" s="15" t="n">
        <v>5</v>
      </c>
      <c r="B178" s="15" t="inlineStr">
        <is>
          <t>松</t>
        </is>
      </c>
      <c r="C178" s="15" t="n">
        <v>2</v>
      </c>
      <c r="D178" s="15" t="inlineStr">
        <is>
          <t>給食</t>
        </is>
      </c>
      <c r="E178" s="15" t="inlineStr">
        <is>
          <t>集会</t>
        </is>
      </c>
      <c r="F178" s="15" t="inlineStr">
        <is>
          <t>代表</t>
        </is>
      </c>
      <c r="G178" s="3">
        <f>IF(J178="","",IFERROR(INDEX(児童名簿!$D$2:$D$301,MATCH(J178,児童名簿!$F$2:$F$301,0)),""))</f>
        <v/>
      </c>
      <c r="H178" s="19">
        <f>IF(J178="","",IF(G178="","名簿にいない",IF(COUNTIF(J179:J$402,J178)&gt;0,"2回提出（下の行を使います）",IF(OR(AND(D178&lt;&gt;"",COUNTIF(設定!$G$8:$G$27,D178)=0),AND(E178&lt;&gt;"",COUNTIF(設定!$G$8:$G$27,E178)=0),AND(F178&lt;&gt;"",COUNTIF(設定!$G$8:$G$27,F178)=0)),"委員会名がちがう",IF(D178="","第1希望がない",IF(OR(AND(D178&lt;&gt;"",D178=E178),AND(D178&lt;&gt;"",D178=F178),AND(E178&lt;&gt;"",E178=F178)),"同じ委員会を重複して希望","OK"))))))</f>
        <v/>
      </c>
      <c r="J178" s="8">
        <f>IF(A178="","",A178&amp;"-"&amp;B178&amp;"-"&amp;C178)</f>
        <v/>
      </c>
      <c r="K178" s="8">
        <f>IF(OR(J178="",G178=""),"",IF(COUNTIF(J179:J$402,J178)=0,J178,""))</f>
        <v/>
      </c>
    </row>
    <row r="179">
      <c r="A179" s="15" t="n">
        <v>5</v>
      </c>
      <c r="B179" s="15" t="inlineStr">
        <is>
          <t>松</t>
        </is>
      </c>
      <c r="C179" s="15" t="n">
        <v>9</v>
      </c>
      <c r="D179" s="15" t="inlineStr">
        <is>
          <t>掲示</t>
        </is>
      </c>
      <c r="E179" s="15" t="inlineStr">
        <is>
          <t>飼育</t>
        </is>
      </c>
      <c r="F179" s="15" t="inlineStr">
        <is>
          <t>図書</t>
        </is>
      </c>
      <c r="G179" s="3">
        <f>IF(J179="","",IFERROR(INDEX(児童名簿!$D$2:$D$301,MATCH(J179,児童名簿!$F$2:$F$301,0)),""))</f>
        <v/>
      </c>
      <c r="H179" s="19">
        <f>IF(J179="","",IF(G179="","名簿にいない",IF(COUNTIF(J180:J$402,J179)&gt;0,"2回提出（下の行を使います）",IF(OR(AND(D179&lt;&gt;"",COUNTIF(設定!$G$8:$G$27,D179)=0),AND(E179&lt;&gt;"",COUNTIF(設定!$G$8:$G$27,E179)=0),AND(F179&lt;&gt;"",COUNTIF(設定!$G$8:$G$27,F179)=0)),"委員会名がちがう",IF(D179="","第1希望がない",IF(OR(AND(D179&lt;&gt;"",D179=E179),AND(D179&lt;&gt;"",D179=F179),AND(E179&lt;&gt;"",E179=F179)),"同じ委員会を重複して希望","OK"))))))</f>
        <v/>
      </c>
      <c r="J179" s="8">
        <f>IF(A179="","",A179&amp;"-"&amp;B179&amp;"-"&amp;C179)</f>
        <v/>
      </c>
      <c r="K179" s="8">
        <f>IF(OR(J179="",G179=""),"",IF(COUNTIF(J180:J$402,J179)=0,J179,""))</f>
        <v/>
      </c>
    </row>
    <row r="180">
      <c r="A180" s="15" t="n">
        <v>5</v>
      </c>
      <c r="B180" s="15" t="inlineStr">
        <is>
          <t>月</t>
        </is>
      </c>
      <c r="C180" s="15" t="n">
        <v>22</v>
      </c>
      <c r="D180" s="15" t="inlineStr">
        <is>
          <t>図書</t>
        </is>
      </c>
      <c r="E180" s="15" t="inlineStr">
        <is>
          <t>給食</t>
        </is>
      </c>
      <c r="F180" s="15" t="inlineStr">
        <is>
          <t>放送</t>
        </is>
      </c>
      <c r="G180" s="3">
        <f>IF(J180="","",IFERROR(INDEX(児童名簿!$D$2:$D$301,MATCH(J180,児童名簿!$F$2:$F$301,0)),""))</f>
        <v/>
      </c>
      <c r="H180" s="19">
        <f>IF(J180="","",IF(G180="","名簿にいない",IF(COUNTIF(J181:J$402,J180)&gt;0,"2回提出（下の行を使います）",IF(OR(AND(D180&lt;&gt;"",COUNTIF(設定!$G$8:$G$27,D180)=0),AND(E180&lt;&gt;"",COUNTIF(設定!$G$8:$G$27,E180)=0),AND(F180&lt;&gt;"",COUNTIF(設定!$G$8:$G$27,F180)=0)),"委員会名がちがう",IF(D180="","第1希望がない",IF(OR(AND(D180&lt;&gt;"",D180=E180),AND(D180&lt;&gt;"",D180=F180),AND(E180&lt;&gt;"",E180=F180)),"同じ委員会を重複して希望","OK"))))))</f>
        <v/>
      </c>
      <c r="J180" s="8">
        <f>IF(A180="","",A180&amp;"-"&amp;B180&amp;"-"&amp;C180)</f>
        <v/>
      </c>
      <c r="K180" s="8">
        <f>IF(OR(J180="",G180=""),"",IF(COUNTIF(J181:J$402,J180)=0,J180,""))</f>
        <v/>
      </c>
    </row>
    <row r="181">
      <c r="A181" s="15" t="n">
        <v>6</v>
      </c>
      <c r="B181" s="15" t="inlineStr">
        <is>
          <t>松</t>
        </is>
      </c>
      <c r="C181" s="15" t="n">
        <v>1</v>
      </c>
      <c r="D181" s="15" t="inlineStr">
        <is>
          <t>広報</t>
        </is>
      </c>
      <c r="E181" s="15" t="inlineStr">
        <is>
          <t>集会</t>
        </is>
      </c>
      <c r="F181" s="15" t="inlineStr">
        <is>
          <t>給食</t>
        </is>
      </c>
      <c r="G181" s="3">
        <f>IF(J181="","",IFERROR(INDEX(児童名簿!$D$2:$D$301,MATCH(J181,児童名簿!$F$2:$F$301,0)),""))</f>
        <v/>
      </c>
      <c r="H181" s="19">
        <f>IF(J181="","",IF(G181="","名簿にいない",IF(COUNTIF(J182:J$402,J181)&gt;0,"2回提出（下の行を使います）",IF(OR(AND(D181&lt;&gt;"",COUNTIF(設定!$G$8:$G$27,D181)=0),AND(E181&lt;&gt;"",COUNTIF(設定!$G$8:$G$27,E181)=0),AND(F181&lt;&gt;"",COUNTIF(設定!$G$8:$G$27,F181)=0)),"委員会名がちがう",IF(D181="","第1希望がない",IF(OR(AND(D181&lt;&gt;"",D181=E181),AND(D181&lt;&gt;"",D181=F181),AND(E181&lt;&gt;"",E181=F181)),"同じ委員会を重複して希望","OK"))))))</f>
        <v/>
      </c>
      <c r="J181" s="8">
        <f>IF(A181="","",A181&amp;"-"&amp;B181&amp;"-"&amp;C181)</f>
        <v/>
      </c>
      <c r="K181" s="8">
        <f>IF(OR(J181="",G181=""),"",IF(COUNTIF(J182:J$402,J181)=0,J181,""))</f>
        <v/>
      </c>
    </row>
    <row r="182">
      <c r="A182" s="15" t="n">
        <v>6</v>
      </c>
      <c r="B182" s="15" t="inlineStr">
        <is>
          <t>松</t>
        </is>
      </c>
      <c r="C182" s="15" t="n">
        <v>6</v>
      </c>
      <c r="D182" s="15" t="inlineStr">
        <is>
          <t>体育</t>
        </is>
      </c>
      <c r="E182" s="15" t="inlineStr">
        <is>
          <t>環境</t>
        </is>
      </c>
      <c r="F182" s="15" t="inlineStr">
        <is>
          <t>代表</t>
        </is>
      </c>
      <c r="G182" s="3">
        <f>IF(J182="","",IFERROR(INDEX(児童名簿!$D$2:$D$301,MATCH(J182,児童名簿!$F$2:$F$301,0)),""))</f>
        <v/>
      </c>
      <c r="H182" s="19">
        <f>IF(J182="","",IF(G182="","名簿にいない",IF(COUNTIF(J183:J$402,J182)&gt;0,"2回提出（下の行を使います）",IF(OR(AND(D182&lt;&gt;"",COUNTIF(設定!$G$8:$G$27,D182)=0),AND(E182&lt;&gt;"",COUNTIF(設定!$G$8:$G$27,E182)=0),AND(F182&lt;&gt;"",COUNTIF(設定!$G$8:$G$27,F182)=0)),"委員会名がちがう",IF(D182="","第1希望がない",IF(OR(AND(D182&lt;&gt;"",D182=E182),AND(D182&lt;&gt;"",D182=F182),AND(E182&lt;&gt;"",E182=F182)),"同じ委員会を重複して希望","OK"))))))</f>
        <v/>
      </c>
      <c r="J182" s="8">
        <f>IF(A182="","",A182&amp;"-"&amp;B182&amp;"-"&amp;C182)</f>
        <v/>
      </c>
      <c r="K182" s="8">
        <f>IF(OR(J182="",G182=""),"",IF(COUNTIF(J183:J$402,J182)=0,J182,""))</f>
        <v/>
      </c>
    </row>
    <row r="183">
      <c r="A183" s="15" t="n">
        <v>6</v>
      </c>
      <c r="B183" s="15" t="inlineStr">
        <is>
          <t>竹</t>
        </is>
      </c>
      <c r="C183" s="15" t="n">
        <v>17</v>
      </c>
      <c r="D183" s="15" t="inlineStr">
        <is>
          <t>体育</t>
        </is>
      </c>
      <c r="E183" s="15" t="inlineStr">
        <is>
          <t>飼育</t>
        </is>
      </c>
      <c r="F183" s="15" t="inlineStr">
        <is>
          <t>集会</t>
        </is>
      </c>
      <c r="G183" s="3">
        <f>IF(J183="","",IFERROR(INDEX(児童名簿!$D$2:$D$301,MATCH(J183,児童名簿!$F$2:$F$301,0)),""))</f>
        <v/>
      </c>
      <c r="H183" s="19">
        <f>IF(J183="","",IF(G183="","名簿にいない",IF(COUNTIF(J184:J$402,J183)&gt;0,"2回提出（下の行を使います）",IF(OR(AND(D183&lt;&gt;"",COUNTIF(設定!$G$8:$G$27,D183)=0),AND(E183&lt;&gt;"",COUNTIF(設定!$G$8:$G$27,E183)=0),AND(F183&lt;&gt;"",COUNTIF(設定!$G$8:$G$27,F183)=0)),"委員会名がちがう",IF(D183="","第1希望がない",IF(OR(AND(D183&lt;&gt;"",D183=E183),AND(D183&lt;&gt;"",D183=F183),AND(E183&lt;&gt;"",E183=F183)),"同じ委員会を重複して希望","OK"))))))</f>
        <v/>
      </c>
      <c r="J183" s="8">
        <f>IF(A183="","",A183&amp;"-"&amp;B183&amp;"-"&amp;C183)</f>
        <v/>
      </c>
      <c r="K183" s="8">
        <f>IF(OR(J183="",G183=""),"",IF(COUNTIF(J184:J$402,J183)=0,J183,""))</f>
        <v/>
      </c>
    </row>
    <row r="184">
      <c r="A184" s="15" t="n">
        <v>6</v>
      </c>
      <c r="B184" s="15" t="inlineStr">
        <is>
          <t>月</t>
        </is>
      </c>
      <c r="C184" s="15" t="n">
        <v>24</v>
      </c>
      <c r="D184" s="15" t="inlineStr">
        <is>
          <t>放送</t>
        </is>
      </c>
      <c r="E184" s="15" t="inlineStr">
        <is>
          <t>給食</t>
        </is>
      </c>
      <c r="F184" s="15" t="inlineStr">
        <is>
          <t>保健</t>
        </is>
      </c>
      <c r="G184" s="3">
        <f>IF(J184="","",IFERROR(INDEX(児童名簿!$D$2:$D$301,MATCH(J184,児童名簿!$F$2:$F$301,0)),""))</f>
        <v/>
      </c>
      <c r="H184" s="19">
        <f>IF(J184="","",IF(G184="","名簿にいない",IF(COUNTIF(J185:J$402,J184)&gt;0,"2回提出（下の行を使います）",IF(OR(AND(D184&lt;&gt;"",COUNTIF(設定!$G$8:$G$27,D184)=0),AND(E184&lt;&gt;"",COUNTIF(設定!$G$8:$G$27,E184)=0),AND(F184&lt;&gt;"",COUNTIF(設定!$G$8:$G$27,F184)=0)),"委員会名がちがう",IF(D184="","第1希望がない",IF(OR(AND(D184&lt;&gt;"",D184=E184),AND(D184&lt;&gt;"",D184=F184),AND(E184&lt;&gt;"",E184=F184)),"同じ委員会を重複して希望","OK"))))))</f>
        <v/>
      </c>
      <c r="J184" s="8">
        <f>IF(A184="","",A184&amp;"-"&amp;B184&amp;"-"&amp;C184)</f>
        <v/>
      </c>
      <c r="K184" s="8">
        <f>IF(OR(J184="",G184=""),"",IF(COUNTIF(J185:J$402,J184)=0,J184,""))</f>
        <v/>
      </c>
    </row>
    <row r="185">
      <c r="A185" s="15" t="n">
        <v>5</v>
      </c>
      <c r="B185" s="15" t="inlineStr">
        <is>
          <t>松</t>
        </is>
      </c>
      <c r="C185" s="15" t="n">
        <v>12</v>
      </c>
      <c r="D185" s="15" t="inlineStr">
        <is>
          <t>集会</t>
        </is>
      </c>
      <c r="E185" s="15" t="inlineStr">
        <is>
          <t>広報</t>
        </is>
      </c>
      <c r="F185" s="15" t="inlineStr">
        <is>
          <t>放送</t>
        </is>
      </c>
      <c r="G185" s="3">
        <f>IF(J185="","",IFERROR(INDEX(児童名簿!$D$2:$D$301,MATCH(J185,児童名簿!$F$2:$F$301,0)),""))</f>
        <v/>
      </c>
      <c r="H185" s="19">
        <f>IF(J185="","",IF(G185="","名簿にいない",IF(COUNTIF(J186:J$402,J185)&gt;0,"2回提出（下の行を使います）",IF(OR(AND(D185&lt;&gt;"",COUNTIF(設定!$G$8:$G$27,D185)=0),AND(E185&lt;&gt;"",COUNTIF(設定!$G$8:$G$27,E185)=0),AND(F185&lt;&gt;"",COUNTIF(設定!$G$8:$G$27,F185)=0)),"委員会名がちがう",IF(D185="","第1希望がない",IF(OR(AND(D185&lt;&gt;"",D185=E185),AND(D185&lt;&gt;"",D185=F185),AND(E185&lt;&gt;"",E185=F185)),"同じ委員会を重複して希望","OK"))))))</f>
        <v/>
      </c>
      <c r="J185" s="8">
        <f>IF(A185="","",A185&amp;"-"&amp;B185&amp;"-"&amp;C185)</f>
        <v/>
      </c>
      <c r="K185" s="8">
        <f>IF(OR(J185="",G185=""),"",IF(COUNTIF(J186:J$402,J185)=0,J185,""))</f>
        <v/>
      </c>
    </row>
    <row r="186">
      <c r="A186" s="15" t="n">
        <v>6</v>
      </c>
      <c r="B186" s="15" t="inlineStr">
        <is>
          <t>月</t>
        </is>
      </c>
      <c r="C186" s="15" t="n">
        <v>26</v>
      </c>
      <c r="D186" s="15" t="inlineStr">
        <is>
          <t>図書</t>
        </is>
      </c>
      <c r="E186" s="15" t="inlineStr">
        <is>
          <t>集会</t>
        </is>
      </c>
      <c r="F186" s="15" t="inlineStr">
        <is>
          <t>飼育</t>
        </is>
      </c>
      <c r="G186" s="3">
        <f>IF(J186="","",IFERROR(INDEX(児童名簿!$D$2:$D$301,MATCH(J186,児童名簿!$F$2:$F$301,0)),""))</f>
        <v/>
      </c>
      <c r="H186" s="19">
        <f>IF(J186="","",IF(G186="","名簿にいない",IF(COUNTIF(J187:J$402,J186)&gt;0,"2回提出（下の行を使います）",IF(OR(AND(D186&lt;&gt;"",COUNTIF(設定!$G$8:$G$27,D186)=0),AND(E186&lt;&gt;"",COUNTIF(設定!$G$8:$G$27,E186)=0),AND(F186&lt;&gt;"",COUNTIF(設定!$G$8:$G$27,F186)=0)),"委員会名がちがう",IF(D186="","第1希望がない",IF(OR(AND(D186&lt;&gt;"",D186=E186),AND(D186&lt;&gt;"",D186=F186),AND(E186&lt;&gt;"",E186=F186)),"同じ委員会を重複して希望","OK"))))))</f>
        <v/>
      </c>
      <c r="J186" s="8">
        <f>IF(A186="","",A186&amp;"-"&amp;B186&amp;"-"&amp;C186)</f>
        <v/>
      </c>
      <c r="K186" s="8">
        <f>IF(OR(J186="",G186=""),"",IF(COUNTIF(J187:J$402,J186)=0,J186,""))</f>
        <v/>
      </c>
    </row>
    <row r="187">
      <c r="A187" s="15" t="n">
        <v>6</v>
      </c>
      <c r="B187" s="15" t="inlineStr">
        <is>
          <t>月</t>
        </is>
      </c>
      <c r="C187" s="15" t="n">
        <v>6</v>
      </c>
      <c r="D187" s="15" t="inlineStr">
        <is>
          <t>集会</t>
        </is>
      </c>
      <c r="E187" s="15" t="inlineStr">
        <is>
          <t>保健</t>
        </is>
      </c>
      <c r="F187" s="15" t="inlineStr">
        <is>
          <t>図書</t>
        </is>
      </c>
      <c r="G187" s="3">
        <f>IF(J187="","",IFERROR(INDEX(児童名簿!$D$2:$D$301,MATCH(J187,児童名簿!$F$2:$F$301,0)),""))</f>
        <v/>
      </c>
      <c r="H187" s="19">
        <f>IF(J187="","",IF(G187="","名簿にいない",IF(COUNTIF(J188:J$402,J187)&gt;0,"2回提出（下の行を使います）",IF(OR(AND(D187&lt;&gt;"",COUNTIF(設定!$G$8:$G$27,D187)=0),AND(E187&lt;&gt;"",COUNTIF(設定!$G$8:$G$27,E187)=0),AND(F187&lt;&gt;"",COUNTIF(設定!$G$8:$G$27,F187)=0)),"委員会名がちがう",IF(D187="","第1希望がない",IF(OR(AND(D187&lt;&gt;"",D187=E187),AND(D187&lt;&gt;"",D187=F187),AND(E187&lt;&gt;"",E187=F187)),"同じ委員会を重複して希望","OK"))))))</f>
        <v/>
      </c>
      <c r="J187" s="8">
        <f>IF(A187="","",A187&amp;"-"&amp;B187&amp;"-"&amp;C187)</f>
        <v/>
      </c>
      <c r="K187" s="8">
        <f>IF(OR(J187="",G187=""),"",IF(COUNTIF(J188:J$402,J187)=0,J187,""))</f>
        <v/>
      </c>
    </row>
    <row r="188">
      <c r="A188" s="15" t="n">
        <v>5</v>
      </c>
      <c r="B188" s="15" t="inlineStr">
        <is>
          <t>竹</t>
        </is>
      </c>
      <c r="C188" s="15" t="n">
        <v>22</v>
      </c>
      <c r="D188" s="15" t="inlineStr">
        <is>
          <t>給食</t>
        </is>
      </c>
      <c r="E188" s="15" t="inlineStr">
        <is>
          <t>体育</t>
        </is>
      </c>
      <c r="F188" s="15" t="inlineStr">
        <is>
          <t>飼育</t>
        </is>
      </c>
      <c r="G188" s="3">
        <f>IF(J188="","",IFERROR(INDEX(児童名簿!$D$2:$D$301,MATCH(J188,児童名簿!$F$2:$F$301,0)),""))</f>
        <v/>
      </c>
      <c r="H188" s="19">
        <f>IF(J188="","",IF(G188="","名簿にいない",IF(COUNTIF(J189:J$402,J188)&gt;0,"2回提出（下の行を使います）",IF(OR(AND(D188&lt;&gt;"",COUNTIF(設定!$G$8:$G$27,D188)=0),AND(E188&lt;&gt;"",COUNTIF(設定!$G$8:$G$27,E188)=0),AND(F188&lt;&gt;"",COUNTIF(設定!$G$8:$G$27,F188)=0)),"委員会名がちがう",IF(D188="","第1希望がない",IF(OR(AND(D188&lt;&gt;"",D188=E188),AND(D188&lt;&gt;"",D188=F188),AND(E188&lt;&gt;"",E188=F188)),"同じ委員会を重複して希望","OK"))))))</f>
        <v/>
      </c>
      <c r="J188" s="8">
        <f>IF(A188="","",A188&amp;"-"&amp;B188&amp;"-"&amp;C188)</f>
        <v/>
      </c>
      <c r="K188" s="8">
        <f>IF(OR(J188="",G188=""),"",IF(COUNTIF(J189:J$402,J188)=0,J188,""))</f>
        <v/>
      </c>
    </row>
    <row r="189">
      <c r="A189" s="15" t="n">
        <v>5</v>
      </c>
      <c r="B189" s="15" t="inlineStr">
        <is>
          <t>梅</t>
        </is>
      </c>
      <c r="C189" s="15" t="n">
        <v>23</v>
      </c>
      <c r="D189" s="15" t="inlineStr">
        <is>
          <t>広報</t>
        </is>
      </c>
      <c r="E189" s="15" t="inlineStr">
        <is>
          <t>保健</t>
        </is>
      </c>
      <c r="F189" s="15" t="inlineStr">
        <is>
          <t>環境</t>
        </is>
      </c>
      <c r="G189" s="3">
        <f>IF(J189="","",IFERROR(INDEX(児童名簿!$D$2:$D$301,MATCH(J189,児童名簿!$F$2:$F$301,0)),""))</f>
        <v/>
      </c>
      <c r="H189" s="19">
        <f>IF(J189="","",IF(G189="","名簿にいない",IF(COUNTIF(J190:J$402,J189)&gt;0,"2回提出（下の行を使います）",IF(OR(AND(D189&lt;&gt;"",COUNTIF(設定!$G$8:$G$27,D189)=0),AND(E189&lt;&gt;"",COUNTIF(設定!$G$8:$G$27,E189)=0),AND(F189&lt;&gt;"",COUNTIF(設定!$G$8:$G$27,F189)=0)),"委員会名がちがう",IF(D189="","第1希望がない",IF(OR(AND(D189&lt;&gt;"",D189=E189),AND(D189&lt;&gt;"",D189=F189),AND(E189&lt;&gt;"",E189=F189)),"同じ委員会を重複して希望","OK"))))))</f>
        <v/>
      </c>
      <c r="J189" s="8">
        <f>IF(A189="","",A189&amp;"-"&amp;B189&amp;"-"&amp;C189)</f>
        <v/>
      </c>
      <c r="K189" s="8">
        <f>IF(OR(J189="",G189=""),"",IF(COUNTIF(J190:J$402,J189)=0,J189,""))</f>
        <v/>
      </c>
    </row>
    <row r="190">
      <c r="A190" s="15" t="n">
        <v>6</v>
      </c>
      <c r="B190" s="15" t="inlineStr">
        <is>
          <t>月</t>
        </is>
      </c>
      <c r="C190" s="15" t="n">
        <v>20</v>
      </c>
      <c r="D190" s="15" t="inlineStr">
        <is>
          <t>飼育</t>
        </is>
      </c>
      <c r="E190" s="15" t="inlineStr">
        <is>
          <t>放送</t>
        </is>
      </c>
      <c r="F190" s="15" t="inlineStr">
        <is>
          <t>音楽</t>
        </is>
      </c>
      <c r="G190" s="3">
        <f>IF(J190="","",IFERROR(INDEX(児童名簿!$D$2:$D$301,MATCH(J190,児童名簿!$F$2:$F$301,0)),""))</f>
        <v/>
      </c>
      <c r="H190" s="19">
        <f>IF(J190="","",IF(G190="","名簿にいない",IF(COUNTIF(J191:J$402,J190)&gt;0,"2回提出（下の行を使います）",IF(OR(AND(D190&lt;&gt;"",COUNTIF(設定!$G$8:$G$27,D190)=0),AND(E190&lt;&gt;"",COUNTIF(設定!$G$8:$G$27,E190)=0),AND(F190&lt;&gt;"",COUNTIF(設定!$G$8:$G$27,F190)=0)),"委員会名がちがう",IF(D190="","第1希望がない",IF(OR(AND(D190&lt;&gt;"",D190=E190),AND(D190&lt;&gt;"",D190=F190),AND(E190&lt;&gt;"",E190=F190)),"同じ委員会を重複して希望","OK"))))))</f>
        <v/>
      </c>
      <c r="J190" s="8">
        <f>IF(A190="","",A190&amp;"-"&amp;B190&amp;"-"&amp;C190)</f>
        <v/>
      </c>
      <c r="K190" s="8">
        <f>IF(OR(J190="",G190=""),"",IF(COUNTIF(J191:J$402,J190)=0,J190,""))</f>
        <v/>
      </c>
    </row>
    <row r="191">
      <c r="A191" s="15" t="n">
        <v>5</v>
      </c>
      <c r="B191" s="15" t="inlineStr">
        <is>
          <t>月</t>
        </is>
      </c>
      <c r="C191" s="15" t="n">
        <v>4</v>
      </c>
      <c r="D191" s="15" t="inlineStr">
        <is>
          <t>環境</t>
        </is>
      </c>
      <c r="E191" s="15" t="inlineStr">
        <is>
          <t>図書</t>
        </is>
      </c>
      <c r="F191" s="15" t="inlineStr">
        <is>
          <t>体育</t>
        </is>
      </c>
      <c r="G191" s="3">
        <f>IF(J191="","",IFERROR(INDEX(児童名簿!$D$2:$D$301,MATCH(J191,児童名簿!$F$2:$F$301,0)),""))</f>
        <v/>
      </c>
      <c r="H191" s="19">
        <f>IF(J191="","",IF(G191="","名簿にいない",IF(COUNTIF(J192:J$402,J191)&gt;0,"2回提出（下の行を使います）",IF(OR(AND(D191&lt;&gt;"",COUNTIF(設定!$G$8:$G$27,D191)=0),AND(E191&lt;&gt;"",COUNTIF(設定!$G$8:$G$27,E191)=0),AND(F191&lt;&gt;"",COUNTIF(設定!$G$8:$G$27,F191)=0)),"委員会名がちがう",IF(D191="","第1希望がない",IF(OR(AND(D191&lt;&gt;"",D191=E191),AND(D191&lt;&gt;"",D191=F191),AND(E191&lt;&gt;"",E191=F191)),"同じ委員会を重複して希望","OK"))))))</f>
        <v/>
      </c>
      <c r="J191" s="8">
        <f>IF(A191="","",A191&amp;"-"&amp;B191&amp;"-"&amp;C191)</f>
        <v/>
      </c>
      <c r="K191" s="8">
        <f>IF(OR(J191="",G191=""),"",IF(COUNTIF(J192:J$402,J191)=0,J191,""))</f>
        <v/>
      </c>
    </row>
    <row r="192">
      <c r="A192" s="15" t="n">
        <v>5</v>
      </c>
      <c r="B192" s="15" t="inlineStr">
        <is>
          <t>竹</t>
        </is>
      </c>
      <c r="C192" s="15" t="n">
        <v>3</v>
      </c>
      <c r="D192" s="15" t="inlineStr">
        <is>
          <t>飼育</t>
        </is>
      </c>
      <c r="E192" s="15" t="inlineStr">
        <is>
          <t>図書</t>
        </is>
      </c>
      <c r="F192" s="15" t="inlineStr">
        <is>
          <t>掲示</t>
        </is>
      </c>
      <c r="G192" s="3">
        <f>IF(J192="","",IFERROR(INDEX(児童名簿!$D$2:$D$301,MATCH(J192,児童名簿!$F$2:$F$301,0)),""))</f>
        <v/>
      </c>
      <c r="H192" s="19">
        <f>IF(J192="","",IF(G192="","名簿にいない",IF(COUNTIF(J193:J$402,J192)&gt;0,"2回提出（下の行を使います）",IF(OR(AND(D192&lt;&gt;"",COUNTIF(設定!$G$8:$G$27,D192)=0),AND(E192&lt;&gt;"",COUNTIF(設定!$G$8:$G$27,E192)=0),AND(F192&lt;&gt;"",COUNTIF(設定!$G$8:$G$27,F192)=0)),"委員会名がちがう",IF(D192="","第1希望がない",IF(OR(AND(D192&lt;&gt;"",D192=E192),AND(D192&lt;&gt;"",D192=F192),AND(E192&lt;&gt;"",E192=F192)),"同じ委員会を重複して希望","OK"))))))</f>
        <v/>
      </c>
      <c r="J192" s="8">
        <f>IF(A192="","",A192&amp;"-"&amp;B192&amp;"-"&amp;C192)</f>
        <v/>
      </c>
      <c r="K192" s="8">
        <f>IF(OR(J192="",G192=""),"",IF(COUNTIF(J193:J$402,J192)=0,J192,""))</f>
        <v/>
      </c>
    </row>
    <row r="193">
      <c r="A193" s="15" t="n">
        <v>5</v>
      </c>
      <c r="B193" s="15" t="inlineStr">
        <is>
          <t>梅</t>
        </is>
      </c>
      <c r="C193" s="15" t="n">
        <v>29</v>
      </c>
      <c r="D193" s="15" t="inlineStr">
        <is>
          <t>体育</t>
        </is>
      </c>
      <c r="E193" s="15" t="inlineStr">
        <is>
          <t>保健</t>
        </is>
      </c>
      <c r="F193" s="15" t="inlineStr">
        <is>
          <t>飼育</t>
        </is>
      </c>
      <c r="G193" s="3">
        <f>IF(J193="","",IFERROR(INDEX(児童名簿!$D$2:$D$301,MATCH(J193,児童名簿!$F$2:$F$301,0)),""))</f>
        <v/>
      </c>
      <c r="H193" s="19">
        <f>IF(J193="","",IF(G193="","名簿にいない",IF(COUNTIF(J194:J$402,J193)&gt;0,"2回提出（下の行を使います）",IF(OR(AND(D193&lt;&gt;"",COUNTIF(設定!$G$8:$G$27,D193)=0),AND(E193&lt;&gt;"",COUNTIF(設定!$G$8:$G$27,E193)=0),AND(F193&lt;&gt;"",COUNTIF(設定!$G$8:$G$27,F193)=0)),"委員会名がちがう",IF(D193="","第1希望がない",IF(OR(AND(D193&lt;&gt;"",D193=E193),AND(D193&lt;&gt;"",D193=F193),AND(E193&lt;&gt;"",E193=F193)),"同じ委員会を重複して希望","OK"))))))</f>
        <v/>
      </c>
      <c r="J193" s="8">
        <f>IF(A193="","",A193&amp;"-"&amp;B193&amp;"-"&amp;C193)</f>
        <v/>
      </c>
      <c r="K193" s="8">
        <f>IF(OR(J193="",G193=""),"",IF(COUNTIF(J194:J$402,J193)=0,J193,""))</f>
        <v/>
      </c>
    </row>
    <row r="194">
      <c r="A194" s="15" t="n">
        <v>6</v>
      </c>
      <c r="B194" s="15" t="inlineStr">
        <is>
          <t>月</t>
        </is>
      </c>
      <c r="C194" s="15" t="n">
        <v>19</v>
      </c>
      <c r="D194" s="15" t="inlineStr">
        <is>
          <t>飼育</t>
        </is>
      </c>
      <c r="E194" s="15" t="inlineStr">
        <is>
          <t>代表</t>
        </is>
      </c>
      <c r="F194" s="15" t="inlineStr">
        <is>
          <t>広報</t>
        </is>
      </c>
      <c r="G194" s="3">
        <f>IF(J194="","",IFERROR(INDEX(児童名簿!$D$2:$D$301,MATCH(J194,児童名簿!$F$2:$F$301,0)),""))</f>
        <v/>
      </c>
      <c r="H194" s="19">
        <f>IF(J194="","",IF(G194="","名簿にいない",IF(COUNTIF(J195:J$402,J194)&gt;0,"2回提出（下の行を使います）",IF(OR(AND(D194&lt;&gt;"",COUNTIF(設定!$G$8:$G$27,D194)=0),AND(E194&lt;&gt;"",COUNTIF(設定!$G$8:$G$27,E194)=0),AND(F194&lt;&gt;"",COUNTIF(設定!$G$8:$G$27,F194)=0)),"委員会名がちがう",IF(D194="","第1希望がない",IF(OR(AND(D194&lt;&gt;"",D194=E194),AND(D194&lt;&gt;"",D194=F194),AND(E194&lt;&gt;"",E194=F194)),"同じ委員会を重複して希望","OK"))))))</f>
        <v/>
      </c>
      <c r="J194" s="8">
        <f>IF(A194="","",A194&amp;"-"&amp;B194&amp;"-"&amp;C194)</f>
        <v/>
      </c>
      <c r="K194" s="8">
        <f>IF(OR(J194="",G194=""),"",IF(COUNTIF(J195:J$402,J194)=0,J194,""))</f>
        <v/>
      </c>
    </row>
    <row r="195">
      <c r="A195" s="15" t="n">
        <v>5</v>
      </c>
      <c r="B195" s="15" t="inlineStr">
        <is>
          <t>竹</t>
        </is>
      </c>
      <c r="C195" s="15" t="n">
        <v>20</v>
      </c>
      <c r="D195" s="15" t="inlineStr">
        <is>
          <t>代表</t>
        </is>
      </c>
      <c r="E195" s="15" t="inlineStr">
        <is>
          <t>掲示</t>
        </is>
      </c>
      <c r="F195" s="15" t="inlineStr">
        <is>
          <t>飼育</t>
        </is>
      </c>
      <c r="G195" s="3">
        <f>IF(J195="","",IFERROR(INDEX(児童名簿!$D$2:$D$301,MATCH(J195,児童名簿!$F$2:$F$301,0)),""))</f>
        <v/>
      </c>
      <c r="H195" s="19">
        <f>IF(J195="","",IF(G195="","名簿にいない",IF(COUNTIF(J196:J$402,J195)&gt;0,"2回提出（下の行を使います）",IF(OR(AND(D195&lt;&gt;"",COUNTIF(設定!$G$8:$G$27,D195)=0),AND(E195&lt;&gt;"",COUNTIF(設定!$G$8:$G$27,E195)=0),AND(F195&lt;&gt;"",COUNTIF(設定!$G$8:$G$27,F195)=0)),"委員会名がちがう",IF(D195="","第1希望がない",IF(OR(AND(D195&lt;&gt;"",D195=E195),AND(D195&lt;&gt;"",D195=F195),AND(E195&lt;&gt;"",E195=F195)),"同じ委員会を重複して希望","OK"))))))</f>
        <v/>
      </c>
      <c r="J195" s="8">
        <f>IF(A195="","",A195&amp;"-"&amp;B195&amp;"-"&amp;C195)</f>
        <v/>
      </c>
      <c r="K195" s="8">
        <f>IF(OR(J195="",G195=""),"",IF(COUNTIF(J196:J$402,J195)=0,J195,""))</f>
        <v/>
      </c>
    </row>
    <row r="196">
      <c r="A196" s="15" t="n">
        <v>6</v>
      </c>
      <c r="B196" s="15" t="inlineStr">
        <is>
          <t>梅</t>
        </is>
      </c>
      <c r="C196" s="15" t="n">
        <v>20</v>
      </c>
      <c r="D196" s="15" t="inlineStr">
        <is>
          <t>図書</t>
        </is>
      </c>
      <c r="E196" s="15" t="inlineStr">
        <is>
          <t>集会</t>
        </is>
      </c>
      <c r="F196" s="15" t="inlineStr">
        <is>
          <t>体育</t>
        </is>
      </c>
      <c r="G196" s="3">
        <f>IF(J196="","",IFERROR(INDEX(児童名簿!$D$2:$D$301,MATCH(J196,児童名簿!$F$2:$F$301,0)),""))</f>
        <v/>
      </c>
      <c r="H196" s="19">
        <f>IF(J196="","",IF(G196="","名簿にいない",IF(COUNTIF(J197:J$402,J196)&gt;0,"2回提出（下の行を使います）",IF(OR(AND(D196&lt;&gt;"",COUNTIF(設定!$G$8:$G$27,D196)=0),AND(E196&lt;&gt;"",COUNTIF(設定!$G$8:$G$27,E196)=0),AND(F196&lt;&gt;"",COUNTIF(設定!$G$8:$G$27,F196)=0)),"委員会名がちがう",IF(D196="","第1希望がない",IF(OR(AND(D196&lt;&gt;"",D196=E196),AND(D196&lt;&gt;"",D196=F196),AND(E196&lt;&gt;"",E196=F196)),"同じ委員会を重複して希望","OK"))))))</f>
        <v/>
      </c>
      <c r="J196" s="8">
        <f>IF(A196="","",A196&amp;"-"&amp;B196&amp;"-"&amp;C196)</f>
        <v/>
      </c>
      <c r="K196" s="8">
        <f>IF(OR(J196="",G196=""),"",IF(COUNTIF(J197:J$402,J196)=0,J196,""))</f>
        <v/>
      </c>
    </row>
    <row r="197">
      <c r="A197" s="15" t="n">
        <v>5</v>
      </c>
      <c r="B197" s="15" t="inlineStr">
        <is>
          <t>竹</t>
        </is>
      </c>
      <c r="C197" s="15" t="n">
        <v>14</v>
      </c>
      <c r="D197" s="15" t="inlineStr">
        <is>
          <t>保健</t>
        </is>
      </c>
      <c r="E197" s="15" t="inlineStr">
        <is>
          <t>飼育</t>
        </is>
      </c>
      <c r="F197" s="15" t="inlineStr">
        <is>
          <t>図書</t>
        </is>
      </c>
      <c r="G197" s="3">
        <f>IF(J197="","",IFERROR(INDEX(児童名簿!$D$2:$D$301,MATCH(J197,児童名簿!$F$2:$F$301,0)),""))</f>
        <v/>
      </c>
      <c r="H197" s="19">
        <f>IF(J197="","",IF(G197="","名簿にいない",IF(COUNTIF(J198:J$402,J197)&gt;0,"2回提出（下の行を使います）",IF(OR(AND(D197&lt;&gt;"",COUNTIF(設定!$G$8:$G$27,D197)=0),AND(E197&lt;&gt;"",COUNTIF(設定!$G$8:$G$27,E197)=0),AND(F197&lt;&gt;"",COUNTIF(設定!$G$8:$G$27,F197)=0)),"委員会名がちがう",IF(D197="","第1希望がない",IF(OR(AND(D197&lt;&gt;"",D197=E197),AND(D197&lt;&gt;"",D197=F197),AND(E197&lt;&gt;"",E197=F197)),"同じ委員会を重複して希望","OK"))))))</f>
        <v/>
      </c>
      <c r="J197" s="8">
        <f>IF(A197="","",A197&amp;"-"&amp;B197&amp;"-"&amp;C197)</f>
        <v/>
      </c>
      <c r="K197" s="8">
        <f>IF(OR(J197="",G197=""),"",IF(COUNTIF(J198:J$402,J197)=0,J197,""))</f>
        <v/>
      </c>
    </row>
    <row r="198">
      <c r="A198" s="15" t="n">
        <v>5</v>
      </c>
      <c r="B198" s="15" t="inlineStr">
        <is>
          <t>松</t>
        </is>
      </c>
      <c r="C198" s="15" t="n">
        <v>24</v>
      </c>
      <c r="D198" s="15" t="inlineStr">
        <is>
          <t>広報</t>
        </is>
      </c>
      <c r="E198" s="15" t="inlineStr">
        <is>
          <t>集会</t>
        </is>
      </c>
      <c r="F198" s="15" t="inlineStr">
        <is>
          <t>環境</t>
        </is>
      </c>
      <c r="G198" s="3">
        <f>IF(J198="","",IFERROR(INDEX(児童名簿!$D$2:$D$301,MATCH(J198,児童名簿!$F$2:$F$301,0)),""))</f>
        <v/>
      </c>
      <c r="H198" s="19">
        <f>IF(J198="","",IF(G198="","名簿にいない",IF(COUNTIF(J199:J$402,J198)&gt;0,"2回提出（下の行を使います）",IF(OR(AND(D198&lt;&gt;"",COUNTIF(設定!$G$8:$G$27,D198)=0),AND(E198&lt;&gt;"",COUNTIF(設定!$G$8:$G$27,E198)=0),AND(F198&lt;&gt;"",COUNTIF(設定!$G$8:$G$27,F198)=0)),"委員会名がちがう",IF(D198="","第1希望がない",IF(OR(AND(D198&lt;&gt;"",D198=E198),AND(D198&lt;&gt;"",D198=F198),AND(E198&lt;&gt;"",E198=F198)),"同じ委員会を重複して希望","OK"))))))</f>
        <v/>
      </c>
      <c r="J198" s="8">
        <f>IF(A198="","",A198&amp;"-"&amp;B198&amp;"-"&amp;C198)</f>
        <v/>
      </c>
      <c r="K198" s="8">
        <f>IF(OR(J198="",G198=""),"",IF(COUNTIF(J199:J$402,J198)=0,J198,""))</f>
        <v/>
      </c>
    </row>
    <row r="199">
      <c r="A199" s="15" t="n">
        <v>6</v>
      </c>
      <c r="B199" s="15" t="inlineStr">
        <is>
          <t>月</t>
        </is>
      </c>
      <c r="C199" s="15" t="n">
        <v>29</v>
      </c>
      <c r="D199" s="15" t="inlineStr">
        <is>
          <t>飼育</t>
        </is>
      </c>
      <c r="E199" s="15" t="inlineStr">
        <is>
          <t>音楽</t>
        </is>
      </c>
      <c r="F199" s="15" t="inlineStr">
        <is>
          <t>保健</t>
        </is>
      </c>
      <c r="G199" s="3">
        <f>IF(J199="","",IFERROR(INDEX(児童名簿!$D$2:$D$301,MATCH(J199,児童名簿!$F$2:$F$301,0)),""))</f>
        <v/>
      </c>
      <c r="H199" s="19">
        <f>IF(J199="","",IF(G199="","名簿にいない",IF(COUNTIF(J200:J$402,J199)&gt;0,"2回提出（下の行を使います）",IF(OR(AND(D199&lt;&gt;"",COUNTIF(設定!$G$8:$G$27,D199)=0),AND(E199&lt;&gt;"",COUNTIF(設定!$G$8:$G$27,E199)=0),AND(F199&lt;&gt;"",COUNTIF(設定!$G$8:$G$27,F199)=0)),"委員会名がちがう",IF(D199="","第1希望がない",IF(OR(AND(D199&lt;&gt;"",D199=E199),AND(D199&lt;&gt;"",D199=F199),AND(E199&lt;&gt;"",E199=F199)),"同じ委員会を重複して希望","OK"))))))</f>
        <v/>
      </c>
      <c r="J199" s="8">
        <f>IF(A199="","",A199&amp;"-"&amp;B199&amp;"-"&amp;C199)</f>
        <v/>
      </c>
      <c r="K199" s="8">
        <f>IF(OR(J199="",G199=""),"",IF(COUNTIF(J200:J$402,J199)=0,J199,""))</f>
        <v/>
      </c>
    </row>
    <row r="200">
      <c r="A200" s="15" t="n">
        <v>5</v>
      </c>
      <c r="B200" s="15" t="inlineStr">
        <is>
          <t>竹</t>
        </is>
      </c>
      <c r="C200" s="15" t="n">
        <v>7</v>
      </c>
      <c r="D200" s="15" t="inlineStr">
        <is>
          <t>体育</t>
        </is>
      </c>
      <c r="E200" s="15" t="inlineStr">
        <is>
          <t>放送</t>
        </is>
      </c>
      <c r="F200" s="15" t="inlineStr">
        <is>
          <t>音楽</t>
        </is>
      </c>
      <c r="G200" s="3">
        <f>IF(J200="","",IFERROR(INDEX(児童名簿!$D$2:$D$301,MATCH(J200,児童名簿!$F$2:$F$301,0)),""))</f>
        <v/>
      </c>
      <c r="H200" s="19">
        <f>IF(J200="","",IF(G200="","名簿にいない",IF(COUNTIF(J201:J$402,J200)&gt;0,"2回提出（下の行を使います）",IF(OR(AND(D200&lt;&gt;"",COUNTIF(設定!$G$8:$G$27,D200)=0),AND(E200&lt;&gt;"",COUNTIF(設定!$G$8:$G$27,E200)=0),AND(F200&lt;&gt;"",COUNTIF(設定!$G$8:$G$27,F200)=0)),"委員会名がちがう",IF(D200="","第1希望がない",IF(OR(AND(D200&lt;&gt;"",D200=E200),AND(D200&lt;&gt;"",D200=F200),AND(E200&lt;&gt;"",E200=F200)),"同じ委員会を重複して希望","OK"))))))</f>
        <v/>
      </c>
      <c r="J200" s="8">
        <f>IF(A200="","",A200&amp;"-"&amp;B200&amp;"-"&amp;C200)</f>
        <v/>
      </c>
      <c r="K200" s="8">
        <f>IF(OR(J200="",G200=""),"",IF(COUNTIF(J201:J$402,J200)=0,J200,""))</f>
        <v/>
      </c>
    </row>
    <row r="201">
      <c r="A201" s="15" t="n">
        <v>6</v>
      </c>
      <c r="B201" s="15" t="inlineStr">
        <is>
          <t>月</t>
        </is>
      </c>
      <c r="C201" s="15" t="n">
        <v>11</v>
      </c>
      <c r="D201" s="15" t="inlineStr">
        <is>
          <t>飼育</t>
        </is>
      </c>
      <c r="E201" s="15" t="inlineStr">
        <is>
          <t>集会</t>
        </is>
      </c>
      <c r="F201" s="15" t="inlineStr">
        <is>
          <t>保健</t>
        </is>
      </c>
      <c r="G201" s="3">
        <f>IF(J201="","",IFERROR(INDEX(児童名簿!$D$2:$D$301,MATCH(J201,児童名簿!$F$2:$F$301,0)),""))</f>
        <v/>
      </c>
      <c r="H201" s="19">
        <f>IF(J201="","",IF(G201="","名簿にいない",IF(COUNTIF(J202:J$402,J201)&gt;0,"2回提出（下の行を使います）",IF(OR(AND(D201&lt;&gt;"",COUNTIF(設定!$G$8:$G$27,D201)=0),AND(E201&lt;&gt;"",COUNTIF(設定!$G$8:$G$27,E201)=0),AND(F201&lt;&gt;"",COUNTIF(設定!$G$8:$G$27,F201)=0)),"委員会名がちがう",IF(D201="","第1希望がない",IF(OR(AND(D201&lt;&gt;"",D201=E201),AND(D201&lt;&gt;"",D201=F201),AND(E201&lt;&gt;"",E201=F201)),"同じ委員会を重複して希望","OK"))))))</f>
        <v/>
      </c>
      <c r="J201" s="8">
        <f>IF(A201="","",A201&amp;"-"&amp;B201&amp;"-"&amp;C201)</f>
        <v/>
      </c>
      <c r="K201" s="8">
        <f>IF(OR(J201="",G201=""),"",IF(COUNTIF(J202:J$402,J201)=0,J201,""))</f>
        <v/>
      </c>
    </row>
    <row r="202">
      <c r="A202" s="15" t="n">
        <v>6</v>
      </c>
      <c r="B202" s="15" t="inlineStr">
        <is>
          <t>竹</t>
        </is>
      </c>
      <c r="C202" s="15" t="n">
        <v>1</v>
      </c>
      <c r="D202" s="15" t="inlineStr">
        <is>
          <t>掲示</t>
        </is>
      </c>
      <c r="E202" s="15" t="inlineStr">
        <is>
          <t>保健</t>
        </is>
      </c>
      <c r="F202" s="15" t="inlineStr">
        <is>
          <t>広報</t>
        </is>
      </c>
      <c r="G202" s="3">
        <f>IF(J202="","",IFERROR(INDEX(児童名簿!$D$2:$D$301,MATCH(J202,児童名簿!$F$2:$F$301,0)),""))</f>
        <v/>
      </c>
      <c r="H202" s="19">
        <f>IF(J202="","",IF(G202="","名簿にいない",IF(COUNTIF(J203:J$402,J202)&gt;0,"2回提出（下の行を使います）",IF(OR(AND(D202&lt;&gt;"",COUNTIF(設定!$G$8:$G$27,D202)=0),AND(E202&lt;&gt;"",COUNTIF(設定!$G$8:$G$27,E202)=0),AND(F202&lt;&gt;"",COUNTIF(設定!$G$8:$G$27,F202)=0)),"委員会名がちがう",IF(D202="","第1希望がない",IF(OR(AND(D202&lt;&gt;"",D202=E202),AND(D202&lt;&gt;"",D202=F202),AND(E202&lt;&gt;"",E202=F202)),"同じ委員会を重複して希望","OK"))))))</f>
        <v/>
      </c>
      <c r="J202" s="8">
        <f>IF(A202="","",A202&amp;"-"&amp;B202&amp;"-"&amp;C202)</f>
        <v/>
      </c>
      <c r="K202" s="8">
        <f>IF(OR(J202="",G202=""),"",IF(COUNTIF(J203:J$402,J202)=0,J202,""))</f>
        <v/>
      </c>
    </row>
    <row r="203">
      <c r="A203" s="15" t="n">
        <v>6</v>
      </c>
      <c r="B203" s="15" t="inlineStr">
        <is>
          <t>梅</t>
        </is>
      </c>
      <c r="C203" s="15" t="n">
        <v>24</v>
      </c>
      <c r="D203" s="15" t="inlineStr">
        <is>
          <t>放送</t>
        </is>
      </c>
      <c r="E203" s="15" t="inlineStr">
        <is>
          <t>保健</t>
        </is>
      </c>
      <c r="F203" s="15" t="inlineStr">
        <is>
          <t>広報</t>
        </is>
      </c>
      <c r="G203" s="3">
        <f>IF(J203="","",IFERROR(INDEX(児童名簿!$D$2:$D$301,MATCH(J203,児童名簿!$F$2:$F$301,0)),""))</f>
        <v/>
      </c>
      <c r="H203" s="19">
        <f>IF(J203="","",IF(G203="","名簿にいない",IF(COUNTIF(J204:J$402,J203)&gt;0,"2回提出（下の行を使います）",IF(OR(AND(D203&lt;&gt;"",COUNTIF(設定!$G$8:$G$27,D203)=0),AND(E203&lt;&gt;"",COUNTIF(設定!$G$8:$G$27,E203)=0),AND(F203&lt;&gt;"",COUNTIF(設定!$G$8:$G$27,F203)=0)),"委員会名がちがう",IF(D203="","第1希望がない",IF(OR(AND(D203&lt;&gt;"",D203=E203),AND(D203&lt;&gt;"",D203=F203),AND(E203&lt;&gt;"",E203=F203)),"同じ委員会を重複して希望","OK"))))))</f>
        <v/>
      </c>
      <c r="J203" s="8">
        <f>IF(A203="","",A203&amp;"-"&amp;B203&amp;"-"&amp;C203)</f>
        <v/>
      </c>
      <c r="K203" s="8">
        <f>IF(OR(J203="",G203=""),"",IF(COUNTIF(J204:J$402,J203)=0,J203,""))</f>
        <v/>
      </c>
    </row>
    <row r="204">
      <c r="A204" s="15" t="n">
        <v>5</v>
      </c>
      <c r="B204" s="15" t="inlineStr">
        <is>
          <t>竹</t>
        </is>
      </c>
      <c r="C204" s="15" t="n">
        <v>24</v>
      </c>
      <c r="D204" s="15" t="inlineStr">
        <is>
          <t>図書</t>
        </is>
      </c>
      <c r="E204" s="15" t="inlineStr">
        <is>
          <t>給食</t>
        </is>
      </c>
      <c r="F204" s="15" t="inlineStr">
        <is>
          <t>音楽</t>
        </is>
      </c>
      <c r="G204" s="3">
        <f>IF(J204="","",IFERROR(INDEX(児童名簿!$D$2:$D$301,MATCH(J204,児童名簿!$F$2:$F$301,0)),""))</f>
        <v/>
      </c>
      <c r="H204" s="19">
        <f>IF(J204="","",IF(G204="","名簿にいない",IF(COUNTIF(J205:J$402,J204)&gt;0,"2回提出（下の行を使います）",IF(OR(AND(D204&lt;&gt;"",COUNTIF(設定!$G$8:$G$27,D204)=0),AND(E204&lt;&gt;"",COUNTIF(設定!$G$8:$G$27,E204)=0),AND(F204&lt;&gt;"",COUNTIF(設定!$G$8:$G$27,F204)=0)),"委員会名がちがう",IF(D204="","第1希望がない",IF(OR(AND(D204&lt;&gt;"",D204=E204),AND(D204&lt;&gt;"",D204=F204),AND(E204&lt;&gt;"",E204=F204)),"同じ委員会を重複して希望","OK"))))))</f>
        <v/>
      </c>
      <c r="J204" s="8">
        <f>IF(A204="","",A204&amp;"-"&amp;B204&amp;"-"&amp;C204)</f>
        <v/>
      </c>
      <c r="K204" s="8">
        <f>IF(OR(J204="",G204=""),"",IF(COUNTIF(J205:J$402,J204)=0,J204,""))</f>
        <v/>
      </c>
    </row>
    <row r="205">
      <c r="A205" s="15" t="n">
        <v>6</v>
      </c>
      <c r="B205" s="15" t="inlineStr">
        <is>
          <t>松</t>
        </is>
      </c>
      <c r="C205" s="15" t="n">
        <v>10</v>
      </c>
      <c r="D205" s="15" t="inlineStr">
        <is>
          <t>集会</t>
        </is>
      </c>
      <c r="E205" s="15" t="inlineStr">
        <is>
          <t>図書</t>
        </is>
      </c>
      <c r="F205" s="15" t="inlineStr">
        <is>
          <t>給食</t>
        </is>
      </c>
      <c r="G205" s="3">
        <f>IF(J205="","",IFERROR(INDEX(児童名簿!$D$2:$D$301,MATCH(J205,児童名簿!$F$2:$F$301,0)),""))</f>
        <v/>
      </c>
      <c r="H205" s="19">
        <f>IF(J205="","",IF(G205="","名簿にいない",IF(COUNTIF(J206:J$402,J205)&gt;0,"2回提出（下の行を使います）",IF(OR(AND(D205&lt;&gt;"",COUNTIF(設定!$G$8:$G$27,D205)=0),AND(E205&lt;&gt;"",COUNTIF(設定!$G$8:$G$27,E205)=0),AND(F205&lt;&gt;"",COUNTIF(設定!$G$8:$G$27,F205)=0)),"委員会名がちがう",IF(D205="","第1希望がない",IF(OR(AND(D205&lt;&gt;"",D205=E205),AND(D205&lt;&gt;"",D205=F205),AND(E205&lt;&gt;"",E205=F205)),"同じ委員会を重複して希望","OK"))))))</f>
        <v/>
      </c>
      <c r="J205" s="8">
        <f>IF(A205="","",A205&amp;"-"&amp;B205&amp;"-"&amp;C205)</f>
        <v/>
      </c>
      <c r="K205" s="8">
        <f>IF(OR(J205="",G205=""),"",IF(COUNTIF(J206:J$402,J205)=0,J205,""))</f>
        <v/>
      </c>
    </row>
    <row r="206">
      <c r="A206" s="15" t="n">
        <v>5</v>
      </c>
      <c r="B206" s="15" t="inlineStr">
        <is>
          <t>竹</t>
        </is>
      </c>
      <c r="C206" s="15" t="n">
        <v>26</v>
      </c>
      <c r="D206" s="15" t="inlineStr">
        <is>
          <t>掲示</t>
        </is>
      </c>
      <c r="E206" s="15" t="inlineStr">
        <is>
          <t>広報</t>
        </is>
      </c>
      <c r="F206" s="15" t="inlineStr">
        <is>
          <t>保健</t>
        </is>
      </c>
      <c r="G206" s="3">
        <f>IF(J206="","",IFERROR(INDEX(児童名簿!$D$2:$D$301,MATCH(J206,児童名簿!$F$2:$F$301,0)),""))</f>
        <v/>
      </c>
      <c r="H206" s="19">
        <f>IF(J206="","",IF(G206="","名簿にいない",IF(COUNTIF(J207:J$402,J206)&gt;0,"2回提出（下の行を使います）",IF(OR(AND(D206&lt;&gt;"",COUNTIF(設定!$G$8:$G$27,D206)=0),AND(E206&lt;&gt;"",COUNTIF(設定!$G$8:$G$27,E206)=0),AND(F206&lt;&gt;"",COUNTIF(設定!$G$8:$G$27,F206)=0)),"委員会名がちがう",IF(D206="","第1希望がない",IF(OR(AND(D206&lt;&gt;"",D206=E206),AND(D206&lt;&gt;"",D206=F206),AND(E206&lt;&gt;"",E206=F206)),"同じ委員会を重複して希望","OK"))))))</f>
        <v/>
      </c>
      <c r="J206" s="8">
        <f>IF(A206="","",A206&amp;"-"&amp;B206&amp;"-"&amp;C206)</f>
        <v/>
      </c>
      <c r="K206" s="8">
        <f>IF(OR(J206="",G206=""),"",IF(COUNTIF(J207:J$402,J206)=0,J206,""))</f>
        <v/>
      </c>
    </row>
    <row r="207">
      <c r="A207" s="15" t="n">
        <v>5</v>
      </c>
      <c r="B207" s="15" t="inlineStr">
        <is>
          <t>梅</t>
        </is>
      </c>
      <c r="C207" s="15" t="n">
        <v>17</v>
      </c>
      <c r="D207" s="15" t="inlineStr">
        <is>
          <t>給食</t>
        </is>
      </c>
      <c r="E207" s="15" t="inlineStr">
        <is>
          <t>代表</t>
        </is>
      </c>
      <c r="F207" s="15" t="inlineStr">
        <is>
          <t>図書</t>
        </is>
      </c>
      <c r="G207" s="3">
        <f>IF(J207="","",IFERROR(INDEX(児童名簿!$D$2:$D$301,MATCH(J207,児童名簿!$F$2:$F$301,0)),""))</f>
        <v/>
      </c>
      <c r="H207" s="19">
        <f>IF(J207="","",IF(G207="","名簿にいない",IF(COUNTIF(J208:J$402,J207)&gt;0,"2回提出（下の行を使います）",IF(OR(AND(D207&lt;&gt;"",COUNTIF(設定!$G$8:$G$27,D207)=0),AND(E207&lt;&gt;"",COUNTIF(設定!$G$8:$G$27,E207)=0),AND(F207&lt;&gt;"",COUNTIF(設定!$G$8:$G$27,F207)=0)),"委員会名がちがう",IF(D207="","第1希望がない",IF(OR(AND(D207&lt;&gt;"",D207=E207),AND(D207&lt;&gt;"",D207=F207),AND(E207&lt;&gt;"",E207=F207)),"同じ委員会を重複して希望","OK"))))))</f>
        <v/>
      </c>
      <c r="J207" s="8">
        <f>IF(A207="","",A207&amp;"-"&amp;B207&amp;"-"&amp;C207)</f>
        <v/>
      </c>
      <c r="K207" s="8">
        <f>IF(OR(J207="",G207=""),"",IF(COUNTIF(J208:J$402,J207)=0,J207,""))</f>
        <v/>
      </c>
    </row>
    <row r="208">
      <c r="A208" s="15" t="n">
        <v>5</v>
      </c>
      <c r="B208" s="15" t="inlineStr">
        <is>
          <t>松</t>
        </is>
      </c>
      <c r="C208" s="15" t="n">
        <v>27</v>
      </c>
      <c r="D208" s="15" t="inlineStr">
        <is>
          <t>集会</t>
        </is>
      </c>
      <c r="E208" s="15" t="inlineStr">
        <is>
          <t>保健</t>
        </is>
      </c>
      <c r="F208" s="15" t="inlineStr">
        <is>
          <t>放送</t>
        </is>
      </c>
      <c r="G208" s="3">
        <f>IF(J208="","",IFERROR(INDEX(児童名簿!$D$2:$D$301,MATCH(J208,児童名簿!$F$2:$F$301,0)),""))</f>
        <v/>
      </c>
      <c r="H208" s="19">
        <f>IF(J208="","",IF(G208="","名簿にいない",IF(COUNTIF(J209:J$402,J208)&gt;0,"2回提出（下の行を使います）",IF(OR(AND(D208&lt;&gt;"",COUNTIF(設定!$G$8:$G$27,D208)=0),AND(E208&lt;&gt;"",COUNTIF(設定!$G$8:$G$27,E208)=0),AND(F208&lt;&gt;"",COUNTIF(設定!$G$8:$G$27,F208)=0)),"委員会名がちがう",IF(D208="","第1希望がない",IF(OR(AND(D208&lt;&gt;"",D208=E208),AND(D208&lt;&gt;"",D208=F208),AND(E208&lt;&gt;"",E208=F208)),"同じ委員会を重複して希望","OK"))))))</f>
        <v/>
      </c>
      <c r="J208" s="8">
        <f>IF(A208="","",A208&amp;"-"&amp;B208&amp;"-"&amp;C208)</f>
        <v/>
      </c>
      <c r="K208" s="8">
        <f>IF(OR(J208="",G208=""),"",IF(COUNTIF(J209:J$402,J208)=0,J208,""))</f>
        <v/>
      </c>
    </row>
    <row r="209">
      <c r="A209" s="15" t="n">
        <v>5</v>
      </c>
      <c r="B209" s="15" t="inlineStr">
        <is>
          <t>月</t>
        </is>
      </c>
      <c r="C209" s="15" t="n">
        <v>12</v>
      </c>
      <c r="D209" s="15" t="inlineStr">
        <is>
          <t>掲示</t>
        </is>
      </c>
      <c r="E209" s="15" t="inlineStr">
        <is>
          <t>給食</t>
        </is>
      </c>
      <c r="F209" s="15" t="inlineStr">
        <is>
          <t>図書</t>
        </is>
      </c>
      <c r="G209" s="3">
        <f>IF(J209="","",IFERROR(INDEX(児童名簿!$D$2:$D$301,MATCH(J209,児童名簿!$F$2:$F$301,0)),""))</f>
        <v/>
      </c>
      <c r="H209" s="19">
        <f>IF(J209="","",IF(G209="","名簿にいない",IF(COUNTIF(J210:J$402,J209)&gt;0,"2回提出（下の行を使います）",IF(OR(AND(D209&lt;&gt;"",COUNTIF(設定!$G$8:$G$27,D209)=0),AND(E209&lt;&gt;"",COUNTIF(設定!$G$8:$G$27,E209)=0),AND(F209&lt;&gt;"",COUNTIF(設定!$G$8:$G$27,F209)=0)),"委員会名がちがう",IF(D209="","第1希望がない",IF(OR(AND(D209&lt;&gt;"",D209=E209),AND(D209&lt;&gt;"",D209=F209),AND(E209&lt;&gt;"",E209=F209)),"同じ委員会を重複して希望","OK"))))))</f>
        <v/>
      </c>
      <c r="J209" s="8">
        <f>IF(A209="","",A209&amp;"-"&amp;B209&amp;"-"&amp;C209)</f>
        <v/>
      </c>
      <c r="K209" s="8">
        <f>IF(OR(J209="",G209=""),"",IF(COUNTIF(J210:J$402,J209)=0,J209,""))</f>
        <v/>
      </c>
    </row>
    <row r="210">
      <c r="A210" s="15" t="n">
        <v>6</v>
      </c>
      <c r="B210" s="15" t="inlineStr">
        <is>
          <t>竹</t>
        </is>
      </c>
      <c r="C210" s="15" t="n">
        <v>21</v>
      </c>
      <c r="D210" s="15" t="inlineStr">
        <is>
          <t>飼育</t>
        </is>
      </c>
      <c r="E210" s="15" t="inlineStr">
        <is>
          <t>保健</t>
        </is>
      </c>
      <c r="F210" s="15" t="inlineStr">
        <is>
          <t>給食</t>
        </is>
      </c>
      <c r="G210" s="3">
        <f>IF(J210="","",IFERROR(INDEX(児童名簿!$D$2:$D$301,MATCH(J210,児童名簿!$F$2:$F$301,0)),""))</f>
        <v/>
      </c>
      <c r="H210" s="19">
        <f>IF(J210="","",IF(G210="","名簿にいない",IF(COUNTIF(J211:J$402,J210)&gt;0,"2回提出（下の行を使います）",IF(OR(AND(D210&lt;&gt;"",COUNTIF(設定!$G$8:$G$27,D210)=0),AND(E210&lt;&gt;"",COUNTIF(設定!$G$8:$G$27,E210)=0),AND(F210&lt;&gt;"",COUNTIF(設定!$G$8:$G$27,F210)=0)),"委員会名がちがう",IF(D210="","第1希望がない",IF(OR(AND(D210&lt;&gt;"",D210=E210),AND(D210&lt;&gt;"",D210=F210),AND(E210&lt;&gt;"",E210=F210)),"同じ委員会を重複して希望","OK"))))))</f>
        <v/>
      </c>
      <c r="J210" s="8">
        <f>IF(A210="","",A210&amp;"-"&amp;B210&amp;"-"&amp;C210)</f>
        <v/>
      </c>
      <c r="K210" s="8">
        <f>IF(OR(J210="",G210=""),"",IF(COUNTIF(J211:J$402,J210)=0,J210,""))</f>
        <v/>
      </c>
    </row>
    <row r="211">
      <c r="A211" s="15" t="n">
        <v>5</v>
      </c>
      <c r="B211" s="15" t="inlineStr">
        <is>
          <t>梅</t>
        </is>
      </c>
      <c r="C211" s="15" t="n">
        <v>9</v>
      </c>
      <c r="D211" s="15" t="inlineStr">
        <is>
          <t>放送</t>
        </is>
      </c>
      <c r="E211" s="15" t="inlineStr">
        <is>
          <t>集会</t>
        </is>
      </c>
      <c r="F211" s="15" t="inlineStr">
        <is>
          <t>掲示</t>
        </is>
      </c>
      <c r="G211" s="3">
        <f>IF(J211="","",IFERROR(INDEX(児童名簿!$D$2:$D$301,MATCH(J211,児童名簿!$F$2:$F$301,0)),""))</f>
        <v/>
      </c>
      <c r="H211" s="19">
        <f>IF(J211="","",IF(G211="","名簿にいない",IF(COUNTIF(J212:J$402,J211)&gt;0,"2回提出（下の行を使います）",IF(OR(AND(D211&lt;&gt;"",COUNTIF(設定!$G$8:$G$27,D211)=0),AND(E211&lt;&gt;"",COUNTIF(設定!$G$8:$G$27,E211)=0),AND(F211&lt;&gt;"",COUNTIF(設定!$G$8:$G$27,F211)=0)),"委員会名がちがう",IF(D211="","第1希望がない",IF(OR(AND(D211&lt;&gt;"",D211=E211),AND(D211&lt;&gt;"",D211=F211),AND(E211&lt;&gt;"",E211=F211)),"同じ委員会を重複して希望","OK"))))))</f>
        <v/>
      </c>
      <c r="J211" s="8">
        <f>IF(A211="","",A211&amp;"-"&amp;B211&amp;"-"&amp;C211)</f>
        <v/>
      </c>
      <c r="K211" s="8">
        <f>IF(OR(J211="",G211=""),"",IF(COUNTIF(J212:J$402,J211)=0,J211,""))</f>
        <v/>
      </c>
    </row>
    <row r="212">
      <c r="A212" s="15" t="n">
        <v>6</v>
      </c>
      <c r="B212" s="15" t="inlineStr">
        <is>
          <t>梅</t>
        </is>
      </c>
      <c r="C212" s="15" t="n">
        <v>5</v>
      </c>
      <c r="D212" s="15" t="inlineStr">
        <is>
          <t>図書</t>
        </is>
      </c>
      <c r="E212" s="15" t="inlineStr">
        <is>
          <t>飼育</t>
        </is>
      </c>
      <c r="F212" s="15" t="inlineStr">
        <is>
          <t>広報</t>
        </is>
      </c>
      <c r="G212" s="3">
        <f>IF(J212="","",IFERROR(INDEX(児童名簿!$D$2:$D$301,MATCH(J212,児童名簿!$F$2:$F$301,0)),""))</f>
        <v/>
      </c>
      <c r="H212" s="19">
        <f>IF(J212="","",IF(G212="","名簿にいない",IF(COUNTIF(J213:J$402,J212)&gt;0,"2回提出（下の行を使います）",IF(OR(AND(D212&lt;&gt;"",COUNTIF(設定!$G$8:$G$27,D212)=0),AND(E212&lt;&gt;"",COUNTIF(設定!$G$8:$G$27,E212)=0),AND(F212&lt;&gt;"",COUNTIF(設定!$G$8:$G$27,F212)=0)),"委員会名がちがう",IF(D212="","第1希望がない",IF(OR(AND(D212&lt;&gt;"",D212=E212),AND(D212&lt;&gt;"",D212=F212),AND(E212&lt;&gt;"",E212=F212)),"同じ委員会を重複して希望","OK"))))))</f>
        <v/>
      </c>
      <c r="J212" s="8">
        <f>IF(A212="","",A212&amp;"-"&amp;B212&amp;"-"&amp;C212)</f>
        <v/>
      </c>
      <c r="K212" s="8">
        <f>IF(OR(J212="",G212=""),"",IF(COUNTIF(J213:J$402,J212)=0,J212,""))</f>
        <v/>
      </c>
    </row>
    <row r="213">
      <c r="A213" s="15" t="n">
        <v>6</v>
      </c>
      <c r="B213" s="15" t="inlineStr">
        <is>
          <t>竹</t>
        </is>
      </c>
      <c r="C213" s="15" t="n">
        <v>9</v>
      </c>
      <c r="D213" s="15" t="inlineStr">
        <is>
          <t>給食</t>
        </is>
      </c>
      <c r="E213" s="15" t="inlineStr">
        <is>
          <t>音楽</t>
        </is>
      </c>
      <c r="F213" s="15" t="inlineStr">
        <is>
          <t>代表</t>
        </is>
      </c>
      <c r="G213" s="3">
        <f>IF(J213="","",IFERROR(INDEX(児童名簿!$D$2:$D$301,MATCH(J213,児童名簿!$F$2:$F$301,0)),""))</f>
        <v/>
      </c>
      <c r="H213" s="19">
        <f>IF(J213="","",IF(G213="","名簿にいない",IF(COUNTIF(J214:J$402,J213)&gt;0,"2回提出（下の行を使います）",IF(OR(AND(D213&lt;&gt;"",COUNTIF(設定!$G$8:$G$27,D213)=0),AND(E213&lt;&gt;"",COUNTIF(設定!$G$8:$G$27,E213)=0),AND(F213&lt;&gt;"",COUNTIF(設定!$G$8:$G$27,F213)=0)),"委員会名がちがう",IF(D213="","第1希望がない",IF(OR(AND(D213&lt;&gt;"",D213=E213),AND(D213&lt;&gt;"",D213=F213),AND(E213&lt;&gt;"",E213=F213)),"同じ委員会を重複して希望","OK"))))))</f>
        <v/>
      </c>
      <c r="J213" s="8">
        <f>IF(A213="","",A213&amp;"-"&amp;B213&amp;"-"&amp;C213)</f>
        <v/>
      </c>
      <c r="K213" s="8">
        <f>IF(OR(J213="",G213=""),"",IF(COUNTIF(J214:J$402,J213)=0,J213,""))</f>
        <v/>
      </c>
    </row>
    <row r="214">
      <c r="A214" s="15" t="n">
        <v>6</v>
      </c>
      <c r="B214" s="15" t="inlineStr">
        <is>
          <t>竹</t>
        </is>
      </c>
      <c r="C214" s="15" t="n">
        <v>2</v>
      </c>
      <c r="D214" s="15" t="inlineStr">
        <is>
          <t>広報</t>
        </is>
      </c>
      <c r="E214" s="15" t="inlineStr">
        <is>
          <t>体育</t>
        </is>
      </c>
      <c r="F214" s="15" t="inlineStr">
        <is>
          <t>飼育</t>
        </is>
      </c>
      <c r="G214" s="3">
        <f>IF(J214="","",IFERROR(INDEX(児童名簿!$D$2:$D$301,MATCH(J214,児童名簿!$F$2:$F$301,0)),""))</f>
        <v/>
      </c>
      <c r="H214" s="19">
        <f>IF(J214="","",IF(G214="","名簿にいない",IF(COUNTIF(J215:J$402,J214)&gt;0,"2回提出（下の行を使います）",IF(OR(AND(D214&lt;&gt;"",COUNTIF(設定!$G$8:$G$27,D214)=0),AND(E214&lt;&gt;"",COUNTIF(設定!$G$8:$G$27,E214)=0),AND(F214&lt;&gt;"",COUNTIF(設定!$G$8:$G$27,F214)=0)),"委員会名がちがう",IF(D214="","第1希望がない",IF(OR(AND(D214&lt;&gt;"",D214=E214),AND(D214&lt;&gt;"",D214=F214),AND(E214&lt;&gt;"",E214=F214)),"同じ委員会を重複して希望","OK"))))))</f>
        <v/>
      </c>
      <c r="J214" s="8">
        <f>IF(A214="","",A214&amp;"-"&amp;B214&amp;"-"&amp;C214)</f>
        <v/>
      </c>
      <c r="K214" s="8">
        <f>IF(OR(J214="",G214=""),"",IF(COUNTIF(J215:J$402,J214)=0,J214,""))</f>
        <v/>
      </c>
    </row>
    <row r="215">
      <c r="A215" s="15" t="n">
        <v>6</v>
      </c>
      <c r="B215" s="15" t="inlineStr">
        <is>
          <t>月</t>
        </is>
      </c>
      <c r="C215" s="15" t="n">
        <v>3</v>
      </c>
      <c r="D215" s="15" t="inlineStr">
        <is>
          <t>体育</t>
        </is>
      </c>
      <c r="E215" s="15" t="inlineStr">
        <is>
          <t>集会</t>
        </is>
      </c>
      <c r="F215" s="15" t="inlineStr">
        <is>
          <t>飼育</t>
        </is>
      </c>
      <c r="G215" s="3">
        <f>IF(J215="","",IFERROR(INDEX(児童名簿!$D$2:$D$301,MATCH(J215,児童名簿!$F$2:$F$301,0)),""))</f>
        <v/>
      </c>
      <c r="H215" s="19">
        <f>IF(J215="","",IF(G215="","名簿にいない",IF(COUNTIF(J216:J$402,J215)&gt;0,"2回提出（下の行を使います）",IF(OR(AND(D215&lt;&gt;"",COUNTIF(設定!$G$8:$G$27,D215)=0),AND(E215&lt;&gt;"",COUNTIF(設定!$G$8:$G$27,E215)=0),AND(F215&lt;&gt;"",COUNTIF(設定!$G$8:$G$27,F215)=0)),"委員会名がちがう",IF(D215="","第1希望がない",IF(OR(AND(D215&lt;&gt;"",D215=E215),AND(D215&lt;&gt;"",D215=F215),AND(E215&lt;&gt;"",E215=F215)),"同じ委員会を重複して希望","OK"))))))</f>
        <v/>
      </c>
      <c r="J215" s="8">
        <f>IF(A215="","",A215&amp;"-"&amp;B215&amp;"-"&amp;C215)</f>
        <v/>
      </c>
      <c r="K215" s="8">
        <f>IF(OR(J215="",G215=""),"",IF(COUNTIF(J216:J$402,J215)=0,J215,""))</f>
        <v/>
      </c>
    </row>
    <row r="216">
      <c r="A216" s="15" t="n">
        <v>6</v>
      </c>
      <c r="B216" s="15" t="inlineStr">
        <is>
          <t>月</t>
        </is>
      </c>
      <c r="C216" s="15" t="n">
        <v>10</v>
      </c>
      <c r="D216" s="15" t="inlineStr">
        <is>
          <t>広報</t>
        </is>
      </c>
      <c r="E216" s="15" t="inlineStr">
        <is>
          <t>保健</t>
        </is>
      </c>
      <c r="F216" s="15" t="inlineStr">
        <is>
          <t>代表</t>
        </is>
      </c>
      <c r="G216" s="3">
        <f>IF(J216="","",IFERROR(INDEX(児童名簿!$D$2:$D$301,MATCH(J216,児童名簿!$F$2:$F$301,0)),""))</f>
        <v/>
      </c>
      <c r="H216" s="19">
        <f>IF(J216="","",IF(G216="","名簿にいない",IF(COUNTIF(J217:J$402,J216)&gt;0,"2回提出（下の行を使います）",IF(OR(AND(D216&lt;&gt;"",COUNTIF(設定!$G$8:$G$27,D216)=0),AND(E216&lt;&gt;"",COUNTIF(設定!$G$8:$G$27,E216)=0),AND(F216&lt;&gt;"",COUNTIF(設定!$G$8:$G$27,F216)=0)),"委員会名がちがう",IF(D216="","第1希望がない",IF(OR(AND(D216&lt;&gt;"",D216=E216),AND(D216&lt;&gt;"",D216=F216),AND(E216&lt;&gt;"",E216=F216)),"同じ委員会を重複して希望","OK"))))))</f>
        <v/>
      </c>
      <c r="J216" s="8">
        <f>IF(A216="","",A216&amp;"-"&amp;B216&amp;"-"&amp;C216)</f>
        <v/>
      </c>
      <c r="K216" s="8">
        <f>IF(OR(J216="",G216=""),"",IF(COUNTIF(J217:J$402,J216)=0,J216,""))</f>
        <v/>
      </c>
    </row>
    <row r="217">
      <c r="A217" s="15" t="n">
        <v>6</v>
      </c>
      <c r="B217" s="15" t="inlineStr">
        <is>
          <t>竹</t>
        </is>
      </c>
      <c r="C217" s="15" t="n">
        <v>11</v>
      </c>
      <c r="D217" s="15" t="inlineStr">
        <is>
          <t>保健</t>
        </is>
      </c>
      <c r="E217" s="15" t="inlineStr">
        <is>
          <t>図書</t>
        </is>
      </c>
      <c r="F217" s="15" t="inlineStr">
        <is>
          <t>集会</t>
        </is>
      </c>
      <c r="G217" s="3">
        <f>IF(J217="","",IFERROR(INDEX(児童名簿!$D$2:$D$301,MATCH(J217,児童名簿!$F$2:$F$301,0)),""))</f>
        <v/>
      </c>
      <c r="H217" s="19">
        <f>IF(J217="","",IF(G217="","名簿にいない",IF(COUNTIF(J218:J$402,J217)&gt;0,"2回提出（下の行を使います）",IF(OR(AND(D217&lt;&gt;"",COUNTIF(設定!$G$8:$G$27,D217)=0),AND(E217&lt;&gt;"",COUNTIF(設定!$G$8:$G$27,E217)=0),AND(F217&lt;&gt;"",COUNTIF(設定!$G$8:$G$27,F217)=0)),"委員会名がちがう",IF(D217="","第1希望がない",IF(OR(AND(D217&lt;&gt;"",D217=E217),AND(D217&lt;&gt;"",D217=F217),AND(E217&lt;&gt;"",E217=F217)),"同じ委員会を重複して希望","OK"))))))</f>
        <v/>
      </c>
      <c r="J217" s="8">
        <f>IF(A217="","",A217&amp;"-"&amp;B217&amp;"-"&amp;C217)</f>
        <v/>
      </c>
      <c r="K217" s="8">
        <f>IF(OR(J217="",G217=""),"",IF(COUNTIF(J218:J$402,J217)=0,J217,""))</f>
        <v/>
      </c>
    </row>
    <row r="218">
      <c r="A218" s="15" t="n">
        <v>5</v>
      </c>
      <c r="B218" s="15" t="inlineStr">
        <is>
          <t>松</t>
        </is>
      </c>
      <c r="C218" s="15" t="n">
        <v>16</v>
      </c>
      <c r="D218" s="15" t="inlineStr">
        <is>
          <t>音楽</t>
        </is>
      </c>
      <c r="E218" s="15" t="inlineStr">
        <is>
          <t>図書</t>
        </is>
      </c>
      <c r="F218" s="15" t="inlineStr">
        <is>
          <t>保健</t>
        </is>
      </c>
      <c r="G218" s="3">
        <f>IF(J218="","",IFERROR(INDEX(児童名簿!$D$2:$D$301,MATCH(J218,児童名簿!$F$2:$F$301,0)),""))</f>
        <v/>
      </c>
      <c r="H218" s="19">
        <f>IF(J218="","",IF(G218="","名簿にいない",IF(COUNTIF(J219:J$402,J218)&gt;0,"2回提出（下の行を使います）",IF(OR(AND(D218&lt;&gt;"",COUNTIF(設定!$G$8:$G$27,D218)=0),AND(E218&lt;&gt;"",COUNTIF(設定!$G$8:$G$27,E218)=0),AND(F218&lt;&gt;"",COUNTIF(設定!$G$8:$G$27,F218)=0)),"委員会名がちがう",IF(D218="","第1希望がない",IF(OR(AND(D218&lt;&gt;"",D218=E218),AND(D218&lt;&gt;"",D218=F218),AND(E218&lt;&gt;"",E218=F218)),"同じ委員会を重複して希望","OK"))))))</f>
        <v/>
      </c>
      <c r="J218" s="8">
        <f>IF(A218="","",A218&amp;"-"&amp;B218&amp;"-"&amp;C218)</f>
        <v/>
      </c>
      <c r="K218" s="8">
        <f>IF(OR(J218="",G218=""),"",IF(COUNTIF(J219:J$402,J218)=0,J218,""))</f>
        <v/>
      </c>
    </row>
    <row r="219">
      <c r="A219" s="15" t="n">
        <v>6</v>
      </c>
      <c r="B219" s="15" t="inlineStr">
        <is>
          <t>月</t>
        </is>
      </c>
      <c r="C219" s="15" t="n">
        <v>14</v>
      </c>
      <c r="D219" s="15" t="inlineStr">
        <is>
          <t>代表</t>
        </is>
      </c>
      <c r="E219" s="15" t="inlineStr">
        <is>
          <t>放送</t>
        </is>
      </c>
      <c r="F219" s="15" t="inlineStr">
        <is>
          <t>飼育</t>
        </is>
      </c>
      <c r="G219" s="3">
        <f>IF(J219="","",IFERROR(INDEX(児童名簿!$D$2:$D$301,MATCH(J219,児童名簿!$F$2:$F$301,0)),""))</f>
        <v/>
      </c>
      <c r="H219" s="19">
        <f>IF(J219="","",IF(G219="","名簿にいない",IF(COUNTIF(J220:J$402,J219)&gt;0,"2回提出（下の行を使います）",IF(OR(AND(D219&lt;&gt;"",COUNTIF(設定!$G$8:$G$27,D219)=0),AND(E219&lt;&gt;"",COUNTIF(設定!$G$8:$G$27,E219)=0),AND(F219&lt;&gt;"",COUNTIF(設定!$G$8:$G$27,F219)=0)),"委員会名がちがう",IF(D219="","第1希望がない",IF(OR(AND(D219&lt;&gt;"",D219=E219),AND(D219&lt;&gt;"",D219=F219),AND(E219&lt;&gt;"",E219=F219)),"同じ委員会を重複して希望","OK"))))))</f>
        <v/>
      </c>
      <c r="J219" s="8">
        <f>IF(A219="","",A219&amp;"-"&amp;B219&amp;"-"&amp;C219)</f>
        <v/>
      </c>
      <c r="K219" s="8">
        <f>IF(OR(J219="",G219=""),"",IF(COUNTIF(J220:J$402,J219)=0,J219,""))</f>
        <v/>
      </c>
    </row>
    <row r="220">
      <c r="A220" s="15" t="n">
        <v>6</v>
      </c>
      <c r="B220" s="15" t="inlineStr">
        <is>
          <t>松</t>
        </is>
      </c>
      <c r="C220" s="15" t="n">
        <v>11</v>
      </c>
      <c r="D220" s="15" t="inlineStr">
        <is>
          <t>集会</t>
        </is>
      </c>
      <c r="E220" s="15" t="inlineStr">
        <is>
          <t>図書</t>
        </is>
      </c>
      <c r="F220" s="15" t="inlineStr">
        <is>
          <t>環境</t>
        </is>
      </c>
      <c r="G220" s="3">
        <f>IF(J220="","",IFERROR(INDEX(児童名簿!$D$2:$D$301,MATCH(J220,児童名簿!$F$2:$F$301,0)),""))</f>
        <v/>
      </c>
      <c r="H220" s="19">
        <f>IF(J220="","",IF(G220="","名簿にいない",IF(COUNTIF(J221:J$402,J220)&gt;0,"2回提出（下の行を使います）",IF(OR(AND(D220&lt;&gt;"",COUNTIF(設定!$G$8:$G$27,D220)=0),AND(E220&lt;&gt;"",COUNTIF(設定!$G$8:$G$27,E220)=0),AND(F220&lt;&gt;"",COUNTIF(設定!$G$8:$G$27,F220)=0)),"委員会名がちがう",IF(D220="","第1希望がない",IF(OR(AND(D220&lt;&gt;"",D220=E220),AND(D220&lt;&gt;"",D220=F220),AND(E220&lt;&gt;"",E220=F220)),"同じ委員会を重複して希望","OK"))))))</f>
        <v/>
      </c>
      <c r="J220" s="8">
        <f>IF(A220="","",A220&amp;"-"&amp;B220&amp;"-"&amp;C220)</f>
        <v/>
      </c>
      <c r="K220" s="8">
        <f>IF(OR(J220="",G220=""),"",IF(COUNTIF(J221:J$402,J220)=0,J220,""))</f>
        <v/>
      </c>
    </row>
    <row r="221">
      <c r="A221" s="15" t="n">
        <v>6</v>
      </c>
      <c r="B221" s="15" t="inlineStr">
        <is>
          <t>竹</t>
        </is>
      </c>
      <c r="C221" s="15" t="n">
        <v>27</v>
      </c>
      <c r="D221" s="15" t="inlineStr">
        <is>
          <t>体育</t>
        </is>
      </c>
      <c r="E221" s="15" t="inlineStr">
        <is>
          <t>代表</t>
        </is>
      </c>
      <c r="F221" s="15" t="inlineStr">
        <is>
          <t>保健</t>
        </is>
      </c>
      <c r="G221" s="3">
        <f>IF(J221="","",IFERROR(INDEX(児童名簿!$D$2:$D$301,MATCH(J221,児童名簿!$F$2:$F$301,0)),""))</f>
        <v/>
      </c>
      <c r="H221" s="19">
        <f>IF(J221="","",IF(G221="","名簿にいない",IF(COUNTIF(J222:J$402,J221)&gt;0,"2回提出（下の行を使います）",IF(OR(AND(D221&lt;&gt;"",COUNTIF(設定!$G$8:$G$27,D221)=0),AND(E221&lt;&gt;"",COUNTIF(設定!$G$8:$G$27,E221)=0),AND(F221&lt;&gt;"",COUNTIF(設定!$G$8:$G$27,F221)=0)),"委員会名がちがう",IF(D221="","第1希望がない",IF(OR(AND(D221&lt;&gt;"",D221=E221),AND(D221&lt;&gt;"",D221=F221),AND(E221&lt;&gt;"",E221=F221)),"同じ委員会を重複して希望","OK"))))))</f>
        <v/>
      </c>
      <c r="J221" s="8">
        <f>IF(A221="","",A221&amp;"-"&amp;B221&amp;"-"&amp;C221)</f>
        <v/>
      </c>
      <c r="K221" s="8">
        <f>IF(OR(J221="",G221=""),"",IF(COUNTIF(J222:J$402,J221)=0,J221,""))</f>
        <v/>
      </c>
    </row>
    <row r="222">
      <c r="A222" s="15" t="n">
        <v>5</v>
      </c>
      <c r="B222" s="15" t="inlineStr">
        <is>
          <t>松</t>
        </is>
      </c>
      <c r="C222" s="15" t="n">
        <v>28</v>
      </c>
      <c r="D222" s="15" t="inlineStr">
        <is>
          <t>図書</t>
        </is>
      </c>
      <c r="E222" s="15" t="inlineStr">
        <is>
          <t>広報</t>
        </is>
      </c>
      <c r="F222" s="15" t="inlineStr">
        <is>
          <t>代表</t>
        </is>
      </c>
      <c r="G222" s="3">
        <f>IF(J222="","",IFERROR(INDEX(児童名簿!$D$2:$D$301,MATCH(J222,児童名簿!$F$2:$F$301,0)),""))</f>
        <v/>
      </c>
      <c r="H222" s="19">
        <f>IF(J222="","",IF(G222="","名簿にいない",IF(COUNTIF(J223:J$402,J222)&gt;0,"2回提出（下の行を使います）",IF(OR(AND(D222&lt;&gt;"",COUNTIF(設定!$G$8:$G$27,D222)=0),AND(E222&lt;&gt;"",COUNTIF(設定!$G$8:$G$27,E222)=0),AND(F222&lt;&gt;"",COUNTIF(設定!$G$8:$G$27,F222)=0)),"委員会名がちがう",IF(D222="","第1希望がない",IF(OR(AND(D222&lt;&gt;"",D222=E222),AND(D222&lt;&gt;"",D222=F222),AND(E222&lt;&gt;"",E222=F222)),"同じ委員会を重複して希望","OK"))))))</f>
        <v/>
      </c>
      <c r="J222" s="8">
        <f>IF(A222="","",A222&amp;"-"&amp;B222&amp;"-"&amp;C222)</f>
        <v/>
      </c>
      <c r="K222" s="8">
        <f>IF(OR(J222="",G222=""),"",IF(COUNTIF(J223:J$402,J222)=0,J222,""))</f>
        <v/>
      </c>
    </row>
    <row r="223">
      <c r="A223" s="15" t="n">
        <v>6</v>
      </c>
      <c r="B223" s="15" t="inlineStr">
        <is>
          <t>竹</t>
        </is>
      </c>
      <c r="C223" s="15" t="n">
        <v>18</v>
      </c>
      <c r="D223" s="15" t="inlineStr">
        <is>
          <t>掲示</t>
        </is>
      </c>
      <c r="E223" s="15" t="inlineStr">
        <is>
          <t>代表</t>
        </is>
      </c>
      <c r="F223" s="15" t="inlineStr">
        <is>
          <t>飼育</t>
        </is>
      </c>
      <c r="G223" s="3">
        <f>IF(J223="","",IFERROR(INDEX(児童名簿!$D$2:$D$301,MATCH(J223,児童名簿!$F$2:$F$301,0)),""))</f>
        <v/>
      </c>
      <c r="H223" s="19">
        <f>IF(J223="","",IF(G223="","名簿にいない",IF(COUNTIF(J224:J$402,J223)&gt;0,"2回提出（下の行を使います）",IF(OR(AND(D223&lt;&gt;"",COUNTIF(設定!$G$8:$G$27,D223)=0),AND(E223&lt;&gt;"",COUNTIF(設定!$G$8:$G$27,E223)=0),AND(F223&lt;&gt;"",COUNTIF(設定!$G$8:$G$27,F223)=0)),"委員会名がちがう",IF(D223="","第1希望がない",IF(OR(AND(D223&lt;&gt;"",D223=E223),AND(D223&lt;&gt;"",D223=F223),AND(E223&lt;&gt;"",E223=F223)),"同じ委員会を重複して希望","OK"))))))</f>
        <v/>
      </c>
      <c r="J223" s="8">
        <f>IF(A223="","",A223&amp;"-"&amp;B223&amp;"-"&amp;C223)</f>
        <v/>
      </c>
      <c r="K223" s="8">
        <f>IF(OR(J223="",G223=""),"",IF(COUNTIF(J224:J$402,J223)=0,J223,""))</f>
        <v/>
      </c>
    </row>
    <row r="224">
      <c r="A224" s="15" t="n">
        <v>5</v>
      </c>
      <c r="B224" s="15" t="inlineStr">
        <is>
          <t>松</t>
        </is>
      </c>
      <c r="C224" s="15" t="n">
        <v>4</v>
      </c>
      <c r="D224" s="15" t="inlineStr">
        <is>
          <t>集会</t>
        </is>
      </c>
      <c r="E224" s="15" t="inlineStr">
        <is>
          <t>放送</t>
        </is>
      </c>
      <c r="F224" s="15" t="inlineStr">
        <is>
          <t>掲示</t>
        </is>
      </c>
      <c r="G224" s="3">
        <f>IF(J224="","",IFERROR(INDEX(児童名簿!$D$2:$D$301,MATCH(J224,児童名簿!$F$2:$F$301,0)),""))</f>
        <v/>
      </c>
      <c r="H224" s="19">
        <f>IF(J224="","",IF(G224="","名簿にいない",IF(COUNTIF(J225:J$402,J224)&gt;0,"2回提出（下の行を使います）",IF(OR(AND(D224&lt;&gt;"",COUNTIF(設定!$G$8:$G$27,D224)=0),AND(E224&lt;&gt;"",COUNTIF(設定!$G$8:$G$27,E224)=0),AND(F224&lt;&gt;"",COUNTIF(設定!$G$8:$G$27,F224)=0)),"委員会名がちがう",IF(D224="","第1希望がない",IF(OR(AND(D224&lt;&gt;"",D224=E224),AND(D224&lt;&gt;"",D224=F224),AND(E224&lt;&gt;"",E224=F224)),"同じ委員会を重複して希望","OK"))))))</f>
        <v/>
      </c>
      <c r="J224" s="8">
        <f>IF(A224="","",A224&amp;"-"&amp;B224&amp;"-"&amp;C224)</f>
        <v/>
      </c>
      <c r="K224" s="8">
        <f>IF(OR(J224="",G224=""),"",IF(COUNTIF(J225:J$402,J224)=0,J224,""))</f>
        <v/>
      </c>
    </row>
    <row r="225">
      <c r="A225" s="15" t="n">
        <v>5</v>
      </c>
      <c r="B225" s="15" t="inlineStr">
        <is>
          <t>月</t>
        </is>
      </c>
      <c r="C225" s="15" t="n">
        <v>7</v>
      </c>
      <c r="D225" s="15" t="inlineStr">
        <is>
          <t>環境</t>
        </is>
      </c>
      <c r="E225" s="15" t="inlineStr">
        <is>
          <t>体育</t>
        </is>
      </c>
      <c r="F225" s="15" t="inlineStr">
        <is>
          <t>広報</t>
        </is>
      </c>
      <c r="G225" s="3">
        <f>IF(J225="","",IFERROR(INDEX(児童名簿!$D$2:$D$301,MATCH(J225,児童名簿!$F$2:$F$301,0)),""))</f>
        <v/>
      </c>
      <c r="H225" s="19">
        <f>IF(J225="","",IF(G225="","名簿にいない",IF(COUNTIF(J226:J$402,J225)&gt;0,"2回提出（下の行を使います）",IF(OR(AND(D225&lt;&gt;"",COUNTIF(設定!$G$8:$G$27,D225)=0),AND(E225&lt;&gt;"",COUNTIF(設定!$G$8:$G$27,E225)=0),AND(F225&lt;&gt;"",COUNTIF(設定!$G$8:$G$27,F225)=0)),"委員会名がちがう",IF(D225="","第1希望がない",IF(OR(AND(D225&lt;&gt;"",D225=E225),AND(D225&lt;&gt;"",D225=F225),AND(E225&lt;&gt;"",E225=F225)),"同じ委員会を重複して希望","OK"))))))</f>
        <v/>
      </c>
      <c r="J225" s="8">
        <f>IF(A225="","",A225&amp;"-"&amp;B225&amp;"-"&amp;C225)</f>
        <v/>
      </c>
      <c r="K225" s="8">
        <f>IF(OR(J225="",G225=""),"",IF(COUNTIF(J226:J$402,J225)=0,J225,""))</f>
        <v/>
      </c>
    </row>
    <row r="226">
      <c r="A226" s="15" t="n">
        <v>6</v>
      </c>
      <c r="B226" s="15" t="inlineStr">
        <is>
          <t>竹</t>
        </is>
      </c>
      <c r="C226" s="15" t="n">
        <v>22</v>
      </c>
      <c r="D226" s="15" t="inlineStr">
        <is>
          <t>代表</t>
        </is>
      </c>
      <c r="E226" s="15" t="inlineStr">
        <is>
          <t>体育</t>
        </is>
      </c>
      <c r="F226" s="15" t="inlineStr">
        <is>
          <t>飼育</t>
        </is>
      </c>
      <c r="G226" s="3">
        <f>IF(J226="","",IFERROR(INDEX(児童名簿!$D$2:$D$301,MATCH(J226,児童名簿!$F$2:$F$301,0)),""))</f>
        <v/>
      </c>
      <c r="H226" s="19">
        <f>IF(J226="","",IF(G226="","名簿にいない",IF(COUNTIF(J227:J$402,J226)&gt;0,"2回提出（下の行を使います）",IF(OR(AND(D226&lt;&gt;"",COUNTIF(設定!$G$8:$G$27,D226)=0),AND(E226&lt;&gt;"",COUNTIF(設定!$G$8:$G$27,E226)=0),AND(F226&lt;&gt;"",COUNTIF(設定!$G$8:$G$27,F226)=0)),"委員会名がちがう",IF(D226="","第1希望がない",IF(OR(AND(D226&lt;&gt;"",D226=E226),AND(D226&lt;&gt;"",D226=F226),AND(E226&lt;&gt;"",E226=F226)),"同じ委員会を重複して希望","OK"))))))</f>
        <v/>
      </c>
      <c r="J226" s="8">
        <f>IF(A226="","",A226&amp;"-"&amp;B226&amp;"-"&amp;C226)</f>
        <v/>
      </c>
      <c r="K226" s="8">
        <f>IF(OR(J226="",G226=""),"",IF(COUNTIF(J227:J$402,J226)=0,J226,""))</f>
        <v/>
      </c>
    </row>
    <row r="227">
      <c r="A227" s="15" t="n">
        <v>5</v>
      </c>
      <c r="B227" s="15" t="inlineStr">
        <is>
          <t>月</t>
        </is>
      </c>
      <c r="C227" s="15" t="n">
        <v>11</v>
      </c>
      <c r="D227" s="15" t="inlineStr">
        <is>
          <t>広報</t>
        </is>
      </c>
      <c r="E227" s="15" t="inlineStr">
        <is>
          <t>集会</t>
        </is>
      </c>
      <c r="F227" s="15" t="inlineStr">
        <is>
          <t>体育</t>
        </is>
      </c>
      <c r="G227" s="3">
        <f>IF(J227="","",IFERROR(INDEX(児童名簿!$D$2:$D$301,MATCH(J227,児童名簿!$F$2:$F$301,0)),""))</f>
        <v/>
      </c>
      <c r="H227" s="19">
        <f>IF(J227="","",IF(G227="","名簿にいない",IF(COUNTIF(J228:J$402,J227)&gt;0,"2回提出（下の行を使います）",IF(OR(AND(D227&lt;&gt;"",COUNTIF(設定!$G$8:$G$27,D227)=0),AND(E227&lt;&gt;"",COUNTIF(設定!$G$8:$G$27,E227)=0),AND(F227&lt;&gt;"",COUNTIF(設定!$G$8:$G$27,F227)=0)),"委員会名がちがう",IF(D227="","第1希望がない",IF(OR(AND(D227&lt;&gt;"",D227=E227),AND(D227&lt;&gt;"",D227=F227),AND(E227&lt;&gt;"",E227=F227)),"同じ委員会を重複して希望","OK"))))))</f>
        <v/>
      </c>
      <c r="J227" s="8">
        <f>IF(A227="","",A227&amp;"-"&amp;B227&amp;"-"&amp;C227)</f>
        <v/>
      </c>
      <c r="K227" s="8">
        <f>IF(OR(J227="",G227=""),"",IF(COUNTIF(J228:J$402,J227)=0,J227,""))</f>
        <v/>
      </c>
    </row>
    <row r="228">
      <c r="A228" s="15" t="n">
        <v>5</v>
      </c>
      <c r="B228" s="15" t="inlineStr">
        <is>
          <t>竹</t>
        </is>
      </c>
      <c r="C228" s="15" t="n">
        <v>11</v>
      </c>
      <c r="D228" s="15" t="inlineStr">
        <is>
          <t>放送</t>
        </is>
      </c>
      <c r="E228" s="15" t="inlineStr">
        <is>
          <t>給食</t>
        </is>
      </c>
      <c r="F228" s="15" t="inlineStr">
        <is>
          <t>集会</t>
        </is>
      </c>
      <c r="G228" s="3">
        <f>IF(J228="","",IFERROR(INDEX(児童名簿!$D$2:$D$301,MATCH(J228,児童名簿!$F$2:$F$301,0)),""))</f>
        <v/>
      </c>
      <c r="H228" s="19">
        <f>IF(J228="","",IF(G228="","名簿にいない",IF(COUNTIF(J229:J$402,J228)&gt;0,"2回提出（下の行を使います）",IF(OR(AND(D228&lt;&gt;"",COUNTIF(設定!$G$8:$G$27,D228)=0),AND(E228&lt;&gt;"",COUNTIF(設定!$G$8:$G$27,E228)=0),AND(F228&lt;&gt;"",COUNTIF(設定!$G$8:$G$27,F228)=0)),"委員会名がちがう",IF(D228="","第1希望がない",IF(OR(AND(D228&lt;&gt;"",D228=E228),AND(D228&lt;&gt;"",D228=F228),AND(E228&lt;&gt;"",E228=F228)),"同じ委員会を重複して希望","OK"))))))</f>
        <v/>
      </c>
      <c r="J228" s="8">
        <f>IF(A228="","",A228&amp;"-"&amp;B228&amp;"-"&amp;C228)</f>
        <v/>
      </c>
      <c r="K228" s="8">
        <f>IF(OR(J228="",G228=""),"",IF(COUNTIF(J229:J$402,J228)=0,J228,""))</f>
        <v/>
      </c>
    </row>
    <row r="229">
      <c r="A229" s="15" t="n">
        <v>6</v>
      </c>
      <c r="B229" s="15" t="inlineStr">
        <is>
          <t>月</t>
        </is>
      </c>
      <c r="C229" s="15" t="n">
        <v>15</v>
      </c>
      <c r="D229" s="15" t="inlineStr">
        <is>
          <t>飼育</t>
        </is>
      </c>
      <c r="E229" s="15" t="inlineStr">
        <is>
          <t>放送</t>
        </is>
      </c>
      <c r="F229" s="15" t="inlineStr">
        <is>
          <t>広報</t>
        </is>
      </c>
      <c r="G229" s="3">
        <f>IF(J229="","",IFERROR(INDEX(児童名簿!$D$2:$D$301,MATCH(J229,児童名簿!$F$2:$F$301,0)),""))</f>
        <v/>
      </c>
      <c r="H229" s="19">
        <f>IF(J229="","",IF(G229="","名簿にいない",IF(COUNTIF(J230:J$402,J229)&gt;0,"2回提出（下の行を使います）",IF(OR(AND(D229&lt;&gt;"",COUNTIF(設定!$G$8:$G$27,D229)=0),AND(E229&lt;&gt;"",COUNTIF(設定!$G$8:$G$27,E229)=0),AND(F229&lt;&gt;"",COUNTIF(設定!$G$8:$G$27,F229)=0)),"委員会名がちがう",IF(D229="","第1希望がない",IF(OR(AND(D229&lt;&gt;"",D229=E229),AND(D229&lt;&gt;"",D229=F229),AND(E229&lt;&gt;"",E229=F229)),"同じ委員会を重複して希望","OK"))))))</f>
        <v/>
      </c>
      <c r="J229" s="8">
        <f>IF(A229="","",A229&amp;"-"&amp;B229&amp;"-"&amp;C229)</f>
        <v/>
      </c>
      <c r="K229" s="8">
        <f>IF(OR(J229="",G229=""),"",IF(COUNTIF(J230:J$402,J229)=0,J229,""))</f>
        <v/>
      </c>
    </row>
    <row r="230">
      <c r="A230" s="15" t="n">
        <v>5</v>
      </c>
      <c r="B230" s="15" t="inlineStr">
        <is>
          <t>竹</t>
        </is>
      </c>
      <c r="C230" s="15" t="n">
        <v>12</v>
      </c>
      <c r="D230" s="15" t="inlineStr">
        <is>
          <t>広報</t>
        </is>
      </c>
      <c r="E230" s="15" t="inlineStr">
        <is>
          <t>飼育</t>
        </is>
      </c>
      <c r="F230" s="15" t="inlineStr">
        <is>
          <t>掲示</t>
        </is>
      </c>
      <c r="G230" s="3">
        <f>IF(J230="","",IFERROR(INDEX(児童名簿!$D$2:$D$301,MATCH(J230,児童名簿!$F$2:$F$301,0)),""))</f>
        <v/>
      </c>
      <c r="H230" s="19">
        <f>IF(J230="","",IF(G230="","名簿にいない",IF(COUNTIF(J231:J$402,J230)&gt;0,"2回提出（下の行を使います）",IF(OR(AND(D230&lt;&gt;"",COUNTIF(設定!$G$8:$G$27,D230)=0),AND(E230&lt;&gt;"",COUNTIF(設定!$G$8:$G$27,E230)=0),AND(F230&lt;&gt;"",COUNTIF(設定!$G$8:$G$27,F230)=0)),"委員会名がちがう",IF(D230="","第1希望がない",IF(OR(AND(D230&lt;&gt;"",D230=E230),AND(D230&lt;&gt;"",D230=F230),AND(E230&lt;&gt;"",E230=F230)),"同じ委員会を重複して希望","OK"))))))</f>
        <v/>
      </c>
      <c r="J230" s="8">
        <f>IF(A230="","",A230&amp;"-"&amp;B230&amp;"-"&amp;C230)</f>
        <v/>
      </c>
      <c r="K230" s="8">
        <f>IF(OR(J230="",G230=""),"",IF(COUNTIF(J231:J$402,J230)=0,J230,""))</f>
        <v/>
      </c>
    </row>
    <row r="231">
      <c r="A231" s="15" t="n">
        <v>6</v>
      </c>
      <c r="B231" s="15" t="inlineStr">
        <is>
          <t>竹</t>
        </is>
      </c>
      <c r="C231" s="15" t="n">
        <v>28</v>
      </c>
      <c r="D231" s="15" t="inlineStr">
        <is>
          <t>給食</t>
        </is>
      </c>
      <c r="E231" s="15" t="inlineStr">
        <is>
          <t>保健</t>
        </is>
      </c>
      <c r="F231" s="15" t="inlineStr">
        <is>
          <t>掲示</t>
        </is>
      </c>
      <c r="G231" s="3">
        <f>IF(J231="","",IFERROR(INDEX(児童名簿!$D$2:$D$301,MATCH(J231,児童名簿!$F$2:$F$301,0)),""))</f>
        <v/>
      </c>
      <c r="H231" s="19">
        <f>IF(J231="","",IF(G231="","名簿にいない",IF(COUNTIF(J232:J$402,J231)&gt;0,"2回提出（下の行を使います）",IF(OR(AND(D231&lt;&gt;"",COUNTIF(設定!$G$8:$G$27,D231)=0),AND(E231&lt;&gt;"",COUNTIF(設定!$G$8:$G$27,E231)=0),AND(F231&lt;&gt;"",COUNTIF(設定!$G$8:$G$27,F231)=0)),"委員会名がちがう",IF(D231="","第1希望がない",IF(OR(AND(D231&lt;&gt;"",D231=E231),AND(D231&lt;&gt;"",D231=F231),AND(E231&lt;&gt;"",E231=F231)),"同じ委員会を重複して希望","OK"))))))</f>
        <v/>
      </c>
      <c r="J231" s="8">
        <f>IF(A231="","",A231&amp;"-"&amp;B231&amp;"-"&amp;C231)</f>
        <v/>
      </c>
      <c r="K231" s="8">
        <f>IF(OR(J231="",G231=""),"",IF(COUNTIF(J232:J$402,J231)=0,J231,""))</f>
        <v/>
      </c>
    </row>
    <row r="232">
      <c r="A232" s="15" t="n">
        <v>5</v>
      </c>
      <c r="B232" s="15" t="inlineStr">
        <is>
          <t>月</t>
        </is>
      </c>
      <c r="C232" s="15" t="n">
        <v>14</v>
      </c>
      <c r="D232" s="15" t="inlineStr">
        <is>
          <t>図書</t>
        </is>
      </c>
      <c r="E232" s="15" t="inlineStr">
        <is>
          <t>放送</t>
        </is>
      </c>
      <c r="F232" s="15" t="inlineStr">
        <is>
          <t>代表</t>
        </is>
      </c>
      <c r="G232" s="3">
        <f>IF(J232="","",IFERROR(INDEX(児童名簿!$D$2:$D$301,MATCH(J232,児童名簿!$F$2:$F$301,0)),""))</f>
        <v/>
      </c>
      <c r="H232" s="19">
        <f>IF(J232="","",IF(G232="","名簿にいない",IF(COUNTIF(J233:J$402,J232)&gt;0,"2回提出（下の行を使います）",IF(OR(AND(D232&lt;&gt;"",COUNTIF(設定!$G$8:$G$27,D232)=0),AND(E232&lt;&gt;"",COUNTIF(設定!$G$8:$G$27,E232)=0),AND(F232&lt;&gt;"",COUNTIF(設定!$G$8:$G$27,F232)=0)),"委員会名がちがう",IF(D232="","第1希望がない",IF(OR(AND(D232&lt;&gt;"",D232=E232),AND(D232&lt;&gt;"",D232=F232),AND(E232&lt;&gt;"",E232=F232)),"同じ委員会を重複して希望","OK"))))))</f>
        <v/>
      </c>
      <c r="J232" s="8">
        <f>IF(A232="","",A232&amp;"-"&amp;B232&amp;"-"&amp;C232)</f>
        <v/>
      </c>
      <c r="K232" s="8">
        <f>IF(OR(J232="",G232=""),"",IF(COUNTIF(J233:J$402,J232)=0,J232,""))</f>
        <v/>
      </c>
    </row>
    <row r="233">
      <c r="A233" s="15" t="n">
        <v>5</v>
      </c>
      <c r="B233" s="15" t="inlineStr">
        <is>
          <t>梅</t>
        </is>
      </c>
      <c r="C233" s="15" t="n">
        <v>26</v>
      </c>
      <c r="D233" s="15" t="inlineStr">
        <is>
          <t>給食</t>
        </is>
      </c>
      <c r="E233" s="15" t="inlineStr">
        <is>
          <t>体育</t>
        </is>
      </c>
      <c r="F233" s="15" t="inlineStr">
        <is>
          <t>環境</t>
        </is>
      </c>
      <c r="G233" s="3">
        <f>IF(J233="","",IFERROR(INDEX(児童名簿!$D$2:$D$301,MATCH(J233,児童名簿!$F$2:$F$301,0)),""))</f>
        <v/>
      </c>
      <c r="H233" s="19">
        <f>IF(J233="","",IF(G233="","名簿にいない",IF(COUNTIF(J234:J$402,J233)&gt;0,"2回提出（下の行を使います）",IF(OR(AND(D233&lt;&gt;"",COUNTIF(設定!$G$8:$G$27,D233)=0),AND(E233&lt;&gt;"",COUNTIF(設定!$G$8:$G$27,E233)=0),AND(F233&lt;&gt;"",COUNTIF(設定!$G$8:$G$27,F233)=0)),"委員会名がちがう",IF(D233="","第1希望がない",IF(OR(AND(D233&lt;&gt;"",D233=E233),AND(D233&lt;&gt;"",D233=F233),AND(E233&lt;&gt;"",E233=F233)),"同じ委員会を重複して希望","OK"))))))</f>
        <v/>
      </c>
      <c r="J233" s="8">
        <f>IF(A233="","",A233&amp;"-"&amp;B233&amp;"-"&amp;C233)</f>
        <v/>
      </c>
      <c r="K233" s="8">
        <f>IF(OR(J233="",G233=""),"",IF(COUNTIF(J234:J$402,J233)=0,J233,""))</f>
        <v/>
      </c>
    </row>
    <row r="234">
      <c r="A234" s="15" t="n">
        <v>5</v>
      </c>
      <c r="B234" s="15" t="inlineStr">
        <is>
          <t>竹</t>
        </is>
      </c>
      <c r="C234" s="15" t="n">
        <v>17</v>
      </c>
      <c r="D234" s="15" t="inlineStr">
        <is>
          <t>集会</t>
        </is>
      </c>
      <c r="E234" s="15" t="inlineStr">
        <is>
          <t>飼育</t>
        </is>
      </c>
      <c r="F234" s="15" t="inlineStr">
        <is>
          <t>音楽</t>
        </is>
      </c>
      <c r="G234" s="3">
        <f>IF(J234="","",IFERROR(INDEX(児童名簿!$D$2:$D$301,MATCH(J234,児童名簿!$F$2:$F$301,0)),""))</f>
        <v/>
      </c>
      <c r="H234" s="19">
        <f>IF(J234="","",IF(G234="","名簿にいない",IF(COUNTIF(J235:J$402,J234)&gt;0,"2回提出（下の行を使います）",IF(OR(AND(D234&lt;&gt;"",COUNTIF(設定!$G$8:$G$27,D234)=0),AND(E234&lt;&gt;"",COUNTIF(設定!$G$8:$G$27,E234)=0),AND(F234&lt;&gt;"",COUNTIF(設定!$G$8:$G$27,F234)=0)),"委員会名がちがう",IF(D234="","第1希望がない",IF(OR(AND(D234&lt;&gt;"",D234=E234),AND(D234&lt;&gt;"",D234=F234),AND(E234&lt;&gt;"",E234=F234)),"同じ委員会を重複して希望","OK"))))))</f>
        <v/>
      </c>
      <c r="J234" s="8">
        <f>IF(A234="","",A234&amp;"-"&amp;B234&amp;"-"&amp;C234)</f>
        <v/>
      </c>
      <c r="K234" s="8">
        <f>IF(OR(J234="",G234=""),"",IF(COUNTIF(J235:J$402,J234)=0,J234,""))</f>
        <v/>
      </c>
    </row>
    <row r="235">
      <c r="A235" s="15" t="n">
        <v>6</v>
      </c>
      <c r="B235" s="15" t="inlineStr">
        <is>
          <t>竹</t>
        </is>
      </c>
      <c r="C235" s="15" t="n">
        <v>13</v>
      </c>
      <c r="D235" s="15" t="inlineStr">
        <is>
          <t>保健</t>
        </is>
      </c>
      <c r="E235" s="15" t="inlineStr">
        <is>
          <t>体育</t>
        </is>
      </c>
      <c r="F235" s="15" t="inlineStr">
        <is>
          <t>広報</t>
        </is>
      </c>
      <c r="G235" s="3">
        <f>IF(J235="","",IFERROR(INDEX(児童名簿!$D$2:$D$301,MATCH(J235,児童名簿!$F$2:$F$301,0)),""))</f>
        <v/>
      </c>
      <c r="H235" s="19">
        <f>IF(J235="","",IF(G235="","名簿にいない",IF(COUNTIF(J236:J$402,J235)&gt;0,"2回提出（下の行を使います）",IF(OR(AND(D235&lt;&gt;"",COUNTIF(設定!$G$8:$G$27,D235)=0),AND(E235&lt;&gt;"",COUNTIF(設定!$G$8:$G$27,E235)=0),AND(F235&lt;&gt;"",COUNTIF(設定!$G$8:$G$27,F235)=0)),"委員会名がちがう",IF(D235="","第1希望がない",IF(OR(AND(D235&lt;&gt;"",D235=E235),AND(D235&lt;&gt;"",D235=F235),AND(E235&lt;&gt;"",E235=F235)),"同じ委員会を重複して希望","OK"))))))</f>
        <v/>
      </c>
      <c r="J235" s="8">
        <f>IF(A235="","",A235&amp;"-"&amp;B235&amp;"-"&amp;C235)</f>
        <v/>
      </c>
      <c r="K235" s="8">
        <f>IF(OR(J235="",G235=""),"",IF(COUNTIF(J236:J$402,J235)=0,J235,""))</f>
        <v/>
      </c>
    </row>
    <row r="236">
      <c r="A236" s="15" t="n">
        <v>5</v>
      </c>
      <c r="B236" s="15" t="inlineStr">
        <is>
          <t>月</t>
        </is>
      </c>
      <c r="C236" s="15" t="n">
        <v>23</v>
      </c>
      <c r="D236" s="15" t="inlineStr">
        <is>
          <t>放送</t>
        </is>
      </c>
      <c r="E236" s="15" t="inlineStr">
        <is>
          <t>集会</t>
        </is>
      </c>
      <c r="F236" s="15" t="inlineStr">
        <is>
          <t>広報</t>
        </is>
      </c>
      <c r="G236" s="3">
        <f>IF(J236="","",IFERROR(INDEX(児童名簿!$D$2:$D$301,MATCH(J236,児童名簿!$F$2:$F$301,0)),""))</f>
        <v/>
      </c>
      <c r="H236" s="19">
        <f>IF(J236="","",IF(G236="","名簿にいない",IF(COUNTIF(J237:J$402,J236)&gt;0,"2回提出（下の行を使います）",IF(OR(AND(D236&lt;&gt;"",COUNTIF(設定!$G$8:$G$27,D236)=0),AND(E236&lt;&gt;"",COUNTIF(設定!$G$8:$G$27,E236)=0),AND(F236&lt;&gt;"",COUNTIF(設定!$G$8:$G$27,F236)=0)),"委員会名がちがう",IF(D236="","第1希望がない",IF(OR(AND(D236&lt;&gt;"",D236=E236),AND(D236&lt;&gt;"",D236=F236),AND(E236&lt;&gt;"",E236=F236)),"同じ委員会を重複して希望","OK"))))))</f>
        <v/>
      </c>
      <c r="J236" s="8">
        <f>IF(A236="","",A236&amp;"-"&amp;B236&amp;"-"&amp;C236)</f>
        <v/>
      </c>
      <c r="K236" s="8">
        <f>IF(OR(J236="",G236=""),"",IF(COUNTIF(J237:J$402,J236)=0,J236,""))</f>
        <v/>
      </c>
    </row>
    <row r="237">
      <c r="A237" s="15" t="n">
        <v>5</v>
      </c>
      <c r="B237" s="15" t="inlineStr">
        <is>
          <t>月</t>
        </is>
      </c>
      <c r="C237" s="15" t="n">
        <v>6</v>
      </c>
      <c r="D237" s="15" t="inlineStr">
        <is>
          <t>掲示</t>
        </is>
      </c>
      <c r="E237" s="15" t="inlineStr">
        <is>
          <t>図書</t>
        </is>
      </c>
      <c r="F237" s="15" t="inlineStr">
        <is>
          <t>音楽</t>
        </is>
      </c>
      <c r="G237" s="3">
        <f>IF(J237="","",IFERROR(INDEX(児童名簿!$D$2:$D$301,MATCH(J237,児童名簿!$F$2:$F$301,0)),""))</f>
        <v/>
      </c>
      <c r="H237" s="19">
        <f>IF(J237="","",IF(G237="","名簿にいない",IF(COUNTIF(J238:J$402,J237)&gt;0,"2回提出（下の行を使います）",IF(OR(AND(D237&lt;&gt;"",COUNTIF(設定!$G$8:$G$27,D237)=0),AND(E237&lt;&gt;"",COUNTIF(設定!$G$8:$G$27,E237)=0),AND(F237&lt;&gt;"",COUNTIF(設定!$G$8:$G$27,F237)=0)),"委員会名がちがう",IF(D237="","第1希望がない",IF(OR(AND(D237&lt;&gt;"",D237=E237),AND(D237&lt;&gt;"",D237=F237),AND(E237&lt;&gt;"",E237=F237)),"同じ委員会を重複して希望","OK"))))))</f>
        <v/>
      </c>
      <c r="J237" s="8">
        <f>IF(A237="","",A237&amp;"-"&amp;B237&amp;"-"&amp;C237)</f>
        <v/>
      </c>
      <c r="K237" s="8">
        <f>IF(OR(J237="",G237=""),"",IF(COUNTIF(J238:J$402,J237)=0,J237,""))</f>
        <v/>
      </c>
    </row>
    <row r="238">
      <c r="A238" s="15" t="n">
        <v>5</v>
      </c>
      <c r="B238" s="15" t="inlineStr">
        <is>
          <t>竹</t>
        </is>
      </c>
      <c r="C238" s="15" t="n">
        <v>30</v>
      </c>
      <c r="D238" s="15" t="inlineStr">
        <is>
          <t>体育</t>
        </is>
      </c>
      <c r="E238" s="15" t="inlineStr">
        <is>
          <t>図書</t>
        </is>
      </c>
      <c r="F238" s="15" t="inlineStr">
        <is>
          <t>代表</t>
        </is>
      </c>
      <c r="G238" s="3">
        <f>IF(J238="","",IFERROR(INDEX(児童名簿!$D$2:$D$301,MATCH(J238,児童名簿!$F$2:$F$301,0)),""))</f>
        <v/>
      </c>
      <c r="H238" s="19">
        <f>IF(J238="","",IF(G238="","名簿にいない",IF(COUNTIF(J239:J$402,J238)&gt;0,"2回提出（下の行を使います）",IF(OR(AND(D238&lt;&gt;"",COUNTIF(設定!$G$8:$G$27,D238)=0),AND(E238&lt;&gt;"",COUNTIF(設定!$G$8:$G$27,E238)=0),AND(F238&lt;&gt;"",COUNTIF(設定!$G$8:$G$27,F238)=0)),"委員会名がちがう",IF(D238="","第1希望がない",IF(OR(AND(D238&lt;&gt;"",D238=E238),AND(D238&lt;&gt;"",D238=F238),AND(E238&lt;&gt;"",E238=F238)),"同じ委員会を重複して希望","OK"))))))</f>
        <v/>
      </c>
      <c r="J238" s="8">
        <f>IF(A238="","",A238&amp;"-"&amp;B238&amp;"-"&amp;C238)</f>
        <v/>
      </c>
      <c r="K238" s="8">
        <f>IF(OR(J238="",G238=""),"",IF(COUNTIF(J239:J$402,J238)=0,J238,""))</f>
        <v/>
      </c>
    </row>
    <row r="239">
      <c r="A239" s="15" t="n">
        <v>5</v>
      </c>
      <c r="B239" s="15" t="inlineStr">
        <is>
          <t>竹</t>
        </is>
      </c>
      <c r="C239" s="15" t="n">
        <v>35</v>
      </c>
      <c r="D239" s="15" t="inlineStr">
        <is>
          <t>放送</t>
        </is>
      </c>
      <c r="E239" s="15" t="inlineStr">
        <is>
          <t>給食</t>
        </is>
      </c>
      <c r="F239" s="15" t="inlineStr">
        <is>
          <t>保健</t>
        </is>
      </c>
      <c r="G239" s="3">
        <f>IF(J239="","",IFERROR(INDEX(児童名簿!$D$2:$D$301,MATCH(J239,児童名簿!$F$2:$F$301,0)),""))</f>
        <v/>
      </c>
      <c r="H239" s="19">
        <f>IF(J239="","",IF(G239="","名簿にいない",IF(COUNTIF(J240:J$402,J239)&gt;0,"2回提出（下の行を使います）",IF(OR(AND(D239&lt;&gt;"",COUNTIF(設定!$G$8:$G$27,D239)=0),AND(E239&lt;&gt;"",COUNTIF(設定!$G$8:$G$27,E239)=0),AND(F239&lt;&gt;"",COUNTIF(設定!$G$8:$G$27,F239)=0)),"委員会名がちがう",IF(D239="","第1希望がない",IF(OR(AND(D239&lt;&gt;"",D239=E239),AND(D239&lt;&gt;"",D239=F239),AND(E239&lt;&gt;"",E239=F239)),"同じ委員会を重複して希望","OK"))))))</f>
        <v/>
      </c>
      <c r="J239" s="8">
        <f>IF(A239="","",A239&amp;"-"&amp;B239&amp;"-"&amp;C239)</f>
        <v/>
      </c>
      <c r="K239" s="8">
        <f>IF(OR(J239="",G239=""),"",IF(COUNTIF(J240:J$402,J239)=0,J239,""))</f>
        <v/>
      </c>
    </row>
    <row r="240">
      <c r="A240" s="15" t="n"/>
      <c r="B240" s="15" t="n"/>
      <c r="C240" s="15" t="n"/>
      <c r="D240" s="15" t="n"/>
      <c r="E240" s="15" t="n"/>
      <c r="F240" s="15" t="n"/>
      <c r="G240" s="3">
        <f>IF(J240="","",IFERROR(INDEX(児童名簿!$D$2:$D$301,MATCH(J240,児童名簿!$F$2:$F$301,0)),""))</f>
        <v/>
      </c>
      <c r="H240" s="19">
        <f>IF(J240="","",IF(G240="","名簿にいない",IF(COUNTIF(J241:J$402,J240)&gt;0,"2回提出（下の行を使います）",IF(OR(AND(D240&lt;&gt;"",COUNTIF(設定!$G$8:$G$27,D240)=0),AND(E240&lt;&gt;"",COUNTIF(設定!$G$8:$G$27,E240)=0),AND(F240&lt;&gt;"",COUNTIF(設定!$G$8:$G$27,F240)=0)),"委員会名がちがう",IF(D240="","第1希望がない",IF(OR(AND(D240&lt;&gt;"",D240=E240),AND(D240&lt;&gt;"",D240=F240),AND(E240&lt;&gt;"",E240=F240)),"同じ委員会を重複して希望","OK"))))))</f>
        <v/>
      </c>
      <c r="J240" s="8">
        <f>IF(A240="","",A240&amp;"-"&amp;B240&amp;"-"&amp;C240)</f>
        <v/>
      </c>
      <c r="K240" s="8">
        <f>IF(OR(J240="",G240=""),"",IF(COUNTIF(J241:J$402,J240)=0,J240,""))</f>
        <v/>
      </c>
    </row>
    <row r="241">
      <c r="A241" s="15" t="n"/>
      <c r="B241" s="15" t="n"/>
      <c r="C241" s="15" t="n"/>
      <c r="D241" s="15" t="n"/>
      <c r="E241" s="15" t="n"/>
      <c r="F241" s="15" t="n"/>
      <c r="G241" s="3">
        <f>IF(J241="","",IFERROR(INDEX(児童名簿!$D$2:$D$301,MATCH(J241,児童名簿!$F$2:$F$301,0)),""))</f>
        <v/>
      </c>
      <c r="H241" s="19">
        <f>IF(J241="","",IF(G241="","名簿にいない",IF(COUNTIF(J242:J$402,J241)&gt;0,"2回提出（下の行を使います）",IF(OR(AND(D241&lt;&gt;"",COUNTIF(設定!$G$8:$G$27,D241)=0),AND(E241&lt;&gt;"",COUNTIF(設定!$G$8:$G$27,E241)=0),AND(F241&lt;&gt;"",COUNTIF(設定!$G$8:$G$27,F241)=0)),"委員会名がちがう",IF(D241="","第1希望がない",IF(OR(AND(D241&lt;&gt;"",D241=E241),AND(D241&lt;&gt;"",D241=F241),AND(E241&lt;&gt;"",E241=F241)),"同じ委員会を重複して希望","OK"))))))</f>
        <v/>
      </c>
      <c r="J241" s="8">
        <f>IF(A241="","",A241&amp;"-"&amp;B241&amp;"-"&amp;C241)</f>
        <v/>
      </c>
      <c r="K241" s="8">
        <f>IF(OR(J241="",G241=""),"",IF(COUNTIF(J242:J$402,J241)=0,J241,""))</f>
        <v/>
      </c>
    </row>
    <row r="242">
      <c r="A242" s="15" t="n"/>
      <c r="B242" s="15" t="n"/>
      <c r="C242" s="15" t="n"/>
      <c r="D242" s="15" t="n"/>
      <c r="E242" s="15" t="n"/>
      <c r="F242" s="15" t="n"/>
      <c r="G242" s="3">
        <f>IF(J242="","",IFERROR(INDEX(児童名簿!$D$2:$D$301,MATCH(J242,児童名簿!$F$2:$F$301,0)),""))</f>
        <v/>
      </c>
      <c r="H242" s="19">
        <f>IF(J242="","",IF(G242="","名簿にいない",IF(COUNTIF(J243:J$402,J242)&gt;0,"2回提出（下の行を使います）",IF(OR(AND(D242&lt;&gt;"",COUNTIF(設定!$G$8:$G$27,D242)=0),AND(E242&lt;&gt;"",COUNTIF(設定!$G$8:$G$27,E242)=0),AND(F242&lt;&gt;"",COUNTIF(設定!$G$8:$G$27,F242)=0)),"委員会名がちがう",IF(D242="","第1希望がない",IF(OR(AND(D242&lt;&gt;"",D242=E242),AND(D242&lt;&gt;"",D242=F242),AND(E242&lt;&gt;"",E242=F242)),"同じ委員会を重複して希望","OK"))))))</f>
        <v/>
      </c>
      <c r="J242" s="8">
        <f>IF(A242="","",A242&amp;"-"&amp;B242&amp;"-"&amp;C242)</f>
        <v/>
      </c>
      <c r="K242" s="8">
        <f>IF(OR(J242="",G242=""),"",IF(COUNTIF(J243:J$402,J242)=0,J242,""))</f>
        <v/>
      </c>
    </row>
    <row r="243">
      <c r="A243" s="15" t="n"/>
      <c r="B243" s="15" t="n"/>
      <c r="C243" s="15" t="n"/>
      <c r="D243" s="15" t="n"/>
      <c r="E243" s="15" t="n"/>
      <c r="F243" s="15" t="n"/>
      <c r="G243" s="3">
        <f>IF(J243="","",IFERROR(INDEX(児童名簿!$D$2:$D$301,MATCH(J243,児童名簿!$F$2:$F$301,0)),""))</f>
        <v/>
      </c>
      <c r="H243" s="19">
        <f>IF(J243="","",IF(G243="","名簿にいない",IF(COUNTIF(J244:J$402,J243)&gt;0,"2回提出（下の行を使います）",IF(OR(AND(D243&lt;&gt;"",COUNTIF(設定!$G$8:$G$27,D243)=0),AND(E243&lt;&gt;"",COUNTIF(設定!$G$8:$G$27,E243)=0),AND(F243&lt;&gt;"",COUNTIF(設定!$G$8:$G$27,F243)=0)),"委員会名がちがう",IF(D243="","第1希望がない",IF(OR(AND(D243&lt;&gt;"",D243=E243),AND(D243&lt;&gt;"",D243=F243),AND(E243&lt;&gt;"",E243=F243)),"同じ委員会を重複して希望","OK"))))))</f>
        <v/>
      </c>
      <c r="J243" s="8">
        <f>IF(A243="","",A243&amp;"-"&amp;B243&amp;"-"&amp;C243)</f>
        <v/>
      </c>
      <c r="K243" s="8">
        <f>IF(OR(J243="",G243=""),"",IF(COUNTIF(J244:J$402,J243)=0,J243,""))</f>
        <v/>
      </c>
    </row>
    <row r="244">
      <c r="A244" s="15" t="n"/>
      <c r="B244" s="15" t="n"/>
      <c r="C244" s="15" t="n"/>
      <c r="D244" s="15" t="n"/>
      <c r="E244" s="15" t="n"/>
      <c r="F244" s="15" t="n"/>
      <c r="G244" s="3">
        <f>IF(J244="","",IFERROR(INDEX(児童名簿!$D$2:$D$301,MATCH(J244,児童名簿!$F$2:$F$301,0)),""))</f>
        <v/>
      </c>
      <c r="H244" s="19">
        <f>IF(J244="","",IF(G244="","名簿にいない",IF(COUNTIF(J245:J$402,J244)&gt;0,"2回提出（下の行を使います）",IF(OR(AND(D244&lt;&gt;"",COUNTIF(設定!$G$8:$G$27,D244)=0),AND(E244&lt;&gt;"",COUNTIF(設定!$G$8:$G$27,E244)=0),AND(F244&lt;&gt;"",COUNTIF(設定!$G$8:$G$27,F244)=0)),"委員会名がちがう",IF(D244="","第1希望がない",IF(OR(AND(D244&lt;&gt;"",D244=E244),AND(D244&lt;&gt;"",D244=F244),AND(E244&lt;&gt;"",E244=F244)),"同じ委員会を重複して希望","OK"))))))</f>
        <v/>
      </c>
      <c r="J244" s="8">
        <f>IF(A244="","",A244&amp;"-"&amp;B244&amp;"-"&amp;C244)</f>
        <v/>
      </c>
      <c r="K244" s="8">
        <f>IF(OR(J244="",G244=""),"",IF(COUNTIF(J245:J$402,J244)=0,J244,""))</f>
        <v/>
      </c>
    </row>
    <row r="245">
      <c r="A245" s="15" t="n"/>
      <c r="B245" s="15" t="n"/>
      <c r="C245" s="15" t="n"/>
      <c r="D245" s="15" t="n"/>
      <c r="E245" s="15" t="n"/>
      <c r="F245" s="15" t="n"/>
      <c r="G245" s="3">
        <f>IF(J245="","",IFERROR(INDEX(児童名簿!$D$2:$D$301,MATCH(J245,児童名簿!$F$2:$F$301,0)),""))</f>
        <v/>
      </c>
      <c r="H245" s="19">
        <f>IF(J245="","",IF(G245="","名簿にいない",IF(COUNTIF(J246:J$402,J245)&gt;0,"2回提出（下の行を使います）",IF(OR(AND(D245&lt;&gt;"",COUNTIF(設定!$G$8:$G$27,D245)=0),AND(E245&lt;&gt;"",COUNTIF(設定!$G$8:$G$27,E245)=0),AND(F245&lt;&gt;"",COUNTIF(設定!$G$8:$G$27,F245)=0)),"委員会名がちがう",IF(D245="","第1希望がない",IF(OR(AND(D245&lt;&gt;"",D245=E245),AND(D245&lt;&gt;"",D245=F245),AND(E245&lt;&gt;"",E245=F245)),"同じ委員会を重複して希望","OK"))))))</f>
        <v/>
      </c>
      <c r="J245" s="8">
        <f>IF(A245="","",A245&amp;"-"&amp;B245&amp;"-"&amp;C245)</f>
        <v/>
      </c>
      <c r="K245" s="8">
        <f>IF(OR(J245="",G245=""),"",IF(COUNTIF(J246:J$402,J245)=0,J245,""))</f>
        <v/>
      </c>
    </row>
    <row r="246">
      <c r="A246" s="15" t="n"/>
      <c r="B246" s="15" t="n"/>
      <c r="C246" s="15" t="n"/>
      <c r="D246" s="15" t="n"/>
      <c r="E246" s="15" t="n"/>
      <c r="F246" s="15" t="n"/>
      <c r="G246" s="3">
        <f>IF(J246="","",IFERROR(INDEX(児童名簿!$D$2:$D$301,MATCH(J246,児童名簿!$F$2:$F$301,0)),""))</f>
        <v/>
      </c>
      <c r="H246" s="19">
        <f>IF(J246="","",IF(G246="","名簿にいない",IF(COUNTIF(J247:J$402,J246)&gt;0,"2回提出（下の行を使います）",IF(OR(AND(D246&lt;&gt;"",COUNTIF(設定!$G$8:$G$27,D246)=0),AND(E246&lt;&gt;"",COUNTIF(設定!$G$8:$G$27,E246)=0),AND(F246&lt;&gt;"",COUNTIF(設定!$G$8:$G$27,F246)=0)),"委員会名がちがう",IF(D246="","第1希望がない",IF(OR(AND(D246&lt;&gt;"",D246=E246),AND(D246&lt;&gt;"",D246=F246),AND(E246&lt;&gt;"",E246=F246)),"同じ委員会を重複して希望","OK"))))))</f>
        <v/>
      </c>
      <c r="J246" s="8">
        <f>IF(A246="","",A246&amp;"-"&amp;B246&amp;"-"&amp;C246)</f>
        <v/>
      </c>
      <c r="K246" s="8">
        <f>IF(OR(J246="",G246=""),"",IF(COUNTIF(J247:J$402,J246)=0,J246,""))</f>
        <v/>
      </c>
    </row>
    <row r="247">
      <c r="A247" s="15" t="n"/>
      <c r="B247" s="15" t="n"/>
      <c r="C247" s="15" t="n"/>
      <c r="D247" s="15" t="n"/>
      <c r="E247" s="15" t="n"/>
      <c r="F247" s="15" t="n"/>
      <c r="G247" s="3">
        <f>IF(J247="","",IFERROR(INDEX(児童名簿!$D$2:$D$301,MATCH(J247,児童名簿!$F$2:$F$301,0)),""))</f>
        <v/>
      </c>
      <c r="H247" s="19">
        <f>IF(J247="","",IF(G247="","名簿にいない",IF(COUNTIF(J248:J$402,J247)&gt;0,"2回提出（下の行を使います）",IF(OR(AND(D247&lt;&gt;"",COUNTIF(設定!$G$8:$G$27,D247)=0),AND(E247&lt;&gt;"",COUNTIF(設定!$G$8:$G$27,E247)=0),AND(F247&lt;&gt;"",COUNTIF(設定!$G$8:$G$27,F247)=0)),"委員会名がちがう",IF(D247="","第1希望がない",IF(OR(AND(D247&lt;&gt;"",D247=E247),AND(D247&lt;&gt;"",D247=F247),AND(E247&lt;&gt;"",E247=F247)),"同じ委員会を重複して希望","OK"))))))</f>
        <v/>
      </c>
      <c r="J247" s="8">
        <f>IF(A247="","",A247&amp;"-"&amp;B247&amp;"-"&amp;C247)</f>
        <v/>
      </c>
      <c r="K247" s="8">
        <f>IF(OR(J247="",G247=""),"",IF(COUNTIF(J248:J$402,J247)=0,J247,""))</f>
        <v/>
      </c>
    </row>
    <row r="248">
      <c r="A248" s="15" t="n"/>
      <c r="B248" s="15" t="n"/>
      <c r="C248" s="15" t="n"/>
      <c r="D248" s="15" t="n"/>
      <c r="E248" s="15" t="n"/>
      <c r="F248" s="15" t="n"/>
      <c r="G248" s="3">
        <f>IF(J248="","",IFERROR(INDEX(児童名簿!$D$2:$D$301,MATCH(J248,児童名簿!$F$2:$F$301,0)),""))</f>
        <v/>
      </c>
      <c r="H248" s="19">
        <f>IF(J248="","",IF(G248="","名簿にいない",IF(COUNTIF(J249:J$402,J248)&gt;0,"2回提出（下の行を使います）",IF(OR(AND(D248&lt;&gt;"",COUNTIF(設定!$G$8:$G$27,D248)=0),AND(E248&lt;&gt;"",COUNTIF(設定!$G$8:$G$27,E248)=0),AND(F248&lt;&gt;"",COUNTIF(設定!$G$8:$G$27,F248)=0)),"委員会名がちがう",IF(D248="","第1希望がない",IF(OR(AND(D248&lt;&gt;"",D248=E248),AND(D248&lt;&gt;"",D248=F248),AND(E248&lt;&gt;"",E248=F248)),"同じ委員会を重複して希望","OK"))))))</f>
        <v/>
      </c>
      <c r="J248" s="8">
        <f>IF(A248="","",A248&amp;"-"&amp;B248&amp;"-"&amp;C248)</f>
        <v/>
      </c>
      <c r="K248" s="8">
        <f>IF(OR(J248="",G248=""),"",IF(COUNTIF(J249:J$402,J248)=0,J248,""))</f>
        <v/>
      </c>
    </row>
    <row r="249">
      <c r="A249" s="15" t="n"/>
      <c r="B249" s="15" t="n"/>
      <c r="C249" s="15" t="n"/>
      <c r="D249" s="15" t="n"/>
      <c r="E249" s="15" t="n"/>
      <c r="F249" s="15" t="n"/>
      <c r="G249" s="3">
        <f>IF(J249="","",IFERROR(INDEX(児童名簿!$D$2:$D$301,MATCH(J249,児童名簿!$F$2:$F$301,0)),""))</f>
        <v/>
      </c>
      <c r="H249" s="19">
        <f>IF(J249="","",IF(G249="","名簿にいない",IF(COUNTIF(J250:J$402,J249)&gt;0,"2回提出（下の行を使います）",IF(OR(AND(D249&lt;&gt;"",COUNTIF(設定!$G$8:$G$27,D249)=0),AND(E249&lt;&gt;"",COUNTIF(設定!$G$8:$G$27,E249)=0),AND(F249&lt;&gt;"",COUNTIF(設定!$G$8:$G$27,F249)=0)),"委員会名がちがう",IF(D249="","第1希望がない",IF(OR(AND(D249&lt;&gt;"",D249=E249),AND(D249&lt;&gt;"",D249=F249),AND(E249&lt;&gt;"",E249=F249)),"同じ委員会を重複して希望","OK"))))))</f>
        <v/>
      </c>
      <c r="J249" s="8">
        <f>IF(A249="","",A249&amp;"-"&amp;B249&amp;"-"&amp;C249)</f>
        <v/>
      </c>
      <c r="K249" s="8">
        <f>IF(OR(J249="",G249=""),"",IF(COUNTIF(J250:J$402,J249)=0,J249,""))</f>
        <v/>
      </c>
    </row>
    <row r="250">
      <c r="A250" s="15" t="n"/>
      <c r="B250" s="15" t="n"/>
      <c r="C250" s="15" t="n"/>
      <c r="D250" s="15" t="n"/>
      <c r="E250" s="15" t="n"/>
      <c r="F250" s="15" t="n"/>
      <c r="G250" s="3">
        <f>IF(J250="","",IFERROR(INDEX(児童名簿!$D$2:$D$301,MATCH(J250,児童名簿!$F$2:$F$301,0)),""))</f>
        <v/>
      </c>
      <c r="H250" s="19">
        <f>IF(J250="","",IF(G250="","名簿にいない",IF(COUNTIF(J251:J$402,J250)&gt;0,"2回提出（下の行を使います）",IF(OR(AND(D250&lt;&gt;"",COUNTIF(設定!$G$8:$G$27,D250)=0),AND(E250&lt;&gt;"",COUNTIF(設定!$G$8:$G$27,E250)=0),AND(F250&lt;&gt;"",COUNTIF(設定!$G$8:$G$27,F250)=0)),"委員会名がちがう",IF(D250="","第1希望がない",IF(OR(AND(D250&lt;&gt;"",D250=E250),AND(D250&lt;&gt;"",D250=F250),AND(E250&lt;&gt;"",E250=F250)),"同じ委員会を重複して希望","OK"))))))</f>
        <v/>
      </c>
      <c r="J250" s="8">
        <f>IF(A250="","",A250&amp;"-"&amp;B250&amp;"-"&amp;C250)</f>
        <v/>
      </c>
      <c r="K250" s="8">
        <f>IF(OR(J250="",G250=""),"",IF(COUNTIF(J251:J$402,J250)=0,J250,""))</f>
        <v/>
      </c>
    </row>
    <row r="251">
      <c r="A251" s="15" t="n"/>
      <c r="B251" s="15" t="n"/>
      <c r="C251" s="15" t="n"/>
      <c r="D251" s="15" t="n"/>
      <c r="E251" s="15" t="n"/>
      <c r="F251" s="15" t="n"/>
      <c r="G251" s="3">
        <f>IF(J251="","",IFERROR(INDEX(児童名簿!$D$2:$D$301,MATCH(J251,児童名簿!$F$2:$F$301,0)),""))</f>
        <v/>
      </c>
      <c r="H251" s="19">
        <f>IF(J251="","",IF(G251="","名簿にいない",IF(COUNTIF(J252:J$402,J251)&gt;0,"2回提出（下の行を使います）",IF(OR(AND(D251&lt;&gt;"",COUNTIF(設定!$G$8:$G$27,D251)=0),AND(E251&lt;&gt;"",COUNTIF(設定!$G$8:$G$27,E251)=0),AND(F251&lt;&gt;"",COUNTIF(設定!$G$8:$G$27,F251)=0)),"委員会名がちがう",IF(D251="","第1希望がない",IF(OR(AND(D251&lt;&gt;"",D251=E251),AND(D251&lt;&gt;"",D251=F251),AND(E251&lt;&gt;"",E251=F251)),"同じ委員会を重複して希望","OK"))))))</f>
        <v/>
      </c>
      <c r="J251" s="8">
        <f>IF(A251="","",A251&amp;"-"&amp;B251&amp;"-"&amp;C251)</f>
        <v/>
      </c>
      <c r="K251" s="8">
        <f>IF(OR(J251="",G251=""),"",IF(COUNTIF(J252:J$402,J251)=0,J251,""))</f>
        <v/>
      </c>
    </row>
    <row r="252">
      <c r="A252" s="15" t="n"/>
      <c r="B252" s="15" t="n"/>
      <c r="C252" s="15" t="n"/>
      <c r="D252" s="15" t="n"/>
      <c r="E252" s="15" t="n"/>
      <c r="F252" s="15" t="n"/>
      <c r="G252" s="3">
        <f>IF(J252="","",IFERROR(INDEX(児童名簿!$D$2:$D$301,MATCH(J252,児童名簿!$F$2:$F$301,0)),""))</f>
        <v/>
      </c>
      <c r="H252" s="19">
        <f>IF(J252="","",IF(G252="","名簿にいない",IF(COUNTIF(J253:J$402,J252)&gt;0,"2回提出（下の行を使います）",IF(OR(AND(D252&lt;&gt;"",COUNTIF(設定!$G$8:$G$27,D252)=0),AND(E252&lt;&gt;"",COUNTIF(設定!$G$8:$G$27,E252)=0),AND(F252&lt;&gt;"",COUNTIF(設定!$G$8:$G$27,F252)=0)),"委員会名がちがう",IF(D252="","第1希望がない",IF(OR(AND(D252&lt;&gt;"",D252=E252),AND(D252&lt;&gt;"",D252=F252),AND(E252&lt;&gt;"",E252=F252)),"同じ委員会を重複して希望","OK"))))))</f>
        <v/>
      </c>
      <c r="J252" s="8">
        <f>IF(A252="","",A252&amp;"-"&amp;B252&amp;"-"&amp;C252)</f>
        <v/>
      </c>
      <c r="K252" s="8">
        <f>IF(OR(J252="",G252=""),"",IF(COUNTIF(J253:J$402,J252)=0,J252,""))</f>
        <v/>
      </c>
    </row>
    <row r="253">
      <c r="A253" s="15" t="n"/>
      <c r="B253" s="15" t="n"/>
      <c r="C253" s="15" t="n"/>
      <c r="D253" s="15" t="n"/>
      <c r="E253" s="15" t="n"/>
      <c r="F253" s="15" t="n"/>
      <c r="G253" s="3">
        <f>IF(J253="","",IFERROR(INDEX(児童名簿!$D$2:$D$301,MATCH(J253,児童名簿!$F$2:$F$301,0)),""))</f>
        <v/>
      </c>
      <c r="H253" s="19">
        <f>IF(J253="","",IF(G253="","名簿にいない",IF(COUNTIF(J254:J$402,J253)&gt;0,"2回提出（下の行を使います）",IF(OR(AND(D253&lt;&gt;"",COUNTIF(設定!$G$8:$G$27,D253)=0),AND(E253&lt;&gt;"",COUNTIF(設定!$G$8:$G$27,E253)=0),AND(F253&lt;&gt;"",COUNTIF(設定!$G$8:$G$27,F253)=0)),"委員会名がちがう",IF(D253="","第1希望がない",IF(OR(AND(D253&lt;&gt;"",D253=E253),AND(D253&lt;&gt;"",D253=F253),AND(E253&lt;&gt;"",E253=F253)),"同じ委員会を重複して希望","OK"))))))</f>
        <v/>
      </c>
      <c r="J253" s="8">
        <f>IF(A253="","",A253&amp;"-"&amp;B253&amp;"-"&amp;C253)</f>
        <v/>
      </c>
      <c r="K253" s="8">
        <f>IF(OR(J253="",G253=""),"",IF(COUNTIF(J254:J$402,J253)=0,J253,""))</f>
        <v/>
      </c>
    </row>
    <row r="254">
      <c r="A254" s="15" t="n"/>
      <c r="B254" s="15" t="n"/>
      <c r="C254" s="15" t="n"/>
      <c r="D254" s="15" t="n"/>
      <c r="E254" s="15" t="n"/>
      <c r="F254" s="15" t="n"/>
      <c r="G254" s="3">
        <f>IF(J254="","",IFERROR(INDEX(児童名簿!$D$2:$D$301,MATCH(J254,児童名簿!$F$2:$F$301,0)),""))</f>
        <v/>
      </c>
      <c r="H254" s="19">
        <f>IF(J254="","",IF(G254="","名簿にいない",IF(COUNTIF(J255:J$402,J254)&gt;0,"2回提出（下の行を使います）",IF(OR(AND(D254&lt;&gt;"",COUNTIF(設定!$G$8:$G$27,D254)=0),AND(E254&lt;&gt;"",COUNTIF(設定!$G$8:$G$27,E254)=0),AND(F254&lt;&gt;"",COUNTIF(設定!$G$8:$G$27,F254)=0)),"委員会名がちがう",IF(D254="","第1希望がない",IF(OR(AND(D254&lt;&gt;"",D254=E254),AND(D254&lt;&gt;"",D254=F254),AND(E254&lt;&gt;"",E254=F254)),"同じ委員会を重複して希望","OK"))))))</f>
        <v/>
      </c>
      <c r="J254" s="8">
        <f>IF(A254="","",A254&amp;"-"&amp;B254&amp;"-"&amp;C254)</f>
        <v/>
      </c>
      <c r="K254" s="8">
        <f>IF(OR(J254="",G254=""),"",IF(COUNTIF(J255:J$402,J254)=0,J254,""))</f>
        <v/>
      </c>
    </row>
    <row r="255">
      <c r="A255" s="15" t="n"/>
      <c r="B255" s="15" t="n"/>
      <c r="C255" s="15" t="n"/>
      <c r="D255" s="15" t="n"/>
      <c r="E255" s="15" t="n"/>
      <c r="F255" s="15" t="n"/>
      <c r="G255" s="3">
        <f>IF(J255="","",IFERROR(INDEX(児童名簿!$D$2:$D$301,MATCH(J255,児童名簿!$F$2:$F$301,0)),""))</f>
        <v/>
      </c>
      <c r="H255" s="19">
        <f>IF(J255="","",IF(G255="","名簿にいない",IF(COUNTIF(J256:J$402,J255)&gt;0,"2回提出（下の行を使います）",IF(OR(AND(D255&lt;&gt;"",COUNTIF(設定!$G$8:$G$27,D255)=0),AND(E255&lt;&gt;"",COUNTIF(設定!$G$8:$G$27,E255)=0),AND(F255&lt;&gt;"",COUNTIF(設定!$G$8:$G$27,F255)=0)),"委員会名がちがう",IF(D255="","第1希望がない",IF(OR(AND(D255&lt;&gt;"",D255=E255),AND(D255&lt;&gt;"",D255=F255),AND(E255&lt;&gt;"",E255=F255)),"同じ委員会を重複して希望","OK"))))))</f>
        <v/>
      </c>
      <c r="J255" s="8">
        <f>IF(A255="","",A255&amp;"-"&amp;B255&amp;"-"&amp;C255)</f>
        <v/>
      </c>
      <c r="K255" s="8">
        <f>IF(OR(J255="",G255=""),"",IF(COUNTIF(J256:J$402,J255)=0,J255,""))</f>
        <v/>
      </c>
    </row>
    <row r="256">
      <c r="A256" s="15" t="n"/>
      <c r="B256" s="15" t="n"/>
      <c r="C256" s="15" t="n"/>
      <c r="D256" s="15" t="n"/>
      <c r="E256" s="15" t="n"/>
      <c r="F256" s="15" t="n"/>
      <c r="G256" s="3">
        <f>IF(J256="","",IFERROR(INDEX(児童名簿!$D$2:$D$301,MATCH(J256,児童名簿!$F$2:$F$301,0)),""))</f>
        <v/>
      </c>
      <c r="H256" s="19">
        <f>IF(J256="","",IF(G256="","名簿にいない",IF(COUNTIF(J257:J$402,J256)&gt;0,"2回提出（下の行を使います）",IF(OR(AND(D256&lt;&gt;"",COUNTIF(設定!$G$8:$G$27,D256)=0),AND(E256&lt;&gt;"",COUNTIF(設定!$G$8:$G$27,E256)=0),AND(F256&lt;&gt;"",COUNTIF(設定!$G$8:$G$27,F256)=0)),"委員会名がちがう",IF(D256="","第1希望がない",IF(OR(AND(D256&lt;&gt;"",D256=E256),AND(D256&lt;&gt;"",D256=F256),AND(E256&lt;&gt;"",E256=F256)),"同じ委員会を重複して希望","OK"))))))</f>
        <v/>
      </c>
      <c r="J256" s="8">
        <f>IF(A256="","",A256&amp;"-"&amp;B256&amp;"-"&amp;C256)</f>
        <v/>
      </c>
      <c r="K256" s="8">
        <f>IF(OR(J256="",G256=""),"",IF(COUNTIF(J257:J$402,J256)=0,J256,""))</f>
        <v/>
      </c>
    </row>
    <row r="257">
      <c r="A257" s="15" t="n"/>
      <c r="B257" s="15" t="n"/>
      <c r="C257" s="15" t="n"/>
      <c r="D257" s="15" t="n"/>
      <c r="E257" s="15" t="n"/>
      <c r="F257" s="15" t="n"/>
      <c r="G257" s="3">
        <f>IF(J257="","",IFERROR(INDEX(児童名簿!$D$2:$D$301,MATCH(J257,児童名簿!$F$2:$F$301,0)),""))</f>
        <v/>
      </c>
      <c r="H257" s="19">
        <f>IF(J257="","",IF(G257="","名簿にいない",IF(COUNTIF(J258:J$402,J257)&gt;0,"2回提出（下の行を使います）",IF(OR(AND(D257&lt;&gt;"",COUNTIF(設定!$G$8:$G$27,D257)=0),AND(E257&lt;&gt;"",COUNTIF(設定!$G$8:$G$27,E257)=0),AND(F257&lt;&gt;"",COUNTIF(設定!$G$8:$G$27,F257)=0)),"委員会名がちがう",IF(D257="","第1希望がない",IF(OR(AND(D257&lt;&gt;"",D257=E257),AND(D257&lt;&gt;"",D257=F257),AND(E257&lt;&gt;"",E257=F257)),"同じ委員会を重複して希望","OK"))))))</f>
        <v/>
      </c>
      <c r="J257" s="8">
        <f>IF(A257="","",A257&amp;"-"&amp;B257&amp;"-"&amp;C257)</f>
        <v/>
      </c>
      <c r="K257" s="8">
        <f>IF(OR(J257="",G257=""),"",IF(COUNTIF(J258:J$402,J257)=0,J257,""))</f>
        <v/>
      </c>
    </row>
    <row r="258">
      <c r="A258" s="15" t="n"/>
      <c r="B258" s="15" t="n"/>
      <c r="C258" s="15" t="n"/>
      <c r="D258" s="15" t="n"/>
      <c r="E258" s="15" t="n"/>
      <c r="F258" s="15" t="n"/>
      <c r="G258" s="3">
        <f>IF(J258="","",IFERROR(INDEX(児童名簿!$D$2:$D$301,MATCH(J258,児童名簿!$F$2:$F$301,0)),""))</f>
        <v/>
      </c>
      <c r="H258" s="19">
        <f>IF(J258="","",IF(G258="","名簿にいない",IF(COUNTIF(J259:J$402,J258)&gt;0,"2回提出（下の行を使います）",IF(OR(AND(D258&lt;&gt;"",COUNTIF(設定!$G$8:$G$27,D258)=0),AND(E258&lt;&gt;"",COUNTIF(設定!$G$8:$G$27,E258)=0),AND(F258&lt;&gt;"",COUNTIF(設定!$G$8:$G$27,F258)=0)),"委員会名がちがう",IF(D258="","第1希望がない",IF(OR(AND(D258&lt;&gt;"",D258=E258),AND(D258&lt;&gt;"",D258=F258),AND(E258&lt;&gt;"",E258=F258)),"同じ委員会を重複して希望","OK"))))))</f>
        <v/>
      </c>
      <c r="J258" s="8">
        <f>IF(A258="","",A258&amp;"-"&amp;B258&amp;"-"&amp;C258)</f>
        <v/>
      </c>
      <c r="K258" s="8">
        <f>IF(OR(J258="",G258=""),"",IF(COUNTIF(J259:J$402,J258)=0,J258,""))</f>
        <v/>
      </c>
    </row>
    <row r="259">
      <c r="A259" s="15" t="n"/>
      <c r="B259" s="15" t="n"/>
      <c r="C259" s="15" t="n"/>
      <c r="D259" s="15" t="n"/>
      <c r="E259" s="15" t="n"/>
      <c r="F259" s="15" t="n"/>
      <c r="G259" s="3">
        <f>IF(J259="","",IFERROR(INDEX(児童名簿!$D$2:$D$301,MATCH(J259,児童名簿!$F$2:$F$301,0)),""))</f>
        <v/>
      </c>
      <c r="H259" s="19">
        <f>IF(J259="","",IF(G259="","名簿にいない",IF(COUNTIF(J260:J$402,J259)&gt;0,"2回提出（下の行を使います）",IF(OR(AND(D259&lt;&gt;"",COUNTIF(設定!$G$8:$G$27,D259)=0),AND(E259&lt;&gt;"",COUNTIF(設定!$G$8:$G$27,E259)=0),AND(F259&lt;&gt;"",COUNTIF(設定!$G$8:$G$27,F259)=0)),"委員会名がちがう",IF(D259="","第1希望がない",IF(OR(AND(D259&lt;&gt;"",D259=E259),AND(D259&lt;&gt;"",D259=F259),AND(E259&lt;&gt;"",E259=F259)),"同じ委員会を重複して希望","OK"))))))</f>
        <v/>
      </c>
      <c r="J259" s="8">
        <f>IF(A259="","",A259&amp;"-"&amp;B259&amp;"-"&amp;C259)</f>
        <v/>
      </c>
      <c r="K259" s="8">
        <f>IF(OR(J259="",G259=""),"",IF(COUNTIF(J260:J$402,J259)=0,J259,""))</f>
        <v/>
      </c>
    </row>
    <row r="260">
      <c r="A260" s="15" t="n"/>
      <c r="B260" s="15" t="n"/>
      <c r="C260" s="15" t="n"/>
      <c r="D260" s="15" t="n"/>
      <c r="E260" s="15" t="n"/>
      <c r="F260" s="15" t="n"/>
      <c r="G260" s="3">
        <f>IF(J260="","",IFERROR(INDEX(児童名簿!$D$2:$D$301,MATCH(J260,児童名簿!$F$2:$F$301,0)),""))</f>
        <v/>
      </c>
      <c r="H260" s="19">
        <f>IF(J260="","",IF(G260="","名簿にいない",IF(COUNTIF(J261:J$402,J260)&gt;0,"2回提出（下の行を使います）",IF(OR(AND(D260&lt;&gt;"",COUNTIF(設定!$G$8:$G$27,D260)=0),AND(E260&lt;&gt;"",COUNTIF(設定!$G$8:$G$27,E260)=0),AND(F260&lt;&gt;"",COUNTIF(設定!$G$8:$G$27,F260)=0)),"委員会名がちがう",IF(D260="","第1希望がない",IF(OR(AND(D260&lt;&gt;"",D260=E260),AND(D260&lt;&gt;"",D260=F260),AND(E260&lt;&gt;"",E260=F260)),"同じ委員会を重複して希望","OK"))))))</f>
        <v/>
      </c>
      <c r="J260" s="8">
        <f>IF(A260="","",A260&amp;"-"&amp;B260&amp;"-"&amp;C260)</f>
        <v/>
      </c>
      <c r="K260" s="8">
        <f>IF(OR(J260="",G260=""),"",IF(COUNTIF(J261:J$402,J260)=0,J260,""))</f>
        <v/>
      </c>
    </row>
    <row r="261">
      <c r="A261" s="15" t="n"/>
      <c r="B261" s="15" t="n"/>
      <c r="C261" s="15" t="n"/>
      <c r="D261" s="15" t="n"/>
      <c r="E261" s="15" t="n"/>
      <c r="F261" s="15" t="n"/>
      <c r="G261" s="3">
        <f>IF(J261="","",IFERROR(INDEX(児童名簿!$D$2:$D$301,MATCH(J261,児童名簿!$F$2:$F$301,0)),""))</f>
        <v/>
      </c>
      <c r="H261" s="19">
        <f>IF(J261="","",IF(G261="","名簿にいない",IF(COUNTIF(J262:J$402,J261)&gt;0,"2回提出（下の行を使います）",IF(OR(AND(D261&lt;&gt;"",COUNTIF(設定!$G$8:$G$27,D261)=0),AND(E261&lt;&gt;"",COUNTIF(設定!$G$8:$G$27,E261)=0),AND(F261&lt;&gt;"",COUNTIF(設定!$G$8:$G$27,F261)=0)),"委員会名がちがう",IF(D261="","第1希望がない",IF(OR(AND(D261&lt;&gt;"",D261=E261),AND(D261&lt;&gt;"",D261=F261),AND(E261&lt;&gt;"",E261=F261)),"同じ委員会を重複して希望","OK"))))))</f>
        <v/>
      </c>
      <c r="J261" s="8">
        <f>IF(A261="","",A261&amp;"-"&amp;B261&amp;"-"&amp;C261)</f>
        <v/>
      </c>
      <c r="K261" s="8">
        <f>IF(OR(J261="",G261=""),"",IF(COUNTIF(J262:J$402,J261)=0,J261,""))</f>
        <v/>
      </c>
    </row>
    <row r="262">
      <c r="A262" s="15" t="n"/>
      <c r="B262" s="15" t="n"/>
      <c r="C262" s="15" t="n"/>
      <c r="D262" s="15" t="n"/>
      <c r="E262" s="15" t="n"/>
      <c r="F262" s="15" t="n"/>
      <c r="G262" s="3">
        <f>IF(J262="","",IFERROR(INDEX(児童名簿!$D$2:$D$301,MATCH(J262,児童名簿!$F$2:$F$301,0)),""))</f>
        <v/>
      </c>
      <c r="H262" s="19">
        <f>IF(J262="","",IF(G262="","名簿にいない",IF(COUNTIF(J263:J$402,J262)&gt;0,"2回提出（下の行を使います）",IF(OR(AND(D262&lt;&gt;"",COUNTIF(設定!$G$8:$G$27,D262)=0),AND(E262&lt;&gt;"",COUNTIF(設定!$G$8:$G$27,E262)=0),AND(F262&lt;&gt;"",COUNTIF(設定!$G$8:$G$27,F262)=0)),"委員会名がちがう",IF(D262="","第1希望がない",IF(OR(AND(D262&lt;&gt;"",D262=E262),AND(D262&lt;&gt;"",D262=F262),AND(E262&lt;&gt;"",E262=F262)),"同じ委員会を重複して希望","OK"))))))</f>
        <v/>
      </c>
      <c r="J262" s="8">
        <f>IF(A262="","",A262&amp;"-"&amp;B262&amp;"-"&amp;C262)</f>
        <v/>
      </c>
      <c r="K262" s="8">
        <f>IF(OR(J262="",G262=""),"",IF(COUNTIF(J263:J$402,J262)=0,J262,""))</f>
        <v/>
      </c>
    </row>
    <row r="263">
      <c r="A263" s="15" t="n"/>
      <c r="B263" s="15" t="n"/>
      <c r="C263" s="15" t="n"/>
      <c r="D263" s="15" t="n"/>
      <c r="E263" s="15" t="n"/>
      <c r="F263" s="15" t="n"/>
      <c r="G263" s="3">
        <f>IF(J263="","",IFERROR(INDEX(児童名簿!$D$2:$D$301,MATCH(J263,児童名簿!$F$2:$F$301,0)),""))</f>
        <v/>
      </c>
      <c r="H263" s="19">
        <f>IF(J263="","",IF(G263="","名簿にいない",IF(COUNTIF(J264:J$402,J263)&gt;0,"2回提出（下の行を使います）",IF(OR(AND(D263&lt;&gt;"",COUNTIF(設定!$G$8:$G$27,D263)=0),AND(E263&lt;&gt;"",COUNTIF(設定!$G$8:$G$27,E263)=0),AND(F263&lt;&gt;"",COUNTIF(設定!$G$8:$G$27,F263)=0)),"委員会名がちがう",IF(D263="","第1希望がない",IF(OR(AND(D263&lt;&gt;"",D263=E263),AND(D263&lt;&gt;"",D263=F263),AND(E263&lt;&gt;"",E263=F263)),"同じ委員会を重複して希望","OK"))))))</f>
        <v/>
      </c>
      <c r="J263" s="8">
        <f>IF(A263="","",A263&amp;"-"&amp;B263&amp;"-"&amp;C263)</f>
        <v/>
      </c>
      <c r="K263" s="8">
        <f>IF(OR(J263="",G263=""),"",IF(COUNTIF(J264:J$402,J263)=0,J263,""))</f>
        <v/>
      </c>
    </row>
    <row r="264">
      <c r="A264" s="15" t="n"/>
      <c r="B264" s="15" t="n"/>
      <c r="C264" s="15" t="n"/>
      <c r="D264" s="15" t="n"/>
      <c r="E264" s="15" t="n"/>
      <c r="F264" s="15" t="n"/>
      <c r="G264" s="3">
        <f>IF(J264="","",IFERROR(INDEX(児童名簿!$D$2:$D$301,MATCH(J264,児童名簿!$F$2:$F$301,0)),""))</f>
        <v/>
      </c>
      <c r="H264" s="19">
        <f>IF(J264="","",IF(G264="","名簿にいない",IF(COUNTIF(J265:J$402,J264)&gt;0,"2回提出（下の行を使います）",IF(OR(AND(D264&lt;&gt;"",COUNTIF(設定!$G$8:$G$27,D264)=0),AND(E264&lt;&gt;"",COUNTIF(設定!$G$8:$G$27,E264)=0),AND(F264&lt;&gt;"",COUNTIF(設定!$G$8:$G$27,F264)=0)),"委員会名がちがう",IF(D264="","第1希望がない",IF(OR(AND(D264&lt;&gt;"",D264=E264),AND(D264&lt;&gt;"",D264=F264),AND(E264&lt;&gt;"",E264=F264)),"同じ委員会を重複して希望","OK"))))))</f>
        <v/>
      </c>
      <c r="J264" s="8">
        <f>IF(A264="","",A264&amp;"-"&amp;B264&amp;"-"&amp;C264)</f>
        <v/>
      </c>
      <c r="K264" s="8">
        <f>IF(OR(J264="",G264=""),"",IF(COUNTIF(J265:J$402,J264)=0,J264,""))</f>
        <v/>
      </c>
    </row>
    <row r="265">
      <c r="A265" s="15" t="n"/>
      <c r="B265" s="15" t="n"/>
      <c r="C265" s="15" t="n"/>
      <c r="D265" s="15" t="n"/>
      <c r="E265" s="15" t="n"/>
      <c r="F265" s="15" t="n"/>
      <c r="G265" s="3">
        <f>IF(J265="","",IFERROR(INDEX(児童名簿!$D$2:$D$301,MATCH(J265,児童名簿!$F$2:$F$301,0)),""))</f>
        <v/>
      </c>
      <c r="H265" s="19">
        <f>IF(J265="","",IF(G265="","名簿にいない",IF(COUNTIF(J266:J$402,J265)&gt;0,"2回提出（下の行を使います）",IF(OR(AND(D265&lt;&gt;"",COUNTIF(設定!$G$8:$G$27,D265)=0),AND(E265&lt;&gt;"",COUNTIF(設定!$G$8:$G$27,E265)=0),AND(F265&lt;&gt;"",COUNTIF(設定!$G$8:$G$27,F265)=0)),"委員会名がちがう",IF(D265="","第1希望がない",IF(OR(AND(D265&lt;&gt;"",D265=E265),AND(D265&lt;&gt;"",D265=F265),AND(E265&lt;&gt;"",E265=F265)),"同じ委員会を重複して希望","OK"))))))</f>
        <v/>
      </c>
      <c r="J265" s="8">
        <f>IF(A265="","",A265&amp;"-"&amp;B265&amp;"-"&amp;C265)</f>
        <v/>
      </c>
      <c r="K265" s="8">
        <f>IF(OR(J265="",G265=""),"",IF(COUNTIF(J266:J$402,J265)=0,J265,""))</f>
        <v/>
      </c>
    </row>
    <row r="266">
      <c r="A266" s="15" t="n"/>
      <c r="B266" s="15" t="n"/>
      <c r="C266" s="15" t="n"/>
      <c r="D266" s="15" t="n"/>
      <c r="E266" s="15" t="n"/>
      <c r="F266" s="15" t="n"/>
      <c r="G266" s="3">
        <f>IF(J266="","",IFERROR(INDEX(児童名簿!$D$2:$D$301,MATCH(J266,児童名簿!$F$2:$F$301,0)),""))</f>
        <v/>
      </c>
      <c r="H266" s="19">
        <f>IF(J266="","",IF(G266="","名簿にいない",IF(COUNTIF(J267:J$402,J266)&gt;0,"2回提出（下の行を使います）",IF(OR(AND(D266&lt;&gt;"",COUNTIF(設定!$G$8:$G$27,D266)=0),AND(E266&lt;&gt;"",COUNTIF(設定!$G$8:$G$27,E266)=0),AND(F266&lt;&gt;"",COUNTIF(設定!$G$8:$G$27,F266)=0)),"委員会名がちがう",IF(D266="","第1希望がない",IF(OR(AND(D266&lt;&gt;"",D266=E266),AND(D266&lt;&gt;"",D266=F266),AND(E266&lt;&gt;"",E266=F266)),"同じ委員会を重複して希望","OK"))))))</f>
        <v/>
      </c>
      <c r="J266" s="8">
        <f>IF(A266="","",A266&amp;"-"&amp;B266&amp;"-"&amp;C266)</f>
        <v/>
      </c>
      <c r="K266" s="8">
        <f>IF(OR(J266="",G266=""),"",IF(COUNTIF(J267:J$402,J266)=0,J266,""))</f>
        <v/>
      </c>
    </row>
    <row r="267">
      <c r="A267" s="15" t="n"/>
      <c r="B267" s="15" t="n"/>
      <c r="C267" s="15" t="n"/>
      <c r="D267" s="15" t="n"/>
      <c r="E267" s="15" t="n"/>
      <c r="F267" s="15" t="n"/>
      <c r="G267" s="3">
        <f>IF(J267="","",IFERROR(INDEX(児童名簿!$D$2:$D$301,MATCH(J267,児童名簿!$F$2:$F$301,0)),""))</f>
        <v/>
      </c>
      <c r="H267" s="19">
        <f>IF(J267="","",IF(G267="","名簿にいない",IF(COUNTIF(J268:J$402,J267)&gt;0,"2回提出（下の行を使います）",IF(OR(AND(D267&lt;&gt;"",COUNTIF(設定!$G$8:$G$27,D267)=0),AND(E267&lt;&gt;"",COUNTIF(設定!$G$8:$G$27,E267)=0),AND(F267&lt;&gt;"",COUNTIF(設定!$G$8:$G$27,F267)=0)),"委員会名がちがう",IF(D267="","第1希望がない",IF(OR(AND(D267&lt;&gt;"",D267=E267),AND(D267&lt;&gt;"",D267=F267),AND(E267&lt;&gt;"",E267=F267)),"同じ委員会を重複して希望","OK"))))))</f>
        <v/>
      </c>
      <c r="J267" s="8">
        <f>IF(A267="","",A267&amp;"-"&amp;B267&amp;"-"&amp;C267)</f>
        <v/>
      </c>
      <c r="K267" s="8">
        <f>IF(OR(J267="",G267=""),"",IF(COUNTIF(J268:J$402,J267)=0,J267,""))</f>
        <v/>
      </c>
    </row>
    <row r="268">
      <c r="A268" s="15" t="n"/>
      <c r="B268" s="15" t="n"/>
      <c r="C268" s="15" t="n"/>
      <c r="D268" s="15" t="n"/>
      <c r="E268" s="15" t="n"/>
      <c r="F268" s="15" t="n"/>
      <c r="G268" s="3">
        <f>IF(J268="","",IFERROR(INDEX(児童名簿!$D$2:$D$301,MATCH(J268,児童名簿!$F$2:$F$301,0)),""))</f>
        <v/>
      </c>
      <c r="H268" s="19">
        <f>IF(J268="","",IF(G268="","名簿にいない",IF(COUNTIF(J269:J$402,J268)&gt;0,"2回提出（下の行を使います）",IF(OR(AND(D268&lt;&gt;"",COUNTIF(設定!$G$8:$G$27,D268)=0),AND(E268&lt;&gt;"",COUNTIF(設定!$G$8:$G$27,E268)=0),AND(F268&lt;&gt;"",COUNTIF(設定!$G$8:$G$27,F268)=0)),"委員会名がちがう",IF(D268="","第1希望がない",IF(OR(AND(D268&lt;&gt;"",D268=E268),AND(D268&lt;&gt;"",D268=F268),AND(E268&lt;&gt;"",E268=F268)),"同じ委員会を重複して希望","OK"))))))</f>
        <v/>
      </c>
      <c r="J268" s="8">
        <f>IF(A268="","",A268&amp;"-"&amp;B268&amp;"-"&amp;C268)</f>
        <v/>
      </c>
      <c r="K268" s="8">
        <f>IF(OR(J268="",G268=""),"",IF(COUNTIF(J269:J$402,J268)=0,J268,""))</f>
        <v/>
      </c>
    </row>
    <row r="269">
      <c r="A269" s="15" t="n"/>
      <c r="B269" s="15" t="n"/>
      <c r="C269" s="15" t="n"/>
      <c r="D269" s="15" t="n"/>
      <c r="E269" s="15" t="n"/>
      <c r="F269" s="15" t="n"/>
      <c r="G269" s="3">
        <f>IF(J269="","",IFERROR(INDEX(児童名簿!$D$2:$D$301,MATCH(J269,児童名簿!$F$2:$F$301,0)),""))</f>
        <v/>
      </c>
      <c r="H269" s="19">
        <f>IF(J269="","",IF(G269="","名簿にいない",IF(COUNTIF(J270:J$402,J269)&gt;0,"2回提出（下の行を使います）",IF(OR(AND(D269&lt;&gt;"",COUNTIF(設定!$G$8:$G$27,D269)=0),AND(E269&lt;&gt;"",COUNTIF(設定!$G$8:$G$27,E269)=0),AND(F269&lt;&gt;"",COUNTIF(設定!$G$8:$G$27,F269)=0)),"委員会名がちがう",IF(D269="","第1希望がない",IF(OR(AND(D269&lt;&gt;"",D269=E269),AND(D269&lt;&gt;"",D269=F269),AND(E269&lt;&gt;"",E269=F269)),"同じ委員会を重複して希望","OK"))))))</f>
        <v/>
      </c>
      <c r="J269" s="8">
        <f>IF(A269="","",A269&amp;"-"&amp;B269&amp;"-"&amp;C269)</f>
        <v/>
      </c>
      <c r="K269" s="8">
        <f>IF(OR(J269="",G269=""),"",IF(COUNTIF(J270:J$402,J269)=0,J269,""))</f>
        <v/>
      </c>
    </row>
    <row r="270">
      <c r="A270" s="15" t="n"/>
      <c r="B270" s="15" t="n"/>
      <c r="C270" s="15" t="n"/>
      <c r="D270" s="15" t="n"/>
      <c r="E270" s="15" t="n"/>
      <c r="F270" s="15" t="n"/>
      <c r="G270" s="3">
        <f>IF(J270="","",IFERROR(INDEX(児童名簿!$D$2:$D$301,MATCH(J270,児童名簿!$F$2:$F$301,0)),""))</f>
        <v/>
      </c>
      <c r="H270" s="19">
        <f>IF(J270="","",IF(G270="","名簿にいない",IF(COUNTIF(J271:J$402,J270)&gt;0,"2回提出（下の行を使います）",IF(OR(AND(D270&lt;&gt;"",COUNTIF(設定!$G$8:$G$27,D270)=0),AND(E270&lt;&gt;"",COUNTIF(設定!$G$8:$G$27,E270)=0),AND(F270&lt;&gt;"",COUNTIF(設定!$G$8:$G$27,F270)=0)),"委員会名がちがう",IF(D270="","第1希望がない",IF(OR(AND(D270&lt;&gt;"",D270=E270),AND(D270&lt;&gt;"",D270=F270),AND(E270&lt;&gt;"",E270=F270)),"同じ委員会を重複して希望","OK"))))))</f>
        <v/>
      </c>
      <c r="J270" s="8">
        <f>IF(A270="","",A270&amp;"-"&amp;B270&amp;"-"&amp;C270)</f>
        <v/>
      </c>
      <c r="K270" s="8">
        <f>IF(OR(J270="",G270=""),"",IF(COUNTIF(J271:J$402,J270)=0,J270,""))</f>
        <v/>
      </c>
    </row>
    <row r="271">
      <c r="A271" s="15" t="n"/>
      <c r="B271" s="15" t="n"/>
      <c r="C271" s="15" t="n"/>
      <c r="D271" s="15" t="n"/>
      <c r="E271" s="15" t="n"/>
      <c r="F271" s="15" t="n"/>
      <c r="G271" s="3">
        <f>IF(J271="","",IFERROR(INDEX(児童名簿!$D$2:$D$301,MATCH(J271,児童名簿!$F$2:$F$301,0)),""))</f>
        <v/>
      </c>
      <c r="H271" s="19">
        <f>IF(J271="","",IF(G271="","名簿にいない",IF(COUNTIF(J272:J$402,J271)&gt;0,"2回提出（下の行を使います）",IF(OR(AND(D271&lt;&gt;"",COUNTIF(設定!$G$8:$G$27,D271)=0),AND(E271&lt;&gt;"",COUNTIF(設定!$G$8:$G$27,E271)=0),AND(F271&lt;&gt;"",COUNTIF(設定!$G$8:$G$27,F271)=0)),"委員会名がちがう",IF(D271="","第1希望がない",IF(OR(AND(D271&lt;&gt;"",D271=E271),AND(D271&lt;&gt;"",D271=F271),AND(E271&lt;&gt;"",E271=F271)),"同じ委員会を重複して希望","OK"))))))</f>
        <v/>
      </c>
      <c r="J271" s="8">
        <f>IF(A271="","",A271&amp;"-"&amp;B271&amp;"-"&amp;C271)</f>
        <v/>
      </c>
      <c r="K271" s="8">
        <f>IF(OR(J271="",G271=""),"",IF(COUNTIF(J272:J$402,J271)=0,J271,""))</f>
        <v/>
      </c>
    </row>
    <row r="272">
      <c r="A272" s="15" t="n"/>
      <c r="B272" s="15" t="n"/>
      <c r="C272" s="15" t="n"/>
      <c r="D272" s="15" t="n"/>
      <c r="E272" s="15" t="n"/>
      <c r="F272" s="15" t="n"/>
      <c r="G272" s="3">
        <f>IF(J272="","",IFERROR(INDEX(児童名簿!$D$2:$D$301,MATCH(J272,児童名簿!$F$2:$F$301,0)),""))</f>
        <v/>
      </c>
      <c r="H272" s="19">
        <f>IF(J272="","",IF(G272="","名簿にいない",IF(COUNTIF(J273:J$402,J272)&gt;0,"2回提出（下の行を使います）",IF(OR(AND(D272&lt;&gt;"",COUNTIF(設定!$G$8:$G$27,D272)=0),AND(E272&lt;&gt;"",COUNTIF(設定!$G$8:$G$27,E272)=0),AND(F272&lt;&gt;"",COUNTIF(設定!$G$8:$G$27,F272)=0)),"委員会名がちがう",IF(D272="","第1希望がない",IF(OR(AND(D272&lt;&gt;"",D272=E272),AND(D272&lt;&gt;"",D272=F272),AND(E272&lt;&gt;"",E272=F272)),"同じ委員会を重複して希望","OK"))))))</f>
        <v/>
      </c>
      <c r="J272" s="8">
        <f>IF(A272="","",A272&amp;"-"&amp;B272&amp;"-"&amp;C272)</f>
        <v/>
      </c>
      <c r="K272" s="8">
        <f>IF(OR(J272="",G272=""),"",IF(COUNTIF(J273:J$402,J272)=0,J272,""))</f>
        <v/>
      </c>
    </row>
    <row r="273">
      <c r="A273" s="15" t="n"/>
      <c r="B273" s="15" t="n"/>
      <c r="C273" s="15" t="n"/>
      <c r="D273" s="15" t="n"/>
      <c r="E273" s="15" t="n"/>
      <c r="F273" s="15" t="n"/>
      <c r="G273" s="3">
        <f>IF(J273="","",IFERROR(INDEX(児童名簿!$D$2:$D$301,MATCH(J273,児童名簿!$F$2:$F$301,0)),""))</f>
        <v/>
      </c>
      <c r="H273" s="19">
        <f>IF(J273="","",IF(G273="","名簿にいない",IF(COUNTIF(J274:J$402,J273)&gt;0,"2回提出（下の行を使います）",IF(OR(AND(D273&lt;&gt;"",COUNTIF(設定!$G$8:$G$27,D273)=0),AND(E273&lt;&gt;"",COUNTIF(設定!$G$8:$G$27,E273)=0),AND(F273&lt;&gt;"",COUNTIF(設定!$G$8:$G$27,F273)=0)),"委員会名がちがう",IF(D273="","第1希望がない",IF(OR(AND(D273&lt;&gt;"",D273=E273),AND(D273&lt;&gt;"",D273=F273),AND(E273&lt;&gt;"",E273=F273)),"同じ委員会を重複して希望","OK"))))))</f>
        <v/>
      </c>
      <c r="J273" s="8">
        <f>IF(A273="","",A273&amp;"-"&amp;B273&amp;"-"&amp;C273)</f>
        <v/>
      </c>
      <c r="K273" s="8">
        <f>IF(OR(J273="",G273=""),"",IF(COUNTIF(J274:J$402,J273)=0,J273,""))</f>
        <v/>
      </c>
    </row>
    <row r="274">
      <c r="A274" s="15" t="n"/>
      <c r="B274" s="15" t="n"/>
      <c r="C274" s="15" t="n"/>
      <c r="D274" s="15" t="n"/>
      <c r="E274" s="15" t="n"/>
      <c r="F274" s="15" t="n"/>
      <c r="G274" s="3">
        <f>IF(J274="","",IFERROR(INDEX(児童名簿!$D$2:$D$301,MATCH(J274,児童名簿!$F$2:$F$301,0)),""))</f>
        <v/>
      </c>
      <c r="H274" s="19">
        <f>IF(J274="","",IF(G274="","名簿にいない",IF(COUNTIF(J275:J$402,J274)&gt;0,"2回提出（下の行を使います）",IF(OR(AND(D274&lt;&gt;"",COUNTIF(設定!$G$8:$G$27,D274)=0),AND(E274&lt;&gt;"",COUNTIF(設定!$G$8:$G$27,E274)=0),AND(F274&lt;&gt;"",COUNTIF(設定!$G$8:$G$27,F274)=0)),"委員会名がちがう",IF(D274="","第1希望がない",IF(OR(AND(D274&lt;&gt;"",D274=E274),AND(D274&lt;&gt;"",D274=F274),AND(E274&lt;&gt;"",E274=F274)),"同じ委員会を重複して希望","OK"))))))</f>
        <v/>
      </c>
      <c r="J274" s="8">
        <f>IF(A274="","",A274&amp;"-"&amp;B274&amp;"-"&amp;C274)</f>
        <v/>
      </c>
      <c r="K274" s="8">
        <f>IF(OR(J274="",G274=""),"",IF(COUNTIF(J275:J$402,J274)=0,J274,""))</f>
        <v/>
      </c>
    </row>
    <row r="275">
      <c r="A275" s="15" t="n"/>
      <c r="B275" s="15" t="n"/>
      <c r="C275" s="15" t="n"/>
      <c r="D275" s="15" t="n"/>
      <c r="E275" s="15" t="n"/>
      <c r="F275" s="15" t="n"/>
      <c r="G275" s="3">
        <f>IF(J275="","",IFERROR(INDEX(児童名簿!$D$2:$D$301,MATCH(J275,児童名簿!$F$2:$F$301,0)),""))</f>
        <v/>
      </c>
      <c r="H275" s="19">
        <f>IF(J275="","",IF(G275="","名簿にいない",IF(COUNTIF(J276:J$402,J275)&gt;0,"2回提出（下の行を使います）",IF(OR(AND(D275&lt;&gt;"",COUNTIF(設定!$G$8:$G$27,D275)=0),AND(E275&lt;&gt;"",COUNTIF(設定!$G$8:$G$27,E275)=0),AND(F275&lt;&gt;"",COUNTIF(設定!$G$8:$G$27,F275)=0)),"委員会名がちがう",IF(D275="","第1希望がない",IF(OR(AND(D275&lt;&gt;"",D275=E275),AND(D275&lt;&gt;"",D275=F275),AND(E275&lt;&gt;"",E275=F275)),"同じ委員会を重複して希望","OK"))))))</f>
        <v/>
      </c>
      <c r="J275" s="8">
        <f>IF(A275="","",A275&amp;"-"&amp;B275&amp;"-"&amp;C275)</f>
        <v/>
      </c>
      <c r="K275" s="8">
        <f>IF(OR(J275="",G275=""),"",IF(COUNTIF(J276:J$402,J275)=0,J275,""))</f>
        <v/>
      </c>
    </row>
    <row r="276">
      <c r="A276" s="15" t="n"/>
      <c r="B276" s="15" t="n"/>
      <c r="C276" s="15" t="n"/>
      <c r="D276" s="15" t="n"/>
      <c r="E276" s="15" t="n"/>
      <c r="F276" s="15" t="n"/>
      <c r="G276" s="3">
        <f>IF(J276="","",IFERROR(INDEX(児童名簿!$D$2:$D$301,MATCH(J276,児童名簿!$F$2:$F$301,0)),""))</f>
        <v/>
      </c>
      <c r="H276" s="19">
        <f>IF(J276="","",IF(G276="","名簿にいない",IF(COUNTIF(J277:J$402,J276)&gt;0,"2回提出（下の行を使います）",IF(OR(AND(D276&lt;&gt;"",COUNTIF(設定!$G$8:$G$27,D276)=0),AND(E276&lt;&gt;"",COUNTIF(設定!$G$8:$G$27,E276)=0),AND(F276&lt;&gt;"",COUNTIF(設定!$G$8:$G$27,F276)=0)),"委員会名がちがう",IF(D276="","第1希望がない",IF(OR(AND(D276&lt;&gt;"",D276=E276),AND(D276&lt;&gt;"",D276=F276),AND(E276&lt;&gt;"",E276=F276)),"同じ委員会を重複して希望","OK"))))))</f>
        <v/>
      </c>
      <c r="J276" s="8">
        <f>IF(A276="","",A276&amp;"-"&amp;B276&amp;"-"&amp;C276)</f>
        <v/>
      </c>
      <c r="K276" s="8">
        <f>IF(OR(J276="",G276=""),"",IF(COUNTIF(J277:J$402,J276)=0,J276,""))</f>
        <v/>
      </c>
    </row>
    <row r="277">
      <c r="A277" s="15" t="n"/>
      <c r="B277" s="15" t="n"/>
      <c r="C277" s="15" t="n"/>
      <c r="D277" s="15" t="n"/>
      <c r="E277" s="15" t="n"/>
      <c r="F277" s="15" t="n"/>
      <c r="G277" s="3">
        <f>IF(J277="","",IFERROR(INDEX(児童名簿!$D$2:$D$301,MATCH(J277,児童名簿!$F$2:$F$301,0)),""))</f>
        <v/>
      </c>
      <c r="H277" s="19">
        <f>IF(J277="","",IF(G277="","名簿にいない",IF(COUNTIF(J278:J$402,J277)&gt;0,"2回提出（下の行を使います）",IF(OR(AND(D277&lt;&gt;"",COUNTIF(設定!$G$8:$G$27,D277)=0),AND(E277&lt;&gt;"",COUNTIF(設定!$G$8:$G$27,E277)=0),AND(F277&lt;&gt;"",COUNTIF(設定!$G$8:$G$27,F277)=0)),"委員会名がちがう",IF(D277="","第1希望がない",IF(OR(AND(D277&lt;&gt;"",D277=E277),AND(D277&lt;&gt;"",D277=F277),AND(E277&lt;&gt;"",E277=F277)),"同じ委員会を重複して希望","OK"))))))</f>
        <v/>
      </c>
      <c r="J277" s="8">
        <f>IF(A277="","",A277&amp;"-"&amp;B277&amp;"-"&amp;C277)</f>
        <v/>
      </c>
      <c r="K277" s="8">
        <f>IF(OR(J277="",G277=""),"",IF(COUNTIF(J278:J$402,J277)=0,J277,""))</f>
        <v/>
      </c>
    </row>
    <row r="278">
      <c r="A278" s="15" t="n"/>
      <c r="B278" s="15" t="n"/>
      <c r="C278" s="15" t="n"/>
      <c r="D278" s="15" t="n"/>
      <c r="E278" s="15" t="n"/>
      <c r="F278" s="15" t="n"/>
      <c r="G278" s="3">
        <f>IF(J278="","",IFERROR(INDEX(児童名簿!$D$2:$D$301,MATCH(J278,児童名簿!$F$2:$F$301,0)),""))</f>
        <v/>
      </c>
      <c r="H278" s="19">
        <f>IF(J278="","",IF(G278="","名簿にいない",IF(COUNTIF(J279:J$402,J278)&gt;0,"2回提出（下の行を使います）",IF(OR(AND(D278&lt;&gt;"",COUNTIF(設定!$G$8:$G$27,D278)=0),AND(E278&lt;&gt;"",COUNTIF(設定!$G$8:$G$27,E278)=0),AND(F278&lt;&gt;"",COUNTIF(設定!$G$8:$G$27,F278)=0)),"委員会名がちがう",IF(D278="","第1希望がない",IF(OR(AND(D278&lt;&gt;"",D278=E278),AND(D278&lt;&gt;"",D278=F278),AND(E278&lt;&gt;"",E278=F278)),"同じ委員会を重複して希望","OK"))))))</f>
        <v/>
      </c>
      <c r="J278" s="8">
        <f>IF(A278="","",A278&amp;"-"&amp;B278&amp;"-"&amp;C278)</f>
        <v/>
      </c>
      <c r="K278" s="8">
        <f>IF(OR(J278="",G278=""),"",IF(COUNTIF(J279:J$402,J278)=0,J278,""))</f>
        <v/>
      </c>
    </row>
    <row r="279">
      <c r="A279" s="15" t="n"/>
      <c r="B279" s="15" t="n"/>
      <c r="C279" s="15" t="n"/>
      <c r="D279" s="15" t="n"/>
      <c r="E279" s="15" t="n"/>
      <c r="F279" s="15" t="n"/>
      <c r="G279" s="3">
        <f>IF(J279="","",IFERROR(INDEX(児童名簿!$D$2:$D$301,MATCH(J279,児童名簿!$F$2:$F$301,0)),""))</f>
        <v/>
      </c>
      <c r="H279" s="19">
        <f>IF(J279="","",IF(G279="","名簿にいない",IF(COUNTIF(J280:J$402,J279)&gt;0,"2回提出（下の行を使います）",IF(OR(AND(D279&lt;&gt;"",COUNTIF(設定!$G$8:$G$27,D279)=0),AND(E279&lt;&gt;"",COUNTIF(設定!$G$8:$G$27,E279)=0),AND(F279&lt;&gt;"",COUNTIF(設定!$G$8:$G$27,F279)=0)),"委員会名がちがう",IF(D279="","第1希望がない",IF(OR(AND(D279&lt;&gt;"",D279=E279),AND(D279&lt;&gt;"",D279=F279),AND(E279&lt;&gt;"",E279=F279)),"同じ委員会を重複して希望","OK"))))))</f>
        <v/>
      </c>
      <c r="J279" s="8">
        <f>IF(A279="","",A279&amp;"-"&amp;B279&amp;"-"&amp;C279)</f>
        <v/>
      </c>
      <c r="K279" s="8">
        <f>IF(OR(J279="",G279=""),"",IF(COUNTIF(J280:J$402,J279)=0,J279,""))</f>
        <v/>
      </c>
    </row>
    <row r="280">
      <c r="A280" s="15" t="n"/>
      <c r="B280" s="15" t="n"/>
      <c r="C280" s="15" t="n"/>
      <c r="D280" s="15" t="n"/>
      <c r="E280" s="15" t="n"/>
      <c r="F280" s="15" t="n"/>
      <c r="G280" s="3">
        <f>IF(J280="","",IFERROR(INDEX(児童名簿!$D$2:$D$301,MATCH(J280,児童名簿!$F$2:$F$301,0)),""))</f>
        <v/>
      </c>
      <c r="H280" s="19">
        <f>IF(J280="","",IF(G280="","名簿にいない",IF(COUNTIF(J281:J$402,J280)&gt;0,"2回提出（下の行を使います）",IF(OR(AND(D280&lt;&gt;"",COUNTIF(設定!$G$8:$G$27,D280)=0),AND(E280&lt;&gt;"",COUNTIF(設定!$G$8:$G$27,E280)=0),AND(F280&lt;&gt;"",COUNTIF(設定!$G$8:$G$27,F280)=0)),"委員会名がちがう",IF(D280="","第1希望がない",IF(OR(AND(D280&lt;&gt;"",D280=E280),AND(D280&lt;&gt;"",D280=F280),AND(E280&lt;&gt;"",E280=F280)),"同じ委員会を重複して希望","OK"))))))</f>
        <v/>
      </c>
      <c r="J280" s="8">
        <f>IF(A280="","",A280&amp;"-"&amp;B280&amp;"-"&amp;C280)</f>
        <v/>
      </c>
      <c r="K280" s="8">
        <f>IF(OR(J280="",G280=""),"",IF(COUNTIF(J281:J$402,J280)=0,J280,""))</f>
        <v/>
      </c>
    </row>
    <row r="281">
      <c r="A281" s="15" t="n"/>
      <c r="B281" s="15" t="n"/>
      <c r="C281" s="15" t="n"/>
      <c r="D281" s="15" t="n"/>
      <c r="E281" s="15" t="n"/>
      <c r="F281" s="15" t="n"/>
      <c r="G281" s="3">
        <f>IF(J281="","",IFERROR(INDEX(児童名簿!$D$2:$D$301,MATCH(J281,児童名簿!$F$2:$F$301,0)),""))</f>
        <v/>
      </c>
      <c r="H281" s="19">
        <f>IF(J281="","",IF(G281="","名簿にいない",IF(COUNTIF(J282:J$402,J281)&gt;0,"2回提出（下の行を使います）",IF(OR(AND(D281&lt;&gt;"",COUNTIF(設定!$G$8:$G$27,D281)=0),AND(E281&lt;&gt;"",COUNTIF(設定!$G$8:$G$27,E281)=0),AND(F281&lt;&gt;"",COUNTIF(設定!$G$8:$G$27,F281)=0)),"委員会名がちがう",IF(D281="","第1希望がない",IF(OR(AND(D281&lt;&gt;"",D281=E281),AND(D281&lt;&gt;"",D281=F281),AND(E281&lt;&gt;"",E281=F281)),"同じ委員会を重複して希望","OK"))))))</f>
        <v/>
      </c>
      <c r="J281" s="8">
        <f>IF(A281="","",A281&amp;"-"&amp;B281&amp;"-"&amp;C281)</f>
        <v/>
      </c>
      <c r="K281" s="8">
        <f>IF(OR(J281="",G281=""),"",IF(COUNTIF(J282:J$402,J281)=0,J281,""))</f>
        <v/>
      </c>
    </row>
    <row r="282">
      <c r="A282" s="15" t="n"/>
      <c r="B282" s="15" t="n"/>
      <c r="C282" s="15" t="n"/>
      <c r="D282" s="15" t="n"/>
      <c r="E282" s="15" t="n"/>
      <c r="F282" s="15" t="n"/>
      <c r="G282" s="3">
        <f>IF(J282="","",IFERROR(INDEX(児童名簿!$D$2:$D$301,MATCH(J282,児童名簿!$F$2:$F$301,0)),""))</f>
        <v/>
      </c>
      <c r="H282" s="19">
        <f>IF(J282="","",IF(G282="","名簿にいない",IF(COUNTIF(J283:J$402,J282)&gt;0,"2回提出（下の行を使います）",IF(OR(AND(D282&lt;&gt;"",COUNTIF(設定!$G$8:$G$27,D282)=0),AND(E282&lt;&gt;"",COUNTIF(設定!$G$8:$G$27,E282)=0),AND(F282&lt;&gt;"",COUNTIF(設定!$G$8:$G$27,F282)=0)),"委員会名がちがう",IF(D282="","第1希望がない",IF(OR(AND(D282&lt;&gt;"",D282=E282),AND(D282&lt;&gt;"",D282=F282),AND(E282&lt;&gt;"",E282=F282)),"同じ委員会を重複して希望","OK"))))))</f>
        <v/>
      </c>
      <c r="J282" s="8">
        <f>IF(A282="","",A282&amp;"-"&amp;B282&amp;"-"&amp;C282)</f>
        <v/>
      </c>
      <c r="K282" s="8">
        <f>IF(OR(J282="",G282=""),"",IF(COUNTIF(J283:J$402,J282)=0,J282,""))</f>
        <v/>
      </c>
    </row>
    <row r="283">
      <c r="A283" s="15" t="n"/>
      <c r="B283" s="15" t="n"/>
      <c r="C283" s="15" t="n"/>
      <c r="D283" s="15" t="n"/>
      <c r="E283" s="15" t="n"/>
      <c r="F283" s="15" t="n"/>
      <c r="G283" s="3">
        <f>IF(J283="","",IFERROR(INDEX(児童名簿!$D$2:$D$301,MATCH(J283,児童名簿!$F$2:$F$301,0)),""))</f>
        <v/>
      </c>
      <c r="H283" s="19">
        <f>IF(J283="","",IF(G283="","名簿にいない",IF(COUNTIF(J284:J$402,J283)&gt;0,"2回提出（下の行を使います）",IF(OR(AND(D283&lt;&gt;"",COUNTIF(設定!$G$8:$G$27,D283)=0),AND(E283&lt;&gt;"",COUNTIF(設定!$G$8:$G$27,E283)=0),AND(F283&lt;&gt;"",COUNTIF(設定!$G$8:$G$27,F283)=0)),"委員会名がちがう",IF(D283="","第1希望がない",IF(OR(AND(D283&lt;&gt;"",D283=E283),AND(D283&lt;&gt;"",D283=F283),AND(E283&lt;&gt;"",E283=F283)),"同じ委員会を重複して希望","OK"))))))</f>
        <v/>
      </c>
      <c r="J283" s="8">
        <f>IF(A283="","",A283&amp;"-"&amp;B283&amp;"-"&amp;C283)</f>
        <v/>
      </c>
      <c r="K283" s="8">
        <f>IF(OR(J283="",G283=""),"",IF(COUNTIF(J284:J$402,J283)=0,J283,""))</f>
        <v/>
      </c>
    </row>
    <row r="284">
      <c r="A284" s="15" t="n"/>
      <c r="B284" s="15" t="n"/>
      <c r="C284" s="15" t="n"/>
      <c r="D284" s="15" t="n"/>
      <c r="E284" s="15" t="n"/>
      <c r="F284" s="15" t="n"/>
      <c r="G284" s="3">
        <f>IF(J284="","",IFERROR(INDEX(児童名簿!$D$2:$D$301,MATCH(J284,児童名簿!$F$2:$F$301,0)),""))</f>
        <v/>
      </c>
      <c r="H284" s="19">
        <f>IF(J284="","",IF(G284="","名簿にいない",IF(COUNTIF(J285:J$402,J284)&gt;0,"2回提出（下の行を使います）",IF(OR(AND(D284&lt;&gt;"",COUNTIF(設定!$G$8:$G$27,D284)=0),AND(E284&lt;&gt;"",COUNTIF(設定!$G$8:$G$27,E284)=0),AND(F284&lt;&gt;"",COUNTIF(設定!$G$8:$G$27,F284)=0)),"委員会名がちがう",IF(D284="","第1希望がない",IF(OR(AND(D284&lt;&gt;"",D284=E284),AND(D284&lt;&gt;"",D284=F284),AND(E284&lt;&gt;"",E284=F284)),"同じ委員会を重複して希望","OK"))))))</f>
        <v/>
      </c>
      <c r="J284" s="8">
        <f>IF(A284="","",A284&amp;"-"&amp;B284&amp;"-"&amp;C284)</f>
        <v/>
      </c>
      <c r="K284" s="8">
        <f>IF(OR(J284="",G284=""),"",IF(COUNTIF(J285:J$402,J284)=0,J284,""))</f>
        <v/>
      </c>
    </row>
    <row r="285">
      <c r="A285" s="15" t="n"/>
      <c r="B285" s="15" t="n"/>
      <c r="C285" s="15" t="n"/>
      <c r="D285" s="15" t="n"/>
      <c r="E285" s="15" t="n"/>
      <c r="F285" s="15" t="n"/>
      <c r="G285" s="3">
        <f>IF(J285="","",IFERROR(INDEX(児童名簿!$D$2:$D$301,MATCH(J285,児童名簿!$F$2:$F$301,0)),""))</f>
        <v/>
      </c>
      <c r="H285" s="19">
        <f>IF(J285="","",IF(G285="","名簿にいない",IF(COUNTIF(J286:J$402,J285)&gt;0,"2回提出（下の行を使います）",IF(OR(AND(D285&lt;&gt;"",COUNTIF(設定!$G$8:$G$27,D285)=0),AND(E285&lt;&gt;"",COUNTIF(設定!$G$8:$G$27,E285)=0),AND(F285&lt;&gt;"",COUNTIF(設定!$G$8:$G$27,F285)=0)),"委員会名がちがう",IF(D285="","第1希望がない",IF(OR(AND(D285&lt;&gt;"",D285=E285),AND(D285&lt;&gt;"",D285=F285),AND(E285&lt;&gt;"",E285=F285)),"同じ委員会を重複して希望","OK"))))))</f>
        <v/>
      </c>
      <c r="J285" s="8">
        <f>IF(A285="","",A285&amp;"-"&amp;B285&amp;"-"&amp;C285)</f>
        <v/>
      </c>
      <c r="K285" s="8">
        <f>IF(OR(J285="",G285=""),"",IF(COUNTIF(J286:J$402,J285)=0,J285,""))</f>
        <v/>
      </c>
    </row>
    <row r="286">
      <c r="A286" s="15" t="n"/>
      <c r="B286" s="15" t="n"/>
      <c r="C286" s="15" t="n"/>
      <c r="D286" s="15" t="n"/>
      <c r="E286" s="15" t="n"/>
      <c r="F286" s="15" t="n"/>
      <c r="G286" s="3">
        <f>IF(J286="","",IFERROR(INDEX(児童名簿!$D$2:$D$301,MATCH(J286,児童名簿!$F$2:$F$301,0)),""))</f>
        <v/>
      </c>
      <c r="H286" s="19">
        <f>IF(J286="","",IF(G286="","名簿にいない",IF(COUNTIF(J287:J$402,J286)&gt;0,"2回提出（下の行を使います）",IF(OR(AND(D286&lt;&gt;"",COUNTIF(設定!$G$8:$G$27,D286)=0),AND(E286&lt;&gt;"",COUNTIF(設定!$G$8:$G$27,E286)=0),AND(F286&lt;&gt;"",COUNTIF(設定!$G$8:$G$27,F286)=0)),"委員会名がちがう",IF(D286="","第1希望がない",IF(OR(AND(D286&lt;&gt;"",D286=E286),AND(D286&lt;&gt;"",D286=F286),AND(E286&lt;&gt;"",E286=F286)),"同じ委員会を重複して希望","OK"))))))</f>
        <v/>
      </c>
      <c r="J286" s="8">
        <f>IF(A286="","",A286&amp;"-"&amp;B286&amp;"-"&amp;C286)</f>
        <v/>
      </c>
      <c r="K286" s="8">
        <f>IF(OR(J286="",G286=""),"",IF(COUNTIF(J287:J$402,J286)=0,J286,""))</f>
        <v/>
      </c>
    </row>
    <row r="287">
      <c r="A287" s="15" t="n"/>
      <c r="B287" s="15" t="n"/>
      <c r="C287" s="15" t="n"/>
      <c r="D287" s="15" t="n"/>
      <c r="E287" s="15" t="n"/>
      <c r="F287" s="15" t="n"/>
      <c r="G287" s="3">
        <f>IF(J287="","",IFERROR(INDEX(児童名簿!$D$2:$D$301,MATCH(J287,児童名簿!$F$2:$F$301,0)),""))</f>
        <v/>
      </c>
      <c r="H287" s="19">
        <f>IF(J287="","",IF(G287="","名簿にいない",IF(COUNTIF(J288:J$402,J287)&gt;0,"2回提出（下の行を使います）",IF(OR(AND(D287&lt;&gt;"",COUNTIF(設定!$G$8:$G$27,D287)=0),AND(E287&lt;&gt;"",COUNTIF(設定!$G$8:$G$27,E287)=0),AND(F287&lt;&gt;"",COUNTIF(設定!$G$8:$G$27,F287)=0)),"委員会名がちがう",IF(D287="","第1希望がない",IF(OR(AND(D287&lt;&gt;"",D287=E287),AND(D287&lt;&gt;"",D287=F287),AND(E287&lt;&gt;"",E287=F287)),"同じ委員会を重複して希望","OK"))))))</f>
        <v/>
      </c>
      <c r="J287" s="8">
        <f>IF(A287="","",A287&amp;"-"&amp;B287&amp;"-"&amp;C287)</f>
        <v/>
      </c>
      <c r="K287" s="8">
        <f>IF(OR(J287="",G287=""),"",IF(COUNTIF(J288:J$402,J287)=0,J287,""))</f>
        <v/>
      </c>
    </row>
    <row r="288">
      <c r="A288" s="15" t="n"/>
      <c r="B288" s="15" t="n"/>
      <c r="C288" s="15" t="n"/>
      <c r="D288" s="15" t="n"/>
      <c r="E288" s="15" t="n"/>
      <c r="F288" s="15" t="n"/>
      <c r="G288" s="3">
        <f>IF(J288="","",IFERROR(INDEX(児童名簿!$D$2:$D$301,MATCH(J288,児童名簿!$F$2:$F$301,0)),""))</f>
        <v/>
      </c>
      <c r="H288" s="19">
        <f>IF(J288="","",IF(G288="","名簿にいない",IF(COUNTIF(J289:J$402,J288)&gt;0,"2回提出（下の行を使います）",IF(OR(AND(D288&lt;&gt;"",COUNTIF(設定!$G$8:$G$27,D288)=0),AND(E288&lt;&gt;"",COUNTIF(設定!$G$8:$G$27,E288)=0),AND(F288&lt;&gt;"",COUNTIF(設定!$G$8:$G$27,F288)=0)),"委員会名がちがう",IF(D288="","第1希望がない",IF(OR(AND(D288&lt;&gt;"",D288=E288),AND(D288&lt;&gt;"",D288=F288),AND(E288&lt;&gt;"",E288=F288)),"同じ委員会を重複して希望","OK"))))))</f>
        <v/>
      </c>
      <c r="J288" s="8">
        <f>IF(A288="","",A288&amp;"-"&amp;B288&amp;"-"&amp;C288)</f>
        <v/>
      </c>
      <c r="K288" s="8">
        <f>IF(OR(J288="",G288=""),"",IF(COUNTIF(J289:J$402,J288)=0,J288,""))</f>
        <v/>
      </c>
    </row>
    <row r="289">
      <c r="A289" s="15" t="n"/>
      <c r="B289" s="15" t="n"/>
      <c r="C289" s="15" t="n"/>
      <c r="D289" s="15" t="n"/>
      <c r="E289" s="15" t="n"/>
      <c r="F289" s="15" t="n"/>
      <c r="G289" s="3">
        <f>IF(J289="","",IFERROR(INDEX(児童名簿!$D$2:$D$301,MATCH(J289,児童名簿!$F$2:$F$301,0)),""))</f>
        <v/>
      </c>
      <c r="H289" s="19">
        <f>IF(J289="","",IF(G289="","名簿にいない",IF(COUNTIF(J290:J$402,J289)&gt;0,"2回提出（下の行を使います）",IF(OR(AND(D289&lt;&gt;"",COUNTIF(設定!$G$8:$G$27,D289)=0),AND(E289&lt;&gt;"",COUNTIF(設定!$G$8:$G$27,E289)=0),AND(F289&lt;&gt;"",COUNTIF(設定!$G$8:$G$27,F289)=0)),"委員会名がちがう",IF(D289="","第1希望がない",IF(OR(AND(D289&lt;&gt;"",D289=E289),AND(D289&lt;&gt;"",D289=F289),AND(E289&lt;&gt;"",E289=F289)),"同じ委員会を重複して希望","OK"))))))</f>
        <v/>
      </c>
      <c r="J289" s="8">
        <f>IF(A289="","",A289&amp;"-"&amp;B289&amp;"-"&amp;C289)</f>
        <v/>
      </c>
      <c r="K289" s="8">
        <f>IF(OR(J289="",G289=""),"",IF(COUNTIF(J290:J$402,J289)=0,J289,""))</f>
        <v/>
      </c>
    </row>
    <row r="290">
      <c r="A290" s="15" t="n"/>
      <c r="B290" s="15" t="n"/>
      <c r="C290" s="15" t="n"/>
      <c r="D290" s="15" t="n"/>
      <c r="E290" s="15" t="n"/>
      <c r="F290" s="15" t="n"/>
      <c r="G290" s="3">
        <f>IF(J290="","",IFERROR(INDEX(児童名簿!$D$2:$D$301,MATCH(J290,児童名簿!$F$2:$F$301,0)),""))</f>
        <v/>
      </c>
      <c r="H290" s="19">
        <f>IF(J290="","",IF(G290="","名簿にいない",IF(COUNTIF(J291:J$402,J290)&gt;0,"2回提出（下の行を使います）",IF(OR(AND(D290&lt;&gt;"",COUNTIF(設定!$G$8:$G$27,D290)=0),AND(E290&lt;&gt;"",COUNTIF(設定!$G$8:$G$27,E290)=0),AND(F290&lt;&gt;"",COUNTIF(設定!$G$8:$G$27,F290)=0)),"委員会名がちがう",IF(D290="","第1希望がない",IF(OR(AND(D290&lt;&gt;"",D290=E290),AND(D290&lt;&gt;"",D290=F290),AND(E290&lt;&gt;"",E290=F290)),"同じ委員会を重複して希望","OK"))))))</f>
        <v/>
      </c>
      <c r="J290" s="8">
        <f>IF(A290="","",A290&amp;"-"&amp;B290&amp;"-"&amp;C290)</f>
        <v/>
      </c>
      <c r="K290" s="8">
        <f>IF(OR(J290="",G290=""),"",IF(COUNTIF(J291:J$402,J290)=0,J290,""))</f>
        <v/>
      </c>
    </row>
    <row r="291">
      <c r="A291" s="15" t="n"/>
      <c r="B291" s="15" t="n"/>
      <c r="C291" s="15" t="n"/>
      <c r="D291" s="15" t="n"/>
      <c r="E291" s="15" t="n"/>
      <c r="F291" s="15" t="n"/>
      <c r="G291" s="3">
        <f>IF(J291="","",IFERROR(INDEX(児童名簿!$D$2:$D$301,MATCH(J291,児童名簿!$F$2:$F$301,0)),""))</f>
        <v/>
      </c>
      <c r="H291" s="19">
        <f>IF(J291="","",IF(G291="","名簿にいない",IF(COUNTIF(J292:J$402,J291)&gt;0,"2回提出（下の行を使います）",IF(OR(AND(D291&lt;&gt;"",COUNTIF(設定!$G$8:$G$27,D291)=0),AND(E291&lt;&gt;"",COUNTIF(設定!$G$8:$G$27,E291)=0),AND(F291&lt;&gt;"",COUNTIF(設定!$G$8:$G$27,F291)=0)),"委員会名がちがう",IF(D291="","第1希望がない",IF(OR(AND(D291&lt;&gt;"",D291=E291),AND(D291&lt;&gt;"",D291=F291),AND(E291&lt;&gt;"",E291=F291)),"同じ委員会を重複して希望","OK"))))))</f>
        <v/>
      </c>
      <c r="J291" s="8">
        <f>IF(A291="","",A291&amp;"-"&amp;B291&amp;"-"&amp;C291)</f>
        <v/>
      </c>
      <c r="K291" s="8">
        <f>IF(OR(J291="",G291=""),"",IF(COUNTIF(J292:J$402,J291)=0,J291,""))</f>
        <v/>
      </c>
    </row>
    <row r="292">
      <c r="A292" s="15" t="n"/>
      <c r="B292" s="15" t="n"/>
      <c r="C292" s="15" t="n"/>
      <c r="D292" s="15" t="n"/>
      <c r="E292" s="15" t="n"/>
      <c r="F292" s="15" t="n"/>
      <c r="G292" s="3">
        <f>IF(J292="","",IFERROR(INDEX(児童名簿!$D$2:$D$301,MATCH(J292,児童名簿!$F$2:$F$301,0)),""))</f>
        <v/>
      </c>
      <c r="H292" s="19">
        <f>IF(J292="","",IF(G292="","名簿にいない",IF(COUNTIF(J293:J$402,J292)&gt;0,"2回提出（下の行を使います）",IF(OR(AND(D292&lt;&gt;"",COUNTIF(設定!$G$8:$G$27,D292)=0),AND(E292&lt;&gt;"",COUNTIF(設定!$G$8:$G$27,E292)=0),AND(F292&lt;&gt;"",COUNTIF(設定!$G$8:$G$27,F292)=0)),"委員会名がちがう",IF(D292="","第1希望がない",IF(OR(AND(D292&lt;&gt;"",D292=E292),AND(D292&lt;&gt;"",D292=F292),AND(E292&lt;&gt;"",E292=F292)),"同じ委員会を重複して希望","OK"))))))</f>
        <v/>
      </c>
      <c r="J292" s="8">
        <f>IF(A292="","",A292&amp;"-"&amp;B292&amp;"-"&amp;C292)</f>
        <v/>
      </c>
      <c r="K292" s="8">
        <f>IF(OR(J292="",G292=""),"",IF(COUNTIF(J293:J$402,J292)=0,J292,""))</f>
        <v/>
      </c>
    </row>
    <row r="293">
      <c r="A293" s="15" t="n"/>
      <c r="B293" s="15" t="n"/>
      <c r="C293" s="15" t="n"/>
      <c r="D293" s="15" t="n"/>
      <c r="E293" s="15" t="n"/>
      <c r="F293" s="15" t="n"/>
      <c r="G293" s="3">
        <f>IF(J293="","",IFERROR(INDEX(児童名簿!$D$2:$D$301,MATCH(J293,児童名簿!$F$2:$F$301,0)),""))</f>
        <v/>
      </c>
      <c r="H293" s="19">
        <f>IF(J293="","",IF(G293="","名簿にいない",IF(COUNTIF(J294:J$402,J293)&gt;0,"2回提出（下の行を使います）",IF(OR(AND(D293&lt;&gt;"",COUNTIF(設定!$G$8:$G$27,D293)=0),AND(E293&lt;&gt;"",COUNTIF(設定!$G$8:$G$27,E293)=0),AND(F293&lt;&gt;"",COUNTIF(設定!$G$8:$G$27,F293)=0)),"委員会名がちがう",IF(D293="","第1希望がない",IF(OR(AND(D293&lt;&gt;"",D293=E293),AND(D293&lt;&gt;"",D293=F293),AND(E293&lt;&gt;"",E293=F293)),"同じ委員会を重複して希望","OK"))))))</f>
        <v/>
      </c>
      <c r="J293" s="8">
        <f>IF(A293="","",A293&amp;"-"&amp;B293&amp;"-"&amp;C293)</f>
        <v/>
      </c>
      <c r="K293" s="8">
        <f>IF(OR(J293="",G293=""),"",IF(COUNTIF(J294:J$402,J293)=0,J293,""))</f>
        <v/>
      </c>
    </row>
    <row r="294">
      <c r="A294" s="15" t="n"/>
      <c r="B294" s="15" t="n"/>
      <c r="C294" s="15" t="n"/>
      <c r="D294" s="15" t="n"/>
      <c r="E294" s="15" t="n"/>
      <c r="F294" s="15" t="n"/>
      <c r="G294" s="3">
        <f>IF(J294="","",IFERROR(INDEX(児童名簿!$D$2:$D$301,MATCH(J294,児童名簿!$F$2:$F$301,0)),""))</f>
        <v/>
      </c>
      <c r="H294" s="19">
        <f>IF(J294="","",IF(G294="","名簿にいない",IF(COUNTIF(J295:J$402,J294)&gt;0,"2回提出（下の行を使います）",IF(OR(AND(D294&lt;&gt;"",COUNTIF(設定!$G$8:$G$27,D294)=0),AND(E294&lt;&gt;"",COUNTIF(設定!$G$8:$G$27,E294)=0),AND(F294&lt;&gt;"",COUNTIF(設定!$G$8:$G$27,F294)=0)),"委員会名がちがう",IF(D294="","第1希望がない",IF(OR(AND(D294&lt;&gt;"",D294=E294),AND(D294&lt;&gt;"",D294=F294),AND(E294&lt;&gt;"",E294=F294)),"同じ委員会を重複して希望","OK"))))))</f>
        <v/>
      </c>
      <c r="J294" s="8">
        <f>IF(A294="","",A294&amp;"-"&amp;B294&amp;"-"&amp;C294)</f>
        <v/>
      </c>
      <c r="K294" s="8">
        <f>IF(OR(J294="",G294=""),"",IF(COUNTIF(J295:J$402,J294)=0,J294,""))</f>
        <v/>
      </c>
    </row>
    <row r="295">
      <c r="A295" s="15" t="n"/>
      <c r="B295" s="15" t="n"/>
      <c r="C295" s="15" t="n"/>
      <c r="D295" s="15" t="n"/>
      <c r="E295" s="15" t="n"/>
      <c r="F295" s="15" t="n"/>
      <c r="G295" s="3">
        <f>IF(J295="","",IFERROR(INDEX(児童名簿!$D$2:$D$301,MATCH(J295,児童名簿!$F$2:$F$301,0)),""))</f>
        <v/>
      </c>
      <c r="H295" s="19">
        <f>IF(J295="","",IF(G295="","名簿にいない",IF(COUNTIF(J296:J$402,J295)&gt;0,"2回提出（下の行を使います）",IF(OR(AND(D295&lt;&gt;"",COUNTIF(設定!$G$8:$G$27,D295)=0),AND(E295&lt;&gt;"",COUNTIF(設定!$G$8:$G$27,E295)=0),AND(F295&lt;&gt;"",COUNTIF(設定!$G$8:$G$27,F295)=0)),"委員会名がちがう",IF(D295="","第1希望がない",IF(OR(AND(D295&lt;&gt;"",D295=E295),AND(D295&lt;&gt;"",D295=F295),AND(E295&lt;&gt;"",E295=F295)),"同じ委員会を重複して希望","OK"))))))</f>
        <v/>
      </c>
      <c r="J295" s="8">
        <f>IF(A295="","",A295&amp;"-"&amp;B295&amp;"-"&amp;C295)</f>
        <v/>
      </c>
      <c r="K295" s="8">
        <f>IF(OR(J295="",G295=""),"",IF(COUNTIF(J296:J$402,J295)=0,J295,""))</f>
        <v/>
      </c>
    </row>
    <row r="296">
      <c r="A296" s="15" t="n"/>
      <c r="B296" s="15" t="n"/>
      <c r="C296" s="15" t="n"/>
      <c r="D296" s="15" t="n"/>
      <c r="E296" s="15" t="n"/>
      <c r="F296" s="15" t="n"/>
      <c r="G296" s="3">
        <f>IF(J296="","",IFERROR(INDEX(児童名簿!$D$2:$D$301,MATCH(J296,児童名簿!$F$2:$F$301,0)),""))</f>
        <v/>
      </c>
      <c r="H296" s="19">
        <f>IF(J296="","",IF(G296="","名簿にいない",IF(COUNTIF(J297:J$402,J296)&gt;0,"2回提出（下の行を使います）",IF(OR(AND(D296&lt;&gt;"",COUNTIF(設定!$G$8:$G$27,D296)=0),AND(E296&lt;&gt;"",COUNTIF(設定!$G$8:$G$27,E296)=0),AND(F296&lt;&gt;"",COUNTIF(設定!$G$8:$G$27,F296)=0)),"委員会名がちがう",IF(D296="","第1希望がない",IF(OR(AND(D296&lt;&gt;"",D296=E296),AND(D296&lt;&gt;"",D296=F296),AND(E296&lt;&gt;"",E296=F296)),"同じ委員会を重複して希望","OK"))))))</f>
        <v/>
      </c>
      <c r="J296" s="8">
        <f>IF(A296="","",A296&amp;"-"&amp;B296&amp;"-"&amp;C296)</f>
        <v/>
      </c>
      <c r="K296" s="8">
        <f>IF(OR(J296="",G296=""),"",IF(COUNTIF(J297:J$402,J296)=0,J296,""))</f>
        <v/>
      </c>
    </row>
    <row r="297">
      <c r="A297" s="15" t="n"/>
      <c r="B297" s="15" t="n"/>
      <c r="C297" s="15" t="n"/>
      <c r="D297" s="15" t="n"/>
      <c r="E297" s="15" t="n"/>
      <c r="F297" s="15" t="n"/>
      <c r="G297" s="3">
        <f>IF(J297="","",IFERROR(INDEX(児童名簿!$D$2:$D$301,MATCH(J297,児童名簿!$F$2:$F$301,0)),""))</f>
        <v/>
      </c>
      <c r="H297" s="19">
        <f>IF(J297="","",IF(G297="","名簿にいない",IF(COUNTIF(J298:J$402,J297)&gt;0,"2回提出（下の行を使います）",IF(OR(AND(D297&lt;&gt;"",COUNTIF(設定!$G$8:$G$27,D297)=0),AND(E297&lt;&gt;"",COUNTIF(設定!$G$8:$G$27,E297)=0),AND(F297&lt;&gt;"",COUNTIF(設定!$G$8:$G$27,F297)=0)),"委員会名がちがう",IF(D297="","第1希望がない",IF(OR(AND(D297&lt;&gt;"",D297=E297),AND(D297&lt;&gt;"",D297=F297),AND(E297&lt;&gt;"",E297=F297)),"同じ委員会を重複して希望","OK"))))))</f>
        <v/>
      </c>
      <c r="J297" s="8">
        <f>IF(A297="","",A297&amp;"-"&amp;B297&amp;"-"&amp;C297)</f>
        <v/>
      </c>
      <c r="K297" s="8">
        <f>IF(OR(J297="",G297=""),"",IF(COUNTIF(J298:J$402,J297)=0,J297,""))</f>
        <v/>
      </c>
    </row>
    <row r="298">
      <c r="A298" s="15" t="n"/>
      <c r="B298" s="15" t="n"/>
      <c r="C298" s="15" t="n"/>
      <c r="D298" s="15" t="n"/>
      <c r="E298" s="15" t="n"/>
      <c r="F298" s="15" t="n"/>
      <c r="G298" s="3">
        <f>IF(J298="","",IFERROR(INDEX(児童名簿!$D$2:$D$301,MATCH(J298,児童名簿!$F$2:$F$301,0)),""))</f>
        <v/>
      </c>
      <c r="H298" s="19">
        <f>IF(J298="","",IF(G298="","名簿にいない",IF(COUNTIF(J299:J$402,J298)&gt;0,"2回提出（下の行を使います）",IF(OR(AND(D298&lt;&gt;"",COUNTIF(設定!$G$8:$G$27,D298)=0),AND(E298&lt;&gt;"",COUNTIF(設定!$G$8:$G$27,E298)=0),AND(F298&lt;&gt;"",COUNTIF(設定!$G$8:$G$27,F298)=0)),"委員会名がちがう",IF(D298="","第1希望がない",IF(OR(AND(D298&lt;&gt;"",D298=E298),AND(D298&lt;&gt;"",D298=F298),AND(E298&lt;&gt;"",E298=F298)),"同じ委員会を重複して希望","OK"))))))</f>
        <v/>
      </c>
      <c r="J298" s="8">
        <f>IF(A298="","",A298&amp;"-"&amp;B298&amp;"-"&amp;C298)</f>
        <v/>
      </c>
      <c r="K298" s="8">
        <f>IF(OR(J298="",G298=""),"",IF(COUNTIF(J299:J$402,J298)=0,J298,""))</f>
        <v/>
      </c>
    </row>
    <row r="299">
      <c r="A299" s="15" t="n"/>
      <c r="B299" s="15" t="n"/>
      <c r="C299" s="15" t="n"/>
      <c r="D299" s="15" t="n"/>
      <c r="E299" s="15" t="n"/>
      <c r="F299" s="15" t="n"/>
      <c r="G299" s="3">
        <f>IF(J299="","",IFERROR(INDEX(児童名簿!$D$2:$D$301,MATCH(J299,児童名簿!$F$2:$F$301,0)),""))</f>
        <v/>
      </c>
      <c r="H299" s="19">
        <f>IF(J299="","",IF(G299="","名簿にいない",IF(COUNTIF(J300:J$402,J299)&gt;0,"2回提出（下の行を使います）",IF(OR(AND(D299&lt;&gt;"",COUNTIF(設定!$G$8:$G$27,D299)=0),AND(E299&lt;&gt;"",COUNTIF(設定!$G$8:$G$27,E299)=0),AND(F299&lt;&gt;"",COUNTIF(設定!$G$8:$G$27,F299)=0)),"委員会名がちがう",IF(D299="","第1希望がない",IF(OR(AND(D299&lt;&gt;"",D299=E299),AND(D299&lt;&gt;"",D299=F299),AND(E299&lt;&gt;"",E299=F299)),"同じ委員会を重複して希望","OK"))))))</f>
        <v/>
      </c>
      <c r="J299" s="8">
        <f>IF(A299="","",A299&amp;"-"&amp;B299&amp;"-"&amp;C299)</f>
        <v/>
      </c>
      <c r="K299" s="8">
        <f>IF(OR(J299="",G299=""),"",IF(COUNTIF(J300:J$402,J299)=0,J299,""))</f>
        <v/>
      </c>
    </row>
    <row r="300">
      <c r="A300" s="15" t="n"/>
      <c r="B300" s="15" t="n"/>
      <c r="C300" s="15" t="n"/>
      <c r="D300" s="15" t="n"/>
      <c r="E300" s="15" t="n"/>
      <c r="F300" s="15" t="n"/>
      <c r="G300" s="3">
        <f>IF(J300="","",IFERROR(INDEX(児童名簿!$D$2:$D$301,MATCH(J300,児童名簿!$F$2:$F$301,0)),""))</f>
        <v/>
      </c>
      <c r="H300" s="19">
        <f>IF(J300="","",IF(G300="","名簿にいない",IF(COUNTIF(J301:J$402,J300)&gt;0,"2回提出（下の行を使います）",IF(OR(AND(D300&lt;&gt;"",COUNTIF(設定!$G$8:$G$27,D300)=0),AND(E300&lt;&gt;"",COUNTIF(設定!$G$8:$G$27,E300)=0),AND(F300&lt;&gt;"",COUNTIF(設定!$G$8:$G$27,F300)=0)),"委員会名がちがう",IF(D300="","第1希望がない",IF(OR(AND(D300&lt;&gt;"",D300=E300),AND(D300&lt;&gt;"",D300=F300),AND(E300&lt;&gt;"",E300=F300)),"同じ委員会を重複して希望","OK"))))))</f>
        <v/>
      </c>
      <c r="J300" s="8">
        <f>IF(A300="","",A300&amp;"-"&amp;B300&amp;"-"&amp;C300)</f>
        <v/>
      </c>
      <c r="K300" s="8">
        <f>IF(OR(J300="",G300=""),"",IF(COUNTIF(J301:J$402,J300)=0,J300,""))</f>
        <v/>
      </c>
    </row>
    <row r="301">
      <c r="A301" s="15" t="n"/>
      <c r="B301" s="15" t="n"/>
      <c r="C301" s="15" t="n"/>
      <c r="D301" s="15" t="n"/>
      <c r="E301" s="15" t="n"/>
      <c r="F301" s="15" t="n"/>
      <c r="G301" s="3">
        <f>IF(J301="","",IFERROR(INDEX(児童名簿!$D$2:$D$301,MATCH(J301,児童名簿!$F$2:$F$301,0)),""))</f>
        <v/>
      </c>
      <c r="H301" s="19">
        <f>IF(J301="","",IF(G301="","名簿にいない",IF(COUNTIF(J302:J$402,J301)&gt;0,"2回提出（下の行を使います）",IF(OR(AND(D301&lt;&gt;"",COUNTIF(設定!$G$8:$G$27,D301)=0),AND(E301&lt;&gt;"",COUNTIF(設定!$G$8:$G$27,E301)=0),AND(F301&lt;&gt;"",COUNTIF(設定!$G$8:$G$27,F301)=0)),"委員会名がちがう",IF(D301="","第1希望がない",IF(OR(AND(D301&lt;&gt;"",D301=E301),AND(D301&lt;&gt;"",D301=F301),AND(E301&lt;&gt;"",E301=F301)),"同じ委員会を重複して希望","OK"))))))</f>
        <v/>
      </c>
      <c r="J301" s="8">
        <f>IF(A301="","",A301&amp;"-"&amp;B301&amp;"-"&amp;C301)</f>
        <v/>
      </c>
      <c r="K301" s="8">
        <f>IF(OR(J301="",G301=""),"",IF(COUNTIF(J302:J$402,J301)=0,J301,""))</f>
        <v/>
      </c>
    </row>
    <row r="302">
      <c r="A302" s="15" t="n"/>
      <c r="B302" s="15" t="n"/>
      <c r="C302" s="15" t="n"/>
      <c r="D302" s="15" t="n"/>
      <c r="E302" s="15" t="n"/>
      <c r="F302" s="15" t="n"/>
      <c r="G302" s="3">
        <f>IF(J302="","",IFERROR(INDEX(児童名簿!$D$2:$D$301,MATCH(J302,児童名簿!$F$2:$F$301,0)),""))</f>
        <v/>
      </c>
      <c r="H302" s="19">
        <f>IF(J302="","",IF(G302="","名簿にいない",IF(COUNTIF(J303:J$402,J302)&gt;0,"2回提出（下の行を使います）",IF(OR(AND(D302&lt;&gt;"",COUNTIF(設定!$G$8:$G$27,D302)=0),AND(E302&lt;&gt;"",COUNTIF(設定!$G$8:$G$27,E302)=0),AND(F302&lt;&gt;"",COUNTIF(設定!$G$8:$G$27,F302)=0)),"委員会名がちがう",IF(D302="","第1希望がない",IF(OR(AND(D302&lt;&gt;"",D302=E302),AND(D302&lt;&gt;"",D302=F302),AND(E302&lt;&gt;"",E302=F302)),"同じ委員会を重複して希望","OK"))))))</f>
        <v/>
      </c>
      <c r="J302" s="8">
        <f>IF(A302="","",A302&amp;"-"&amp;B302&amp;"-"&amp;C302)</f>
        <v/>
      </c>
      <c r="K302" s="8">
        <f>IF(OR(J302="",G302=""),"",IF(COUNTIF(J303:J$402,J302)=0,J302,""))</f>
        <v/>
      </c>
    </row>
    <row r="303">
      <c r="A303" s="15" t="n"/>
      <c r="B303" s="15" t="n"/>
      <c r="C303" s="15" t="n"/>
      <c r="D303" s="15" t="n"/>
      <c r="E303" s="15" t="n"/>
      <c r="F303" s="15" t="n"/>
      <c r="G303" s="3">
        <f>IF(J303="","",IFERROR(INDEX(児童名簿!$D$2:$D$301,MATCH(J303,児童名簿!$F$2:$F$301,0)),""))</f>
        <v/>
      </c>
      <c r="H303" s="19">
        <f>IF(J303="","",IF(G303="","名簿にいない",IF(COUNTIF(J304:J$402,J303)&gt;0,"2回提出（下の行を使います）",IF(OR(AND(D303&lt;&gt;"",COUNTIF(設定!$G$8:$G$27,D303)=0),AND(E303&lt;&gt;"",COUNTIF(設定!$G$8:$G$27,E303)=0),AND(F303&lt;&gt;"",COUNTIF(設定!$G$8:$G$27,F303)=0)),"委員会名がちがう",IF(D303="","第1希望がない",IF(OR(AND(D303&lt;&gt;"",D303=E303),AND(D303&lt;&gt;"",D303=F303),AND(E303&lt;&gt;"",E303=F303)),"同じ委員会を重複して希望","OK"))))))</f>
        <v/>
      </c>
      <c r="J303" s="8">
        <f>IF(A303="","",A303&amp;"-"&amp;B303&amp;"-"&amp;C303)</f>
        <v/>
      </c>
      <c r="K303" s="8">
        <f>IF(OR(J303="",G303=""),"",IF(COUNTIF(J304:J$402,J303)=0,J303,""))</f>
        <v/>
      </c>
    </row>
    <row r="304">
      <c r="A304" s="15" t="n"/>
      <c r="B304" s="15" t="n"/>
      <c r="C304" s="15" t="n"/>
      <c r="D304" s="15" t="n"/>
      <c r="E304" s="15" t="n"/>
      <c r="F304" s="15" t="n"/>
      <c r="G304" s="3">
        <f>IF(J304="","",IFERROR(INDEX(児童名簿!$D$2:$D$301,MATCH(J304,児童名簿!$F$2:$F$301,0)),""))</f>
        <v/>
      </c>
      <c r="H304" s="19">
        <f>IF(J304="","",IF(G304="","名簿にいない",IF(COUNTIF(J305:J$402,J304)&gt;0,"2回提出（下の行を使います）",IF(OR(AND(D304&lt;&gt;"",COUNTIF(設定!$G$8:$G$27,D304)=0),AND(E304&lt;&gt;"",COUNTIF(設定!$G$8:$G$27,E304)=0),AND(F304&lt;&gt;"",COUNTIF(設定!$G$8:$G$27,F304)=0)),"委員会名がちがう",IF(D304="","第1希望がない",IF(OR(AND(D304&lt;&gt;"",D304=E304),AND(D304&lt;&gt;"",D304=F304),AND(E304&lt;&gt;"",E304=F304)),"同じ委員会を重複して希望","OK"))))))</f>
        <v/>
      </c>
      <c r="J304" s="8">
        <f>IF(A304="","",A304&amp;"-"&amp;B304&amp;"-"&amp;C304)</f>
        <v/>
      </c>
      <c r="K304" s="8">
        <f>IF(OR(J304="",G304=""),"",IF(COUNTIF(J305:J$402,J304)=0,J304,""))</f>
        <v/>
      </c>
    </row>
    <row r="305">
      <c r="A305" s="15" t="n"/>
      <c r="B305" s="15" t="n"/>
      <c r="C305" s="15" t="n"/>
      <c r="D305" s="15" t="n"/>
      <c r="E305" s="15" t="n"/>
      <c r="F305" s="15" t="n"/>
      <c r="G305" s="3">
        <f>IF(J305="","",IFERROR(INDEX(児童名簿!$D$2:$D$301,MATCH(J305,児童名簿!$F$2:$F$301,0)),""))</f>
        <v/>
      </c>
      <c r="H305" s="19">
        <f>IF(J305="","",IF(G305="","名簿にいない",IF(COUNTIF(J306:J$402,J305)&gt;0,"2回提出（下の行を使います）",IF(OR(AND(D305&lt;&gt;"",COUNTIF(設定!$G$8:$G$27,D305)=0),AND(E305&lt;&gt;"",COUNTIF(設定!$G$8:$G$27,E305)=0),AND(F305&lt;&gt;"",COUNTIF(設定!$G$8:$G$27,F305)=0)),"委員会名がちがう",IF(D305="","第1希望がない",IF(OR(AND(D305&lt;&gt;"",D305=E305),AND(D305&lt;&gt;"",D305=F305),AND(E305&lt;&gt;"",E305=F305)),"同じ委員会を重複して希望","OK"))))))</f>
        <v/>
      </c>
      <c r="J305" s="8">
        <f>IF(A305="","",A305&amp;"-"&amp;B305&amp;"-"&amp;C305)</f>
        <v/>
      </c>
      <c r="K305" s="8">
        <f>IF(OR(J305="",G305=""),"",IF(COUNTIF(J306:J$402,J305)=0,J305,""))</f>
        <v/>
      </c>
    </row>
    <row r="306">
      <c r="A306" s="15" t="n"/>
      <c r="B306" s="15" t="n"/>
      <c r="C306" s="15" t="n"/>
      <c r="D306" s="15" t="n"/>
      <c r="E306" s="15" t="n"/>
      <c r="F306" s="15" t="n"/>
      <c r="G306" s="3">
        <f>IF(J306="","",IFERROR(INDEX(児童名簿!$D$2:$D$301,MATCH(J306,児童名簿!$F$2:$F$301,0)),""))</f>
        <v/>
      </c>
      <c r="H306" s="19">
        <f>IF(J306="","",IF(G306="","名簿にいない",IF(COUNTIF(J307:J$402,J306)&gt;0,"2回提出（下の行を使います）",IF(OR(AND(D306&lt;&gt;"",COUNTIF(設定!$G$8:$G$27,D306)=0),AND(E306&lt;&gt;"",COUNTIF(設定!$G$8:$G$27,E306)=0),AND(F306&lt;&gt;"",COUNTIF(設定!$G$8:$G$27,F306)=0)),"委員会名がちがう",IF(D306="","第1希望がない",IF(OR(AND(D306&lt;&gt;"",D306=E306),AND(D306&lt;&gt;"",D306=F306),AND(E306&lt;&gt;"",E306=F306)),"同じ委員会を重複して希望","OK"))))))</f>
        <v/>
      </c>
      <c r="J306" s="8">
        <f>IF(A306="","",A306&amp;"-"&amp;B306&amp;"-"&amp;C306)</f>
        <v/>
      </c>
      <c r="K306" s="8">
        <f>IF(OR(J306="",G306=""),"",IF(COUNTIF(J307:J$402,J306)=0,J306,""))</f>
        <v/>
      </c>
    </row>
    <row r="307">
      <c r="A307" s="15" t="n"/>
      <c r="B307" s="15" t="n"/>
      <c r="C307" s="15" t="n"/>
      <c r="D307" s="15" t="n"/>
      <c r="E307" s="15" t="n"/>
      <c r="F307" s="15" t="n"/>
      <c r="G307" s="3">
        <f>IF(J307="","",IFERROR(INDEX(児童名簿!$D$2:$D$301,MATCH(J307,児童名簿!$F$2:$F$301,0)),""))</f>
        <v/>
      </c>
      <c r="H307" s="19">
        <f>IF(J307="","",IF(G307="","名簿にいない",IF(COUNTIF(J308:J$402,J307)&gt;0,"2回提出（下の行を使います）",IF(OR(AND(D307&lt;&gt;"",COUNTIF(設定!$G$8:$G$27,D307)=0),AND(E307&lt;&gt;"",COUNTIF(設定!$G$8:$G$27,E307)=0),AND(F307&lt;&gt;"",COUNTIF(設定!$G$8:$G$27,F307)=0)),"委員会名がちがう",IF(D307="","第1希望がない",IF(OR(AND(D307&lt;&gt;"",D307=E307),AND(D307&lt;&gt;"",D307=F307),AND(E307&lt;&gt;"",E307=F307)),"同じ委員会を重複して希望","OK"))))))</f>
        <v/>
      </c>
      <c r="J307" s="8">
        <f>IF(A307="","",A307&amp;"-"&amp;B307&amp;"-"&amp;C307)</f>
        <v/>
      </c>
      <c r="K307" s="8">
        <f>IF(OR(J307="",G307=""),"",IF(COUNTIF(J308:J$402,J307)=0,J307,""))</f>
        <v/>
      </c>
    </row>
    <row r="308">
      <c r="A308" s="15" t="n"/>
      <c r="B308" s="15" t="n"/>
      <c r="C308" s="15" t="n"/>
      <c r="D308" s="15" t="n"/>
      <c r="E308" s="15" t="n"/>
      <c r="F308" s="15" t="n"/>
      <c r="G308" s="3">
        <f>IF(J308="","",IFERROR(INDEX(児童名簿!$D$2:$D$301,MATCH(J308,児童名簿!$F$2:$F$301,0)),""))</f>
        <v/>
      </c>
      <c r="H308" s="19">
        <f>IF(J308="","",IF(G308="","名簿にいない",IF(COUNTIF(J309:J$402,J308)&gt;0,"2回提出（下の行を使います）",IF(OR(AND(D308&lt;&gt;"",COUNTIF(設定!$G$8:$G$27,D308)=0),AND(E308&lt;&gt;"",COUNTIF(設定!$G$8:$G$27,E308)=0),AND(F308&lt;&gt;"",COUNTIF(設定!$G$8:$G$27,F308)=0)),"委員会名がちがう",IF(D308="","第1希望がない",IF(OR(AND(D308&lt;&gt;"",D308=E308),AND(D308&lt;&gt;"",D308=F308),AND(E308&lt;&gt;"",E308=F308)),"同じ委員会を重複して希望","OK"))))))</f>
        <v/>
      </c>
      <c r="J308" s="8">
        <f>IF(A308="","",A308&amp;"-"&amp;B308&amp;"-"&amp;C308)</f>
        <v/>
      </c>
      <c r="K308" s="8">
        <f>IF(OR(J308="",G308=""),"",IF(COUNTIF(J309:J$402,J308)=0,J308,""))</f>
        <v/>
      </c>
    </row>
    <row r="309">
      <c r="A309" s="15" t="n"/>
      <c r="B309" s="15" t="n"/>
      <c r="C309" s="15" t="n"/>
      <c r="D309" s="15" t="n"/>
      <c r="E309" s="15" t="n"/>
      <c r="F309" s="15" t="n"/>
      <c r="G309" s="3">
        <f>IF(J309="","",IFERROR(INDEX(児童名簿!$D$2:$D$301,MATCH(J309,児童名簿!$F$2:$F$301,0)),""))</f>
        <v/>
      </c>
      <c r="H309" s="19">
        <f>IF(J309="","",IF(G309="","名簿にいない",IF(COUNTIF(J310:J$402,J309)&gt;0,"2回提出（下の行を使います）",IF(OR(AND(D309&lt;&gt;"",COUNTIF(設定!$G$8:$G$27,D309)=0),AND(E309&lt;&gt;"",COUNTIF(設定!$G$8:$G$27,E309)=0),AND(F309&lt;&gt;"",COUNTIF(設定!$G$8:$G$27,F309)=0)),"委員会名がちがう",IF(D309="","第1希望がない",IF(OR(AND(D309&lt;&gt;"",D309=E309),AND(D309&lt;&gt;"",D309=F309),AND(E309&lt;&gt;"",E309=F309)),"同じ委員会を重複して希望","OK"))))))</f>
        <v/>
      </c>
      <c r="J309" s="8">
        <f>IF(A309="","",A309&amp;"-"&amp;B309&amp;"-"&amp;C309)</f>
        <v/>
      </c>
      <c r="K309" s="8">
        <f>IF(OR(J309="",G309=""),"",IF(COUNTIF(J310:J$402,J309)=0,J309,""))</f>
        <v/>
      </c>
    </row>
    <row r="310">
      <c r="A310" s="15" t="n"/>
      <c r="B310" s="15" t="n"/>
      <c r="C310" s="15" t="n"/>
      <c r="D310" s="15" t="n"/>
      <c r="E310" s="15" t="n"/>
      <c r="F310" s="15" t="n"/>
      <c r="G310" s="3">
        <f>IF(J310="","",IFERROR(INDEX(児童名簿!$D$2:$D$301,MATCH(J310,児童名簿!$F$2:$F$301,0)),""))</f>
        <v/>
      </c>
      <c r="H310" s="19">
        <f>IF(J310="","",IF(G310="","名簿にいない",IF(COUNTIF(J311:J$402,J310)&gt;0,"2回提出（下の行を使います）",IF(OR(AND(D310&lt;&gt;"",COUNTIF(設定!$G$8:$G$27,D310)=0),AND(E310&lt;&gt;"",COUNTIF(設定!$G$8:$G$27,E310)=0),AND(F310&lt;&gt;"",COUNTIF(設定!$G$8:$G$27,F310)=0)),"委員会名がちがう",IF(D310="","第1希望がない",IF(OR(AND(D310&lt;&gt;"",D310=E310),AND(D310&lt;&gt;"",D310=F310),AND(E310&lt;&gt;"",E310=F310)),"同じ委員会を重複して希望","OK"))))))</f>
        <v/>
      </c>
      <c r="J310" s="8">
        <f>IF(A310="","",A310&amp;"-"&amp;B310&amp;"-"&amp;C310)</f>
        <v/>
      </c>
      <c r="K310" s="8">
        <f>IF(OR(J310="",G310=""),"",IF(COUNTIF(J311:J$402,J310)=0,J310,""))</f>
        <v/>
      </c>
    </row>
    <row r="311">
      <c r="A311" s="15" t="n"/>
      <c r="B311" s="15" t="n"/>
      <c r="C311" s="15" t="n"/>
      <c r="D311" s="15" t="n"/>
      <c r="E311" s="15" t="n"/>
      <c r="F311" s="15" t="n"/>
      <c r="G311" s="3">
        <f>IF(J311="","",IFERROR(INDEX(児童名簿!$D$2:$D$301,MATCH(J311,児童名簿!$F$2:$F$301,0)),""))</f>
        <v/>
      </c>
      <c r="H311" s="19">
        <f>IF(J311="","",IF(G311="","名簿にいない",IF(COUNTIF(J312:J$402,J311)&gt;0,"2回提出（下の行を使います）",IF(OR(AND(D311&lt;&gt;"",COUNTIF(設定!$G$8:$G$27,D311)=0),AND(E311&lt;&gt;"",COUNTIF(設定!$G$8:$G$27,E311)=0),AND(F311&lt;&gt;"",COUNTIF(設定!$G$8:$G$27,F311)=0)),"委員会名がちがう",IF(D311="","第1希望がない",IF(OR(AND(D311&lt;&gt;"",D311=E311),AND(D311&lt;&gt;"",D311=F311),AND(E311&lt;&gt;"",E311=F311)),"同じ委員会を重複して希望","OK"))))))</f>
        <v/>
      </c>
      <c r="J311" s="8">
        <f>IF(A311="","",A311&amp;"-"&amp;B311&amp;"-"&amp;C311)</f>
        <v/>
      </c>
      <c r="K311" s="8">
        <f>IF(OR(J311="",G311=""),"",IF(COUNTIF(J312:J$402,J311)=0,J311,""))</f>
        <v/>
      </c>
    </row>
    <row r="312">
      <c r="A312" s="15" t="n"/>
      <c r="B312" s="15" t="n"/>
      <c r="C312" s="15" t="n"/>
      <c r="D312" s="15" t="n"/>
      <c r="E312" s="15" t="n"/>
      <c r="F312" s="15" t="n"/>
      <c r="G312" s="3">
        <f>IF(J312="","",IFERROR(INDEX(児童名簿!$D$2:$D$301,MATCH(J312,児童名簿!$F$2:$F$301,0)),""))</f>
        <v/>
      </c>
      <c r="H312" s="19">
        <f>IF(J312="","",IF(G312="","名簿にいない",IF(COUNTIF(J313:J$402,J312)&gt;0,"2回提出（下の行を使います）",IF(OR(AND(D312&lt;&gt;"",COUNTIF(設定!$G$8:$G$27,D312)=0),AND(E312&lt;&gt;"",COUNTIF(設定!$G$8:$G$27,E312)=0),AND(F312&lt;&gt;"",COUNTIF(設定!$G$8:$G$27,F312)=0)),"委員会名がちがう",IF(D312="","第1希望がない",IF(OR(AND(D312&lt;&gt;"",D312=E312),AND(D312&lt;&gt;"",D312=F312),AND(E312&lt;&gt;"",E312=F312)),"同じ委員会を重複して希望","OK"))))))</f>
        <v/>
      </c>
      <c r="J312" s="8">
        <f>IF(A312="","",A312&amp;"-"&amp;B312&amp;"-"&amp;C312)</f>
        <v/>
      </c>
      <c r="K312" s="8">
        <f>IF(OR(J312="",G312=""),"",IF(COUNTIF(J313:J$402,J312)=0,J312,""))</f>
        <v/>
      </c>
    </row>
    <row r="313">
      <c r="A313" s="15" t="n"/>
      <c r="B313" s="15" t="n"/>
      <c r="C313" s="15" t="n"/>
      <c r="D313" s="15" t="n"/>
      <c r="E313" s="15" t="n"/>
      <c r="F313" s="15" t="n"/>
      <c r="G313" s="3">
        <f>IF(J313="","",IFERROR(INDEX(児童名簿!$D$2:$D$301,MATCH(J313,児童名簿!$F$2:$F$301,0)),""))</f>
        <v/>
      </c>
      <c r="H313" s="19">
        <f>IF(J313="","",IF(G313="","名簿にいない",IF(COUNTIF(J314:J$402,J313)&gt;0,"2回提出（下の行を使います）",IF(OR(AND(D313&lt;&gt;"",COUNTIF(設定!$G$8:$G$27,D313)=0),AND(E313&lt;&gt;"",COUNTIF(設定!$G$8:$G$27,E313)=0),AND(F313&lt;&gt;"",COUNTIF(設定!$G$8:$G$27,F313)=0)),"委員会名がちがう",IF(D313="","第1希望がない",IF(OR(AND(D313&lt;&gt;"",D313=E313),AND(D313&lt;&gt;"",D313=F313),AND(E313&lt;&gt;"",E313=F313)),"同じ委員会を重複して希望","OK"))))))</f>
        <v/>
      </c>
      <c r="J313" s="8">
        <f>IF(A313="","",A313&amp;"-"&amp;B313&amp;"-"&amp;C313)</f>
        <v/>
      </c>
      <c r="K313" s="8">
        <f>IF(OR(J313="",G313=""),"",IF(COUNTIF(J314:J$402,J313)=0,J313,""))</f>
        <v/>
      </c>
    </row>
    <row r="314">
      <c r="A314" s="15" t="n"/>
      <c r="B314" s="15" t="n"/>
      <c r="C314" s="15" t="n"/>
      <c r="D314" s="15" t="n"/>
      <c r="E314" s="15" t="n"/>
      <c r="F314" s="15" t="n"/>
      <c r="G314" s="3">
        <f>IF(J314="","",IFERROR(INDEX(児童名簿!$D$2:$D$301,MATCH(J314,児童名簿!$F$2:$F$301,0)),""))</f>
        <v/>
      </c>
      <c r="H314" s="19">
        <f>IF(J314="","",IF(G314="","名簿にいない",IF(COUNTIF(J315:J$402,J314)&gt;0,"2回提出（下の行を使います）",IF(OR(AND(D314&lt;&gt;"",COUNTIF(設定!$G$8:$G$27,D314)=0),AND(E314&lt;&gt;"",COUNTIF(設定!$G$8:$G$27,E314)=0),AND(F314&lt;&gt;"",COUNTIF(設定!$G$8:$G$27,F314)=0)),"委員会名がちがう",IF(D314="","第1希望がない",IF(OR(AND(D314&lt;&gt;"",D314=E314),AND(D314&lt;&gt;"",D314=F314),AND(E314&lt;&gt;"",E314=F314)),"同じ委員会を重複して希望","OK"))))))</f>
        <v/>
      </c>
      <c r="J314" s="8">
        <f>IF(A314="","",A314&amp;"-"&amp;B314&amp;"-"&amp;C314)</f>
        <v/>
      </c>
      <c r="K314" s="8">
        <f>IF(OR(J314="",G314=""),"",IF(COUNTIF(J315:J$402,J314)=0,J314,""))</f>
        <v/>
      </c>
    </row>
    <row r="315">
      <c r="A315" s="15" t="n"/>
      <c r="B315" s="15" t="n"/>
      <c r="C315" s="15" t="n"/>
      <c r="D315" s="15" t="n"/>
      <c r="E315" s="15" t="n"/>
      <c r="F315" s="15" t="n"/>
      <c r="G315" s="3">
        <f>IF(J315="","",IFERROR(INDEX(児童名簿!$D$2:$D$301,MATCH(J315,児童名簿!$F$2:$F$301,0)),""))</f>
        <v/>
      </c>
      <c r="H315" s="19">
        <f>IF(J315="","",IF(G315="","名簿にいない",IF(COUNTIF(J316:J$402,J315)&gt;0,"2回提出（下の行を使います）",IF(OR(AND(D315&lt;&gt;"",COUNTIF(設定!$G$8:$G$27,D315)=0),AND(E315&lt;&gt;"",COUNTIF(設定!$G$8:$G$27,E315)=0),AND(F315&lt;&gt;"",COUNTIF(設定!$G$8:$G$27,F315)=0)),"委員会名がちがう",IF(D315="","第1希望がない",IF(OR(AND(D315&lt;&gt;"",D315=E315),AND(D315&lt;&gt;"",D315=F315),AND(E315&lt;&gt;"",E315=F315)),"同じ委員会を重複して希望","OK"))))))</f>
        <v/>
      </c>
      <c r="J315" s="8">
        <f>IF(A315="","",A315&amp;"-"&amp;B315&amp;"-"&amp;C315)</f>
        <v/>
      </c>
      <c r="K315" s="8">
        <f>IF(OR(J315="",G315=""),"",IF(COUNTIF(J316:J$402,J315)=0,J315,""))</f>
        <v/>
      </c>
    </row>
    <row r="316">
      <c r="A316" s="15" t="n"/>
      <c r="B316" s="15" t="n"/>
      <c r="C316" s="15" t="n"/>
      <c r="D316" s="15" t="n"/>
      <c r="E316" s="15" t="n"/>
      <c r="F316" s="15" t="n"/>
      <c r="G316" s="3">
        <f>IF(J316="","",IFERROR(INDEX(児童名簿!$D$2:$D$301,MATCH(J316,児童名簿!$F$2:$F$301,0)),""))</f>
        <v/>
      </c>
      <c r="H316" s="19">
        <f>IF(J316="","",IF(G316="","名簿にいない",IF(COUNTIF(J317:J$402,J316)&gt;0,"2回提出（下の行を使います）",IF(OR(AND(D316&lt;&gt;"",COUNTIF(設定!$G$8:$G$27,D316)=0),AND(E316&lt;&gt;"",COUNTIF(設定!$G$8:$G$27,E316)=0),AND(F316&lt;&gt;"",COUNTIF(設定!$G$8:$G$27,F316)=0)),"委員会名がちがう",IF(D316="","第1希望がない",IF(OR(AND(D316&lt;&gt;"",D316=E316),AND(D316&lt;&gt;"",D316=F316),AND(E316&lt;&gt;"",E316=F316)),"同じ委員会を重複して希望","OK"))))))</f>
        <v/>
      </c>
      <c r="J316" s="8">
        <f>IF(A316="","",A316&amp;"-"&amp;B316&amp;"-"&amp;C316)</f>
        <v/>
      </c>
      <c r="K316" s="8">
        <f>IF(OR(J316="",G316=""),"",IF(COUNTIF(J317:J$402,J316)=0,J316,""))</f>
        <v/>
      </c>
    </row>
    <row r="317">
      <c r="A317" s="15" t="n"/>
      <c r="B317" s="15" t="n"/>
      <c r="C317" s="15" t="n"/>
      <c r="D317" s="15" t="n"/>
      <c r="E317" s="15" t="n"/>
      <c r="F317" s="15" t="n"/>
      <c r="G317" s="3">
        <f>IF(J317="","",IFERROR(INDEX(児童名簿!$D$2:$D$301,MATCH(J317,児童名簿!$F$2:$F$301,0)),""))</f>
        <v/>
      </c>
      <c r="H317" s="19">
        <f>IF(J317="","",IF(G317="","名簿にいない",IF(COUNTIF(J318:J$402,J317)&gt;0,"2回提出（下の行を使います）",IF(OR(AND(D317&lt;&gt;"",COUNTIF(設定!$G$8:$G$27,D317)=0),AND(E317&lt;&gt;"",COUNTIF(設定!$G$8:$G$27,E317)=0),AND(F317&lt;&gt;"",COUNTIF(設定!$G$8:$G$27,F317)=0)),"委員会名がちがう",IF(D317="","第1希望がない",IF(OR(AND(D317&lt;&gt;"",D317=E317),AND(D317&lt;&gt;"",D317=F317),AND(E317&lt;&gt;"",E317=F317)),"同じ委員会を重複して希望","OK"))))))</f>
        <v/>
      </c>
      <c r="J317" s="8">
        <f>IF(A317="","",A317&amp;"-"&amp;B317&amp;"-"&amp;C317)</f>
        <v/>
      </c>
      <c r="K317" s="8">
        <f>IF(OR(J317="",G317=""),"",IF(COUNTIF(J318:J$402,J317)=0,J317,""))</f>
        <v/>
      </c>
    </row>
    <row r="318">
      <c r="A318" s="15" t="n"/>
      <c r="B318" s="15" t="n"/>
      <c r="C318" s="15" t="n"/>
      <c r="D318" s="15" t="n"/>
      <c r="E318" s="15" t="n"/>
      <c r="F318" s="15" t="n"/>
      <c r="G318" s="3">
        <f>IF(J318="","",IFERROR(INDEX(児童名簿!$D$2:$D$301,MATCH(J318,児童名簿!$F$2:$F$301,0)),""))</f>
        <v/>
      </c>
      <c r="H318" s="19">
        <f>IF(J318="","",IF(G318="","名簿にいない",IF(COUNTIF(J319:J$402,J318)&gt;0,"2回提出（下の行を使います）",IF(OR(AND(D318&lt;&gt;"",COUNTIF(設定!$G$8:$G$27,D318)=0),AND(E318&lt;&gt;"",COUNTIF(設定!$G$8:$G$27,E318)=0),AND(F318&lt;&gt;"",COUNTIF(設定!$G$8:$G$27,F318)=0)),"委員会名がちがう",IF(D318="","第1希望がない",IF(OR(AND(D318&lt;&gt;"",D318=E318),AND(D318&lt;&gt;"",D318=F318),AND(E318&lt;&gt;"",E318=F318)),"同じ委員会を重複して希望","OK"))))))</f>
        <v/>
      </c>
      <c r="J318" s="8">
        <f>IF(A318="","",A318&amp;"-"&amp;B318&amp;"-"&amp;C318)</f>
        <v/>
      </c>
      <c r="K318" s="8">
        <f>IF(OR(J318="",G318=""),"",IF(COUNTIF(J319:J$402,J318)=0,J318,""))</f>
        <v/>
      </c>
    </row>
    <row r="319">
      <c r="A319" s="15" t="n"/>
      <c r="B319" s="15" t="n"/>
      <c r="C319" s="15" t="n"/>
      <c r="D319" s="15" t="n"/>
      <c r="E319" s="15" t="n"/>
      <c r="F319" s="15" t="n"/>
      <c r="G319" s="3">
        <f>IF(J319="","",IFERROR(INDEX(児童名簿!$D$2:$D$301,MATCH(J319,児童名簿!$F$2:$F$301,0)),""))</f>
        <v/>
      </c>
      <c r="H319" s="19">
        <f>IF(J319="","",IF(G319="","名簿にいない",IF(COUNTIF(J320:J$402,J319)&gt;0,"2回提出（下の行を使います）",IF(OR(AND(D319&lt;&gt;"",COUNTIF(設定!$G$8:$G$27,D319)=0),AND(E319&lt;&gt;"",COUNTIF(設定!$G$8:$G$27,E319)=0),AND(F319&lt;&gt;"",COUNTIF(設定!$G$8:$G$27,F319)=0)),"委員会名がちがう",IF(D319="","第1希望がない",IF(OR(AND(D319&lt;&gt;"",D319=E319),AND(D319&lt;&gt;"",D319=F319),AND(E319&lt;&gt;"",E319=F319)),"同じ委員会を重複して希望","OK"))))))</f>
        <v/>
      </c>
      <c r="J319" s="8">
        <f>IF(A319="","",A319&amp;"-"&amp;B319&amp;"-"&amp;C319)</f>
        <v/>
      </c>
      <c r="K319" s="8">
        <f>IF(OR(J319="",G319=""),"",IF(COUNTIF(J320:J$402,J319)=0,J319,""))</f>
        <v/>
      </c>
    </row>
    <row r="320">
      <c r="A320" s="15" t="n"/>
      <c r="B320" s="15" t="n"/>
      <c r="C320" s="15" t="n"/>
      <c r="D320" s="15" t="n"/>
      <c r="E320" s="15" t="n"/>
      <c r="F320" s="15" t="n"/>
      <c r="G320" s="3">
        <f>IF(J320="","",IFERROR(INDEX(児童名簿!$D$2:$D$301,MATCH(J320,児童名簿!$F$2:$F$301,0)),""))</f>
        <v/>
      </c>
      <c r="H320" s="19">
        <f>IF(J320="","",IF(G320="","名簿にいない",IF(COUNTIF(J321:J$402,J320)&gt;0,"2回提出（下の行を使います）",IF(OR(AND(D320&lt;&gt;"",COUNTIF(設定!$G$8:$G$27,D320)=0),AND(E320&lt;&gt;"",COUNTIF(設定!$G$8:$G$27,E320)=0),AND(F320&lt;&gt;"",COUNTIF(設定!$G$8:$G$27,F320)=0)),"委員会名がちがう",IF(D320="","第1希望がない",IF(OR(AND(D320&lt;&gt;"",D320=E320),AND(D320&lt;&gt;"",D320=F320),AND(E320&lt;&gt;"",E320=F320)),"同じ委員会を重複して希望","OK"))))))</f>
        <v/>
      </c>
      <c r="J320" s="8">
        <f>IF(A320="","",A320&amp;"-"&amp;B320&amp;"-"&amp;C320)</f>
        <v/>
      </c>
      <c r="K320" s="8">
        <f>IF(OR(J320="",G320=""),"",IF(COUNTIF(J321:J$402,J320)=0,J320,""))</f>
        <v/>
      </c>
    </row>
    <row r="321">
      <c r="A321" s="15" t="n"/>
      <c r="B321" s="15" t="n"/>
      <c r="C321" s="15" t="n"/>
      <c r="D321" s="15" t="n"/>
      <c r="E321" s="15" t="n"/>
      <c r="F321" s="15" t="n"/>
      <c r="G321" s="3">
        <f>IF(J321="","",IFERROR(INDEX(児童名簿!$D$2:$D$301,MATCH(J321,児童名簿!$F$2:$F$301,0)),""))</f>
        <v/>
      </c>
      <c r="H321" s="19">
        <f>IF(J321="","",IF(G321="","名簿にいない",IF(COUNTIF(J322:J$402,J321)&gt;0,"2回提出（下の行を使います）",IF(OR(AND(D321&lt;&gt;"",COUNTIF(設定!$G$8:$G$27,D321)=0),AND(E321&lt;&gt;"",COUNTIF(設定!$G$8:$G$27,E321)=0),AND(F321&lt;&gt;"",COUNTIF(設定!$G$8:$G$27,F321)=0)),"委員会名がちがう",IF(D321="","第1希望がない",IF(OR(AND(D321&lt;&gt;"",D321=E321),AND(D321&lt;&gt;"",D321=F321),AND(E321&lt;&gt;"",E321=F321)),"同じ委員会を重複して希望","OK"))))))</f>
        <v/>
      </c>
      <c r="J321" s="8">
        <f>IF(A321="","",A321&amp;"-"&amp;B321&amp;"-"&amp;C321)</f>
        <v/>
      </c>
      <c r="K321" s="8">
        <f>IF(OR(J321="",G321=""),"",IF(COUNTIF(J322:J$402,J321)=0,J321,""))</f>
        <v/>
      </c>
    </row>
    <row r="322">
      <c r="A322" s="15" t="n"/>
      <c r="B322" s="15" t="n"/>
      <c r="C322" s="15" t="n"/>
      <c r="D322" s="15" t="n"/>
      <c r="E322" s="15" t="n"/>
      <c r="F322" s="15" t="n"/>
      <c r="G322" s="3">
        <f>IF(J322="","",IFERROR(INDEX(児童名簿!$D$2:$D$301,MATCH(J322,児童名簿!$F$2:$F$301,0)),""))</f>
        <v/>
      </c>
      <c r="H322" s="19">
        <f>IF(J322="","",IF(G322="","名簿にいない",IF(COUNTIF(J323:J$402,J322)&gt;0,"2回提出（下の行を使います）",IF(OR(AND(D322&lt;&gt;"",COUNTIF(設定!$G$8:$G$27,D322)=0),AND(E322&lt;&gt;"",COUNTIF(設定!$G$8:$G$27,E322)=0),AND(F322&lt;&gt;"",COUNTIF(設定!$G$8:$G$27,F322)=0)),"委員会名がちがう",IF(D322="","第1希望がない",IF(OR(AND(D322&lt;&gt;"",D322=E322),AND(D322&lt;&gt;"",D322=F322),AND(E322&lt;&gt;"",E322=F322)),"同じ委員会を重複して希望","OK"))))))</f>
        <v/>
      </c>
      <c r="J322" s="8">
        <f>IF(A322="","",A322&amp;"-"&amp;B322&amp;"-"&amp;C322)</f>
        <v/>
      </c>
      <c r="K322" s="8">
        <f>IF(OR(J322="",G322=""),"",IF(COUNTIF(J323:J$402,J322)=0,J322,""))</f>
        <v/>
      </c>
    </row>
    <row r="323">
      <c r="A323" s="15" t="n"/>
      <c r="B323" s="15" t="n"/>
      <c r="C323" s="15" t="n"/>
      <c r="D323" s="15" t="n"/>
      <c r="E323" s="15" t="n"/>
      <c r="F323" s="15" t="n"/>
      <c r="G323" s="3">
        <f>IF(J323="","",IFERROR(INDEX(児童名簿!$D$2:$D$301,MATCH(J323,児童名簿!$F$2:$F$301,0)),""))</f>
        <v/>
      </c>
      <c r="H323" s="19">
        <f>IF(J323="","",IF(G323="","名簿にいない",IF(COUNTIF(J324:J$402,J323)&gt;0,"2回提出（下の行を使います）",IF(OR(AND(D323&lt;&gt;"",COUNTIF(設定!$G$8:$G$27,D323)=0),AND(E323&lt;&gt;"",COUNTIF(設定!$G$8:$G$27,E323)=0),AND(F323&lt;&gt;"",COUNTIF(設定!$G$8:$G$27,F323)=0)),"委員会名がちがう",IF(D323="","第1希望がない",IF(OR(AND(D323&lt;&gt;"",D323=E323),AND(D323&lt;&gt;"",D323=F323),AND(E323&lt;&gt;"",E323=F323)),"同じ委員会を重複して希望","OK"))))))</f>
        <v/>
      </c>
      <c r="J323" s="8">
        <f>IF(A323="","",A323&amp;"-"&amp;B323&amp;"-"&amp;C323)</f>
        <v/>
      </c>
      <c r="K323" s="8">
        <f>IF(OR(J323="",G323=""),"",IF(COUNTIF(J324:J$402,J323)=0,J323,""))</f>
        <v/>
      </c>
    </row>
    <row r="324">
      <c r="A324" s="15" t="n"/>
      <c r="B324" s="15" t="n"/>
      <c r="C324" s="15" t="n"/>
      <c r="D324" s="15" t="n"/>
      <c r="E324" s="15" t="n"/>
      <c r="F324" s="15" t="n"/>
      <c r="G324" s="3">
        <f>IF(J324="","",IFERROR(INDEX(児童名簿!$D$2:$D$301,MATCH(J324,児童名簿!$F$2:$F$301,0)),""))</f>
        <v/>
      </c>
      <c r="H324" s="19">
        <f>IF(J324="","",IF(G324="","名簿にいない",IF(COUNTIF(J325:J$402,J324)&gt;0,"2回提出（下の行を使います）",IF(OR(AND(D324&lt;&gt;"",COUNTIF(設定!$G$8:$G$27,D324)=0),AND(E324&lt;&gt;"",COUNTIF(設定!$G$8:$G$27,E324)=0),AND(F324&lt;&gt;"",COUNTIF(設定!$G$8:$G$27,F324)=0)),"委員会名がちがう",IF(D324="","第1希望がない",IF(OR(AND(D324&lt;&gt;"",D324=E324),AND(D324&lt;&gt;"",D324=F324),AND(E324&lt;&gt;"",E324=F324)),"同じ委員会を重複して希望","OK"))))))</f>
        <v/>
      </c>
      <c r="J324" s="8">
        <f>IF(A324="","",A324&amp;"-"&amp;B324&amp;"-"&amp;C324)</f>
        <v/>
      </c>
      <c r="K324" s="8">
        <f>IF(OR(J324="",G324=""),"",IF(COUNTIF(J325:J$402,J324)=0,J324,""))</f>
        <v/>
      </c>
    </row>
    <row r="325">
      <c r="A325" s="15" t="n"/>
      <c r="B325" s="15" t="n"/>
      <c r="C325" s="15" t="n"/>
      <c r="D325" s="15" t="n"/>
      <c r="E325" s="15" t="n"/>
      <c r="F325" s="15" t="n"/>
      <c r="G325" s="3">
        <f>IF(J325="","",IFERROR(INDEX(児童名簿!$D$2:$D$301,MATCH(J325,児童名簿!$F$2:$F$301,0)),""))</f>
        <v/>
      </c>
      <c r="H325" s="19">
        <f>IF(J325="","",IF(G325="","名簿にいない",IF(COUNTIF(J326:J$402,J325)&gt;0,"2回提出（下の行を使います）",IF(OR(AND(D325&lt;&gt;"",COUNTIF(設定!$G$8:$G$27,D325)=0),AND(E325&lt;&gt;"",COUNTIF(設定!$G$8:$G$27,E325)=0),AND(F325&lt;&gt;"",COUNTIF(設定!$G$8:$G$27,F325)=0)),"委員会名がちがう",IF(D325="","第1希望がない",IF(OR(AND(D325&lt;&gt;"",D325=E325),AND(D325&lt;&gt;"",D325=F325),AND(E325&lt;&gt;"",E325=F325)),"同じ委員会を重複して希望","OK"))))))</f>
        <v/>
      </c>
      <c r="J325" s="8">
        <f>IF(A325="","",A325&amp;"-"&amp;B325&amp;"-"&amp;C325)</f>
        <v/>
      </c>
      <c r="K325" s="8">
        <f>IF(OR(J325="",G325=""),"",IF(COUNTIF(J326:J$402,J325)=0,J325,""))</f>
        <v/>
      </c>
    </row>
    <row r="326">
      <c r="A326" s="15" t="n"/>
      <c r="B326" s="15" t="n"/>
      <c r="C326" s="15" t="n"/>
      <c r="D326" s="15" t="n"/>
      <c r="E326" s="15" t="n"/>
      <c r="F326" s="15" t="n"/>
      <c r="G326" s="3">
        <f>IF(J326="","",IFERROR(INDEX(児童名簿!$D$2:$D$301,MATCH(J326,児童名簿!$F$2:$F$301,0)),""))</f>
        <v/>
      </c>
      <c r="H326" s="19">
        <f>IF(J326="","",IF(G326="","名簿にいない",IF(COUNTIF(J327:J$402,J326)&gt;0,"2回提出（下の行を使います）",IF(OR(AND(D326&lt;&gt;"",COUNTIF(設定!$G$8:$G$27,D326)=0),AND(E326&lt;&gt;"",COUNTIF(設定!$G$8:$G$27,E326)=0),AND(F326&lt;&gt;"",COUNTIF(設定!$G$8:$G$27,F326)=0)),"委員会名がちがう",IF(D326="","第1希望がない",IF(OR(AND(D326&lt;&gt;"",D326=E326),AND(D326&lt;&gt;"",D326=F326),AND(E326&lt;&gt;"",E326=F326)),"同じ委員会を重複して希望","OK"))))))</f>
        <v/>
      </c>
      <c r="J326" s="8">
        <f>IF(A326="","",A326&amp;"-"&amp;B326&amp;"-"&amp;C326)</f>
        <v/>
      </c>
      <c r="K326" s="8">
        <f>IF(OR(J326="",G326=""),"",IF(COUNTIF(J327:J$402,J326)=0,J326,""))</f>
        <v/>
      </c>
    </row>
    <row r="327">
      <c r="A327" s="15" t="n"/>
      <c r="B327" s="15" t="n"/>
      <c r="C327" s="15" t="n"/>
      <c r="D327" s="15" t="n"/>
      <c r="E327" s="15" t="n"/>
      <c r="F327" s="15" t="n"/>
      <c r="G327" s="3">
        <f>IF(J327="","",IFERROR(INDEX(児童名簿!$D$2:$D$301,MATCH(J327,児童名簿!$F$2:$F$301,0)),""))</f>
        <v/>
      </c>
      <c r="H327" s="19">
        <f>IF(J327="","",IF(G327="","名簿にいない",IF(COUNTIF(J328:J$402,J327)&gt;0,"2回提出（下の行を使います）",IF(OR(AND(D327&lt;&gt;"",COUNTIF(設定!$G$8:$G$27,D327)=0),AND(E327&lt;&gt;"",COUNTIF(設定!$G$8:$G$27,E327)=0),AND(F327&lt;&gt;"",COUNTIF(設定!$G$8:$G$27,F327)=0)),"委員会名がちがう",IF(D327="","第1希望がない",IF(OR(AND(D327&lt;&gt;"",D327=E327),AND(D327&lt;&gt;"",D327=F327),AND(E327&lt;&gt;"",E327=F327)),"同じ委員会を重複して希望","OK"))))))</f>
        <v/>
      </c>
      <c r="J327" s="8">
        <f>IF(A327="","",A327&amp;"-"&amp;B327&amp;"-"&amp;C327)</f>
        <v/>
      </c>
      <c r="K327" s="8">
        <f>IF(OR(J327="",G327=""),"",IF(COUNTIF(J328:J$402,J327)=0,J327,""))</f>
        <v/>
      </c>
    </row>
    <row r="328">
      <c r="A328" s="15" t="n"/>
      <c r="B328" s="15" t="n"/>
      <c r="C328" s="15" t="n"/>
      <c r="D328" s="15" t="n"/>
      <c r="E328" s="15" t="n"/>
      <c r="F328" s="15" t="n"/>
      <c r="G328" s="3">
        <f>IF(J328="","",IFERROR(INDEX(児童名簿!$D$2:$D$301,MATCH(J328,児童名簿!$F$2:$F$301,0)),""))</f>
        <v/>
      </c>
      <c r="H328" s="19">
        <f>IF(J328="","",IF(G328="","名簿にいない",IF(COUNTIF(J329:J$402,J328)&gt;0,"2回提出（下の行を使います）",IF(OR(AND(D328&lt;&gt;"",COUNTIF(設定!$G$8:$G$27,D328)=0),AND(E328&lt;&gt;"",COUNTIF(設定!$G$8:$G$27,E328)=0),AND(F328&lt;&gt;"",COUNTIF(設定!$G$8:$G$27,F328)=0)),"委員会名がちがう",IF(D328="","第1希望がない",IF(OR(AND(D328&lt;&gt;"",D328=E328),AND(D328&lt;&gt;"",D328=F328),AND(E328&lt;&gt;"",E328=F328)),"同じ委員会を重複して希望","OK"))))))</f>
        <v/>
      </c>
      <c r="J328" s="8">
        <f>IF(A328="","",A328&amp;"-"&amp;B328&amp;"-"&amp;C328)</f>
        <v/>
      </c>
      <c r="K328" s="8">
        <f>IF(OR(J328="",G328=""),"",IF(COUNTIF(J329:J$402,J328)=0,J328,""))</f>
        <v/>
      </c>
    </row>
    <row r="329">
      <c r="A329" s="15" t="n"/>
      <c r="B329" s="15" t="n"/>
      <c r="C329" s="15" t="n"/>
      <c r="D329" s="15" t="n"/>
      <c r="E329" s="15" t="n"/>
      <c r="F329" s="15" t="n"/>
      <c r="G329" s="3">
        <f>IF(J329="","",IFERROR(INDEX(児童名簿!$D$2:$D$301,MATCH(J329,児童名簿!$F$2:$F$301,0)),""))</f>
        <v/>
      </c>
      <c r="H329" s="19">
        <f>IF(J329="","",IF(G329="","名簿にいない",IF(COUNTIF(J330:J$402,J329)&gt;0,"2回提出（下の行を使います）",IF(OR(AND(D329&lt;&gt;"",COUNTIF(設定!$G$8:$G$27,D329)=0),AND(E329&lt;&gt;"",COUNTIF(設定!$G$8:$G$27,E329)=0),AND(F329&lt;&gt;"",COUNTIF(設定!$G$8:$G$27,F329)=0)),"委員会名がちがう",IF(D329="","第1希望がない",IF(OR(AND(D329&lt;&gt;"",D329=E329),AND(D329&lt;&gt;"",D329=F329),AND(E329&lt;&gt;"",E329=F329)),"同じ委員会を重複して希望","OK"))))))</f>
        <v/>
      </c>
      <c r="J329" s="8">
        <f>IF(A329="","",A329&amp;"-"&amp;B329&amp;"-"&amp;C329)</f>
        <v/>
      </c>
      <c r="K329" s="8">
        <f>IF(OR(J329="",G329=""),"",IF(COUNTIF(J330:J$402,J329)=0,J329,""))</f>
        <v/>
      </c>
    </row>
    <row r="330">
      <c r="A330" s="15" t="n"/>
      <c r="B330" s="15" t="n"/>
      <c r="C330" s="15" t="n"/>
      <c r="D330" s="15" t="n"/>
      <c r="E330" s="15" t="n"/>
      <c r="F330" s="15" t="n"/>
      <c r="G330" s="3">
        <f>IF(J330="","",IFERROR(INDEX(児童名簿!$D$2:$D$301,MATCH(J330,児童名簿!$F$2:$F$301,0)),""))</f>
        <v/>
      </c>
      <c r="H330" s="19">
        <f>IF(J330="","",IF(G330="","名簿にいない",IF(COUNTIF(J331:J$402,J330)&gt;0,"2回提出（下の行を使います）",IF(OR(AND(D330&lt;&gt;"",COUNTIF(設定!$G$8:$G$27,D330)=0),AND(E330&lt;&gt;"",COUNTIF(設定!$G$8:$G$27,E330)=0),AND(F330&lt;&gt;"",COUNTIF(設定!$G$8:$G$27,F330)=0)),"委員会名がちがう",IF(D330="","第1希望がない",IF(OR(AND(D330&lt;&gt;"",D330=E330),AND(D330&lt;&gt;"",D330=F330),AND(E330&lt;&gt;"",E330=F330)),"同じ委員会を重複して希望","OK"))))))</f>
        <v/>
      </c>
      <c r="J330" s="8">
        <f>IF(A330="","",A330&amp;"-"&amp;B330&amp;"-"&amp;C330)</f>
        <v/>
      </c>
      <c r="K330" s="8">
        <f>IF(OR(J330="",G330=""),"",IF(COUNTIF(J331:J$402,J330)=0,J330,""))</f>
        <v/>
      </c>
    </row>
    <row r="331">
      <c r="A331" s="15" t="n"/>
      <c r="B331" s="15" t="n"/>
      <c r="C331" s="15" t="n"/>
      <c r="D331" s="15" t="n"/>
      <c r="E331" s="15" t="n"/>
      <c r="F331" s="15" t="n"/>
      <c r="G331" s="3">
        <f>IF(J331="","",IFERROR(INDEX(児童名簿!$D$2:$D$301,MATCH(J331,児童名簿!$F$2:$F$301,0)),""))</f>
        <v/>
      </c>
      <c r="H331" s="19">
        <f>IF(J331="","",IF(G331="","名簿にいない",IF(COUNTIF(J332:J$402,J331)&gt;0,"2回提出（下の行を使います）",IF(OR(AND(D331&lt;&gt;"",COUNTIF(設定!$G$8:$G$27,D331)=0),AND(E331&lt;&gt;"",COUNTIF(設定!$G$8:$G$27,E331)=0),AND(F331&lt;&gt;"",COUNTIF(設定!$G$8:$G$27,F331)=0)),"委員会名がちがう",IF(D331="","第1希望がない",IF(OR(AND(D331&lt;&gt;"",D331=E331),AND(D331&lt;&gt;"",D331=F331),AND(E331&lt;&gt;"",E331=F331)),"同じ委員会を重複して希望","OK"))))))</f>
        <v/>
      </c>
      <c r="J331" s="8">
        <f>IF(A331="","",A331&amp;"-"&amp;B331&amp;"-"&amp;C331)</f>
        <v/>
      </c>
      <c r="K331" s="8">
        <f>IF(OR(J331="",G331=""),"",IF(COUNTIF(J332:J$402,J331)=0,J331,""))</f>
        <v/>
      </c>
    </row>
    <row r="332">
      <c r="A332" s="15" t="n"/>
      <c r="B332" s="15" t="n"/>
      <c r="C332" s="15" t="n"/>
      <c r="D332" s="15" t="n"/>
      <c r="E332" s="15" t="n"/>
      <c r="F332" s="15" t="n"/>
      <c r="G332" s="3">
        <f>IF(J332="","",IFERROR(INDEX(児童名簿!$D$2:$D$301,MATCH(J332,児童名簿!$F$2:$F$301,0)),""))</f>
        <v/>
      </c>
      <c r="H332" s="19">
        <f>IF(J332="","",IF(G332="","名簿にいない",IF(COUNTIF(J333:J$402,J332)&gt;0,"2回提出（下の行を使います）",IF(OR(AND(D332&lt;&gt;"",COUNTIF(設定!$G$8:$G$27,D332)=0),AND(E332&lt;&gt;"",COUNTIF(設定!$G$8:$G$27,E332)=0),AND(F332&lt;&gt;"",COUNTIF(設定!$G$8:$G$27,F332)=0)),"委員会名がちがう",IF(D332="","第1希望がない",IF(OR(AND(D332&lt;&gt;"",D332=E332),AND(D332&lt;&gt;"",D332=F332),AND(E332&lt;&gt;"",E332=F332)),"同じ委員会を重複して希望","OK"))))))</f>
        <v/>
      </c>
      <c r="J332" s="8">
        <f>IF(A332="","",A332&amp;"-"&amp;B332&amp;"-"&amp;C332)</f>
        <v/>
      </c>
      <c r="K332" s="8">
        <f>IF(OR(J332="",G332=""),"",IF(COUNTIF(J333:J$402,J332)=0,J332,""))</f>
        <v/>
      </c>
    </row>
    <row r="333">
      <c r="A333" s="15" t="n"/>
      <c r="B333" s="15" t="n"/>
      <c r="C333" s="15" t="n"/>
      <c r="D333" s="15" t="n"/>
      <c r="E333" s="15" t="n"/>
      <c r="F333" s="15" t="n"/>
      <c r="G333" s="3">
        <f>IF(J333="","",IFERROR(INDEX(児童名簿!$D$2:$D$301,MATCH(J333,児童名簿!$F$2:$F$301,0)),""))</f>
        <v/>
      </c>
      <c r="H333" s="19">
        <f>IF(J333="","",IF(G333="","名簿にいない",IF(COUNTIF(J334:J$402,J333)&gt;0,"2回提出（下の行を使います）",IF(OR(AND(D333&lt;&gt;"",COUNTIF(設定!$G$8:$G$27,D333)=0),AND(E333&lt;&gt;"",COUNTIF(設定!$G$8:$G$27,E333)=0),AND(F333&lt;&gt;"",COUNTIF(設定!$G$8:$G$27,F333)=0)),"委員会名がちがう",IF(D333="","第1希望がない",IF(OR(AND(D333&lt;&gt;"",D333=E333),AND(D333&lt;&gt;"",D333=F333),AND(E333&lt;&gt;"",E333=F333)),"同じ委員会を重複して希望","OK"))))))</f>
        <v/>
      </c>
      <c r="J333" s="8">
        <f>IF(A333="","",A333&amp;"-"&amp;B333&amp;"-"&amp;C333)</f>
        <v/>
      </c>
      <c r="K333" s="8">
        <f>IF(OR(J333="",G333=""),"",IF(COUNTIF(J334:J$402,J333)=0,J333,""))</f>
        <v/>
      </c>
    </row>
    <row r="334">
      <c r="A334" s="15" t="n"/>
      <c r="B334" s="15" t="n"/>
      <c r="C334" s="15" t="n"/>
      <c r="D334" s="15" t="n"/>
      <c r="E334" s="15" t="n"/>
      <c r="F334" s="15" t="n"/>
      <c r="G334" s="3">
        <f>IF(J334="","",IFERROR(INDEX(児童名簿!$D$2:$D$301,MATCH(J334,児童名簿!$F$2:$F$301,0)),""))</f>
        <v/>
      </c>
      <c r="H334" s="19">
        <f>IF(J334="","",IF(G334="","名簿にいない",IF(COUNTIF(J335:J$402,J334)&gt;0,"2回提出（下の行を使います）",IF(OR(AND(D334&lt;&gt;"",COUNTIF(設定!$G$8:$G$27,D334)=0),AND(E334&lt;&gt;"",COUNTIF(設定!$G$8:$G$27,E334)=0),AND(F334&lt;&gt;"",COUNTIF(設定!$G$8:$G$27,F334)=0)),"委員会名がちがう",IF(D334="","第1希望がない",IF(OR(AND(D334&lt;&gt;"",D334=E334),AND(D334&lt;&gt;"",D334=F334),AND(E334&lt;&gt;"",E334=F334)),"同じ委員会を重複して希望","OK"))))))</f>
        <v/>
      </c>
      <c r="J334" s="8">
        <f>IF(A334="","",A334&amp;"-"&amp;B334&amp;"-"&amp;C334)</f>
        <v/>
      </c>
      <c r="K334" s="8">
        <f>IF(OR(J334="",G334=""),"",IF(COUNTIF(J335:J$402,J334)=0,J334,""))</f>
        <v/>
      </c>
    </row>
    <row r="335">
      <c r="A335" s="15" t="n"/>
      <c r="B335" s="15" t="n"/>
      <c r="C335" s="15" t="n"/>
      <c r="D335" s="15" t="n"/>
      <c r="E335" s="15" t="n"/>
      <c r="F335" s="15" t="n"/>
      <c r="G335" s="3">
        <f>IF(J335="","",IFERROR(INDEX(児童名簿!$D$2:$D$301,MATCH(J335,児童名簿!$F$2:$F$301,0)),""))</f>
        <v/>
      </c>
      <c r="H335" s="19">
        <f>IF(J335="","",IF(G335="","名簿にいない",IF(COUNTIF(J336:J$402,J335)&gt;0,"2回提出（下の行を使います）",IF(OR(AND(D335&lt;&gt;"",COUNTIF(設定!$G$8:$G$27,D335)=0),AND(E335&lt;&gt;"",COUNTIF(設定!$G$8:$G$27,E335)=0),AND(F335&lt;&gt;"",COUNTIF(設定!$G$8:$G$27,F335)=0)),"委員会名がちがう",IF(D335="","第1希望がない",IF(OR(AND(D335&lt;&gt;"",D335=E335),AND(D335&lt;&gt;"",D335=F335),AND(E335&lt;&gt;"",E335=F335)),"同じ委員会を重複して希望","OK"))))))</f>
        <v/>
      </c>
      <c r="J335" s="8">
        <f>IF(A335="","",A335&amp;"-"&amp;B335&amp;"-"&amp;C335)</f>
        <v/>
      </c>
      <c r="K335" s="8">
        <f>IF(OR(J335="",G335=""),"",IF(COUNTIF(J336:J$402,J335)=0,J335,""))</f>
        <v/>
      </c>
    </row>
    <row r="336">
      <c r="A336" s="15" t="n"/>
      <c r="B336" s="15" t="n"/>
      <c r="C336" s="15" t="n"/>
      <c r="D336" s="15" t="n"/>
      <c r="E336" s="15" t="n"/>
      <c r="F336" s="15" t="n"/>
      <c r="G336" s="3">
        <f>IF(J336="","",IFERROR(INDEX(児童名簿!$D$2:$D$301,MATCH(J336,児童名簿!$F$2:$F$301,0)),""))</f>
        <v/>
      </c>
      <c r="H336" s="19">
        <f>IF(J336="","",IF(G336="","名簿にいない",IF(COUNTIF(J337:J$402,J336)&gt;0,"2回提出（下の行を使います）",IF(OR(AND(D336&lt;&gt;"",COUNTIF(設定!$G$8:$G$27,D336)=0),AND(E336&lt;&gt;"",COUNTIF(設定!$G$8:$G$27,E336)=0),AND(F336&lt;&gt;"",COUNTIF(設定!$G$8:$G$27,F336)=0)),"委員会名がちがう",IF(D336="","第1希望がない",IF(OR(AND(D336&lt;&gt;"",D336=E336),AND(D336&lt;&gt;"",D336=F336),AND(E336&lt;&gt;"",E336=F336)),"同じ委員会を重複して希望","OK"))))))</f>
        <v/>
      </c>
      <c r="J336" s="8">
        <f>IF(A336="","",A336&amp;"-"&amp;B336&amp;"-"&amp;C336)</f>
        <v/>
      </c>
      <c r="K336" s="8">
        <f>IF(OR(J336="",G336=""),"",IF(COUNTIF(J337:J$402,J336)=0,J336,""))</f>
        <v/>
      </c>
    </row>
    <row r="337">
      <c r="A337" s="15" t="n"/>
      <c r="B337" s="15" t="n"/>
      <c r="C337" s="15" t="n"/>
      <c r="D337" s="15" t="n"/>
      <c r="E337" s="15" t="n"/>
      <c r="F337" s="15" t="n"/>
      <c r="G337" s="3">
        <f>IF(J337="","",IFERROR(INDEX(児童名簿!$D$2:$D$301,MATCH(J337,児童名簿!$F$2:$F$301,0)),""))</f>
        <v/>
      </c>
      <c r="H337" s="19">
        <f>IF(J337="","",IF(G337="","名簿にいない",IF(COUNTIF(J338:J$402,J337)&gt;0,"2回提出（下の行を使います）",IF(OR(AND(D337&lt;&gt;"",COUNTIF(設定!$G$8:$G$27,D337)=0),AND(E337&lt;&gt;"",COUNTIF(設定!$G$8:$G$27,E337)=0),AND(F337&lt;&gt;"",COUNTIF(設定!$G$8:$G$27,F337)=0)),"委員会名がちがう",IF(D337="","第1希望がない",IF(OR(AND(D337&lt;&gt;"",D337=E337),AND(D337&lt;&gt;"",D337=F337),AND(E337&lt;&gt;"",E337=F337)),"同じ委員会を重複して希望","OK"))))))</f>
        <v/>
      </c>
      <c r="J337" s="8">
        <f>IF(A337="","",A337&amp;"-"&amp;B337&amp;"-"&amp;C337)</f>
        <v/>
      </c>
      <c r="K337" s="8">
        <f>IF(OR(J337="",G337=""),"",IF(COUNTIF(J338:J$402,J337)=0,J337,""))</f>
        <v/>
      </c>
    </row>
    <row r="338">
      <c r="A338" s="15" t="n"/>
      <c r="B338" s="15" t="n"/>
      <c r="C338" s="15" t="n"/>
      <c r="D338" s="15" t="n"/>
      <c r="E338" s="15" t="n"/>
      <c r="F338" s="15" t="n"/>
      <c r="G338" s="3">
        <f>IF(J338="","",IFERROR(INDEX(児童名簿!$D$2:$D$301,MATCH(J338,児童名簿!$F$2:$F$301,0)),""))</f>
        <v/>
      </c>
      <c r="H338" s="19">
        <f>IF(J338="","",IF(G338="","名簿にいない",IF(COUNTIF(J339:J$402,J338)&gt;0,"2回提出（下の行を使います）",IF(OR(AND(D338&lt;&gt;"",COUNTIF(設定!$G$8:$G$27,D338)=0),AND(E338&lt;&gt;"",COUNTIF(設定!$G$8:$G$27,E338)=0),AND(F338&lt;&gt;"",COUNTIF(設定!$G$8:$G$27,F338)=0)),"委員会名がちがう",IF(D338="","第1希望がない",IF(OR(AND(D338&lt;&gt;"",D338=E338),AND(D338&lt;&gt;"",D338=F338),AND(E338&lt;&gt;"",E338=F338)),"同じ委員会を重複して希望","OK"))))))</f>
        <v/>
      </c>
      <c r="J338" s="8">
        <f>IF(A338="","",A338&amp;"-"&amp;B338&amp;"-"&amp;C338)</f>
        <v/>
      </c>
      <c r="K338" s="8">
        <f>IF(OR(J338="",G338=""),"",IF(COUNTIF(J339:J$402,J338)=0,J338,""))</f>
        <v/>
      </c>
    </row>
    <row r="339">
      <c r="A339" s="15" t="n"/>
      <c r="B339" s="15" t="n"/>
      <c r="C339" s="15" t="n"/>
      <c r="D339" s="15" t="n"/>
      <c r="E339" s="15" t="n"/>
      <c r="F339" s="15" t="n"/>
      <c r="G339" s="3">
        <f>IF(J339="","",IFERROR(INDEX(児童名簿!$D$2:$D$301,MATCH(J339,児童名簿!$F$2:$F$301,0)),""))</f>
        <v/>
      </c>
      <c r="H339" s="19">
        <f>IF(J339="","",IF(G339="","名簿にいない",IF(COUNTIF(J340:J$402,J339)&gt;0,"2回提出（下の行を使います）",IF(OR(AND(D339&lt;&gt;"",COUNTIF(設定!$G$8:$G$27,D339)=0),AND(E339&lt;&gt;"",COUNTIF(設定!$G$8:$G$27,E339)=0),AND(F339&lt;&gt;"",COUNTIF(設定!$G$8:$G$27,F339)=0)),"委員会名がちがう",IF(D339="","第1希望がない",IF(OR(AND(D339&lt;&gt;"",D339=E339),AND(D339&lt;&gt;"",D339=F339),AND(E339&lt;&gt;"",E339=F339)),"同じ委員会を重複して希望","OK"))))))</f>
        <v/>
      </c>
      <c r="J339" s="8">
        <f>IF(A339="","",A339&amp;"-"&amp;B339&amp;"-"&amp;C339)</f>
        <v/>
      </c>
      <c r="K339" s="8">
        <f>IF(OR(J339="",G339=""),"",IF(COUNTIF(J340:J$402,J339)=0,J339,""))</f>
        <v/>
      </c>
    </row>
    <row r="340">
      <c r="A340" s="15" t="n"/>
      <c r="B340" s="15" t="n"/>
      <c r="C340" s="15" t="n"/>
      <c r="D340" s="15" t="n"/>
      <c r="E340" s="15" t="n"/>
      <c r="F340" s="15" t="n"/>
      <c r="G340" s="3">
        <f>IF(J340="","",IFERROR(INDEX(児童名簿!$D$2:$D$301,MATCH(J340,児童名簿!$F$2:$F$301,0)),""))</f>
        <v/>
      </c>
      <c r="H340" s="19">
        <f>IF(J340="","",IF(G340="","名簿にいない",IF(COUNTIF(J341:J$402,J340)&gt;0,"2回提出（下の行を使います）",IF(OR(AND(D340&lt;&gt;"",COUNTIF(設定!$G$8:$G$27,D340)=0),AND(E340&lt;&gt;"",COUNTIF(設定!$G$8:$G$27,E340)=0),AND(F340&lt;&gt;"",COUNTIF(設定!$G$8:$G$27,F340)=0)),"委員会名がちがう",IF(D340="","第1希望がない",IF(OR(AND(D340&lt;&gt;"",D340=E340),AND(D340&lt;&gt;"",D340=F340),AND(E340&lt;&gt;"",E340=F340)),"同じ委員会を重複して希望","OK"))))))</f>
        <v/>
      </c>
      <c r="J340" s="8">
        <f>IF(A340="","",A340&amp;"-"&amp;B340&amp;"-"&amp;C340)</f>
        <v/>
      </c>
      <c r="K340" s="8">
        <f>IF(OR(J340="",G340=""),"",IF(COUNTIF(J341:J$402,J340)=0,J340,""))</f>
        <v/>
      </c>
    </row>
    <row r="341">
      <c r="A341" s="15" t="n"/>
      <c r="B341" s="15" t="n"/>
      <c r="C341" s="15" t="n"/>
      <c r="D341" s="15" t="n"/>
      <c r="E341" s="15" t="n"/>
      <c r="F341" s="15" t="n"/>
      <c r="G341" s="3">
        <f>IF(J341="","",IFERROR(INDEX(児童名簿!$D$2:$D$301,MATCH(J341,児童名簿!$F$2:$F$301,0)),""))</f>
        <v/>
      </c>
      <c r="H341" s="19">
        <f>IF(J341="","",IF(G341="","名簿にいない",IF(COUNTIF(J342:J$402,J341)&gt;0,"2回提出（下の行を使います）",IF(OR(AND(D341&lt;&gt;"",COUNTIF(設定!$G$8:$G$27,D341)=0),AND(E341&lt;&gt;"",COUNTIF(設定!$G$8:$G$27,E341)=0),AND(F341&lt;&gt;"",COUNTIF(設定!$G$8:$G$27,F341)=0)),"委員会名がちがう",IF(D341="","第1希望がない",IF(OR(AND(D341&lt;&gt;"",D341=E341),AND(D341&lt;&gt;"",D341=F341),AND(E341&lt;&gt;"",E341=F341)),"同じ委員会を重複して希望","OK"))))))</f>
        <v/>
      </c>
      <c r="J341" s="8">
        <f>IF(A341="","",A341&amp;"-"&amp;B341&amp;"-"&amp;C341)</f>
        <v/>
      </c>
      <c r="K341" s="8">
        <f>IF(OR(J341="",G341=""),"",IF(COUNTIF(J342:J$402,J341)=0,J341,""))</f>
        <v/>
      </c>
    </row>
    <row r="342">
      <c r="A342" s="15" t="n"/>
      <c r="B342" s="15" t="n"/>
      <c r="C342" s="15" t="n"/>
      <c r="D342" s="15" t="n"/>
      <c r="E342" s="15" t="n"/>
      <c r="F342" s="15" t="n"/>
      <c r="G342" s="3">
        <f>IF(J342="","",IFERROR(INDEX(児童名簿!$D$2:$D$301,MATCH(J342,児童名簿!$F$2:$F$301,0)),""))</f>
        <v/>
      </c>
      <c r="H342" s="19">
        <f>IF(J342="","",IF(G342="","名簿にいない",IF(COUNTIF(J343:J$402,J342)&gt;0,"2回提出（下の行を使います）",IF(OR(AND(D342&lt;&gt;"",COUNTIF(設定!$G$8:$G$27,D342)=0),AND(E342&lt;&gt;"",COUNTIF(設定!$G$8:$G$27,E342)=0),AND(F342&lt;&gt;"",COUNTIF(設定!$G$8:$G$27,F342)=0)),"委員会名がちがう",IF(D342="","第1希望がない",IF(OR(AND(D342&lt;&gt;"",D342=E342),AND(D342&lt;&gt;"",D342=F342),AND(E342&lt;&gt;"",E342=F342)),"同じ委員会を重複して希望","OK"))))))</f>
        <v/>
      </c>
      <c r="J342" s="8">
        <f>IF(A342="","",A342&amp;"-"&amp;B342&amp;"-"&amp;C342)</f>
        <v/>
      </c>
      <c r="K342" s="8">
        <f>IF(OR(J342="",G342=""),"",IF(COUNTIF(J343:J$402,J342)=0,J342,""))</f>
        <v/>
      </c>
    </row>
    <row r="343">
      <c r="A343" s="15" t="n"/>
      <c r="B343" s="15" t="n"/>
      <c r="C343" s="15" t="n"/>
      <c r="D343" s="15" t="n"/>
      <c r="E343" s="15" t="n"/>
      <c r="F343" s="15" t="n"/>
      <c r="G343" s="3">
        <f>IF(J343="","",IFERROR(INDEX(児童名簿!$D$2:$D$301,MATCH(J343,児童名簿!$F$2:$F$301,0)),""))</f>
        <v/>
      </c>
      <c r="H343" s="19">
        <f>IF(J343="","",IF(G343="","名簿にいない",IF(COUNTIF(J344:J$402,J343)&gt;0,"2回提出（下の行を使います）",IF(OR(AND(D343&lt;&gt;"",COUNTIF(設定!$G$8:$G$27,D343)=0),AND(E343&lt;&gt;"",COUNTIF(設定!$G$8:$G$27,E343)=0),AND(F343&lt;&gt;"",COUNTIF(設定!$G$8:$G$27,F343)=0)),"委員会名がちがう",IF(D343="","第1希望がない",IF(OR(AND(D343&lt;&gt;"",D343=E343),AND(D343&lt;&gt;"",D343=F343),AND(E343&lt;&gt;"",E343=F343)),"同じ委員会を重複して希望","OK"))))))</f>
        <v/>
      </c>
      <c r="J343" s="8">
        <f>IF(A343="","",A343&amp;"-"&amp;B343&amp;"-"&amp;C343)</f>
        <v/>
      </c>
      <c r="K343" s="8">
        <f>IF(OR(J343="",G343=""),"",IF(COUNTIF(J344:J$402,J343)=0,J343,""))</f>
        <v/>
      </c>
    </row>
    <row r="344">
      <c r="A344" s="15" t="n"/>
      <c r="B344" s="15" t="n"/>
      <c r="C344" s="15" t="n"/>
      <c r="D344" s="15" t="n"/>
      <c r="E344" s="15" t="n"/>
      <c r="F344" s="15" t="n"/>
      <c r="G344" s="3">
        <f>IF(J344="","",IFERROR(INDEX(児童名簿!$D$2:$D$301,MATCH(J344,児童名簿!$F$2:$F$301,0)),""))</f>
        <v/>
      </c>
      <c r="H344" s="19">
        <f>IF(J344="","",IF(G344="","名簿にいない",IF(COUNTIF(J345:J$402,J344)&gt;0,"2回提出（下の行を使います）",IF(OR(AND(D344&lt;&gt;"",COUNTIF(設定!$G$8:$G$27,D344)=0),AND(E344&lt;&gt;"",COUNTIF(設定!$G$8:$G$27,E344)=0),AND(F344&lt;&gt;"",COUNTIF(設定!$G$8:$G$27,F344)=0)),"委員会名がちがう",IF(D344="","第1希望がない",IF(OR(AND(D344&lt;&gt;"",D344=E344),AND(D344&lt;&gt;"",D344=F344),AND(E344&lt;&gt;"",E344=F344)),"同じ委員会を重複して希望","OK"))))))</f>
        <v/>
      </c>
      <c r="J344" s="8">
        <f>IF(A344="","",A344&amp;"-"&amp;B344&amp;"-"&amp;C344)</f>
        <v/>
      </c>
      <c r="K344" s="8">
        <f>IF(OR(J344="",G344=""),"",IF(COUNTIF(J345:J$402,J344)=0,J344,""))</f>
        <v/>
      </c>
    </row>
    <row r="345">
      <c r="A345" s="15" t="n"/>
      <c r="B345" s="15" t="n"/>
      <c r="C345" s="15" t="n"/>
      <c r="D345" s="15" t="n"/>
      <c r="E345" s="15" t="n"/>
      <c r="F345" s="15" t="n"/>
      <c r="G345" s="3">
        <f>IF(J345="","",IFERROR(INDEX(児童名簿!$D$2:$D$301,MATCH(J345,児童名簿!$F$2:$F$301,0)),""))</f>
        <v/>
      </c>
      <c r="H345" s="19">
        <f>IF(J345="","",IF(G345="","名簿にいない",IF(COUNTIF(J346:J$402,J345)&gt;0,"2回提出（下の行を使います）",IF(OR(AND(D345&lt;&gt;"",COUNTIF(設定!$G$8:$G$27,D345)=0),AND(E345&lt;&gt;"",COUNTIF(設定!$G$8:$G$27,E345)=0),AND(F345&lt;&gt;"",COUNTIF(設定!$G$8:$G$27,F345)=0)),"委員会名がちがう",IF(D345="","第1希望がない",IF(OR(AND(D345&lt;&gt;"",D345=E345),AND(D345&lt;&gt;"",D345=F345),AND(E345&lt;&gt;"",E345=F345)),"同じ委員会を重複して希望","OK"))))))</f>
        <v/>
      </c>
      <c r="J345" s="8">
        <f>IF(A345="","",A345&amp;"-"&amp;B345&amp;"-"&amp;C345)</f>
        <v/>
      </c>
      <c r="K345" s="8">
        <f>IF(OR(J345="",G345=""),"",IF(COUNTIF(J346:J$402,J345)=0,J345,""))</f>
        <v/>
      </c>
    </row>
    <row r="346">
      <c r="A346" s="15" t="n"/>
      <c r="B346" s="15" t="n"/>
      <c r="C346" s="15" t="n"/>
      <c r="D346" s="15" t="n"/>
      <c r="E346" s="15" t="n"/>
      <c r="F346" s="15" t="n"/>
      <c r="G346" s="3">
        <f>IF(J346="","",IFERROR(INDEX(児童名簿!$D$2:$D$301,MATCH(J346,児童名簿!$F$2:$F$301,0)),""))</f>
        <v/>
      </c>
      <c r="H346" s="19">
        <f>IF(J346="","",IF(G346="","名簿にいない",IF(COUNTIF(J347:J$402,J346)&gt;0,"2回提出（下の行を使います）",IF(OR(AND(D346&lt;&gt;"",COUNTIF(設定!$G$8:$G$27,D346)=0),AND(E346&lt;&gt;"",COUNTIF(設定!$G$8:$G$27,E346)=0),AND(F346&lt;&gt;"",COUNTIF(設定!$G$8:$G$27,F346)=0)),"委員会名がちがう",IF(D346="","第1希望がない",IF(OR(AND(D346&lt;&gt;"",D346=E346),AND(D346&lt;&gt;"",D346=F346),AND(E346&lt;&gt;"",E346=F346)),"同じ委員会を重複して希望","OK"))))))</f>
        <v/>
      </c>
      <c r="J346" s="8">
        <f>IF(A346="","",A346&amp;"-"&amp;B346&amp;"-"&amp;C346)</f>
        <v/>
      </c>
      <c r="K346" s="8">
        <f>IF(OR(J346="",G346=""),"",IF(COUNTIF(J347:J$402,J346)=0,J346,""))</f>
        <v/>
      </c>
    </row>
    <row r="347">
      <c r="A347" s="15" t="n"/>
      <c r="B347" s="15" t="n"/>
      <c r="C347" s="15" t="n"/>
      <c r="D347" s="15" t="n"/>
      <c r="E347" s="15" t="n"/>
      <c r="F347" s="15" t="n"/>
      <c r="G347" s="3">
        <f>IF(J347="","",IFERROR(INDEX(児童名簿!$D$2:$D$301,MATCH(J347,児童名簿!$F$2:$F$301,0)),""))</f>
        <v/>
      </c>
      <c r="H347" s="19">
        <f>IF(J347="","",IF(G347="","名簿にいない",IF(COUNTIF(J348:J$402,J347)&gt;0,"2回提出（下の行を使います）",IF(OR(AND(D347&lt;&gt;"",COUNTIF(設定!$G$8:$G$27,D347)=0),AND(E347&lt;&gt;"",COUNTIF(設定!$G$8:$G$27,E347)=0),AND(F347&lt;&gt;"",COUNTIF(設定!$G$8:$G$27,F347)=0)),"委員会名がちがう",IF(D347="","第1希望がない",IF(OR(AND(D347&lt;&gt;"",D347=E347),AND(D347&lt;&gt;"",D347=F347),AND(E347&lt;&gt;"",E347=F347)),"同じ委員会を重複して希望","OK"))))))</f>
        <v/>
      </c>
      <c r="J347" s="8">
        <f>IF(A347="","",A347&amp;"-"&amp;B347&amp;"-"&amp;C347)</f>
        <v/>
      </c>
      <c r="K347" s="8">
        <f>IF(OR(J347="",G347=""),"",IF(COUNTIF(J348:J$402,J347)=0,J347,""))</f>
        <v/>
      </c>
    </row>
    <row r="348">
      <c r="A348" s="15" t="n"/>
      <c r="B348" s="15" t="n"/>
      <c r="C348" s="15" t="n"/>
      <c r="D348" s="15" t="n"/>
      <c r="E348" s="15" t="n"/>
      <c r="F348" s="15" t="n"/>
      <c r="G348" s="3">
        <f>IF(J348="","",IFERROR(INDEX(児童名簿!$D$2:$D$301,MATCH(J348,児童名簿!$F$2:$F$301,0)),""))</f>
        <v/>
      </c>
      <c r="H348" s="19">
        <f>IF(J348="","",IF(G348="","名簿にいない",IF(COUNTIF(J349:J$402,J348)&gt;0,"2回提出（下の行を使います）",IF(OR(AND(D348&lt;&gt;"",COUNTIF(設定!$G$8:$G$27,D348)=0),AND(E348&lt;&gt;"",COUNTIF(設定!$G$8:$G$27,E348)=0),AND(F348&lt;&gt;"",COUNTIF(設定!$G$8:$G$27,F348)=0)),"委員会名がちがう",IF(D348="","第1希望がない",IF(OR(AND(D348&lt;&gt;"",D348=E348),AND(D348&lt;&gt;"",D348=F348),AND(E348&lt;&gt;"",E348=F348)),"同じ委員会を重複して希望","OK"))))))</f>
        <v/>
      </c>
      <c r="J348" s="8">
        <f>IF(A348="","",A348&amp;"-"&amp;B348&amp;"-"&amp;C348)</f>
        <v/>
      </c>
      <c r="K348" s="8">
        <f>IF(OR(J348="",G348=""),"",IF(COUNTIF(J349:J$402,J348)=0,J348,""))</f>
        <v/>
      </c>
    </row>
    <row r="349">
      <c r="A349" s="15" t="n"/>
      <c r="B349" s="15" t="n"/>
      <c r="C349" s="15" t="n"/>
      <c r="D349" s="15" t="n"/>
      <c r="E349" s="15" t="n"/>
      <c r="F349" s="15" t="n"/>
      <c r="G349" s="3">
        <f>IF(J349="","",IFERROR(INDEX(児童名簿!$D$2:$D$301,MATCH(J349,児童名簿!$F$2:$F$301,0)),""))</f>
        <v/>
      </c>
      <c r="H349" s="19">
        <f>IF(J349="","",IF(G349="","名簿にいない",IF(COUNTIF(J350:J$402,J349)&gt;0,"2回提出（下の行を使います）",IF(OR(AND(D349&lt;&gt;"",COUNTIF(設定!$G$8:$G$27,D349)=0),AND(E349&lt;&gt;"",COUNTIF(設定!$G$8:$G$27,E349)=0),AND(F349&lt;&gt;"",COUNTIF(設定!$G$8:$G$27,F349)=0)),"委員会名がちがう",IF(D349="","第1希望がない",IF(OR(AND(D349&lt;&gt;"",D349=E349),AND(D349&lt;&gt;"",D349=F349),AND(E349&lt;&gt;"",E349=F349)),"同じ委員会を重複して希望","OK"))))))</f>
        <v/>
      </c>
      <c r="J349" s="8">
        <f>IF(A349="","",A349&amp;"-"&amp;B349&amp;"-"&amp;C349)</f>
        <v/>
      </c>
      <c r="K349" s="8">
        <f>IF(OR(J349="",G349=""),"",IF(COUNTIF(J350:J$402,J349)=0,J349,""))</f>
        <v/>
      </c>
    </row>
    <row r="350">
      <c r="A350" s="15" t="n"/>
      <c r="B350" s="15" t="n"/>
      <c r="C350" s="15" t="n"/>
      <c r="D350" s="15" t="n"/>
      <c r="E350" s="15" t="n"/>
      <c r="F350" s="15" t="n"/>
      <c r="G350" s="3">
        <f>IF(J350="","",IFERROR(INDEX(児童名簿!$D$2:$D$301,MATCH(J350,児童名簿!$F$2:$F$301,0)),""))</f>
        <v/>
      </c>
      <c r="H350" s="19">
        <f>IF(J350="","",IF(G350="","名簿にいない",IF(COUNTIF(J351:J$402,J350)&gt;0,"2回提出（下の行を使います）",IF(OR(AND(D350&lt;&gt;"",COUNTIF(設定!$G$8:$G$27,D350)=0),AND(E350&lt;&gt;"",COUNTIF(設定!$G$8:$G$27,E350)=0),AND(F350&lt;&gt;"",COUNTIF(設定!$G$8:$G$27,F350)=0)),"委員会名がちがう",IF(D350="","第1希望がない",IF(OR(AND(D350&lt;&gt;"",D350=E350),AND(D350&lt;&gt;"",D350=F350),AND(E350&lt;&gt;"",E350=F350)),"同じ委員会を重複して希望","OK"))))))</f>
        <v/>
      </c>
      <c r="J350" s="8">
        <f>IF(A350="","",A350&amp;"-"&amp;B350&amp;"-"&amp;C350)</f>
        <v/>
      </c>
      <c r="K350" s="8">
        <f>IF(OR(J350="",G350=""),"",IF(COUNTIF(J351:J$402,J350)=0,J350,""))</f>
        <v/>
      </c>
    </row>
    <row r="351">
      <c r="A351" s="15" t="n"/>
      <c r="B351" s="15" t="n"/>
      <c r="C351" s="15" t="n"/>
      <c r="D351" s="15" t="n"/>
      <c r="E351" s="15" t="n"/>
      <c r="F351" s="15" t="n"/>
      <c r="G351" s="3">
        <f>IF(J351="","",IFERROR(INDEX(児童名簿!$D$2:$D$301,MATCH(J351,児童名簿!$F$2:$F$301,0)),""))</f>
        <v/>
      </c>
      <c r="H351" s="19">
        <f>IF(J351="","",IF(G351="","名簿にいない",IF(COUNTIF(J352:J$402,J351)&gt;0,"2回提出（下の行を使います）",IF(OR(AND(D351&lt;&gt;"",COUNTIF(設定!$G$8:$G$27,D351)=0),AND(E351&lt;&gt;"",COUNTIF(設定!$G$8:$G$27,E351)=0),AND(F351&lt;&gt;"",COUNTIF(設定!$G$8:$G$27,F351)=0)),"委員会名がちがう",IF(D351="","第1希望がない",IF(OR(AND(D351&lt;&gt;"",D351=E351),AND(D351&lt;&gt;"",D351=F351),AND(E351&lt;&gt;"",E351=F351)),"同じ委員会を重複して希望","OK"))))))</f>
        <v/>
      </c>
      <c r="J351" s="8">
        <f>IF(A351="","",A351&amp;"-"&amp;B351&amp;"-"&amp;C351)</f>
        <v/>
      </c>
      <c r="K351" s="8">
        <f>IF(OR(J351="",G351=""),"",IF(COUNTIF(J352:J$402,J351)=0,J351,""))</f>
        <v/>
      </c>
    </row>
    <row r="352">
      <c r="A352" s="15" t="n"/>
      <c r="B352" s="15" t="n"/>
      <c r="C352" s="15" t="n"/>
      <c r="D352" s="15" t="n"/>
      <c r="E352" s="15" t="n"/>
      <c r="F352" s="15" t="n"/>
      <c r="G352" s="3">
        <f>IF(J352="","",IFERROR(INDEX(児童名簿!$D$2:$D$301,MATCH(J352,児童名簿!$F$2:$F$301,0)),""))</f>
        <v/>
      </c>
      <c r="H352" s="19">
        <f>IF(J352="","",IF(G352="","名簿にいない",IF(COUNTIF(J353:J$402,J352)&gt;0,"2回提出（下の行を使います）",IF(OR(AND(D352&lt;&gt;"",COUNTIF(設定!$G$8:$G$27,D352)=0),AND(E352&lt;&gt;"",COUNTIF(設定!$G$8:$G$27,E352)=0),AND(F352&lt;&gt;"",COUNTIF(設定!$G$8:$G$27,F352)=0)),"委員会名がちがう",IF(D352="","第1希望がない",IF(OR(AND(D352&lt;&gt;"",D352=E352),AND(D352&lt;&gt;"",D352=F352),AND(E352&lt;&gt;"",E352=F352)),"同じ委員会を重複して希望","OK"))))))</f>
        <v/>
      </c>
      <c r="J352" s="8">
        <f>IF(A352="","",A352&amp;"-"&amp;B352&amp;"-"&amp;C352)</f>
        <v/>
      </c>
      <c r="K352" s="8">
        <f>IF(OR(J352="",G352=""),"",IF(COUNTIF(J353:J$402,J352)=0,J352,""))</f>
        <v/>
      </c>
    </row>
    <row r="353">
      <c r="A353" s="15" t="n"/>
      <c r="B353" s="15" t="n"/>
      <c r="C353" s="15" t="n"/>
      <c r="D353" s="15" t="n"/>
      <c r="E353" s="15" t="n"/>
      <c r="F353" s="15" t="n"/>
      <c r="G353" s="3">
        <f>IF(J353="","",IFERROR(INDEX(児童名簿!$D$2:$D$301,MATCH(J353,児童名簿!$F$2:$F$301,0)),""))</f>
        <v/>
      </c>
      <c r="H353" s="19">
        <f>IF(J353="","",IF(G353="","名簿にいない",IF(COUNTIF(J354:J$402,J353)&gt;0,"2回提出（下の行を使います）",IF(OR(AND(D353&lt;&gt;"",COUNTIF(設定!$G$8:$G$27,D353)=0),AND(E353&lt;&gt;"",COUNTIF(設定!$G$8:$G$27,E353)=0),AND(F353&lt;&gt;"",COUNTIF(設定!$G$8:$G$27,F353)=0)),"委員会名がちがう",IF(D353="","第1希望がない",IF(OR(AND(D353&lt;&gt;"",D353=E353),AND(D353&lt;&gt;"",D353=F353),AND(E353&lt;&gt;"",E353=F353)),"同じ委員会を重複して希望","OK"))))))</f>
        <v/>
      </c>
      <c r="J353" s="8">
        <f>IF(A353="","",A353&amp;"-"&amp;B353&amp;"-"&amp;C353)</f>
        <v/>
      </c>
      <c r="K353" s="8">
        <f>IF(OR(J353="",G353=""),"",IF(COUNTIF(J354:J$402,J353)=0,J353,""))</f>
        <v/>
      </c>
    </row>
    <row r="354">
      <c r="A354" s="15" t="n"/>
      <c r="B354" s="15" t="n"/>
      <c r="C354" s="15" t="n"/>
      <c r="D354" s="15" t="n"/>
      <c r="E354" s="15" t="n"/>
      <c r="F354" s="15" t="n"/>
      <c r="G354" s="3">
        <f>IF(J354="","",IFERROR(INDEX(児童名簿!$D$2:$D$301,MATCH(J354,児童名簿!$F$2:$F$301,0)),""))</f>
        <v/>
      </c>
      <c r="H354" s="19">
        <f>IF(J354="","",IF(G354="","名簿にいない",IF(COUNTIF(J355:J$402,J354)&gt;0,"2回提出（下の行を使います）",IF(OR(AND(D354&lt;&gt;"",COUNTIF(設定!$G$8:$G$27,D354)=0),AND(E354&lt;&gt;"",COUNTIF(設定!$G$8:$G$27,E354)=0),AND(F354&lt;&gt;"",COUNTIF(設定!$G$8:$G$27,F354)=0)),"委員会名がちがう",IF(D354="","第1希望がない",IF(OR(AND(D354&lt;&gt;"",D354=E354),AND(D354&lt;&gt;"",D354=F354),AND(E354&lt;&gt;"",E354=F354)),"同じ委員会を重複して希望","OK"))))))</f>
        <v/>
      </c>
      <c r="J354" s="8">
        <f>IF(A354="","",A354&amp;"-"&amp;B354&amp;"-"&amp;C354)</f>
        <v/>
      </c>
      <c r="K354" s="8">
        <f>IF(OR(J354="",G354=""),"",IF(COUNTIF(J355:J$402,J354)=0,J354,""))</f>
        <v/>
      </c>
    </row>
    <row r="355">
      <c r="A355" s="15" t="n"/>
      <c r="B355" s="15" t="n"/>
      <c r="C355" s="15" t="n"/>
      <c r="D355" s="15" t="n"/>
      <c r="E355" s="15" t="n"/>
      <c r="F355" s="15" t="n"/>
      <c r="G355" s="3">
        <f>IF(J355="","",IFERROR(INDEX(児童名簿!$D$2:$D$301,MATCH(J355,児童名簿!$F$2:$F$301,0)),""))</f>
        <v/>
      </c>
      <c r="H355" s="19">
        <f>IF(J355="","",IF(G355="","名簿にいない",IF(COUNTIF(J356:J$402,J355)&gt;0,"2回提出（下の行を使います）",IF(OR(AND(D355&lt;&gt;"",COUNTIF(設定!$G$8:$G$27,D355)=0),AND(E355&lt;&gt;"",COUNTIF(設定!$G$8:$G$27,E355)=0),AND(F355&lt;&gt;"",COUNTIF(設定!$G$8:$G$27,F355)=0)),"委員会名がちがう",IF(D355="","第1希望がない",IF(OR(AND(D355&lt;&gt;"",D355=E355),AND(D355&lt;&gt;"",D355=F355),AND(E355&lt;&gt;"",E355=F355)),"同じ委員会を重複して希望","OK"))))))</f>
        <v/>
      </c>
      <c r="J355" s="8">
        <f>IF(A355="","",A355&amp;"-"&amp;B355&amp;"-"&amp;C355)</f>
        <v/>
      </c>
      <c r="K355" s="8">
        <f>IF(OR(J355="",G355=""),"",IF(COUNTIF(J356:J$402,J355)=0,J355,""))</f>
        <v/>
      </c>
    </row>
    <row r="356">
      <c r="A356" s="15" t="n"/>
      <c r="B356" s="15" t="n"/>
      <c r="C356" s="15" t="n"/>
      <c r="D356" s="15" t="n"/>
      <c r="E356" s="15" t="n"/>
      <c r="F356" s="15" t="n"/>
      <c r="G356" s="3">
        <f>IF(J356="","",IFERROR(INDEX(児童名簿!$D$2:$D$301,MATCH(J356,児童名簿!$F$2:$F$301,0)),""))</f>
        <v/>
      </c>
      <c r="H356" s="19">
        <f>IF(J356="","",IF(G356="","名簿にいない",IF(COUNTIF(J357:J$402,J356)&gt;0,"2回提出（下の行を使います）",IF(OR(AND(D356&lt;&gt;"",COUNTIF(設定!$G$8:$G$27,D356)=0),AND(E356&lt;&gt;"",COUNTIF(設定!$G$8:$G$27,E356)=0),AND(F356&lt;&gt;"",COUNTIF(設定!$G$8:$G$27,F356)=0)),"委員会名がちがう",IF(D356="","第1希望がない",IF(OR(AND(D356&lt;&gt;"",D356=E356),AND(D356&lt;&gt;"",D356=F356),AND(E356&lt;&gt;"",E356=F356)),"同じ委員会を重複して希望","OK"))))))</f>
        <v/>
      </c>
      <c r="J356" s="8">
        <f>IF(A356="","",A356&amp;"-"&amp;B356&amp;"-"&amp;C356)</f>
        <v/>
      </c>
      <c r="K356" s="8">
        <f>IF(OR(J356="",G356=""),"",IF(COUNTIF(J357:J$402,J356)=0,J356,""))</f>
        <v/>
      </c>
    </row>
    <row r="357">
      <c r="A357" s="15" t="n"/>
      <c r="B357" s="15" t="n"/>
      <c r="C357" s="15" t="n"/>
      <c r="D357" s="15" t="n"/>
      <c r="E357" s="15" t="n"/>
      <c r="F357" s="15" t="n"/>
      <c r="G357" s="3">
        <f>IF(J357="","",IFERROR(INDEX(児童名簿!$D$2:$D$301,MATCH(J357,児童名簿!$F$2:$F$301,0)),""))</f>
        <v/>
      </c>
      <c r="H357" s="19">
        <f>IF(J357="","",IF(G357="","名簿にいない",IF(COUNTIF(J358:J$402,J357)&gt;0,"2回提出（下の行を使います）",IF(OR(AND(D357&lt;&gt;"",COUNTIF(設定!$G$8:$G$27,D357)=0),AND(E357&lt;&gt;"",COUNTIF(設定!$G$8:$G$27,E357)=0),AND(F357&lt;&gt;"",COUNTIF(設定!$G$8:$G$27,F357)=0)),"委員会名がちがう",IF(D357="","第1希望がない",IF(OR(AND(D357&lt;&gt;"",D357=E357),AND(D357&lt;&gt;"",D357=F357),AND(E357&lt;&gt;"",E357=F357)),"同じ委員会を重複して希望","OK"))))))</f>
        <v/>
      </c>
      <c r="J357" s="8">
        <f>IF(A357="","",A357&amp;"-"&amp;B357&amp;"-"&amp;C357)</f>
        <v/>
      </c>
      <c r="K357" s="8">
        <f>IF(OR(J357="",G357=""),"",IF(COUNTIF(J358:J$402,J357)=0,J357,""))</f>
        <v/>
      </c>
    </row>
    <row r="358">
      <c r="A358" s="15" t="n"/>
      <c r="B358" s="15" t="n"/>
      <c r="C358" s="15" t="n"/>
      <c r="D358" s="15" t="n"/>
      <c r="E358" s="15" t="n"/>
      <c r="F358" s="15" t="n"/>
      <c r="G358" s="3">
        <f>IF(J358="","",IFERROR(INDEX(児童名簿!$D$2:$D$301,MATCH(J358,児童名簿!$F$2:$F$301,0)),""))</f>
        <v/>
      </c>
      <c r="H358" s="19">
        <f>IF(J358="","",IF(G358="","名簿にいない",IF(COUNTIF(J359:J$402,J358)&gt;0,"2回提出（下の行を使います）",IF(OR(AND(D358&lt;&gt;"",COUNTIF(設定!$G$8:$G$27,D358)=0),AND(E358&lt;&gt;"",COUNTIF(設定!$G$8:$G$27,E358)=0),AND(F358&lt;&gt;"",COUNTIF(設定!$G$8:$G$27,F358)=0)),"委員会名がちがう",IF(D358="","第1希望がない",IF(OR(AND(D358&lt;&gt;"",D358=E358),AND(D358&lt;&gt;"",D358=F358),AND(E358&lt;&gt;"",E358=F358)),"同じ委員会を重複して希望","OK"))))))</f>
        <v/>
      </c>
      <c r="J358" s="8">
        <f>IF(A358="","",A358&amp;"-"&amp;B358&amp;"-"&amp;C358)</f>
        <v/>
      </c>
      <c r="K358" s="8">
        <f>IF(OR(J358="",G358=""),"",IF(COUNTIF(J359:J$402,J358)=0,J358,""))</f>
        <v/>
      </c>
    </row>
    <row r="359">
      <c r="A359" s="15" t="n"/>
      <c r="B359" s="15" t="n"/>
      <c r="C359" s="15" t="n"/>
      <c r="D359" s="15" t="n"/>
      <c r="E359" s="15" t="n"/>
      <c r="F359" s="15" t="n"/>
      <c r="G359" s="3">
        <f>IF(J359="","",IFERROR(INDEX(児童名簿!$D$2:$D$301,MATCH(J359,児童名簿!$F$2:$F$301,0)),""))</f>
        <v/>
      </c>
      <c r="H359" s="19">
        <f>IF(J359="","",IF(G359="","名簿にいない",IF(COUNTIF(J360:J$402,J359)&gt;0,"2回提出（下の行を使います）",IF(OR(AND(D359&lt;&gt;"",COUNTIF(設定!$G$8:$G$27,D359)=0),AND(E359&lt;&gt;"",COUNTIF(設定!$G$8:$G$27,E359)=0),AND(F359&lt;&gt;"",COUNTIF(設定!$G$8:$G$27,F359)=0)),"委員会名がちがう",IF(D359="","第1希望がない",IF(OR(AND(D359&lt;&gt;"",D359=E359),AND(D359&lt;&gt;"",D359=F359),AND(E359&lt;&gt;"",E359=F359)),"同じ委員会を重複して希望","OK"))))))</f>
        <v/>
      </c>
      <c r="J359" s="8">
        <f>IF(A359="","",A359&amp;"-"&amp;B359&amp;"-"&amp;C359)</f>
        <v/>
      </c>
      <c r="K359" s="8">
        <f>IF(OR(J359="",G359=""),"",IF(COUNTIF(J360:J$402,J359)=0,J359,""))</f>
        <v/>
      </c>
    </row>
    <row r="360">
      <c r="A360" s="15" t="n"/>
      <c r="B360" s="15" t="n"/>
      <c r="C360" s="15" t="n"/>
      <c r="D360" s="15" t="n"/>
      <c r="E360" s="15" t="n"/>
      <c r="F360" s="15" t="n"/>
      <c r="G360" s="3">
        <f>IF(J360="","",IFERROR(INDEX(児童名簿!$D$2:$D$301,MATCH(J360,児童名簿!$F$2:$F$301,0)),""))</f>
        <v/>
      </c>
      <c r="H360" s="19">
        <f>IF(J360="","",IF(G360="","名簿にいない",IF(COUNTIF(J361:J$402,J360)&gt;0,"2回提出（下の行を使います）",IF(OR(AND(D360&lt;&gt;"",COUNTIF(設定!$G$8:$G$27,D360)=0),AND(E360&lt;&gt;"",COUNTIF(設定!$G$8:$G$27,E360)=0),AND(F360&lt;&gt;"",COUNTIF(設定!$G$8:$G$27,F360)=0)),"委員会名がちがう",IF(D360="","第1希望がない",IF(OR(AND(D360&lt;&gt;"",D360=E360),AND(D360&lt;&gt;"",D360=F360),AND(E360&lt;&gt;"",E360=F360)),"同じ委員会を重複して希望","OK"))))))</f>
        <v/>
      </c>
      <c r="J360" s="8">
        <f>IF(A360="","",A360&amp;"-"&amp;B360&amp;"-"&amp;C360)</f>
        <v/>
      </c>
      <c r="K360" s="8">
        <f>IF(OR(J360="",G360=""),"",IF(COUNTIF(J361:J$402,J360)=0,J360,""))</f>
        <v/>
      </c>
    </row>
    <row r="361">
      <c r="A361" s="15" t="n"/>
      <c r="B361" s="15" t="n"/>
      <c r="C361" s="15" t="n"/>
      <c r="D361" s="15" t="n"/>
      <c r="E361" s="15" t="n"/>
      <c r="F361" s="15" t="n"/>
      <c r="G361" s="3">
        <f>IF(J361="","",IFERROR(INDEX(児童名簿!$D$2:$D$301,MATCH(J361,児童名簿!$F$2:$F$301,0)),""))</f>
        <v/>
      </c>
      <c r="H361" s="19">
        <f>IF(J361="","",IF(G361="","名簿にいない",IF(COUNTIF(J362:J$402,J361)&gt;0,"2回提出（下の行を使います）",IF(OR(AND(D361&lt;&gt;"",COUNTIF(設定!$G$8:$G$27,D361)=0),AND(E361&lt;&gt;"",COUNTIF(設定!$G$8:$G$27,E361)=0),AND(F361&lt;&gt;"",COUNTIF(設定!$G$8:$G$27,F361)=0)),"委員会名がちがう",IF(D361="","第1希望がない",IF(OR(AND(D361&lt;&gt;"",D361=E361),AND(D361&lt;&gt;"",D361=F361),AND(E361&lt;&gt;"",E361=F361)),"同じ委員会を重複して希望","OK"))))))</f>
        <v/>
      </c>
      <c r="J361" s="8">
        <f>IF(A361="","",A361&amp;"-"&amp;B361&amp;"-"&amp;C361)</f>
        <v/>
      </c>
      <c r="K361" s="8">
        <f>IF(OR(J361="",G361=""),"",IF(COUNTIF(J362:J$402,J361)=0,J361,""))</f>
        <v/>
      </c>
    </row>
    <row r="362">
      <c r="A362" s="15" t="n"/>
      <c r="B362" s="15" t="n"/>
      <c r="C362" s="15" t="n"/>
      <c r="D362" s="15" t="n"/>
      <c r="E362" s="15" t="n"/>
      <c r="F362" s="15" t="n"/>
      <c r="G362" s="3">
        <f>IF(J362="","",IFERROR(INDEX(児童名簿!$D$2:$D$301,MATCH(J362,児童名簿!$F$2:$F$301,0)),""))</f>
        <v/>
      </c>
      <c r="H362" s="19">
        <f>IF(J362="","",IF(G362="","名簿にいない",IF(COUNTIF(J363:J$402,J362)&gt;0,"2回提出（下の行を使います）",IF(OR(AND(D362&lt;&gt;"",COUNTIF(設定!$G$8:$G$27,D362)=0),AND(E362&lt;&gt;"",COUNTIF(設定!$G$8:$G$27,E362)=0),AND(F362&lt;&gt;"",COUNTIF(設定!$G$8:$G$27,F362)=0)),"委員会名がちがう",IF(D362="","第1希望がない",IF(OR(AND(D362&lt;&gt;"",D362=E362),AND(D362&lt;&gt;"",D362=F362),AND(E362&lt;&gt;"",E362=F362)),"同じ委員会を重複して希望","OK"))))))</f>
        <v/>
      </c>
      <c r="J362" s="8">
        <f>IF(A362="","",A362&amp;"-"&amp;B362&amp;"-"&amp;C362)</f>
        <v/>
      </c>
      <c r="K362" s="8">
        <f>IF(OR(J362="",G362=""),"",IF(COUNTIF(J363:J$402,J362)=0,J362,""))</f>
        <v/>
      </c>
    </row>
    <row r="363">
      <c r="A363" s="15" t="n"/>
      <c r="B363" s="15" t="n"/>
      <c r="C363" s="15" t="n"/>
      <c r="D363" s="15" t="n"/>
      <c r="E363" s="15" t="n"/>
      <c r="F363" s="15" t="n"/>
      <c r="G363" s="3">
        <f>IF(J363="","",IFERROR(INDEX(児童名簿!$D$2:$D$301,MATCH(J363,児童名簿!$F$2:$F$301,0)),""))</f>
        <v/>
      </c>
      <c r="H363" s="19">
        <f>IF(J363="","",IF(G363="","名簿にいない",IF(COUNTIF(J364:J$402,J363)&gt;0,"2回提出（下の行を使います）",IF(OR(AND(D363&lt;&gt;"",COUNTIF(設定!$G$8:$G$27,D363)=0),AND(E363&lt;&gt;"",COUNTIF(設定!$G$8:$G$27,E363)=0),AND(F363&lt;&gt;"",COUNTIF(設定!$G$8:$G$27,F363)=0)),"委員会名がちがう",IF(D363="","第1希望がない",IF(OR(AND(D363&lt;&gt;"",D363=E363),AND(D363&lt;&gt;"",D363=F363),AND(E363&lt;&gt;"",E363=F363)),"同じ委員会を重複して希望","OK"))))))</f>
        <v/>
      </c>
      <c r="J363" s="8">
        <f>IF(A363="","",A363&amp;"-"&amp;B363&amp;"-"&amp;C363)</f>
        <v/>
      </c>
      <c r="K363" s="8">
        <f>IF(OR(J363="",G363=""),"",IF(COUNTIF(J364:J$402,J363)=0,J363,""))</f>
        <v/>
      </c>
    </row>
    <row r="364">
      <c r="A364" s="15" t="n"/>
      <c r="B364" s="15" t="n"/>
      <c r="C364" s="15" t="n"/>
      <c r="D364" s="15" t="n"/>
      <c r="E364" s="15" t="n"/>
      <c r="F364" s="15" t="n"/>
      <c r="G364" s="3">
        <f>IF(J364="","",IFERROR(INDEX(児童名簿!$D$2:$D$301,MATCH(J364,児童名簿!$F$2:$F$301,0)),""))</f>
        <v/>
      </c>
      <c r="H364" s="19">
        <f>IF(J364="","",IF(G364="","名簿にいない",IF(COUNTIF(J365:J$402,J364)&gt;0,"2回提出（下の行を使います）",IF(OR(AND(D364&lt;&gt;"",COUNTIF(設定!$G$8:$G$27,D364)=0),AND(E364&lt;&gt;"",COUNTIF(設定!$G$8:$G$27,E364)=0),AND(F364&lt;&gt;"",COUNTIF(設定!$G$8:$G$27,F364)=0)),"委員会名がちがう",IF(D364="","第1希望がない",IF(OR(AND(D364&lt;&gt;"",D364=E364),AND(D364&lt;&gt;"",D364=F364),AND(E364&lt;&gt;"",E364=F364)),"同じ委員会を重複して希望","OK"))))))</f>
        <v/>
      </c>
      <c r="J364" s="8">
        <f>IF(A364="","",A364&amp;"-"&amp;B364&amp;"-"&amp;C364)</f>
        <v/>
      </c>
      <c r="K364" s="8">
        <f>IF(OR(J364="",G364=""),"",IF(COUNTIF(J365:J$402,J364)=0,J364,""))</f>
        <v/>
      </c>
    </row>
    <row r="365">
      <c r="A365" s="15" t="n"/>
      <c r="B365" s="15" t="n"/>
      <c r="C365" s="15" t="n"/>
      <c r="D365" s="15" t="n"/>
      <c r="E365" s="15" t="n"/>
      <c r="F365" s="15" t="n"/>
      <c r="G365" s="3">
        <f>IF(J365="","",IFERROR(INDEX(児童名簿!$D$2:$D$301,MATCH(J365,児童名簿!$F$2:$F$301,0)),""))</f>
        <v/>
      </c>
      <c r="H365" s="19">
        <f>IF(J365="","",IF(G365="","名簿にいない",IF(COUNTIF(J366:J$402,J365)&gt;0,"2回提出（下の行を使います）",IF(OR(AND(D365&lt;&gt;"",COUNTIF(設定!$G$8:$G$27,D365)=0),AND(E365&lt;&gt;"",COUNTIF(設定!$G$8:$G$27,E365)=0),AND(F365&lt;&gt;"",COUNTIF(設定!$G$8:$G$27,F365)=0)),"委員会名がちがう",IF(D365="","第1希望がない",IF(OR(AND(D365&lt;&gt;"",D365=E365),AND(D365&lt;&gt;"",D365=F365),AND(E365&lt;&gt;"",E365=F365)),"同じ委員会を重複して希望","OK"))))))</f>
        <v/>
      </c>
      <c r="J365" s="8">
        <f>IF(A365="","",A365&amp;"-"&amp;B365&amp;"-"&amp;C365)</f>
        <v/>
      </c>
      <c r="K365" s="8">
        <f>IF(OR(J365="",G365=""),"",IF(COUNTIF(J366:J$402,J365)=0,J365,""))</f>
        <v/>
      </c>
    </row>
    <row r="366">
      <c r="A366" s="15" t="n"/>
      <c r="B366" s="15" t="n"/>
      <c r="C366" s="15" t="n"/>
      <c r="D366" s="15" t="n"/>
      <c r="E366" s="15" t="n"/>
      <c r="F366" s="15" t="n"/>
      <c r="G366" s="3">
        <f>IF(J366="","",IFERROR(INDEX(児童名簿!$D$2:$D$301,MATCH(J366,児童名簿!$F$2:$F$301,0)),""))</f>
        <v/>
      </c>
      <c r="H366" s="19">
        <f>IF(J366="","",IF(G366="","名簿にいない",IF(COUNTIF(J367:J$402,J366)&gt;0,"2回提出（下の行を使います）",IF(OR(AND(D366&lt;&gt;"",COUNTIF(設定!$G$8:$G$27,D366)=0),AND(E366&lt;&gt;"",COUNTIF(設定!$G$8:$G$27,E366)=0),AND(F366&lt;&gt;"",COUNTIF(設定!$G$8:$G$27,F366)=0)),"委員会名がちがう",IF(D366="","第1希望がない",IF(OR(AND(D366&lt;&gt;"",D366=E366),AND(D366&lt;&gt;"",D366=F366),AND(E366&lt;&gt;"",E366=F366)),"同じ委員会を重複して希望","OK"))))))</f>
        <v/>
      </c>
      <c r="J366" s="8">
        <f>IF(A366="","",A366&amp;"-"&amp;B366&amp;"-"&amp;C366)</f>
        <v/>
      </c>
      <c r="K366" s="8">
        <f>IF(OR(J366="",G366=""),"",IF(COUNTIF(J367:J$402,J366)=0,J366,""))</f>
        <v/>
      </c>
    </row>
    <row r="367">
      <c r="A367" s="15" t="n"/>
      <c r="B367" s="15" t="n"/>
      <c r="C367" s="15" t="n"/>
      <c r="D367" s="15" t="n"/>
      <c r="E367" s="15" t="n"/>
      <c r="F367" s="15" t="n"/>
      <c r="G367" s="3">
        <f>IF(J367="","",IFERROR(INDEX(児童名簿!$D$2:$D$301,MATCH(J367,児童名簿!$F$2:$F$301,0)),""))</f>
        <v/>
      </c>
      <c r="H367" s="19">
        <f>IF(J367="","",IF(G367="","名簿にいない",IF(COUNTIF(J368:J$402,J367)&gt;0,"2回提出（下の行を使います）",IF(OR(AND(D367&lt;&gt;"",COUNTIF(設定!$G$8:$G$27,D367)=0),AND(E367&lt;&gt;"",COUNTIF(設定!$G$8:$G$27,E367)=0),AND(F367&lt;&gt;"",COUNTIF(設定!$G$8:$G$27,F367)=0)),"委員会名がちがう",IF(D367="","第1希望がない",IF(OR(AND(D367&lt;&gt;"",D367=E367),AND(D367&lt;&gt;"",D367=F367),AND(E367&lt;&gt;"",E367=F367)),"同じ委員会を重複して希望","OK"))))))</f>
        <v/>
      </c>
      <c r="J367" s="8">
        <f>IF(A367="","",A367&amp;"-"&amp;B367&amp;"-"&amp;C367)</f>
        <v/>
      </c>
      <c r="K367" s="8">
        <f>IF(OR(J367="",G367=""),"",IF(COUNTIF(J368:J$402,J367)=0,J367,""))</f>
        <v/>
      </c>
    </row>
    <row r="368">
      <c r="A368" s="15" t="n"/>
      <c r="B368" s="15" t="n"/>
      <c r="C368" s="15" t="n"/>
      <c r="D368" s="15" t="n"/>
      <c r="E368" s="15" t="n"/>
      <c r="F368" s="15" t="n"/>
      <c r="G368" s="3">
        <f>IF(J368="","",IFERROR(INDEX(児童名簿!$D$2:$D$301,MATCH(J368,児童名簿!$F$2:$F$301,0)),""))</f>
        <v/>
      </c>
      <c r="H368" s="19">
        <f>IF(J368="","",IF(G368="","名簿にいない",IF(COUNTIF(J369:J$402,J368)&gt;0,"2回提出（下の行を使います）",IF(OR(AND(D368&lt;&gt;"",COUNTIF(設定!$G$8:$G$27,D368)=0),AND(E368&lt;&gt;"",COUNTIF(設定!$G$8:$G$27,E368)=0),AND(F368&lt;&gt;"",COUNTIF(設定!$G$8:$G$27,F368)=0)),"委員会名がちがう",IF(D368="","第1希望がない",IF(OR(AND(D368&lt;&gt;"",D368=E368),AND(D368&lt;&gt;"",D368=F368),AND(E368&lt;&gt;"",E368=F368)),"同じ委員会を重複して希望","OK"))))))</f>
        <v/>
      </c>
      <c r="J368" s="8">
        <f>IF(A368="","",A368&amp;"-"&amp;B368&amp;"-"&amp;C368)</f>
        <v/>
      </c>
      <c r="K368" s="8">
        <f>IF(OR(J368="",G368=""),"",IF(COUNTIF(J369:J$402,J368)=0,J368,""))</f>
        <v/>
      </c>
    </row>
    <row r="369">
      <c r="A369" s="15" t="n"/>
      <c r="B369" s="15" t="n"/>
      <c r="C369" s="15" t="n"/>
      <c r="D369" s="15" t="n"/>
      <c r="E369" s="15" t="n"/>
      <c r="F369" s="15" t="n"/>
      <c r="G369" s="3">
        <f>IF(J369="","",IFERROR(INDEX(児童名簿!$D$2:$D$301,MATCH(J369,児童名簿!$F$2:$F$301,0)),""))</f>
        <v/>
      </c>
      <c r="H369" s="19">
        <f>IF(J369="","",IF(G369="","名簿にいない",IF(COUNTIF(J370:J$402,J369)&gt;0,"2回提出（下の行を使います）",IF(OR(AND(D369&lt;&gt;"",COUNTIF(設定!$G$8:$G$27,D369)=0),AND(E369&lt;&gt;"",COUNTIF(設定!$G$8:$G$27,E369)=0),AND(F369&lt;&gt;"",COUNTIF(設定!$G$8:$G$27,F369)=0)),"委員会名がちがう",IF(D369="","第1希望がない",IF(OR(AND(D369&lt;&gt;"",D369=E369),AND(D369&lt;&gt;"",D369=F369),AND(E369&lt;&gt;"",E369=F369)),"同じ委員会を重複して希望","OK"))))))</f>
        <v/>
      </c>
      <c r="J369" s="8">
        <f>IF(A369="","",A369&amp;"-"&amp;B369&amp;"-"&amp;C369)</f>
        <v/>
      </c>
      <c r="K369" s="8">
        <f>IF(OR(J369="",G369=""),"",IF(COUNTIF(J370:J$402,J369)=0,J369,""))</f>
        <v/>
      </c>
    </row>
    <row r="370">
      <c r="A370" s="15" t="n"/>
      <c r="B370" s="15" t="n"/>
      <c r="C370" s="15" t="n"/>
      <c r="D370" s="15" t="n"/>
      <c r="E370" s="15" t="n"/>
      <c r="F370" s="15" t="n"/>
      <c r="G370" s="3">
        <f>IF(J370="","",IFERROR(INDEX(児童名簿!$D$2:$D$301,MATCH(J370,児童名簿!$F$2:$F$301,0)),""))</f>
        <v/>
      </c>
      <c r="H370" s="19">
        <f>IF(J370="","",IF(G370="","名簿にいない",IF(COUNTIF(J371:J$402,J370)&gt;0,"2回提出（下の行を使います）",IF(OR(AND(D370&lt;&gt;"",COUNTIF(設定!$G$8:$G$27,D370)=0),AND(E370&lt;&gt;"",COUNTIF(設定!$G$8:$G$27,E370)=0),AND(F370&lt;&gt;"",COUNTIF(設定!$G$8:$G$27,F370)=0)),"委員会名がちがう",IF(D370="","第1希望がない",IF(OR(AND(D370&lt;&gt;"",D370=E370),AND(D370&lt;&gt;"",D370=F370),AND(E370&lt;&gt;"",E370=F370)),"同じ委員会を重複して希望","OK"))))))</f>
        <v/>
      </c>
      <c r="J370" s="8">
        <f>IF(A370="","",A370&amp;"-"&amp;B370&amp;"-"&amp;C370)</f>
        <v/>
      </c>
      <c r="K370" s="8">
        <f>IF(OR(J370="",G370=""),"",IF(COUNTIF(J371:J$402,J370)=0,J370,""))</f>
        <v/>
      </c>
    </row>
    <row r="371">
      <c r="A371" s="15" t="n"/>
      <c r="B371" s="15" t="n"/>
      <c r="C371" s="15" t="n"/>
      <c r="D371" s="15" t="n"/>
      <c r="E371" s="15" t="n"/>
      <c r="F371" s="15" t="n"/>
      <c r="G371" s="3">
        <f>IF(J371="","",IFERROR(INDEX(児童名簿!$D$2:$D$301,MATCH(J371,児童名簿!$F$2:$F$301,0)),""))</f>
        <v/>
      </c>
      <c r="H371" s="19">
        <f>IF(J371="","",IF(G371="","名簿にいない",IF(COUNTIF(J372:J$402,J371)&gt;0,"2回提出（下の行を使います）",IF(OR(AND(D371&lt;&gt;"",COUNTIF(設定!$G$8:$G$27,D371)=0),AND(E371&lt;&gt;"",COUNTIF(設定!$G$8:$G$27,E371)=0),AND(F371&lt;&gt;"",COUNTIF(設定!$G$8:$G$27,F371)=0)),"委員会名がちがう",IF(D371="","第1希望がない",IF(OR(AND(D371&lt;&gt;"",D371=E371),AND(D371&lt;&gt;"",D371=F371),AND(E371&lt;&gt;"",E371=F371)),"同じ委員会を重複して希望","OK"))))))</f>
        <v/>
      </c>
      <c r="J371" s="8">
        <f>IF(A371="","",A371&amp;"-"&amp;B371&amp;"-"&amp;C371)</f>
        <v/>
      </c>
      <c r="K371" s="8">
        <f>IF(OR(J371="",G371=""),"",IF(COUNTIF(J372:J$402,J371)=0,J371,""))</f>
        <v/>
      </c>
    </row>
    <row r="372">
      <c r="A372" s="15" t="n"/>
      <c r="B372" s="15" t="n"/>
      <c r="C372" s="15" t="n"/>
      <c r="D372" s="15" t="n"/>
      <c r="E372" s="15" t="n"/>
      <c r="F372" s="15" t="n"/>
      <c r="G372" s="3">
        <f>IF(J372="","",IFERROR(INDEX(児童名簿!$D$2:$D$301,MATCH(J372,児童名簿!$F$2:$F$301,0)),""))</f>
        <v/>
      </c>
      <c r="H372" s="19">
        <f>IF(J372="","",IF(G372="","名簿にいない",IF(COUNTIF(J373:J$402,J372)&gt;0,"2回提出（下の行を使います）",IF(OR(AND(D372&lt;&gt;"",COUNTIF(設定!$G$8:$G$27,D372)=0),AND(E372&lt;&gt;"",COUNTIF(設定!$G$8:$G$27,E372)=0),AND(F372&lt;&gt;"",COUNTIF(設定!$G$8:$G$27,F372)=0)),"委員会名がちがう",IF(D372="","第1希望がない",IF(OR(AND(D372&lt;&gt;"",D372=E372),AND(D372&lt;&gt;"",D372=F372),AND(E372&lt;&gt;"",E372=F372)),"同じ委員会を重複して希望","OK"))))))</f>
        <v/>
      </c>
      <c r="J372" s="8">
        <f>IF(A372="","",A372&amp;"-"&amp;B372&amp;"-"&amp;C372)</f>
        <v/>
      </c>
      <c r="K372" s="8">
        <f>IF(OR(J372="",G372=""),"",IF(COUNTIF(J373:J$402,J372)=0,J372,""))</f>
        <v/>
      </c>
    </row>
    <row r="373">
      <c r="A373" s="15" t="n"/>
      <c r="B373" s="15" t="n"/>
      <c r="C373" s="15" t="n"/>
      <c r="D373" s="15" t="n"/>
      <c r="E373" s="15" t="n"/>
      <c r="F373" s="15" t="n"/>
      <c r="G373" s="3">
        <f>IF(J373="","",IFERROR(INDEX(児童名簿!$D$2:$D$301,MATCH(J373,児童名簿!$F$2:$F$301,0)),""))</f>
        <v/>
      </c>
      <c r="H373" s="19">
        <f>IF(J373="","",IF(G373="","名簿にいない",IF(COUNTIF(J374:J$402,J373)&gt;0,"2回提出（下の行を使います）",IF(OR(AND(D373&lt;&gt;"",COUNTIF(設定!$G$8:$G$27,D373)=0),AND(E373&lt;&gt;"",COUNTIF(設定!$G$8:$G$27,E373)=0),AND(F373&lt;&gt;"",COUNTIF(設定!$G$8:$G$27,F373)=0)),"委員会名がちがう",IF(D373="","第1希望がない",IF(OR(AND(D373&lt;&gt;"",D373=E373),AND(D373&lt;&gt;"",D373=F373),AND(E373&lt;&gt;"",E373=F373)),"同じ委員会を重複して希望","OK"))))))</f>
        <v/>
      </c>
      <c r="J373" s="8">
        <f>IF(A373="","",A373&amp;"-"&amp;B373&amp;"-"&amp;C373)</f>
        <v/>
      </c>
      <c r="K373" s="8">
        <f>IF(OR(J373="",G373=""),"",IF(COUNTIF(J374:J$402,J373)=0,J373,""))</f>
        <v/>
      </c>
    </row>
    <row r="374">
      <c r="A374" s="15" t="n"/>
      <c r="B374" s="15" t="n"/>
      <c r="C374" s="15" t="n"/>
      <c r="D374" s="15" t="n"/>
      <c r="E374" s="15" t="n"/>
      <c r="F374" s="15" t="n"/>
      <c r="G374" s="3">
        <f>IF(J374="","",IFERROR(INDEX(児童名簿!$D$2:$D$301,MATCH(J374,児童名簿!$F$2:$F$301,0)),""))</f>
        <v/>
      </c>
      <c r="H374" s="19">
        <f>IF(J374="","",IF(G374="","名簿にいない",IF(COUNTIF(J375:J$402,J374)&gt;0,"2回提出（下の行を使います）",IF(OR(AND(D374&lt;&gt;"",COUNTIF(設定!$G$8:$G$27,D374)=0),AND(E374&lt;&gt;"",COUNTIF(設定!$G$8:$G$27,E374)=0),AND(F374&lt;&gt;"",COUNTIF(設定!$G$8:$G$27,F374)=0)),"委員会名がちがう",IF(D374="","第1希望がない",IF(OR(AND(D374&lt;&gt;"",D374=E374),AND(D374&lt;&gt;"",D374=F374),AND(E374&lt;&gt;"",E374=F374)),"同じ委員会を重複して希望","OK"))))))</f>
        <v/>
      </c>
      <c r="J374" s="8">
        <f>IF(A374="","",A374&amp;"-"&amp;B374&amp;"-"&amp;C374)</f>
        <v/>
      </c>
      <c r="K374" s="8">
        <f>IF(OR(J374="",G374=""),"",IF(COUNTIF(J375:J$402,J374)=0,J374,""))</f>
        <v/>
      </c>
    </row>
    <row r="375">
      <c r="A375" s="15" t="n"/>
      <c r="B375" s="15" t="n"/>
      <c r="C375" s="15" t="n"/>
      <c r="D375" s="15" t="n"/>
      <c r="E375" s="15" t="n"/>
      <c r="F375" s="15" t="n"/>
      <c r="G375" s="3">
        <f>IF(J375="","",IFERROR(INDEX(児童名簿!$D$2:$D$301,MATCH(J375,児童名簿!$F$2:$F$301,0)),""))</f>
        <v/>
      </c>
      <c r="H375" s="19">
        <f>IF(J375="","",IF(G375="","名簿にいない",IF(COUNTIF(J376:J$402,J375)&gt;0,"2回提出（下の行を使います）",IF(OR(AND(D375&lt;&gt;"",COUNTIF(設定!$G$8:$G$27,D375)=0),AND(E375&lt;&gt;"",COUNTIF(設定!$G$8:$G$27,E375)=0),AND(F375&lt;&gt;"",COUNTIF(設定!$G$8:$G$27,F375)=0)),"委員会名がちがう",IF(D375="","第1希望がない",IF(OR(AND(D375&lt;&gt;"",D375=E375),AND(D375&lt;&gt;"",D375=F375),AND(E375&lt;&gt;"",E375=F375)),"同じ委員会を重複して希望","OK"))))))</f>
        <v/>
      </c>
      <c r="J375" s="8">
        <f>IF(A375="","",A375&amp;"-"&amp;B375&amp;"-"&amp;C375)</f>
        <v/>
      </c>
      <c r="K375" s="8">
        <f>IF(OR(J375="",G375=""),"",IF(COUNTIF(J376:J$402,J375)=0,J375,""))</f>
        <v/>
      </c>
    </row>
    <row r="376">
      <c r="A376" s="15" t="n"/>
      <c r="B376" s="15" t="n"/>
      <c r="C376" s="15" t="n"/>
      <c r="D376" s="15" t="n"/>
      <c r="E376" s="15" t="n"/>
      <c r="F376" s="15" t="n"/>
      <c r="G376" s="3">
        <f>IF(J376="","",IFERROR(INDEX(児童名簿!$D$2:$D$301,MATCH(J376,児童名簿!$F$2:$F$301,0)),""))</f>
        <v/>
      </c>
      <c r="H376" s="19">
        <f>IF(J376="","",IF(G376="","名簿にいない",IF(COUNTIF(J377:J$402,J376)&gt;0,"2回提出（下の行を使います）",IF(OR(AND(D376&lt;&gt;"",COUNTIF(設定!$G$8:$G$27,D376)=0),AND(E376&lt;&gt;"",COUNTIF(設定!$G$8:$G$27,E376)=0),AND(F376&lt;&gt;"",COUNTIF(設定!$G$8:$G$27,F376)=0)),"委員会名がちがう",IF(D376="","第1希望がない",IF(OR(AND(D376&lt;&gt;"",D376=E376),AND(D376&lt;&gt;"",D376=F376),AND(E376&lt;&gt;"",E376=F376)),"同じ委員会を重複して希望","OK"))))))</f>
        <v/>
      </c>
      <c r="J376" s="8">
        <f>IF(A376="","",A376&amp;"-"&amp;B376&amp;"-"&amp;C376)</f>
        <v/>
      </c>
      <c r="K376" s="8">
        <f>IF(OR(J376="",G376=""),"",IF(COUNTIF(J377:J$402,J376)=0,J376,""))</f>
        <v/>
      </c>
    </row>
    <row r="377">
      <c r="A377" s="15" t="n"/>
      <c r="B377" s="15" t="n"/>
      <c r="C377" s="15" t="n"/>
      <c r="D377" s="15" t="n"/>
      <c r="E377" s="15" t="n"/>
      <c r="F377" s="15" t="n"/>
      <c r="G377" s="3">
        <f>IF(J377="","",IFERROR(INDEX(児童名簿!$D$2:$D$301,MATCH(J377,児童名簿!$F$2:$F$301,0)),""))</f>
        <v/>
      </c>
      <c r="H377" s="19">
        <f>IF(J377="","",IF(G377="","名簿にいない",IF(COUNTIF(J378:J$402,J377)&gt;0,"2回提出（下の行を使います）",IF(OR(AND(D377&lt;&gt;"",COUNTIF(設定!$G$8:$G$27,D377)=0),AND(E377&lt;&gt;"",COUNTIF(設定!$G$8:$G$27,E377)=0),AND(F377&lt;&gt;"",COUNTIF(設定!$G$8:$G$27,F377)=0)),"委員会名がちがう",IF(D377="","第1希望がない",IF(OR(AND(D377&lt;&gt;"",D377=E377),AND(D377&lt;&gt;"",D377=F377),AND(E377&lt;&gt;"",E377=F377)),"同じ委員会を重複して希望","OK"))))))</f>
        <v/>
      </c>
      <c r="J377" s="8">
        <f>IF(A377="","",A377&amp;"-"&amp;B377&amp;"-"&amp;C377)</f>
        <v/>
      </c>
      <c r="K377" s="8">
        <f>IF(OR(J377="",G377=""),"",IF(COUNTIF(J378:J$402,J377)=0,J377,""))</f>
        <v/>
      </c>
    </row>
    <row r="378">
      <c r="A378" s="15" t="n"/>
      <c r="B378" s="15" t="n"/>
      <c r="C378" s="15" t="n"/>
      <c r="D378" s="15" t="n"/>
      <c r="E378" s="15" t="n"/>
      <c r="F378" s="15" t="n"/>
      <c r="G378" s="3">
        <f>IF(J378="","",IFERROR(INDEX(児童名簿!$D$2:$D$301,MATCH(J378,児童名簿!$F$2:$F$301,0)),""))</f>
        <v/>
      </c>
      <c r="H378" s="19">
        <f>IF(J378="","",IF(G378="","名簿にいない",IF(COUNTIF(J379:J$402,J378)&gt;0,"2回提出（下の行を使います）",IF(OR(AND(D378&lt;&gt;"",COUNTIF(設定!$G$8:$G$27,D378)=0),AND(E378&lt;&gt;"",COUNTIF(設定!$G$8:$G$27,E378)=0),AND(F378&lt;&gt;"",COUNTIF(設定!$G$8:$G$27,F378)=0)),"委員会名がちがう",IF(D378="","第1希望がない",IF(OR(AND(D378&lt;&gt;"",D378=E378),AND(D378&lt;&gt;"",D378=F378),AND(E378&lt;&gt;"",E378=F378)),"同じ委員会を重複して希望","OK"))))))</f>
        <v/>
      </c>
      <c r="J378" s="8">
        <f>IF(A378="","",A378&amp;"-"&amp;B378&amp;"-"&amp;C378)</f>
        <v/>
      </c>
      <c r="K378" s="8">
        <f>IF(OR(J378="",G378=""),"",IF(COUNTIF(J379:J$402,J378)=0,J378,""))</f>
        <v/>
      </c>
    </row>
    <row r="379">
      <c r="A379" s="15" t="n"/>
      <c r="B379" s="15" t="n"/>
      <c r="C379" s="15" t="n"/>
      <c r="D379" s="15" t="n"/>
      <c r="E379" s="15" t="n"/>
      <c r="F379" s="15" t="n"/>
      <c r="G379" s="3">
        <f>IF(J379="","",IFERROR(INDEX(児童名簿!$D$2:$D$301,MATCH(J379,児童名簿!$F$2:$F$301,0)),""))</f>
        <v/>
      </c>
      <c r="H379" s="19">
        <f>IF(J379="","",IF(G379="","名簿にいない",IF(COUNTIF(J380:J$402,J379)&gt;0,"2回提出（下の行を使います）",IF(OR(AND(D379&lt;&gt;"",COUNTIF(設定!$G$8:$G$27,D379)=0),AND(E379&lt;&gt;"",COUNTIF(設定!$G$8:$G$27,E379)=0),AND(F379&lt;&gt;"",COUNTIF(設定!$G$8:$G$27,F379)=0)),"委員会名がちがう",IF(D379="","第1希望がない",IF(OR(AND(D379&lt;&gt;"",D379=E379),AND(D379&lt;&gt;"",D379=F379),AND(E379&lt;&gt;"",E379=F379)),"同じ委員会を重複して希望","OK"))))))</f>
        <v/>
      </c>
      <c r="J379" s="8">
        <f>IF(A379="","",A379&amp;"-"&amp;B379&amp;"-"&amp;C379)</f>
        <v/>
      </c>
      <c r="K379" s="8">
        <f>IF(OR(J379="",G379=""),"",IF(COUNTIF(J380:J$402,J379)=0,J379,""))</f>
        <v/>
      </c>
    </row>
    <row r="380">
      <c r="A380" s="15" t="n"/>
      <c r="B380" s="15" t="n"/>
      <c r="C380" s="15" t="n"/>
      <c r="D380" s="15" t="n"/>
      <c r="E380" s="15" t="n"/>
      <c r="F380" s="15" t="n"/>
      <c r="G380" s="3">
        <f>IF(J380="","",IFERROR(INDEX(児童名簿!$D$2:$D$301,MATCH(J380,児童名簿!$F$2:$F$301,0)),""))</f>
        <v/>
      </c>
      <c r="H380" s="19">
        <f>IF(J380="","",IF(G380="","名簿にいない",IF(COUNTIF(J381:J$402,J380)&gt;0,"2回提出（下の行を使います）",IF(OR(AND(D380&lt;&gt;"",COUNTIF(設定!$G$8:$G$27,D380)=0),AND(E380&lt;&gt;"",COUNTIF(設定!$G$8:$G$27,E380)=0),AND(F380&lt;&gt;"",COUNTIF(設定!$G$8:$G$27,F380)=0)),"委員会名がちがう",IF(D380="","第1希望がない",IF(OR(AND(D380&lt;&gt;"",D380=E380),AND(D380&lt;&gt;"",D380=F380),AND(E380&lt;&gt;"",E380=F380)),"同じ委員会を重複して希望","OK"))))))</f>
        <v/>
      </c>
      <c r="J380" s="8">
        <f>IF(A380="","",A380&amp;"-"&amp;B380&amp;"-"&amp;C380)</f>
        <v/>
      </c>
      <c r="K380" s="8">
        <f>IF(OR(J380="",G380=""),"",IF(COUNTIF(J381:J$402,J380)=0,J380,""))</f>
        <v/>
      </c>
    </row>
    <row r="381">
      <c r="A381" s="15" t="n"/>
      <c r="B381" s="15" t="n"/>
      <c r="C381" s="15" t="n"/>
      <c r="D381" s="15" t="n"/>
      <c r="E381" s="15" t="n"/>
      <c r="F381" s="15" t="n"/>
      <c r="G381" s="3">
        <f>IF(J381="","",IFERROR(INDEX(児童名簿!$D$2:$D$301,MATCH(J381,児童名簿!$F$2:$F$301,0)),""))</f>
        <v/>
      </c>
      <c r="H381" s="19">
        <f>IF(J381="","",IF(G381="","名簿にいない",IF(COUNTIF(J382:J$402,J381)&gt;0,"2回提出（下の行を使います）",IF(OR(AND(D381&lt;&gt;"",COUNTIF(設定!$G$8:$G$27,D381)=0),AND(E381&lt;&gt;"",COUNTIF(設定!$G$8:$G$27,E381)=0),AND(F381&lt;&gt;"",COUNTIF(設定!$G$8:$G$27,F381)=0)),"委員会名がちがう",IF(D381="","第1希望がない",IF(OR(AND(D381&lt;&gt;"",D381=E381),AND(D381&lt;&gt;"",D381=F381),AND(E381&lt;&gt;"",E381=F381)),"同じ委員会を重複して希望","OK"))))))</f>
        <v/>
      </c>
      <c r="J381" s="8">
        <f>IF(A381="","",A381&amp;"-"&amp;B381&amp;"-"&amp;C381)</f>
        <v/>
      </c>
      <c r="K381" s="8">
        <f>IF(OR(J381="",G381=""),"",IF(COUNTIF(J382:J$402,J381)=0,J381,""))</f>
        <v/>
      </c>
    </row>
    <row r="382">
      <c r="A382" s="15" t="n"/>
      <c r="B382" s="15" t="n"/>
      <c r="C382" s="15" t="n"/>
      <c r="D382" s="15" t="n"/>
      <c r="E382" s="15" t="n"/>
      <c r="F382" s="15" t="n"/>
      <c r="G382" s="3">
        <f>IF(J382="","",IFERROR(INDEX(児童名簿!$D$2:$D$301,MATCH(J382,児童名簿!$F$2:$F$301,0)),""))</f>
        <v/>
      </c>
      <c r="H382" s="19">
        <f>IF(J382="","",IF(G382="","名簿にいない",IF(COUNTIF(J383:J$402,J382)&gt;0,"2回提出（下の行を使います）",IF(OR(AND(D382&lt;&gt;"",COUNTIF(設定!$G$8:$G$27,D382)=0),AND(E382&lt;&gt;"",COUNTIF(設定!$G$8:$G$27,E382)=0),AND(F382&lt;&gt;"",COUNTIF(設定!$G$8:$G$27,F382)=0)),"委員会名がちがう",IF(D382="","第1希望がない",IF(OR(AND(D382&lt;&gt;"",D382=E382),AND(D382&lt;&gt;"",D382=F382),AND(E382&lt;&gt;"",E382=F382)),"同じ委員会を重複して希望","OK"))))))</f>
        <v/>
      </c>
      <c r="J382" s="8">
        <f>IF(A382="","",A382&amp;"-"&amp;B382&amp;"-"&amp;C382)</f>
        <v/>
      </c>
      <c r="K382" s="8">
        <f>IF(OR(J382="",G382=""),"",IF(COUNTIF(J383:J$402,J382)=0,J382,""))</f>
        <v/>
      </c>
    </row>
    <row r="383">
      <c r="A383" s="15" t="n"/>
      <c r="B383" s="15" t="n"/>
      <c r="C383" s="15" t="n"/>
      <c r="D383" s="15" t="n"/>
      <c r="E383" s="15" t="n"/>
      <c r="F383" s="15" t="n"/>
      <c r="G383" s="3">
        <f>IF(J383="","",IFERROR(INDEX(児童名簿!$D$2:$D$301,MATCH(J383,児童名簿!$F$2:$F$301,0)),""))</f>
        <v/>
      </c>
      <c r="H383" s="19">
        <f>IF(J383="","",IF(G383="","名簿にいない",IF(COUNTIF(J384:J$402,J383)&gt;0,"2回提出（下の行を使います）",IF(OR(AND(D383&lt;&gt;"",COUNTIF(設定!$G$8:$G$27,D383)=0),AND(E383&lt;&gt;"",COUNTIF(設定!$G$8:$G$27,E383)=0),AND(F383&lt;&gt;"",COUNTIF(設定!$G$8:$G$27,F383)=0)),"委員会名がちがう",IF(D383="","第1希望がない",IF(OR(AND(D383&lt;&gt;"",D383=E383),AND(D383&lt;&gt;"",D383=F383),AND(E383&lt;&gt;"",E383=F383)),"同じ委員会を重複して希望","OK"))))))</f>
        <v/>
      </c>
      <c r="J383" s="8">
        <f>IF(A383="","",A383&amp;"-"&amp;B383&amp;"-"&amp;C383)</f>
        <v/>
      </c>
      <c r="K383" s="8">
        <f>IF(OR(J383="",G383=""),"",IF(COUNTIF(J384:J$402,J383)=0,J383,""))</f>
        <v/>
      </c>
    </row>
    <row r="384">
      <c r="A384" s="15" t="n"/>
      <c r="B384" s="15" t="n"/>
      <c r="C384" s="15" t="n"/>
      <c r="D384" s="15" t="n"/>
      <c r="E384" s="15" t="n"/>
      <c r="F384" s="15" t="n"/>
      <c r="G384" s="3">
        <f>IF(J384="","",IFERROR(INDEX(児童名簿!$D$2:$D$301,MATCH(J384,児童名簿!$F$2:$F$301,0)),""))</f>
        <v/>
      </c>
      <c r="H384" s="19">
        <f>IF(J384="","",IF(G384="","名簿にいない",IF(COUNTIF(J385:J$402,J384)&gt;0,"2回提出（下の行を使います）",IF(OR(AND(D384&lt;&gt;"",COUNTIF(設定!$G$8:$G$27,D384)=0),AND(E384&lt;&gt;"",COUNTIF(設定!$G$8:$G$27,E384)=0),AND(F384&lt;&gt;"",COUNTIF(設定!$G$8:$G$27,F384)=0)),"委員会名がちがう",IF(D384="","第1希望がない",IF(OR(AND(D384&lt;&gt;"",D384=E384),AND(D384&lt;&gt;"",D384=F384),AND(E384&lt;&gt;"",E384=F384)),"同じ委員会を重複して希望","OK"))))))</f>
        <v/>
      </c>
      <c r="J384" s="8">
        <f>IF(A384="","",A384&amp;"-"&amp;B384&amp;"-"&amp;C384)</f>
        <v/>
      </c>
      <c r="K384" s="8">
        <f>IF(OR(J384="",G384=""),"",IF(COUNTIF(J385:J$402,J384)=0,J384,""))</f>
        <v/>
      </c>
    </row>
    <row r="385">
      <c r="A385" s="15" t="n"/>
      <c r="B385" s="15" t="n"/>
      <c r="C385" s="15" t="n"/>
      <c r="D385" s="15" t="n"/>
      <c r="E385" s="15" t="n"/>
      <c r="F385" s="15" t="n"/>
      <c r="G385" s="3">
        <f>IF(J385="","",IFERROR(INDEX(児童名簿!$D$2:$D$301,MATCH(J385,児童名簿!$F$2:$F$301,0)),""))</f>
        <v/>
      </c>
      <c r="H385" s="19">
        <f>IF(J385="","",IF(G385="","名簿にいない",IF(COUNTIF(J386:J$402,J385)&gt;0,"2回提出（下の行を使います）",IF(OR(AND(D385&lt;&gt;"",COUNTIF(設定!$G$8:$G$27,D385)=0),AND(E385&lt;&gt;"",COUNTIF(設定!$G$8:$G$27,E385)=0),AND(F385&lt;&gt;"",COUNTIF(設定!$G$8:$G$27,F385)=0)),"委員会名がちがう",IF(D385="","第1希望がない",IF(OR(AND(D385&lt;&gt;"",D385=E385),AND(D385&lt;&gt;"",D385=F385),AND(E385&lt;&gt;"",E385=F385)),"同じ委員会を重複して希望","OK"))))))</f>
        <v/>
      </c>
      <c r="J385" s="8">
        <f>IF(A385="","",A385&amp;"-"&amp;B385&amp;"-"&amp;C385)</f>
        <v/>
      </c>
      <c r="K385" s="8">
        <f>IF(OR(J385="",G385=""),"",IF(COUNTIF(J386:J$402,J385)=0,J385,""))</f>
        <v/>
      </c>
    </row>
    <row r="386">
      <c r="A386" s="15" t="n"/>
      <c r="B386" s="15" t="n"/>
      <c r="C386" s="15" t="n"/>
      <c r="D386" s="15" t="n"/>
      <c r="E386" s="15" t="n"/>
      <c r="F386" s="15" t="n"/>
      <c r="G386" s="3">
        <f>IF(J386="","",IFERROR(INDEX(児童名簿!$D$2:$D$301,MATCH(J386,児童名簿!$F$2:$F$301,0)),""))</f>
        <v/>
      </c>
      <c r="H386" s="19">
        <f>IF(J386="","",IF(G386="","名簿にいない",IF(COUNTIF(J387:J$402,J386)&gt;0,"2回提出（下の行を使います）",IF(OR(AND(D386&lt;&gt;"",COUNTIF(設定!$G$8:$G$27,D386)=0),AND(E386&lt;&gt;"",COUNTIF(設定!$G$8:$G$27,E386)=0),AND(F386&lt;&gt;"",COUNTIF(設定!$G$8:$G$27,F386)=0)),"委員会名がちがう",IF(D386="","第1希望がない",IF(OR(AND(D386&lt;&gt;"",D386=E386),AND(D386&lt;&gt;"",D386=F386),AND(E386&lt;&gt;"",E386=F386)),"同じ委員会を重複して希望","OK"))))))</f>
        <v/>
      </c>
      <c r="J386" s="8">
        <f>IF(A386="","",A386&amp;"-"&amp;B386&amp;"-"&amp;C386)</f>
        <v/>
      </c>
      <c r="K386" s="8">
        <f>IF(OR(J386="",G386=""),"",IF(COUNTIF(J387:J$402,J386)=0,J386,""))</f>
        <v/>
      </c>
    </row>
    <row r="387">
      <c r="A387" s="15" t="n"/>
      <c r="B387" s="15" t="n"/>
      <c r="C387" s="15" t="n"/>
      <c r="D387" s="15" t="n"/>
      <c r="E387" s="15" t="n"/>
      <c r="F387" s="15" t="n"/>
      <c r="G387" s="3">
        <f>IF(J387="","",IFERROR(INDEX(児童名簿!$D$2:$D$301,MATCH(J387,児童名簿!$F$2:$F$301,0)),""))</f>
        <v/>
      </c>
      <c r="H387" s="19">
        <f>IF(J387="","",IF(G387="","名簿にいない",IF(COUNTIF(J388:J$402,J387)&gt;0,"2回提出（下の行を使います）",IF(OR(AND(D387&lt;&gt;"",COUNTIF(設定!$G$8:$G$27,D387)=0),AND(E387&lt;&gt;"",COUNTIF(設定!$G$8:$G$27,E387)=0),AND(F387&lt;&gt;"",COUNTIF(設定!$G$8:$G$27,F387)=0)),"委員会名がちがう",IF(D387="","第1希望がない",IF(OR(AND(D387&lt;&gt;"",D387=E387),AND(D387&lt;&gt;"",D387=F387),AND(E387&lt;&gt;"",E387=F387)),"同じ委員会を重複して希望","OK"))))))</f>
        <v/>
      </c>
      <c r="J387" s="8">
        <f>IF(A387="","",A387&amp;"-"&amp;B387&amp;"-"&amp;C387)</f>
        <v/>
      </c>
      <c r="K387" s="8">
        <f>IF(OR(J387="",G387=""),"",IF(COUNTIF(J388:J$402,J387)=0,J387,""))</f>
        <v/>
      </c>
    </row>
    <row r="388">
      <c r="A388" s="15" t="n"/>
      <c r="B388" s="15" t="n"/>
      <c r="C388" s="15" t="n"/>
      <c r="D388" s="15" t="n"/>
      <c r="E388" s="15" t="n"/>
      <c r="F388" s="15" t="n"/>
      <c r="G388" s="3">
        <f>IF(J388="","",IFERROR(INDEX(児童名簿!$D$2:$D$301,MATCH(J388,児童名簿!$F$2:$F$301,0)),""))</f>
        <v/>
      </c>
      <c r="H388" s="19">
        <f>IF(J388="","",IF(G388="","名簿にいない",IF(COUNTIF(J389:J$402,J388)&gt;0,"2回提出（下の行を使います）",IF(OR(AND(D388&lt;&gt;"",COUNTIF(設定!$G$8:$G$27,D388)=0),AND(E388&lt;&gt;"",COUNTIF(設定!$G$8:$G$27,E388)=0),AND(F388&lt;&gt;"",COUNTIF(設定!$G$8:$G$27,F388)=0)),"委員会名がちがう",IF(D388="","第1希望がない",IF(OR(AND(D388&lt;&gt;"",D388=E388),AND(D388&lt;&gt;"",D388=F388),AND(E388&lt;&gt;"",E388=F388)),"同じ委員会を重複して希望","OK"))))))</f>
        <v/>
      </c>
      <c r="J388" s="8">
        <f>IF(A388="","",A388&amp;"-"&amp;B388&amp;"-"&amp;C388)</f>
        <v/>
      </c>
      <c r="K388" s="8">
        <f>IF(OR(J388="",G388=""),"",IF(COUNTIF(J389:J$402,J388)=0,J388,""))</f>
        <v/>
      </c>
    </row>
    <row r="389">
      <c r="A389" s="15" t="n"/>
      <c r="B389" s="15" t="n"/>
      <c r="C389" s="15" t="n"/>
      <c r="D389" s="15" t="n"/>
      <c r="E389" s="15" t="n"/>
      <c r="F389" s="15" t="n"/>
      <c r="G389" s="3">
        <f>IF(J389="","",IFERROR(INDEX(児童名簿!$D$2:$D$301,MATCH(J389,児童名簿!$F$2:$F$301,0)),""))</f>
        <v/>
      </c>
      <c r="H389" s="19">
        <f>IF(J389="","",IF(G389="","名簿にいない",IF(COUNTIF(J390:J$402,J389)&gt;0,"2回提出（下の行を使います）",IF(OR(AND(D389&lt;&gt;"",COUNTIF(設定!$G$8:$G$27,D389)=0),AND(E389&lt;&gt;"",COUNTIF(設定!$G$8:$G$27,E389)=0),AND(F389&lt;&gt;"",COUNTIF(設定!$G$8:$G$27,F389)=0)),"委員会名がちがう",IF(D389="","第1希望がない",IF(OR(AND(D389&lt;&gt;"",D389=E389),AND(D389&lt;&gt;"",D389=F389),AND(E389&lt;&gt;"",E389=F389)),"同じ委員会を重複して希望","OK"))))))</f>
        <v/>
      </c>
      <c r="J389" s="8">
        <f>IF(A389="","",A389&amp;"-"&amp;B389&amp;"-"&amp;C389)</f>
        <v/>
      </c>
      <c r="K389" s="8">
        <f>IF(OR(J389="",G389=""),"",IF(COUNTIF(J390:J$402,J389)=0,J389,""))</f>
        <v/>
      </c>
    </row>
    <row r="390">
      <c r="A390" s="15" t="n"/>
      <c r="B390" s="15" t="n"/>
      <c r="C390" s="15" t="n"/>
      <c r="D390" s="15" t="n"/>
      <c r="E390" s="15" t="n"/>
      <c r="F390" s="15" t="n"/>
      <c r="G390" s="3">
        <f>IF(J390="","",IFERROR(INDEX(児童名簿!$D$2:$D$301,MATCH(J390,児童名簿!$F$2:$F$301,0)),""))</f>
        <v/>
      </c>
      <c r="H390" s="19">
        <f>IF(J390="","",IF(G390="","名簿にいない",IF(COUNTIF(J391:J$402,J390)&gt;0,"2回提出（下の行を使います）",IF(OR(AND(D390&lt;&gt;"",COUNTIF(設定!$G$8:$G$27,D390)=0),AND(E390&lt;&gt;"",COUNTIF(設定!$G$8:$G$27,E390)=0),AND(F390&lt;&gt;"",COUNTIF(設定!$G$8:$G$27,F390)=0)),"委員会名がちがう",IF(D390="","第1希望がない",IF(OR(AND(D390&lt;&gt;"",D390=E390),AND(D390&lt;&gt;"",D390=F390),AND(E390&lt;&gt;"",E390=F390)),"同じ委員会を重複して希望","OK"))))))</f>
        <v/>
      </c>
      <c r="J390" s="8">
        <f>IF(A390="","",A390&amp;"-"&amp;B390&amp;"-"&amp;C390)</f>
        <v/>
      </c>
      <c r="K390" s="8">
        <f>IF(OR(J390="",G390=""),"",IF(COUNTIF(J391:J$402,J390)=0,J390,""))</f>
        <v/>
      </c>
    </row>
    <row r="391">
      <c r="A391" s="15" t="n"/>
      <c r="B391" s="15" t="n"/>
      <c r="C391" s="15" t="n"/>
      <c r="D391" s="15" t="n"/>
      <c r="E391" s="15" t="n"/>
      <c r="F391" s="15" t="n"/>
      <c r="G391" s="3">
        <f>IF(J391="","",IFERROR(INDEX(児童名簿!$D$2:$D$301,MATCH(J391,児童名簿!$F$2:$F$301,0)),""))</f>
        <v/>
      </c>
      <c r="H391" s="19">
        <f>IF(J391="","",IF(G391="","名簿にいない",IF(COUNTIF(J392:J$402,J391)&gt;0,"2回提出（下の行を使います）",IF(OR(AND(D391&lt;&gt;"",COUNTIF(設定!$G$8:$G$27,D391)=0),AND(E391&lt;&gt;"",COUNTIF(設定!$G$8:$G$27,E391)=0),AND(F391&lt;&gt;"",COUNTIF(設定!$G$8:$G$27,F391)=0)),"委員会名がちがう",IF(D391="","第1希望がない",IF(OR(AND(D391&lt;&gt;"",D391=E391),AND(D391&lt;&gt;"",D391=F391),AND(E391&lt;&gt;"",E391=F391)),"同じ委員会を重複して希望","OK"))))))</f>
        <v/>
      </c>
      <c r="J391" s="8">
        <f>IF(A391="","",A391&amp;"-"&amp;B391&amp;"-"&amp;C391)</f>
        <v/>
      </c>
      <c r="K391" s="8">
        <f>IF(OR(J391="",G391=""),"",IF(COUNTIF(J392:J$402,J391)=0,J391,""))</f>
        <v/>
      </c>
    </row>
    <row r="392">
      <c r="A392" s="15" t="n"/>
      <c r="B392" s="15" t="n"/>
      <c r="C392" s="15" t="n"/>
      <c r="D392" s="15" t="n"/>
      <c r="E392" s="15" t="n"/>
      <c r="F392" s="15" t="n"/>
      <c r="G392" s="3">
        <f>IF(J392="","",IFERROR(INDEX(児童名簿!$D$2:$D$301,MATCH(J392,児童名簿!$F$2:$F$301,0)),""))</f>
        <v/>
      </c>
      <c r="H392" s="19">
        <f>IF(J392="","",IF(G392="","名簿にいない",IF(COUNTIF(J393:J$402,J392)&gt;0,"2回提出（下の行を使います）",IF(OR(AND(D392&lt;&gt;"",COUNTIF(設定!$G$8:$G$27,D392)=0),AND(E392&lt;&gt;"",COUNTIF(設定!$G$8:$G$27,E392)=0),AND(F392&lt;&gt;"",COUNTIF(設定!$G$8:$G$27,F392)=0)),"委員会名がちがう",IF(D392="","第1希望がない",IF(OR(AND(D392&lt;&gt;"",D392=E392),AND(D392&lt;&gt;"",D392=F392),AND(E392&lt;&gt;"",E392=F392)),"同じ委員会を重複して希望","OK"))))))</f>
        <v/>
      </c>
      <c r="J392" s="8">
        <f>IF(A392="","",A392&amp;"-"&amp;B392&amp;"-"&amp;C392)</f>
        <v/>
      </c>
      <c r="K392" s="8">
        <f>IF(OR(J392="",G392=""),"",IF(COUNTIF(J393:J$402,J392)=0,J392,""))</f>
        <v/>
      </c>
    </row>
    <row r="393">
      <c r="A393" s="15" t="n"/>
      <c r="B393" s="15" t="n"/>
      <c r="C393" s="15" t="n"/>
      <c r="D393" s="15" t="n"/>
      <c r="E393" s="15" t="n"/>
      <c r="F393" s="15" t="n"/>
      <c r="G393" s="3">
        <f>IF(J393="","",IFERROR(INDEX(児童名簿!$D$2:$D$301,MATCH(J393,児童名簿!$F$2:$F$301,0)),""))</f>
        <v/>
      </c>
      <c r="H393" s="19">
        <f>IF(J393="","",IF(G393="","名簿にいない",IF(COUNTIF(J394:J$402,J393)&gt;0,"2回提出（下の行を使います）",IF(OR(AND(D393&lt;&gt;"",COUNTIF(設定!$G$8:$G$27,D393)=0),AND(E393&lt;&gt;"",COUNTIF(設定!$G$8:$G$27,E393)=0),AND(F393&lt;&gt;"",COUNTIF(設定!$G$8:$G$27,F393)=0)),"委員会名がちがう",IF(D393="","第1希望がない",IF(OR(AND(D393&lt;&gt;"",D393=E393),AND(D393&lt;&gt;"",D393=F393),AND(E393&lt;&gt;"",E393=F393)),"同じ委員会を重複して希望","OK"))))))</f>
        <v/>
      </c>
      <c r="J393" s="8">
        <f>IF(A393="","",A393&amp;"-"&amp;B393&amp;"-"&amp;C393)</f>
        <v/>
      </c>
      <c r="K393" s="8">
        <f>IF(OR(J393="",G393=""),"",IF(COUNTIF(J394:J$402,J393)=0,J393,""))</f>
        <v/>
      </c>
    </row>
    <row r="394">
      <c r="A394" s="15" t="n"/>
      <c r="B394" s="15" t="n"/>
      <c r="C394" s="15" t="n"/>
      <c r="D394" s="15" t="n"/>
      <c r="E394" s="15" t="n"/>
      <c r="F394" s="15" t="n"/>
      <c r="G394" s="3">
        <f>IF(J394="","",IFERROR(INDEX(児童名簿!$D$2:$D$301,MATCH(J394,児童名簿!$F$2:$F$301,0)),""))</f>
        <v/>
      </c>
      <c r="H394" s="19">
        <f>IF(J394="","",IF(G394="","名簿にいない",IF(COUNTIF(J395:J$402,J394)&gt;0,"2回提出（下の行を使います）",IF(OR(AND(D394&lt;&gt;"",COUNTIF(設定!$G$8:$G$27,D394)=0),AND(E394&lt;&gt;"",COUNTIF(設定!$G$8:$G$27,E394)=0),AND(F394&lt;&gt;"",COUNTIF(設定!$G$8:$G$27,F394)=0)),"委員会名がちがう",IF(D394="","第1希望がない",IF(OR(AND(D394&lt;&gt;"",D394=E394),AND(D394&lt;&gt;"",D394=F394),AND(E394&lt;&gt;"",E394=F394)),"同じ委員会を重複して希望","OK"))))))</f>
        <v/>
      </c>
      <c r="J394" s="8">
        <f>IF(A394="","",A394&amp;"-"&amp;B394&amp;"-"&amp;C394)</f>
        <v/>
      </c>
      <c r="K394" s="8">
        <f>IF(OR(J394="",G394=""),"",IF(COUNTIF(J395:J$402,J394)=0,J394,""))</f>
        <v/>
      </c>
    </row>
    <row r="395">
      <c r="A395" s="15" t="n"/>
      <c r="B395" s="15" t="n"/>
      <c r="C395" s="15" t="n"/>
      <c r="D395" s="15" t="n"/>
      <c r="E395" s="15" t="n"/>
      <c r="F395" s="15" t="n"/>
      <c r="G395" s="3">
        <f>IF(J395="","",IFERROR(INDEX(児童名簿!$D$2:$D$301,MATCH(J395,児童名簿!$F$2:$F$301,0)),""))</f>
        <v/>
      </c>
      <c r="H395" s="19">
        <f>IF(J395="","",IF(G395="","名簿にいない",IF(COUNTIF(J396:J$402,J395)&gt;0,"2回提出（下の行を使います）",IF(OR(AND(D395&lt;&gt;"",COUNTIF(設定!$G$8:$G$27,D395)=0),AND(E395&lt;&gt;"",COUNTIF(設定!$G$8:$G$27,E395)=0),AND(F395&lt;&gt;"",COUNTIF(設定!$G$8:$G$27,F395)=0)),"委員会名がちがう",IF(D395="","第1希望がない",IF(OR(AND(D395&lt;&gt;"",D395=E395),AND(D395&lt;&gt;"",D395=F395),AND(E395&lt;&gt;"",E395=F395)),"同じ委員会を重複して希望","OK"))))))</f>
        <v/>
      </c>
      <c r="J395" s="8">
        <f>IF(A395="","",A395&amp;"-"&amp;B395&amp;"-"&amp;C395)</f>
        <v/>
      </c>
      <c r="K395" s="8">
        <f>IF(OR(J395="",G395=""),"",IF(COUNTIF(J396:J$402,J395)=0,J395,""))</f>
        <v/>
      </c>
    </row>
    <row r="396">
      <c r="A396" s="15" t="n"/>
      <c r="B396" s="15" t="n"/>
      <c r="C396" s="15" t="n"/>
      <c r="D396" s="15" t="n"/>
      <c r="E396" s="15" t="n"/>
      <c r="F396" s="15" t="n"/>
      <c r="G396" s="3">
        <f>IF(J396="","",IFERROR(INDEX(児童名簿!$D$2:$D$301,MATCH(J396,児童名簿!$F$2:$F$301,0)),""))</f>
        <v/>
      </c>
      <c r="H396" s="19">
        <f>IF(J396="","",IF(G396="","名簿にいない",IF(COUNTIF(J397:J$402,J396)&gt;0,"2回提出（下の行を使います）",IF(OR(AND(D396&lt;&gt;"",COUNTIF(設定!$G$8:$G$27,D396)=0),AND(E396&lt;&gt;"",COUNTIF(設定!$G$8:$G$27,E396)=0),AND(F396&lt;&gt;"",COUNTIF(設定!$G$8:$G$27,F396)=0)),"委員会名がちがう",IF(D396="","第1希望がない",IF(OR(AND(D396&lt;&gt;"",D396=E396),AND(D396&lt;&gt;"",D396=F396),AND(E396&lt;&gt;"",E396=F396)),"同じ委員会を重複して希望","OK"))))))</f>
        <v/>
      </c>
      <c r="J396" s="8">
        <f>IF(A396="","",A396&amp;"-"&amp;B396&amp;"-"&amp;C396)</f>
        <v/>
      </c>
      <c r="K396" s="8">
        <f>IF(OR(J396="",G396=""),"",IF(COUNTIF(J397:J$402,J396)=0,J396,""))</f>
        <v/>
      </c>
    </row>
    <row r="397">
      <c r="A397" s="15" t="n"/>
      <c r="B397" s="15" t="n"/>
      <c r="C397" s="15" t="n"/>
      <c r="D397" s="15" t="n"/>
      <c r="E397" s="15" t="n"/>
      <c r="F397" s="15" t="n"/>
      <c r="G397" s="3">
        <f>IF(J397="","",IFERROR(INDEX(児童名簿!$D$2:$D$301,MATCH(J397,児童名簿!$F$2:$F$301,0)),""))</f>
        <v/>
      </c>
      <c r="H397" s="19">
        <f>IF(J397="","",IF(G397="","名簿にいない",IF(COUNTIF(J398:J$402,J397)&gt;0,"2回提出（下の行を使います）",IF(OR(AND(D397&lt;&gt;"",COUNTIF(設定!$G$8:$G$27,D397)=0),AND(E397&lt;&gt;"",COUNTIF(設定!$G$8:$G$27,E397)=0),AND(F397&lt;&gt;"",COUNTIF(設定!$G$8:$G$27,F397)=0)),"委員会名がちがう",IF(D397="","第1希望がない",IF(OR(AND(D397&lt;&gt;"",D397=E397),AND(D397&lt;&gt;"",D397=F397),AND(E397&lt;&gt;"",E397=F397)),"同じ委員会を重複して希望","OK"))))))</f>
        <v/>
      </c>
      <c r="J397" s="8">
        <f>IF(A397="","",A397&amp;"-"&amp;B397&amp;"-"&amp;C397)</f>
        <v/>
      </c>
      <c r="K397" s="8">
        <f>IF(OR(J397="",G397=""),"",IF(COUNTIF(J398:J$402,J397)=0,J397,""))</f>
        <v/>
      </c>
    </row>
    <row r="398">
      <c r="A398" s="15" t="n"/>
      <c r="B398" s="15" t="n"/>
      <c r="C398" s="15" t="n"/>
      <c r="D398" s="15" t="n"/>
      <c r="E398" s="15" t="n"/>
      <c r="F398" s="15" t="n"/>
      <c r="G398" s="3">
        <f>IF(J398="","",IFERROR(INDEX(児童名簿!$D$2:$D$301,MATCH(J398,児童名簿!$F$2:$F$301,0)),""))</f>
        <v/>
      </c>
      <c r="H398" s="19">
        <f>IF(J398="","",IF(G398="","名簿にいない",IF(COUNTIF(J399:J$402,J398)&gt;0,"2回提出（下の行を使います）",IF(OR(AND(D398&lt;&gt;"",COUNTIF(設定!$G$8:$G$27,D398)=0),AND(E398&lt;&gt;"",COUNTIF(設定!$G$8:$G$27,E398)=0),AND(F398&lt;&gt;"",COUNTIF(設定!$G$8:$G$27,F398)=0)),"委員会名がちがう",IF(D398="","第1希望がない",IF(OR(AND(D398&lt;&gt;"",D398=E398),AND(D398&lt;&gt;"",D398=F398),AND(E398&lt;&gt;"",E398=F398)),"同じ委員会を重複して希望","OK"))))))</f>
        <v/>
      </c>
      <c r="J398" s="8">
        <f>IF(A398="","",A398&amp;"-"&amp;B398&amp;"-"&amp;C398)</f>
        <v/>
      </c>
      <c r="K398" s="8">
        <f>IF(OR(J398="",G398=""),"",IF(COUNTIF(J399:J$402,J398)=0,J398,""))</f>
        <v/>
      </c>
    </row>
    <row r="399">
      <c r="A399" s="15" t="n"/>
      <c r="B399" s="15" t="n"/>
      <c r="C399" s="15" t="n"/>
      <c r="D399" s="15" t="n"/>
      <c r="E399" s="15" t="n"/>
      <c r="F399" s="15" t="n"/>
      <c r="G399" s="3">
        <f>IF(J399="","",IFERROR(INDEX(児童名簿!$D$2:$D$301,MATCH(J399,児童名簿!$F$2:$F$301,0)),""))</f>
        <v/>
      </c>
      <c r="H399" s="19">
        <f>IF(J399="","",IF(G399="","名簿にいない",IF(COUNTIF(J400:J$402,J399)&gt;0,"2回提出（下の行を使います）",IF(OR(AND(D399&lt;&gt;"",COUNTIF(設定!$G$8:$G$27,D399)=0),AND(E399&lt;&gt;"",COUNTIF(設定!$G$8:$G$27,E399)=0),AND(F399&lt;&gt;"",COUNTIF(設定!$G$8:$G$27,F399)=0)),"委員会名がちがう",IF(D399="","第1希望がない",IF(OR(AND(D399&lt;&gt;"",D399=E399),AND(D399&lt;&gt;"",D399=F399),AND(E399&lt;&gt;"",E399=F399)),"同じ委員会を重複して希望","OK"))))))</f>
        <v/>
      </c>
      <c r="J399" s="8">
        <f>IF(A399="","",A399&amp;"-"&amp;B399&amp;"-"&amp;C399)</f>
        <v/>
      </c>
      <c r="K399" s="8">
        <f>IF(OR(J399="",G399=""),"",IF(COUNTIF(J400:J$402,J399)=0,J399,""))</f>
        <v/>
      </c>
    </row>
    <row r="400">
      <c r="A400" s="15" t="n"/>
      <c r="B400" s="15" t="n"/>
      <c r="C400" s="15" t="n"/>
      <c r="D400" s="15" t="n"/>
      <c r="E400" s="15" t="n"/>
      <c r="F400" s="15" t="n"/>
      <c r="G400" s="3">
        <f>IF(J400="","",IFERROR(INDEX(児童名簿!$D$2:$D$301,MATCH(J400,児童名簿!$F$2:$F$301,0)),""))</f>
        <v/>
      </c>
      <c r="H400" s="19">
        <f>IF(J400="","",IF(G400="","名簿にいない",IF(COUNTIF(J401:J$402,J400)&gt;0,"2回提出（下の行を使います）",IF(OR(AND(D400&lt;&gt;"",COUNTIF(設定!$G$8:$G$27,D400)=0),AND(E400&lt;&gt;"",COUNTIF(設定!$G$8:$G$27,E400)=0),AND(F400&lt;&gt;"",COUNTIF(設定!$G$8:$G$27,F400)=0)),"委員会名がちがう",IF(D400="","第1希望がない",IF(OR(AND(D400&lt;&gt;"",D400=E400),AND(D400&lt;&gt;"",D400=F400),AND(E400&lt;&gt;"",E400=F400)),"同じ委員会を重複して希望","OK"))))))</f>
        <v/>
      </c>
      <c r="J400" s="8">
        <f>IF(A400="","",A400&amp;"-"&amp;B400&amp;"-"&amp;C400)</f>
        <v/>
      </c>
      <c r="K400" s="8">
        <f>IF(OR(J400="",G400=""),"",IF(COUNTIF(J401:J$402,J400)=0,J400,""))</f>
        <v/>
      </c>
    </row>
    <row r="401">
      <c r="A401" s="15" t="n"/>
      <c r="B401" s="15" t="n"/>
      <c r="C401" s="15" t="n"/>
      <c r="D401" s="15" t="n"/>
      <c r="E401" s="15" t="n"/>
      <c r="F401" s="15" t="n"/>
      <c r="G401" s="3">
        <f>IF(J401="","",IFERROR(INDEX(児童名簿!$D$2:$D$301,MATCH(J401,児童名簿!$F$2:$F$301,0)),""))</f>
        <v/>
      </c>
      <c r="H401" s="19">
        <f>IF(J401="","",IF(G401="","名簿にいない",IF(COUNTIF(J402:J$402,J401)&gt;0,"2回提出（下の行を使います）",IF(OR(AND(D401&lt;&gt;"",COUNTIF(設定!$G$8:$G$27,D401)=0),AND(E401&lt;&gt;"",COUNTIF(設定!$G$8:$G$27,E401)=0),AND(F401&lt;&gt;"",COUNTIF(設定!$G$8:$G$27,F401)=0)),"委員会名がちがう",IF(D401="","第1希望がない",IF(OR(AND(D401&lt;&gt;"",D401=E401),AND(D401&lt;&gt;"",D401=F401),AND(E401&lt;&gt;"",E401=F401)),"同じ委員会を重複して希望","OK"))))))</f>
        <v/>
      </c>
      <c r="J401" s="8">
        <f>IF(A401="","",A401&amp;"-"&amp;B401&amp;"-"&amp;C401)</f>
        <v/>
      </c>
      <c r="K401" s="8">
        <f>IF(OR(J401="",G401=""),"",IF(COUNTIF(J402:J$402,J401)=0,J401,""))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H2:H401">
    <cfRule type="expression" priority="1" dxfId="8">
      <formula>AND(H2&lt;&gt;"",H2&lt;&gt;"OK")</formula>
    </cfRule>
  </conditionalFormatting>
  <dataValidations count="1">
    <dataValidation sqref="D2:F401" showDropDown="0" showInputMessage="0" showErrorMessage="0" allowBlank="1" type="list">
      <formula1>設定!$G$8:$G$27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6" customWidth="1" min="3" max="3"/>
    <col width="10" customWidth="1" min="4" max="4"/>
    <col width="10" customWidth="1" min="5" max="5"/>
    <col width="10" customWidth="1" min="6" max="6"/>
    <col width="11" customWidth="1" min="7" max="7"/>
    <col width="12" customWidth="1" min="8" max="8"/>
    <col width="11" customWidth="1" min="9" max="9"/>
    <col width="9" customWidth="1" min="10" max="10"/>
    <col width="9" customWidth="1" min="11" max="11"/>
    <col width="9" customWidth="1" min="12" max="12"/>
    <col width="6" customWidth="1" min="13" max="13"/>
    <col width="6" customWidth="1" min="14" max="14"/>
    <col width="6" customWidth="1" min="15" max="15"/>
    <col width="9" customWidth="1" min="16" max="16"/>
    <col width="6" customWidth="1" min="17" max="17"/>
    <col width="6" customWidth="1" min="18" max="18"/>
    <col width="8" customWidth="1" min="19" max="19"/>
  </cols>
  <sheetData>
    <row r="1">
      <c r="A1" s="5" t="inlineStr">
        <is>
          <t>振り分け　　「要調整」の子は、話し合いなどで決まったら「先生の決定」（黄色）にプルダウンで委員会を入れてください。</t>
        </is>
      </c>
    </row>
    <row r="2" ht="30" customHeight="1">
      <c r="A2" s="20" t="inlineStr">
        <is>
          <t>組</t>
        </is>
      </c>
      <c r="B2" s="20" t="inlineStr">
        <is>
          <t>番号</t>
        </is>
      </c>
      <c r="C2" s="20" t="inlineStr">
        <is>
          <t>名前</t>
        </is>
      </c>
      <c r="D2" s="20" t="inlineStr">
        <is>
          <t>第1希望</t>
        </is>
      </c>
      <c r="E2" s="20" t="inlineStr">
        <is>
          <t>第2希望</t>
        </is>
      </c>
      <c r="F2" s="20" t="inlineStr">
        <is>
          <t>第3希望</t>
        </is>
      </c>
      <c r="G2" s="20" t="inlineStr">
        <is>
          <t>自動仮決定</t>
        </is>
      </c>
      <c r="H2" s="21" t="inlineStr">
        <is>
          <t>先生の決定</t>
        </is>
      </c>
      <c r="I2" s="20" t="inlineStr">
        <is>
          <t>最終決定</t>
        </is>
      </c>
      <c r="J2" s="20" t="inlineStr">
        <is>
          <t>状態</t>
        </is>
      </c>
      <c r="K2" s="20" t="inlineStr">
        <is>
          <t>第2希望の空き</t>
        </is>
      </c>
      <c r="L2" s="20" t="inlineStr">
        <is>
          <t>第3希望の空き</t>
        </is>
      </c>
      <c r="M2" s="22" t="inlineStr">
        <is>
          <t>学年</t>
        </is>
      </c>
      <c r="N2" s="22" t="inlineStr">
        <is>
          <t>名簿行</t>
        </is>
      </c>
      <c r="O2" s="22" t="inlineStr">
        <is>
          <t>希望行</t>
        </is>
      </c>
      <c r="P2" s="22" t="inlineStr">
        <is>
          <t>キー</t>
        </is>
      </c>
      <c r="Q2" s="22" t="inlineStr">
        <is>
          <t>委員会No</t>
        </is>
      </c>
      <c r="R2" s="22" t="inlineStr">
        <is>
          <t>委員会内順</t>
        </is>
      </c>
      <c r="S2" s="22" t="inlineStr">
        <is>
          <t>一覧キー</t>
        </is>
      </c>
    </row>
    <row r="3">
      <c r="A3" s="23">
        <f>IF(N3="","",IFERROR(INDEX(設定!$C$8:$C$23,INT(INDEX(児童名簿!$G$2:$G$301,N3)/1000)),M3&amp;INDEX(児童名簿!$B$2:$B$301,N3)))</f>
        <v/>
      </c>
      <c r="B3" s="23">
        <f>IF(N3="","",INDEX(児童名簿!$C$2:$C$301,N3))</f>
        <v/>
      </c>
      <c r="C3" s="3">
        <f>IF(N3="","",INDEX(児童名簿!$D$2:$D$301,N3))</f>
        <v/>
      </c>
      <c r="D3" s="23">
        <f>IF(O3="","",INDEX(希望入力!$D$2:$D$401,O3)&amp;"")</f>
        <v/>
      </c>
      <c r="E3" s="23">
        <f>IF(O3="","",INDEX(希望入力!$E$2:$E$401,O3)&amp;"")</f>
        <v/>
      </c>
      <c r="F3" s="23">
        <f>IF(O3="","",INDEX(希望入力!$F$2:$F$401,O3)&amp;"")</f>
        <v/>
      </c>
      <c r="G3" s="23">
        <f>IF(O3="","",IF(D3="","要調整",IFERROR(IF(COUNTIFS($M$3:$M$302,M3,$D$3:$D$302,D3)&lt;=INDEX(設定!$H$8:$I$27,MATCH(D3,設定!$G$8:$G$27,0),IF($M3=設定!$H$6&amp;"",1,2)),D3,"要調整"),"要調整")))</f>
        <v/>
      </c>
      <c r="H3" s="15" t="n"/>
      <c r="I3" s="24">
        <f>IF(N3="","",IF(H3&lt;&gt;"",H3,IF(OR(G3="",G3="要調整"),"",G3)))</f>
        <v/>
      </c>
      <c r="J3" s="23">
        <f>IF(N3="","",IF(I3&lt;&gt;"","決定",IF(O3="","未提出","要調整")))</f>
        <v/>
      </c>
      <c r="K3" s="23">
        <f>IF(OR(J3&lt;&gt;"要調整",E3=""),"",IFERROR(INDEX(設定!$H$8:$I$27,MATCH(E3,設定!$G$8:$G$27,0),IF($M3=設定!$H$6&amp;"",1,2))-COUNTIFS($M$3:$M$302,M3,$I$3:$I$302,E3),""))</f>
        <v/>
      </c>
      <c r="L3" s="23">
        <f>IF(OR(J3&lt;&gt;"要調整",F3=""),"",IFERROR(INDEX(設定!$H$8:$I$27,MATCH(F3,設定!$G$8:$G$27,0),IF($M3=設定!$H$6&amp;"",1,2))-COUNTIFS($M$3:$M$302,M3,$I$3:$I$302,F3),""))</f>
        <v/>
      </c>
      <c r="M3" s="8">
        <f>IF(N3="","",INDEX(児童名簿!$A$2:$A$301,N3)&amp;"")</f>
        <v/>
      </c>
      <c r="N3" s="8">
        <f>IFERROR(MATCH(SMALL(児童名簿!$G$2:$G$301,1),児童名簿!$G$2:$G$301,0),"")</f>
        <v/>
      </c>
      <c r="O3" s="8">
        <f>IF(P3="","",IFERROR(MATCH(P3,希望入力!$K$2:$K$401,0),""))</f>
        <v/>
      </c>
      <c r="P3" s="8">
        <f>IF(N3="","",INDEX(児童名簿!$F$2:$F$301,N3))</f>
        <v/>
      </c>
      <c r="Q3" s="8">
        <f>IF(I3="","",IFERROR(MATCH(I3,設定!$G$8:$G$27,0),""))</f>
        <v/>
      </c>
      <c r="R3" s="8">
        <f>IF(Q3="","",COUNTIF($Q$3:Q3,Q3))</f>
        <v/>
      </c>
      <c r="S3" s="8">
        <f>IF(Q3="","",Q3*1000+R3)</f>
        <v/>
      </c>
    </row>
    <row r="4">
      <c r="A4" s="23">
        <f>IF(N4="","",IFERROR(INDEX(設定!$C$8:$C$23,INT(INDEX(児童名簿!$G$2:$G$301,N4)/1000)),M4&amp;INDEX(児童名簿!$B$2:$B$301,N4)))</f>
        <v/>
      </c>
      <c r="B4" s="23">
        <f>IF(N4="","",INDEX(児童名簿!$C$2:$C$301,N4))</f>
        <v/>
      </c>
      <c r="C4" s="3">
        <f>IF(N4="","",INDEX(児童名簿!$D$2:$D$301,N4))</f>
        <v/>
      </c>
      <c r="D4" s="23">
        <f>IF(O4="","",INDEX(希望入力!$D$2:$D$401,O4)&amp;"")</f>
        <v/>
      </c>
      <c r="E4" s="23">
        <f>IF(O4="","",INDEX(希望入力!$E$2:$E$401,O4)&amp;"")</f>
        <v/>
      </c>
      <c r="F4" s="23">
        <f>IF(O4="","",INDEX(希望入力!$F$2:$F$401,O4)&amp;"")</f>
        <v/>
      </c>
      <c r="G4" s="23">
        <f>IF(O4="","",IF(D4="","要調整",IFERROR(IF(COUNTIFS($M$3:$M$302,M4,$D$3:$D$302,D4)&lt;=INDEX(設定!$H$8:$I$27,MATCH(D4,設定!$G$8:$G$27,0),IF($M4=設定!$H$6&amp;"",1,2)),D4,"要調整"),"要調整")))</f>
        <v/>
      </c>
      <c r="H4" s="15" t="n"/>
      <c r="I4" s="24">
        <f>IF(N4="","",IF(H4&lt;&gt;"",H4,IF(OR(G4="",G4="要調整"),"",G4)))</f>
        <v/>
      </c>
      <c r="J4" s="23">
        <f>IF(N4="","",IF(I4&lt;&gt;"","決定",IF(O4="","未提出","要調整")))</f>
        <v/>
      </c>
      <c r="K4" s="23">
        <f>IF(OR(J4&lt;&gt;"要調整",E4=""),"",IFERROR(INDEX(設定!$H$8:$I$27,MATCH(E4,設定!$G$8:$G$27,0),IF($M4=設定!$H$6&amp;"",1,2))-COUNTIFS($M$3:$M$302,M4,$I$3:$I$302,E4),""))</f>
        <v/>
      </c>
      <c r="L4" s="23">
        <f>IF(OR(J4&lt;&gt;"要調整",F4=""),"",IFERROR(INDEX(設定!$H$8:$I$27,MATCH(F4,設定!$G$8:$G$27,0),IF($M4=設定!$H$6&amp;"",1,2))-COUNTIFS($M$3:$M$302,M4,$I$3:$I$302,F4),""))</f>
        <v/>
      </c>
      <c r="M4" s="8">
        <f>IF(N4="","",INDEX(児童名簿!$A$2:$A$301,N4)&amp;"")</f>
        <v/>
      </c>
      <c r="N4" s="8">
        <f>IFERROR(MATCH(SMALL(児童名簿!$G$2:$G$301,2),児童名簿!$G$2:$G$301,0),"")</f>
        <v/>
      </c>
      <c r="O4" s="8">
        <f>IF(P4="","",IFERROR(MATCH(P4,希望入力!$K$2:$K$401,0),""))</f>
        <v/>
      </c>
      <c r="P4" s="8">
        <f>IF(N4="","",INDEX(児童名簿!$F$2:$F$301,N4))</f>
        <v/>
      </c>
      <c r="Q4" s="8">
        <f>IF(I4="","",IFERROR(MATCH(I4,設定!$G$8:$G$27,0),""))</f>
        <v/>
      </c>
      <c r="R4" s="8">
        <f>IF(Q4="","",COUNTIF($Q$3:Q4,Q4))</f>
        <v/>
      </c>
      <c r="S4" s="8">
        <f>IF(Q4="","",Q4*1000+R4)</f>
        <v/>
      </c>
    </row>
    <row r="5">
      <c r="A5" s="23">
        <f>IF(N5="","",IFERROR(INDEX(設定!$C$8:$C$23,INT(INDEX(児童名簿!$G$2:$G$301,N5)/1000)),M5&amp;INDEX(児童名簿!$B$2:$B$301,N5)))</f>
        <v/>
      </c>
      <c r="B5" s="23">
        <f>IF(N5="","",INDEX(児童名簿!$C$2:$C$301,N5))</f>
        <v/>
      </c>
      <c r="C5" s="3">
        <f>IF(N5="","",INDEX(児童名簿!$D$2:$D$301,N5))</f>
        <v/>
      </c>
      <c r="D5" s="23">
        <f>IF(O5="","",INDEX(希望入力!$D$2:$D$401,O5)&amp;"")</f>
        <v/>
      </c>
      <c r="E5" s="23">
        <f>IF(O5="","",INDEX(希望入力!$E$2:$E$401,O5)&amp;"")</f>
        <v/>
      </c>
      <c r="F5" s="23">
        <f>IF(O5="","",INDEX(希望入力!$F$2:$F$401,O5)&amp;"")</f>
        <v/>
      </c>
      <c r="G5" s="23">
        <f>IF(O5="","",IF(D5="","要調整",IFERROR(IF(COUNTIFS($M$3:$M$302,M5,$D$3:$D$302,D5)&lt;=INDEX(設定!$H$8:$I$27,MATCH(D5,設定!$G$8:$G$27,0),IF($M5=設定!$H$6&amp;"",1,2)),D5,"要調整"),"要調整")))</f>
        <v/>
      </c>
      <c r="H5" s="15" t="n"/>
      <c r="I5" s="24">
        <f>IF(N5="","",IF(H5&lt;&gt;"",H5,IF(OR(G5="",G5="要調整"),"",G5)))</f>
        <v/>
      </c>
      <c r="J5" s="23">
        <f>IF(N5="","",IF(I5&lt;&gt;"","決定",IF(O5="","未提出","要調整")))</f>
        <v/>
      </c>
      <c r="K5" s="23">
        <f>IF(OR(J5&lt;&gt;"要調整",E5=""),"",IFERROR(INDEX(設定!$H$8:$I$27,MATCH(E5,設定!$G$8:$G$27,0),IF($M5=設定!$H$6&amp;"",1,2))-COUNTIFS($M$3:$M$302,M5,$I$3:$I$302,E5),""))</f>
        <v/>
      </c>
      <c r="L5" s="23">
        <f>IF(OR(J5&lt;&gt;"要調整",F5=""),"",IFERROR(INDEX(設定!$H$8:$I$27,MATCH(F5,設定!$G$8:$G$27,0),IF($M5=設定!$H$6&amp;"",1,2))-COUNTIFS($M$3:$M$302,M5,$I$3:$I$302,F5),""))</f>
        <v/>
      </c>
      <c r="M5" s="8">
        <f>IF(N5="","",INDEX(児童名簿!$A$2:$A$301,N5)&amp;"")</f>
        <v/>
      </c>
      <c r="N5" s="8">
        <f>IFERROR(MATCH(SMALL(児童名簿!$G$2:$G$301,3),児童名簿!$G$2:$G$301,0),"")</f>
        <v/>
      </c>
      <c r="O5" s="8">
        <f>IF(P5="","",IFERROR(MATCH(P5,希望入力!$K$2:$K$401,0),""))</f>
        <v/>
      </c>
      <c r="P5" s="8">
        <f>IF(N5="","",INDEX(児童名簿!$F$2:$F$301,N5))</f>
        <v/>
      </c>
      <c r="Q5" s="8">
        <f>IF(I5="","",IFERROR(MATCH(I5,設定!$G$8:$G$27,0),""))</f>
        <v/>
      </c>
      <c r="R5" s="8">
        <f>IF(Q5="","",COUNTIF($Q$3:Q5,Q5))</f>
        <v/>
      </c>
      <c r="S5" s="8">
        <f>IF(Q5="","",Q5*1000+R5)</f>
        <v/>
      </c>
    </row>
    <row r="6">
      <c r="A6" s="23">
        <f>IF(N6="","",IFERROR(INDEX(設定!$C$8:$C$23,INT(INDEX(児童名簿!$G$2:$G$301,N6)/1000)),M6&amp;INDEX(児童名簿!$B$2:$B$301,N6)))</f>
        <v/>
      </c>
      <c r="B6" s="23">
        <f>IF(N6="","",INDEX(児童名簿!$C$2:$C$301,N6))</f>
        <v/>
      </c>
      <c r="C6" s="3">
        <f>IF(N6="","",INDEX(児童名簿!$D$2:$D$301,N6))</f>
        <v/>
      </c>
      <c r="D6" s="23">
        <f>IF(O6="","",INDEX(希望入力!$D$2:$D$401,O6)&amp;"")</f>
        <v/>
      </c>
      <c r="E6" s="23">
        <f>IF(O6="","",INDEX(希望入力!$E$2:$E$401,O6)&amp;"")</f>
        <v/>
      </c>
      <c r="F6" s="23">
        <f>IF(O6="","",INDEX(希望入力!$F$2:$F$401,O6)&amp;"")</f>
        <v/>
      </c>
      <c r="G6" s="23">
        <f>IF(O6="","",IF(D6="","要調整",IFERROR(IF(COUNTIFS($M$3:$M$302,M6,$D$3:$D$302,D6)&lt;=INDEX(設定!$H$8:$I$27,MATCH(D6,設定!$G$8:$G$27,0),IF($M6=設定!$H$6&amp;"",1,2)),D6,"要調整"),"要調整")))</f>
        <v/>
      </c>
      <c r="H6" s="15" t="n"/>
      <c r="I6" s="24">
        <f>IF(N6="","",IF(H6&lt;&gt;"",H6,IF(OR(G6="",G6="要調整"),"",G6)))</f>
        <v/>
      </c>
      <c r="J6" s="23">
        <f>IF(N6="","",IF(I6&lt;&gt;"","決定",IF(O6="","未提出","要調整")))</f>
        <v/>
      </c>
      <c r="K6" s="23">
        <f>IF(OR(J6&lt;&gt;"要調整",E6=""),"",IFERROR(INDEX(設定!$H$8:$I$27,MATCH(E6,設定!$G$8:$G$27,0),IF($M6=設定!$H$6&amp;"",1,2))-COUNTIFS($M$3:$M$302,M6,$I$3:$I$302,E6),""))</f>
        <v/>
      </c>
      <c r="L6" s="23">
        <f>IF(OR(J6&lt;&gt;"要調整",F6=""),"",IFERROR(INDEX(設定!$H$8:$I$27,MATCH(F6,設定!$G$8:$G$27,0),IF($M6=設定!$H$6&amp;"",1,2))-COUNTIFS($M$3:$M$302,M6,$I$3:$I$302,F6),""))</f>
        <v/>
      </c>
      <c r="M6" s="8">
        <f>IF(N6="","",INDEX(児童名簿!$A$2:$A$301,N6)&amp;"")</f>
        <v/>
      </c>
      <c r="N6" s="8">
        <f>IFERROR(MATCH(SMALL(児童名簿!$G$2:$G$301,4),児童名簿!$G$2:$G$301,0),"")</f>
        <v/>
      </c>
      <c r="O6" s="8">
        <f>IF(P6="","",IFERROR(MATCH(P6,希望入力!$K$2:$K$401,0),""))</f>
        <v/>
      </c>
      <c r="P6" s="8">
        <f>IF(N6="","",INDEX(児童名簿!$F$2:$F$301,N6))</f>
        <v/>
      </c>
      <c r="Q6" s="8">
        <f>IF(I6="","",IFERROR(MATCH(I6,設定!$G$8:$G$27,0),""))</f>
        <v/>
      </c>
      <c r="R6" s="8">
        <f>IF(Q6="","",COUNTIF($Q$3:Q6,Q6))</f>
        <v/>
      </c>
      <c r="S6" s="8">
        <f>IF(Q6="","",Q6*1000+R6)</f>
        <v/>
      </c>
    </row>
    <row r="7">
      <c r="A7" s="23">
        <f>IF(N7="","",IFERROR(INDEX(設定!$C$8:$C$23,INT(INDEX(児童名簿!$G$2:$G$301,N7)/1000)),M7&amp;INDEX(児童名簿!$B$2:$B$301,N7)))</f>
        <v/>
      </c>
      <c r="B7" s="23">
        <f>IF(N7="","",INDEX(児童名簿!$C$2:$C$301,N7))</f>
        <v/>
      </c>
      <c r="C7" s="3">
        <f>IF(N7="","",INDEX(児童名簿!$D$2:$D$301,N7))</f>
        <v/>
      </c>
      <c r="D7" s="23">
        <f>IF(O7="","",INDEX(希望入力!$D$2:$D$401,O7)&amp;"")</f>
        <v/>
      </c>
      <c r="E7" s="23">
        <f>IF(O7="","",INDEX(希望入力!$E$2:$E$401,O7)&amp;"")</f>
        <v/>
      </c>
      <c r="F7" s="23">
        <f>IF(O7="","",INDEX(希望入力!$F$2:$F$401,O7)&amp;"")</f>
        <v/>
      </c>
      <c r="G7" s="23">
        <f>IF(O7="","",IF(D7="","要調整",IFERROR(IF(COUNTIFS($M$3:$M$302,M7,$D$3:$D$302,D7)&lt;=INDEX(設定!$H$8:$I$27,MATCH(D7,設定!$G$8:$G$27,0),IF($M7=設定!$H$6&amp;"",1,2)),D7,"要調整"),"要調整")))</f>
        <v/>
      </c>
      <c r="H7" s="15" t="n"/>
      <c r="I7" s="24">
        <f>IF(N7="","",IF(H7&lt;&gt;"",H7,IF(OR(G7="",G7="要調整"),"",G7)))</f>
        <v/>
      </c>
      <c r="J7" s="23">
        <f>IF(N7="","",IF(I7&lt;&gt;"","決定",IF(O7="","未提出","要調整")))</f>
        <v/>
      </c>
      <c r="K7" s="23">
        <f>IF(OR(J7&lt;&gt;"要調整",E7=""),"",IFERROR(INDEX(設定!$H$8:$I$27,MATCH(E7,設定!$G$8:$G$27,0),IF($M7=設定!$H$6&amp;"",1,2))-COUNTIFS($M$3:$M$302,M7,$I$3:$I$302,E7),""))</f>
        <v/>
      </c>
      <c r="L7" s="23">
        <f>IF(OR(J7&lt;&gt;"要調整",F7=""),"",IFERROR(INDEX(設定!$H$8:$I$27,MATCH(F7,設定!$G$8:$G$27,0),IF($M7=設定!$H$6&amp;"",1,2))-COUNTIFS($M$3:$M$302,M7,$I$3:$I$302,F7),""))</f>
        <v/>
      </c>
      <c r="M7" s="8">
        <f>IF(N7="","",INDEX(児童名簿!$A$2:$A$301,N7)&amp;"")</f>
        <v/>
      </c>
      <c r="N7" s="8">
        <f>IFERROR(MATCH(SMALL(児童名簿!$G$2:$G$301,5),児童名簿!$G$2:$G$301,0),"")</f>
        <v/>
      </c>
      <c r="O7" s="8">
        <f>IF(P7="","",IFERROR(MATCH(P7,希望入力!$K$2:$K$401,0),""))</f>
        <v/>
      </c>
      <c r="P7" s="8">
        <f>IF(N7="","",INDEX(児童名簿!$F$2:$F$301,N7))</f>
        <v/>
      </c>
      <c r="Q7" s="8">
        <f>IF(I7="","",IFERROR(MATCH(I7,設定!$G$8:$G$27,0),""))</f>
        <v/>
      </c>
      <c r="R7" s="8">
        <f>IF(Q7="","",COUNTIF($Q$3:Q7,Q7))</f>
        <v/>
      </c>
      <c r="S7" s="8">
        <f>IF(Q7="","",Q7*1000+R7)</f>
        <v/>
      </c>
    </row>
    <row r="8">
      <c r="A8" s="23">
        <f>IF(N8="","",IFERROR(INDEX(設定!$C$8:$C$23,INT(INDEX(児童名簿!$G$2:$G$301,N8)/1000)),M8&amp;INDEX(児童名簿!$B$2:$B$301,N8)))</f>
        <v/>
      </c>
      <c r="B8" s="23">
        <f>IF(N8="","",INDEX(児童名簿!$C$2:$C$301,N8))</f>
        <v/>
      </c>
      <c r="C8" s="3">
        <f>IF(N8="","",INDEX(児童名簿!$D$2:$D$301,N8))</f>
        <v/>
      </c>
      <c r="D8" s="23">
        <f>IF(O8="","",INDEX(希望入力!$D$2:$D$401,O8)&amp;"")</f>
        <v/>
      </c>
      <c r="E8" s="23">
        <f>IF(O8="","",INDEX(希望入力!$E$2:$E$401,O8)&amp;"")</f>
        <v/>
      </c>
      <c r="F8" s="23">
        <f>IF(O8="","",INDEX(希望入力!$F$2:$F$401,O8)&amp;"")</f>
        <v/>
      </c>
      <c r="G8" s="23">
        <f>IF(O8="","",IF(D8="","要調整",IFERROR(IF(COUNTIFS($M$3:$M$302,M8,$D$3:$D$302,D8)&lt;=INDEX(設定!$H$8:$I$27,MATCH(D8,設定!$G$8:$G$27,0),IF($M8=設定!$H$6&amp;"",1,2)),D8,"要調整"),"要調整")))</f>
        <v/>
      </c>
      <c r="H8" s="15" t="n"/>
      <c r="I8" s="24">
        <f>IF(N8="","",IF(H8&lt;&gt;"",H8,IF(OR(G8="",G8="要調整"),"",G8)))</f>
        <v/>
      </c>
      <c r="J8" s="23">
        <f>IF(N8="","",IF(I8&lt;&gt;"","決定",IF(O8="","未提出","要調整")))</f>
        <v/>
      </c>
      <c r="K8" s="23">
        <f>IF(OR(J8&lt;&gt;"要調整",E8=""),"",IFERROR(INDEX(設定!$H$8:$I$27,MATCH(E8,設定!$G$8:$G$27,0),IF($M8=設定!$H$6&amp;"",1,2))-COUNTIFS($M$3:$M$302,M8,$I$3:$I$302,E8),""))</f>
        <v/>
      </c>
      <c r="L8" s="23">
        <f>IF(OR(J8&lt;&gt;"要調整",F8=""),"",IFERROR(INDEX(設定!$H$8:$I$27,MATCH(F8,設定!$G$8:$G$27,0),IF($M8=設定!$H$6&amp;"",1,2))-COUNTIFS($M$3:$M$302,M8,$I$3:$I$302,F8),""))</f>
        <v/>
      </c>
      <c r="M8" s="8">
        <f>IF(N8="","",INDEX(児童名簿!$A$2:$A$301,N8)&amp;"")</f>
        <v/>
      </c>
      <c r="N8" s="8">
        <f>IFERROR(MATCH(SMALL(児童名簿!$G$2:$G$301,6),児童名簿!$G$2:$G$301,0),"")</f>
        <v/>
      </c>
      <c r="O8" s="8">
        <f>IF(P8="","",IFERROR(MATCH(P8,希望入力!$K$2:$K$401,0),""))</f>
        <v/>
      </c>
      <c r="P8" s="8">
        <f>IF(N8="","",INDEX(児童名簿!$F$2:$F$301,N8))</f>
        <v/>
      </c>
      <c r="Q8" s="8">
        <f>IF(I8="","",IFERROR(MATCH(I8,設定!$G$8:$G$27,0),""))</f>
        <v/>
      </c>
      <c r="R8" s="8">
        <f>IF(Q8="","",COUNTIF($Q$3:Q8,Q8))</f>
        <v/>
      </c>
      <c r="S8" s="8">
        <f>IF(Q8="","",Q8*1000+R8)</f>
        <v/>
      </c>
    </row>
    <row r="9">
      <c r="A9" s="23">
        <f>IF(N9="","",IFERROR(INDEX(設定!$C$8:$C$23,INT(INDEX(児童名簿!$G$2:$G$301,N9)/1000)),M9&amp;INDEX(児童名簿!$B$2:$B$301,N9)))</f>
        <v/>
      </c>
      <c r="B9" s="23">
        <f>IF(N9="","",INDEX(児童名簿!$C$2:$C$301,N9))</f>
        <v/>
      </c>
      <c r="C9" s="3">
        <f>IF(N9="","",INDEX(児童名簿!$D$2:$D$301,N9))</f>
        <v/>
      </c>
      <c r="D9" s="23">
        <f>IF(O9="","",INDEX(希望入力!$D$2:$D$401,O9)&amp;"")</f>
        <v/>
      </c>
      <c r="E9" s="23">
        <f>IF(O9="","",INDEX(希望入力!$E$2:$E$401,O9)&amp;"")</f>
        <v/>
      </c>
      <c r="F9" s="23">
        <f>IF(O9="","",INDEX(希望入力!$F$2:$F$401,O9)&amp;"")</f>
        <v/>
      </c>
      <c r="G9" s="23">
        <f>IF(O9="","",IF(D9="","要調整",IFERROR(IF(COUNTIFS($M$3:$M$302,M9,$D$3:$D$302,D9)&lt;=INDEX(設定!$H$8:$I$27,MATCH(D9,設定!$G$8:$G$27,0),IF($M9=設定!$H$6&amp;"",1,2)),D9,"要調整"),"要調整")))</f>
        <v/>
      </c>
      <c r="H9" s="15" t="n"/>
      <c r="I9" s="24">
        <f>IF(N9="","",IF(H9&lt;&gt;"",H9,IF(OR(G9="",G9="要調整"),"",G9)))</f>
        <v/>
      </c>
      <c r="J9" s="23">
        <f>IF(N9="","",IF(I9&lt;&gt;"","決定",IF(O9="","未提出","要調整")))</f>
        <v/>
      </c>
      <c r="K9" s="23">
        <f>IF(OR(J9&lt;&gt;"要調整",E9=""),"",IFERROR(INDEX(設定!$H$8:$I$27,MATCH(E9,設定!$G$8:$G$27,0),IF($M9=設定!$H$6&amp;"",1,2))-COUNTIFS($M$3:$M$302,M9,$I$3:$I$302,E9),""))</f>
        <v/>
      </c>
      <c r="L9" s="23">
        <f>IF(OR(J9&lt;&gt;"要調整",F9=""),"",IFERROR(INDEX(設定!$H$8:$I$27,MATCH(F9,設定!$G$8:$G$27,0),IF($M9=設定!$H$6&amp;"",1,2))-COUNTIFS($M$3:$M$302,M9,$I$3:$I$302,F9),""))</f>
        <v/>
      </c>
      <c r="M9" s="8">
        <f>IF(N9="","",INDEX(児童名簿!$A$2:$A$301,N9)&amp;"")</f>
        <v/>
      </c>
      <c r="N9" s="8">
        <f>IFERROR(MATCH(SMALL(児童名簿!$G$2:$G$301,7),児童名簿!$G$2:$G$301,0),"")</f>
        <v/>
      </c>
      <c r="O9" s="8">
        <f>IF(P9="","",IFERROR(MATCH(P9,希望入力!$K$2:$K$401,0),""))</f>
        <v/>
      </c>
      <c r="P9" s="8">
        <f>IF(N9="","",INDEX(児童名簿!$F$2:$F$301,N9))</f>
        <v/>
      </c>
      <c r="Q9" s="8">
        <f>IF(I9="","",IFERROR(MATCH(I9,設定!$G$8:$G$27,0),""))</f>
        <v/>
      </c>
      <c r="R9" s="8">
        <f>IF(Q9="","",COUNTIF($Q$3:Q9,Q9))</f>
        <v/>
      </c>
      <c r="S9" s="8">
        <f>IF(Q9="","",Q9*1000+R9)</f>
        <v/>
      </c>
    </row>
    <row r="10">
      <c r="A10" s="23">
        <f>IF(N10="","",IFERROR(INDEX(設定!$C$8:$C$23,INT(INDEX(児童名簿!$G$2:$G$301,N10)/1000)),M10&amp;INDEX(児童名簿!$B$2:$B$301,N10)))</f>
        <v/>
      </c>
      <c r="B10" s="23">
        <f>IF(N10="","",INDEX(児童名簿!$C$2:$C$301,N10))</f>
        <v/>
      </c>
      <c r="C10" s="3">
        <f>IF(N10="","",INDEX(児童名簿!$D$2:$D$301,N10))</f>
        <v/>
      </c>
      <c r="D10" s="23">
        <f>IF(O10="","",INDEX(希望入力!$D$2:$D$401,O10)&amp;"")</f>
        <v/>
      </c>
      <c r="E10" s="23">
        <f>IF(O10="","",INDEX(希望入力!$E$2:$E$401,O10)&amp;"")</f>
        <v/>
      </c>
      <c r="F10" s="23">
        <f>IF(O10="","",INDEX(希望入力!$F$2:$F$401,O10)&amp;"")</f>
        <v/>
      </c>
      <c r="G10" s="23">
        <f>IF(O10="","",IF(D10="","要調整",IFERROR(IF(COUNTIFS($M$3:$M$302,M10,$D$3:$D$302,D10)&lt;=INDEX(設定!$H$8:$I$27,MATCH(D10,設定!$G$8:$G$27,0),IF($M10=設定!$H$6&amp;"",1,2)),D10,"要調整"),"要調整")))</f>
        <v/>
      </c>
      <c r="H10" s="15" t="n"/>
      <c r="I10" s="24">
        <f>IF(N10="","",IF(H10&lt;&gt;"",H10,IF(OR(G10="",G10="要調整"),"",G10)))</f>
        <v/>
      </c>
      <c r="J10" s="23">
        <f>IF(N10="","",IF(I10&lt;&gt;"","決定",IF(O10="","未提出","要調整")))</f>
        <v/>
      </c>
      <c r="K10" s="23">
        <f>IF(OR(J10&lt;&gt;"要調整",E10=""),"",IFERROR(INDEX(設定!$H$8:$I$27,MATCH(E10,設定!$G$8:$G$27,0),IF($M10=設定!$H$6&amp;"",1,2))-COUNTIFS($M$3:$M$302,M10,$I$3:$I$302,E10),""))</f>
        <v/>
      </c>
      <c r="L10" s="23">
        <f>IF(OR(J10&lt;&gt;"要調整",F10=""),"",IFERROR(INDEX(設定!$H$8:$I$27,MATCH(F10,設定!$G$8:$G$27,0),IF($M10=設定!$H$6&amp;"",1,2))-COUNTIFS($M$3:$M$302,M10,$I$3:$I$302,F10),""))</f>
        <v/>
      </c>
      <c r="M10" s="8">
        <f>IF(N10="","",INDEX(児童名簿!$A$2:$A$301,N10)&amp;"")</f>
        <v/>
      </c>
      <c r="N10" s="8">
        <f>IFERROR(MATCH(SMALL(児童名簿!$G$2:$G$301,8),児童名簿!$G$2:$G$301,0),"")</f>
        <v/>
      </c>
      <c r="O10" s="8">
        <f>IF(P10="","",IFERROR(MATCH(P10,希望入力!$K$2:$K$401,0),""))</f>
        <v/>
      </c>
      <c r="P10" s="8">
        <f>IF(N10="","",INDEX(児童名簿!$F$2:$F$301,N10))</f>
        <v/>
      </c>
      <c r="Q10" s="8">
        <f>IF(I10="","",IFERROR(MATCH(I10,設定!$G$8:$G$27,0),""))</f>
        <v/>
      </c>
      <c r="R10" s="8">
        <f>IF(Q10="","",COUNTIF($Q$3:Q10,Q10))</f>
        <v/>
      </c>
      <c r="S10" s="8">
        <f>IF(Q10="","",Q10*1000+R10)</f>
        <v/>
      </c>
    </row>
    <row r="11">
      <c r="A11" s="23">
        <f>IF(N11="","",IFERROR(INDEX(設定!$C$8:$C$23,INT(INDEX(児童名簿!$G$2:$G$301,N11)/1000)),M11&amp;INDEX(児童名簿!$B$2:$B$301,N11)))</f>
        <v/>
      </c>
      <c r="B11" s="23">
        <f>IF(N11="","",INDEX(児童名簿!$C$2:$C$301,N11))</f>
        <v/>
      </c>
      <c r="C11" s="3">
        <f>IF(N11="","",INDEX(児童名簿!$D$2:$D$301,N11))</f>
        <v/>
      </c>
      <c r="D11" s="23">
        <f>IF(O11="","",INDEX(希望入力!$D$2:$D$401,O11)&amp;"")</f>
        <v/>
      </c>
      <c r="E11" s="23">
        <f>IF(O11="","",INDEX(希望入力!$E$2:$E$401,O11)&amp;"")</f>
        <v/>
      </c>
      <c r="F11" s="23">
        <f>IF(O11="","",INDEX(希望入力!$F$2:$F$401,O11)&amp;"")</f>
        <v/>
      </c>
      <c r="G11" s="23">
        <f>IF(O11="","",IF(D11="","要調整",IFERROR(IF(COUNTIFS($M$3:$M$302,M11,$D$3:$D$302,D11)&lt;=INDEX(設定!$H$8:$I$27,MATCH(D11,設定!$G$8:$G$27,0),IF($M11=設定!$H$6&amp;"",1,2)),D11,"要調整"),"要調整")))</f>
        <v/>
      </c>
      <c r="H11" s="15" t="n"/>
      <c r="I11" s="24">
        <f>IF(N11="","",IF(H11&lt;&gt;"",H11,IF(OR(G11="",G11="要調整"),"",G11)))</f>
        <v/>
      </c>
      <c r="J11" s="23">
        <f>IF(N11="","",IF(I11&lt;&gt;"","決定",IF(O11="","未提出","要調整")))</f>
        <v/>
      </c>
      <c r="K11" s="23">
        <f>IF(OR(J11&lt;&gt;"要調整",E11=""),"",IFERROR(INDEX(設定!$H$8:$I$27,MATCH(E11,設定!$G$8:$G$27,0),IF($M11=設定!$H$6&amp;"",1,2))-COUNTIFS($M$3:$M$302,M11,$I$3:$I$302,E11),""))</f>
        <v/>
      </c>
      <c r="L11" s="23">
        <f>IF(OR(J11&lt;&gt;"要調整",F11=""),"",IFERROR(INDEX(設定!$H$8:$I$27,MATCH(F11,設定!$G$8:$G$27,0),IF($M11=設定!$H$6&amp;"",1,2))-COUNTIFS($M$3:$M$302,M11,$I$3:$I$302,F11),""))</f>
        <v/>
      </c>
      <c r="M11" s="8">
        <f>IF(N11="","",INDEX(児童名簿!$A$2:$A$301,N11)&amp;"")</f>
        <v/>
      </c>
      <c r="N11" s="8">
        <f>IFERROR(MATCH(SMALL(児童名簿!$G$2:$G$301,9),児童名簿!$G$2:$G$301,0),"")</f>
        <v/>
      </c>
      <c r="O11" s="8">
        <f>IF(P11="","",IFERROR(MATCH(P11,希望入力!$K$2:$K$401,0),""))</f>
        <v/>
      </c>
      <c r="P11" s="8">
        <f>IF(N11="","",INDEX(児童名簿!$F$2:$F$301,N11))</f>
        <v/>
      </c>
      <c r="Q11" s="8">
        <f>IF(I11="","",IFERROR(MATCH(I11,設定!$G$8:$G$27,0),""))</f>
        <v/>
      </c>
      <c r="R11" s="8">
        <f>IF(Q11="","",COUNTIF($Q$3:Q11,Q11))</f>
        <v/>
      </c>
      <c r="S11" s="8">
        <f>IF(Q11="","",Q11*1000+R11)</f>
        <v/>
      </c>
    </row>
    <row r="12">
      <c r="A12" s="23">
        <f>IF(N12="","",IFERROR(INDEX(設定!$C$8:$C$23,INT(INDEX(児童名簿!$G$2:$G$301,N12)/1000)),M12&amp;INDEX(児童名簿!$B$2:$B$301,N12)))</f>
        <v/>
      </c>
      <c r="B12" s="23">
        <f>IF(N12="","",INDEX(児童名簿!$C$2:$C$301,N12))</f>
        <v/>
      </c>
      <c r="C12" s="3">
        <f>IF(N12="","",INDEX(児童名簿!$D$2:$D$301,N12))</f>
        <v/>
      </c>
      <c r="D12" s="23">
        <f>IF(O12="","",INDEX(希望入力!$D$2:$D$401,O12)&amp;"")</f>
        <v/>
      </c>
      <c r="E12" s="23">
        <f>IF(O12="","",INDEX(希望入力!$E$2:$E$401,O12)&amp;"")</f>
        <v/>
      </c>
      <c r="F12" s="23">
        <f>IF(O12="","",INDEX(希望入力!$F$2:$F$401,O12)&amp;"")</f>
        <v/>
      </c>
      <c r="G12" s="23">
        <f>IF(O12="","",IF(D12="","要調整",IFERROR(IF(COUNTIFS($M$3:$M$302,M12,$D$3:$D$302,D12)&lt;=INDEX(設定!$H$8:$I$27,MATCH(D12,設定!$G$8:$G$27,0),IF($M12=設定!$H$6&amp;"",1,2)),D12,"要調整"),"要調整")))</f>
        <v/>
      </c>
      <c r="H12" s="15" t="n"/>
      <c r="I12" s="24">
        <f>IF(N12="","",IF(H12&lt;&gt;"",H12,IF(OR(G12="",G12="要調整"),"",G12)))</f>
        <v/>
      </c>
      <c r="J12" s="23">
        <f>IF(N12="","",IF(I12&lt;&gt;"","決定",IF(O12="","未提出","要調整")))</f>
        <v/>
      </c>
      <c r="K12" s="23">
        <f>IF(OR(J12&lt;&gt;"要調整",E12=""),"",IFERROR(INDEX(設定!$H$8:$I$27,MATCH(E12,設定!$G$8:$G$27,0),IF($M12=設定!$H$6&amp;"",1,2))-COUNTIFS($M$3:$M$302,M12,$I$3:$I$302,E12),""))</f>
        <v/>
      </c>
      <c r="L12" s="23">
        <f>IF(OR(J12&lt;&gt;"要調整",F12=""),"",IFERROR(INDEX(設定!$H$8:$I$27,MATCH(F12,設定!$G$8:$G$27,0),IF($M12=設定!$H$6&amp;"",1,2))-COUNTIFS($M$3:$M$302,M12,$I$3:$I$302,F12),""))</f>
        <v/>
      </c>
      <c r="M12" s="8">
        <f>IF(N12="","",INDEX(児童名簿!$A$2:$A$301,N12)&amp;"")</f>
        <v/>
      </c>
      <c r="N12" s="8">
        <f>IFERROR(MATCH(SMALL(児童名簿!$G$2:$G$301,10),児童名簿!$G$2:$G$301,0),"")</f>
        <v/>
      </c>
      <c r="O12" s="8">
        <f>IF(P12="","",IFERROR(MATCH(P12,希望入力!$K$2:$K$401,0),""))</f>
        <v/>
      </c>
      <c r="P12" s="8">
        <f>IF(N12="","",INDEX(児童名簿!$F$2:$F$301,N12))</f>
        <v/>
      </c>
      <c r="Q12" s="8">
        <f>IF(I12="","",IFERROR(MATCH(I12,設定!$G$8:$G$27,0),""))</f>
        <v/>
      </c>
      <c r="R12" s="8">
        <f>IF(Q12="","",COUNTIF($Q$3:Q12,Q12))</f>
        <v/>
      </c>
      <c r="S12" s="8">
        <f>IF(Q12="","",Q12*1000+R12)</f>
        <v/>
      </c>
    </row>
    <row r="13">
      <c r="A13" s="23">
        <f>IF(N13="","",IFERROR(INDEX(設定!$C$8:$C$23,INT(INDEX(児童名簿!$G$2:$G$301,N13)/1000)),M13&amp;INDEX(児童名簿!$B$2:$B$301,N13)))</f>
        <v/>
      </c>
      <c r="B13" s="23">
        <f>IF(N13="","",INDEX(児童名簿!$C$2:$C$301,N13))</f>
        <v/>
      </c>
      <c r="C13" s="3">
        <f>IF(N13="","",INDEX(児童名簿!$D$2:$D$301,N13))</f>
        <v/>
      </c>
      <c r="D13" s="23">
        <f>IF(O13="","",INDEX(希望入力!$D$2:$D$401,O13)&amp;"")</f>
        <v/>
      </c>
      <c r="E13" s="23">
        <f>IF(O13="","",INDEX(希望入力!$E$2:$E$401,O13)&amp;"")</f>
        <v/>
      </c>
      <c r="F13" s="23">
        <f>IF(O13="","",INDEX(希望入力!$F$2:$F$401,O13)&amp;"")</f>
        <v/>
      </c>
      <c r="G13" s="23">
        <f>IF(O13="","",IF(D13="","要調整",IFERROR(IF(COUNTIFS($M$3:$M$302,M13,$D$3:$D$302,D13)&lt;=INDEX(設定!$H$8:$I$27,MATCH(D13,設定!$G$8:$G$27,0),IF($M13=設定!$H$6&amp;"",1,2)),D13,"要調整"),"要調整")))</f>
        <v/>
      </c>
      <c r="H13" s="15" t="n"/>
      <c r="I13" s="24">
        <f>IF(N13="","",IF(H13&lt;&gt;"",H13,IF(OR(G13="",G13="要調整"),"",G13)))</f>
        <v/>
      </c>
      <c r="J13" s="23">
        <f>IF(N13="","",IF(I13&lt;&gt;"","決定",IF(O13="","未提出","要調整")))</f>
        <v/>
      </c>
      <c r="K13" s="23">
        <f>IF(OR(J13&lt;&gt;"要調整",E13=""),"",IFERROR(INDEX(設定!$H$8:$I$27,MATCH(E13,設定!$G$8:$G$27,0),IF($M13=設定!$H$6&amp;"",1,2))-COUNTIFS($M$3:$M$302,M13,$I$3:$I$302,E13),""))</f>
        <v/>
      </c>
      <c r="L13" s="23">
        <f>IF(OR(J13&lt;&gt;"要調整",F13=""),"",IFERROR(INDEX(設定!$H$8:$I$27,MATCH(F13,設定!$G$8:$G$27,0),IF($M13=設定!$H$6&amp;"",1,2))-COUNTIFS($M$3:$M$302,M13,$I$3:$I$302,F13),""))</f>
        <v/>
      </c>
      <c r="M13" s="8">
        <f>IF(N13="","",INDEX(児童名簿!$A$2:$A$301,N13)&amp;"")</f>
        <v/>
      </c>
      <c r="N13" s="8">
        <f>IFERROR(MATCH(SMALL(児童名簿!$G$2:$G$301,11),児童名簿!$G$2:$G$301,0),"")</f>
        <v/>
      </c>
      <c r="O13" s="8">
        <f>IF(P13="","",IFERROR(MATCH(P13,希望入力!$K$2:$K$401,0),""))</f>
        <v/>
      </c>
      <c r="P13" s="8">
        <f>IF(N13="","",INDEX(児童名簿!$F$2:$F$301,N13))</f>
        <v/>
      </c>
      <c r="Q13" s="8">
        <f>IF(I13="","",IFERROR(MATCH(I13,設定!$G$8:$G$27,0),""))</f>
        <v/>
      </c>
      <c r="R13" s="8">
        <f>IF(Q13="","",COUNTIF($Q$3:Q13,Q13))</f>
        <v/>
      </c>
      <c r="S13" s="8">
        <f>IF(Q13="","",Q13*1000+R13)</f>
        <v/>
      </c>
    </row>
    <row r="14">
      <c r="A14" s="23">
        <f>IF(N14="","",IFERROR(INDEX(設定!$C$8:$C$23,INT(INDEX(児童名簿!$G$2:$G$301,N14)/1000)),M14&amp;INDEX(児童名簿!$B$2:$B$301,N14)))</f>
        <v/>
      </c>
      <c r="B14" s="23">
        <f>IF(N14="","",INDEX(児童名簿!$C$2:$C$301,N14))</f>
        <v/>
      </c>
      <c r="C14" s="3">
        <f>IF(N14="","",INDEX(児童名簿!$D$2:$D$301,N14))</f>
        <v/>
      </c>
      <c r="D14" s="23">
        <f>IF(O14="","",INDEX(希望入力!$D$2:$D$401,O14)&amp;"")</f>
        <v/>
      </c>
      <c r="E14" s="23">
        <f>IF(O14="","",INDEX(希望入力!$E$2:$E$401,O14)&amp;"")</f>
        <v/>
      </c>
      <c r="F14" s="23">
        <f>IF(O14="","",INDEX(希望入力!$F$2:$F$401,O14)&amp;"")</f>
        <v/>
      </c>
      <c r="G14" s="23">
        <f>IF(O14="","",IF(D14="","要調整",IFERROR(IF(COUNTIFS($M$3:$M$302,M14,$D$3:$D$302,D14)&lt;=INDEX(設定!$H$8:$I$27,MATCH(D14,設定!$G$8:$G$27,0),IF($M14=設定!$H$6&amp;"",1,2)),D14,"要調整"),"要調整")))</f>
        <v/>
      </c>
      <c r="H14" s="15" t="n"/>
      <c r="I14" s="24">
        <f>IF(N14="","",IF(H14&lt;&gt;"",H14,IF(OR(G14="",G14="要調整"),"",G14)))</f>
        <v/>
      </c>
      <c r="J14" s="23">
        <f>IF(N14="","",IF(I14&lt;&gt;"","決定",IF(O14="","未提出","要調整")))</f>
        <v/>
      </c>
      <c r="K14" s="23">
        <f>IF(OR(J14&lt;&gt;"要調整",E14=""),"",IFERROR(INDEX(設定!$H$8:$I$27,MATCH(E14,設定!$G$8:$G$27,0),IF($M14=設定!$H$6&amp;"",1,2))-COUNTIFS($M$3:$M$302,M14,$I$3:$I$302,E14),""))</f>
        <v/>
      </c>
      <c r="L14" s="23">
        <f>IF(OR(J14&lt;&gt;"要調整",F14=""),"",IFERROR(INDEX(設定!$H$8:$I$27,MATCH(F14,設定!$G$8:$G$27,0),IF($M14=設定!$H$6&amp;"",1,2))-COUNTIFS($M$3:$M$302,M14,$I$3:$I$302,F14),""))</f>
        <v/>
      </c>
      <c r="M14" s="8">
        <f>IF(N14="","",INDEX(児童名簿!$A$2:$A$301,N14)&amp;"")</f>
        <v/>
      </c>
      <c r="N14" s="8">
        <f>IFERROR(MATCH(SMALL(児童名簿!$G$2:$G$301,12),児童名簿!$G$2:$G$301,0),"")</f>
        <v/>
      </c>
      <c r="O14" s="8">
        <f>IF(P14="","",IFERROR(MATCH(P14,希望入力!$K$2:$K$401,0),""))</f>
        <v/>
      </c>
      <c r="P14" s="8">
        <f>IF(N14="","",INDEX(児童名簿!$F$2:$F$301,N14))</f>
        <v/>
      </c>
      <c r="Q14" s="8">
        <f>IF(I14="","",IFERROR(MATCH(I14,設定!$G$8:$G$27,0),""))</f>
        <v/>
      </c>
      <c r="R14" s="8">
        <f>IF(Q14="","",COUNTIF($Q$3:Q14,Q14))</f>
        <v/>
      </c>
      <c r="S14" s="8">
        <f>IF(Q14="","",Q14*1000+R14)</f>
        <v/>
      </c>
    </row>
    <row r="15">
      <c r="A15" s="23">
        <f>IF(N15="","",IFERROR(INDEX(設定!$C$8:$C$23,INT(INDEX(児童名簿!$G$2:$G$301,N15)/1000)),M15&amp;INDEX(児童名簿!$B$2:$B$301,N15)))</f>
        <v/>
      </c>
      <c r="B15" s="23">
        <f>IF(N15="","",INDEX(児童名簿!$C$2:$C$301,N15))</f>
        <v/>
      </c>
      <c r="C15" s="3">
        <f>IF(N15="","",INDEX(児童名簿!$D$2:$D$301,N15))</f>
        <v/>
      </c>
      <c r="D15" s="23">
        <f>IF(O15="","",INDEX(希望入力!$D$2:$D$401,O15)&amp;"")</f>
        <v/>
      </c>
      <c r="E15" s="23">
        <f>IF(O15="","",INDEX(希望入力!$E$2:$E$401,O15)&amp;"")</f>
        <v/>
      </c>
      <c r="F15" s="23">
        <f>IF(O15="","",INDEX(希望入力!$F$2:$F$401,O15)&amp;"")</f>
        <v/>
      </c>
      <c r="G15" s="23">
        <f>IF(O15="","",IF(D15="","要調整",IFERROR(IF(COUNTIFS($M$3:$M$302,M15,$D$3:$D$302,D15)&lt;=INDEX(設定!$H$8:$I$27,MATCH(D15,設定!$G$8:$G$27,0),IF($M15=設定!$H$6&amp;"",1,2)),D15,"要調整"),"要調整")))</f>
        <v/>
      </c>
      <c r="H15" s="15" t="n"/>
      <c r="I15" s="24">
        <f>IF(N15="","",IF(H15&lt;&gt;"",H15,IF(OR(G15="",G15="要調整"),"",G15)))</f>
        <v/>
      </c>
      <c r="J15" s="23">
        <f>IF(N15="","",IF(I15&lt;&gt;"","決定",IF(O15="","未提出","要調整")))</f>
        <v/>
      </c>
      <c r="K15" s="23">
        <f>IF(OR(J15&lt;&gt;"要調整",E15=""),"",IFERROR(INDEX(設定!$H$8:$I$27,MATCH(E15,設定!$G$8:$G$27,0),IF($M15=設定!$H$6&amp;"",1,2))-COUNTIFS($M$3:$M$302,M15,$I$3:$I$302,E15),""))</f>
        <v/>
      </c>
      <c r="L15" s="23">
        <f>IF(OR(J15&lt;&gt;"要調整",F15=""),"",IFERROR(INDEX(設定!$H$8:$I$27,MATCH(F15,設定!$G$8:$G$27,0),IF($M15=設定!$H$6&amp;"",1,2))-COUNTIFS($M$3:$M$302,M15,$I$3:$I$302,F15),""))</f>
        <v/>
      </c>
      <c r="M15" s="8">
        <f>IF(N15="","",INDEX(児童名簿!$A$2:$A$301,N15)&amp;"")</f>
        <v/>
      </c>
      <c r="N15" s="8">
        <f>IFERROR(MATCH(SMALL(児童名簿!$G$2:$G$301,13),児童名簿!$G$2:$G$301,0),"")</f>
        <v/>
      </c>
      <c r="O15" s="8">
        <f>IF(P15="","",IFERROR(MATCH(P15,希望入力!$K$2:$K$401,0),""))</f>
        <v/>
      </c>
      <c r="P15" s="8">
        <f>IF(N15="","",INDEX(児童名簿!$F$2:$F$301,N15))</f>
        <v/>
      </c>
      <c r="Q15" s="8">
        <f>IF(I15="","",IFERROR(MATCH(I15,設定!$G$8:$G$27,0),""))</f>
        <v/>
      </c>
      <c r="R15" s="8">
        <f>IF(Q15="","",COUNTIF($Q$3:Q15,Q15))</f>
        <v/>
      </c>
      <c r="S15" s="8">
        <f>IF(Q15="","",Q15*1000+R15)</f>
        <v/>
      </c>
    </row>
    <row r="16">
      <c r="A16" s="23">
        <f>IF(N16="","",IFERROR(INDEX(設定!$C$8:$C$23,INT(INDEX(児童名簿!$G$2:$G$301,N16)/1000)),M16&amp;INDEX(児童名簿!$B$2:$B$301,N16)))</f>
        <v/>
      </c>
      <c r="B16" s="23">
        <f>IF(N16="","",INDEX(児童名簿!$C$2:$C$301,N16))</f>
        <v/>
      </c>
      <c r="C16" s="3">
        <f>IF(N16="","",INDEX(児童名簿!$D$2:$D$301,N16))</f>
        <v/>
      </c>
      <c r="D16" s="23">
        <f>IF(O16="","",INDEX(希望入力!$D$2:$D$401,O16)&amp;"")</f>
        <v/>
      </c>
      <c r="E16" s="23">
        <f>IF(O16="","",INDEX(希望入力!$E$2:$E$401,O16)&amp;"")</f>
        <v/>
      </c>
      <c r="F16" s="23">
        <f>IF(O16="","",INDEX(希望入力!$F$2:$F$401,O16)&amp;"")</f>
        <v/>
      </c>
      <c r="G16" s="23">
        <f>IF(O16="","",IF(D16="","要調整",IFERROR(IF(COUNTIFS($M$3:$M$302,M16,$D$3:$D$302,D16)&lt;=INDEX(設定!$H$8:$I$27,MATCH(D16,設定!$G$8:$G$27,0),IF($M16=設定!$H$6&amp;"",1,2)),D16,"要調整"),"要調整")))</f>
        <v/>
      </c>
      <c r="H16" s="15" t="n"/>
      <c r="I16" s="24">
        <f>IF(N16="","",IF(H16&lt;&gt;"",H16,IF(OR(G16="",G16="要調整"),"",G16)))</f>
        <v/>
      </c>
      <c r="J16" s="23">
        <f>IF(N16="","",IF(I16&lt;&gt;"","決定",IF(O16="","未提出","要調整")))</f>
        <v/>
      </c>
      <c r="K16" s="23">
        <f>IF(OR(J16&lt;&gt;"要調整",E16=""),"",IFERROR(INDEX(設定!$H$8:$I$27,MATCH(E16,設定!$G$8:$G$27,0),IF($M16=設定!$H$6&amp;"",1,2))-COUNTIFS($M$3:$M$302,M16,$I$3:$I$302,E16),""))</f>
        <v/>
      </c>
      <c r="L16" s="23">
        <f>IF(OR(J16&lt;&gt;"要調整",F16=""),"",IFERROR(INDEX(設定!$H$8:$I$27,MATCH(F16,設定!$G$8:$G$27,0),IF($M16=設定!$H$6&amp;"",1,2))-COUNTIFS($M$3:$M$302,M16,$I$3:$I$302,F16),""))</f>
        <v/>
      </c>
      <c r="M16" s="8">
        <f>IF(N16="","",INDEX(児童名簿!$A$2:$A$301,N16)&amp;"")</f>
        <v/>
      </c>
      <c r="N16" s="8">
        <f>IFERROR(MATCH(SMALL(児童名簿!$G$2:$G$301,14),児童名簿!$G$2:$G$301,0),"")</f>
        <v/>
      </c>
      <c r="O16" s="8">
        <f>IF(P16="","",IFERROR(MATCH(P16,希望入力!$K$2:$K$401,0),""))</f>
        <v/>
      </c>
      <c r="P16" s="8">
        <f>IF(N16="","",INDEX(児童名簿!$F$2:$F$301,N16))</f>
        <v/>
      </c>
      <c r="Q16" s="8">
        <f>IF(I16="","",IFERROR(MATCH(I16,設定!$G$8:$G$27,0),""))</f>
        <v/>
      </c>
      <c r="R16" s="8">
        <f>IF(Q16="","",COUNTIF($Q$3:Q16,Q16))</f>
        <v/>
      </c>
      <c r="S16" s="8">
        <f>IF(Q16="","",Q16*1000+R16)</f>
        <v/>
      </c>
    </row>
    <row r="17">
      <c r="A17" s="23">
        <f>IF(N17="","",IFERROR(INDEX(設定!$C$8:$C$23,INT(INDEX(児童名簿!$G$2:$G$301,N17)/1000)),M17&amp;INDEX(児童名簿!$B$2:$B$301,N17)))</f>
        <v/>
      </c>
      <c r="B17" s="23">
        <f>IF(N17="","",INDEX(児童名簿!$C$2:$C$301,N17))</f>
        <v/>
      </c>
      <c r="C17" s="3">
        <f>IF(N17="","",INDEX(児童名簿!$D$2:$D$301,N17))</f>
        <v/>
      </c>
      <c r="D17" s="23">
        <f>IF(O17="","",INDEX(希望入力!$D$2:$D$401,O17)&amp;"")</f>
        <v/>
      </c>
      <c r="E17" s="23">
        <f>IF(O17="","",INDEX(希望入力!$E$2:$E$401,O17)&amp;"")</f>
        <v/>
      </c>
      <c r="F17" s="23">
        <f>IF(O17="","",INDEX(希望入力!$F$2:$F$401,O17)&amp;"")</f>
        <v/>
      </c>
      <c r="G17" s="23">
        <f>IF(O17="","",IF(D17="","要調整",IFERROR(IF(COUNTIFS($M$3:$M$302,M17,$D$3:$D$302,D17)&lt;=INDEX(設定!$H$8:$I$27,MATCH(D17,設定!$G$8:$G$27,0),IF($M17=設定!$H$6&amp;"",1,2)),D17,"要調整"),"要調整")))</f>
        <v/>
      </c>
      <c r="H17" s="15" t="n"/>
      <c r="I17" s="24">
        <f>IF(N17="","",IF(H17&lt;&gt;"",H17,IF(OR(G17="",G17="要調整"),"",G17)))</f>
        <v/>
      </c>
      <c r="J17" s="23">
        <f>IF(N17="","",IF(I17&lt;&gt;"","決定",IF(O17="","未提出","要調整")))</f>
        <v/>
      </c>
      <c r="K17" s="23">
        <f>IF(OR(J17&lt;&gt;"要調整",E17=""),"",IFERROR(INDEX(設定!$H$8:$I$27,MATCH(E17,設定!$G$8:$G$27,0),IF($M17=設定!$H$6&amp;"",1,2))-COUNTIFS($M$3:$M$302,M17,$I$3:$I$302,E17),""))</f>
        <v/>
      </c>
      <c r="L17" s="23">
        <f>IF(OR(J17&lt;&gt;"要調整",F17=""),"",IFERROR(INDEX(設定!$H$8:$I$27,MATCH(F17,設定!$G$8:$G$27,0),IF($M17=設定!$H$6&amp;"",1,2))-COUNTIFS($M$3:$M$302,M17,$I$3:$I$302,F17),""))</f>
        <v/>
      </c>
      <c r="M17" s="8">
        <f>IF(N17="","",INDEX(児童名簿!$A$2:$A$301,N17)&amp;"")</f>
        <v/>
      </c>
      <c r="N17" s="8">
        <f>IFERROR(MATCH(SMALL(児童名簿!$G$2:$G$301,15),児童名簿!$G$2:$G$301,0),"")</f>
        <v/>
      </c>
      <c r="O17" s="8">
        <f>IF(P17="","",IFERROR(MATCH(P17,希望入力!$K$2:$K$401,0),""))</f>
        <v/>
      </c>
      <c r="P17" s="8">
        <f>IF(N17="","",INDEX(児童名簿!$F$2:$F$301,N17))</f>
        <v/>
      </c>
      <c r="Q17" s="8">
        <f>IF(I17="","",IFERROR(MATCH(I17,設定!$G$8:$G$27,0),""))</f>
        <v/>
      </c>
      <c r="R17" s="8">
        <f>IF(Q17="","",COUNTIF($Q$3:Q17,Q17))</f>
        <v/>
      </c>
      <c r="S17" s="8">
        <f>IF(Q17="","",Q17*1000+R17)</f>
        <v/>
      </c>
    </row>
    <row r="18">
      <c r="A18" s="23">
        <f>IF(N18="","",IFERROR(INDEX(設定!$C$8:$C$23,INT(INDEX(児童名簿!$G$2:$G$301,N18)/1000)),M18&amp;INDEX(児童名簿!$B$2:$B$301,N18)))</f>
        <v/>
      </c>
      <c r="B18" s="23">
        <f>IF(N18="","",INDEX(児童名簿!$C$2:$C$301,N18))</f>
        <v/>
      </c>
      <c r="C18" s="3">
        <f>IF(N18="","",INDEX(児童名簿!$D$2:$D$301,N18))</f>
        <v/>
      </c>
      <c r="D18" s="23">
        <f>IF(O18="","",INDEX(希望入力!$D$2:$D$401,O18)&amp;"")</f>
        <v/>
      </c>
      <c r="E18" s="23">
        <f>IF(O18="","",INDEX(希望入力!$E$2:$E$401,O18)&amp;"")</f>
        <v/>
      </c>
      <c r="F18" s="23">
        <f>IF(O18="","",INDEX(希望入力!$F$2:$F$401,O18)&amp;"")</f>
        <v/>
      </c>
      <c r="G18" s="23">
        <f>IF(O18="","",IF(D18="","要調整",IFERROR(IF(COUNTIFS($M$3:$M$302,M18,$D$3:$D$302,D18)&lt;=INDEX(設定!$H$8:$I$27,MATCH(D18,設定!$G$8:$G$27,0),IF($M18=設定!$H$6&amp;"",1,2)),D18,"要調整"),"要調整")))</f>
        <v/>
      </c>
      <c r="H18" s="15" t="n"/>
      <c r="I18" s="24">
        <f>IF(N18="","",IF(H18&lt;&gt;"",H18,IF(OR(G18="",G18="要調整"),"",G18)))</f>
        <v/>
      </c>
      <c r="J18" s="23">
        <f>IF(N18="","",IF(I18&lt;&gt;"","決定",IF(O18="","未提出","要調整")))</f>
        <v/>
      </c>
      <c r="K18" s="23">
        <f>IF(OR(J18&lt;&gt;"要調整",E18=""),"",IFERROR(INDEX(設定!$H$8:$I$27,MATCH(E18,設定!$G$8:$G$27,0),IF($M18=設定!$H$6&amp;"",1,2))-COUNTIFS($M$3:$M$302,M18,$I$3:$I$302,E18),""))</f>
        <v/>
      </c>
      <c r="L18" s="23">
        <f>IF(OR(J18&lt;&gt;"要調整",F18=""),"",IFERROR(INDEX(設定!$H$8:$I$27,MATCH(F18,設定!$G$8:$G$27,0),IF($M18=設定!$H$6&amp;"",1,2))-COUNTIFS($M$3:$M$302,M18,$I$3:$I$302,F18),""))</f>
        <v/>
      </c>
      <c r="M18" s="8">
        <f>IF(N18="","",INDEX(児童名簿!$A$2:$A$301,N18)&amp;"")</f>
        <v/>
      </c>
      <c r="N18" s="8">
        <f>IFERROR(MATCH(SMALL(児童名簿!$G$2:$G$301,16),児童名簿!$G$2:$G$301,0),"")</f>
        <v/>
      </c>
      <c r="O18" s="8">
        <f>IF(P18="","",IFERROR(MATCH(P18,希望入力!$K$2:$K$401,0),""))</f>
        <v/>
      </c>
      <c r="P18" s="8">
        <f>IF(N18="","",INDEX(児童名簿!$F$2:$F$301,N18))</f>
        <v/>
      </c>
      <c r="Q18" s="8">
        <f>IF(I18="","",IFERROR(MATCH(I18,設定!$G$8:$G$27,0),""))</f>
        <v/>
      </c>
      <c r="R18" s="8">
        <f>IF(Q18="","",COUNTIF($Q$3:Q18,Q18))</f>
        <v/>
      </c>
      <c r="S18" s="8">
        <f>IF(Q18="","",Q18*1000+R18)</f>
        <v/>
      </c>
    </row>
    <row r="19">
      <c r="A19" s="23">
        <f>IF(N19="","",IFERROR(INDEX(設定!$C$8:$C$23,INT(INDEX(児童名簿!$G$2:$G$301,N19)/1000)),M19&amp;INDEX(児童名簿!$B$2:$B$301,N19)))</f>
        <v/>
      </c>
      <c r="B19" s="23">
        <f>IF(N19="","",INDEX(児童名簿!$C$2:$C$301,N19))</f>
        <v/>
      </c>
      <c r="C19" s="3">
        <f>IF(N19="","",INDEX(児童名簿!$D$2:$D$301,N19))</f>
        <v/>
      </c>
      <c r="D19" s="23">
        <f>IF(O19="","",INDEX(希望入力!$D$2:$D$401,O19)&amp;"")</f>
        <v/>
      </c>
      <c r="E19" s="23">
        <f>IF(O19="","",INDEX(希望入力!$E$2:$E$401,O19)&amp;"")</f>
        <v/>
      </c>
      <c r="F19" s="23">
        <f>IF(O19="","",INDEX(希望入力!$F$2:$F$401,O19)&amp;"")</f>
        <v/>
      </c>
      <c r="G19" s="23">
        <f>IF(O19="","",IF(D19="","要調整",IFERROR(IF(COUNTIFS($M$3:$M$302,M19,$D$3:$D$302,D19)&lt;=INDEX(設定!$H$8:$I$27,MATCH(D19,設定!$G$8:$G$27,0),IF($M19=設定!$H$6&amp;"",1,2)),D19,"要調整"),"要調整")))</f>
        <v/>
      </c>
      <c r="H19" s="15" t="n"/>
      <c r="I19" s="24">
        <f>IF(N19="","",IF(H19&lt;&gt;"",H19,IF(OR(G19="",G19="要調整"),"",G19)))</f>
        <v/>
      </c>
      <c r="J19" s="23">
        <f>IF(N19="","",IF(I19&lt;&gt;"","決定",IF(O19="","未提出","要調整")))</f>
        <v/>
      </c>
      <c r="K19" s="23">
        <f>IF(OR(J19&lt;&gt;"要調整",E19=""),"",IFERROR(INDEX(設定!$H$8:$I$27,MATCH(E19,設定!$G$8:$G$27,0),IF($M19=設定!$H$6&amp;"",1,2))-COUNTIFS($M$3:$M$302,M19,$I$3:$I$302,E19),""))</f>
        <v/>
      </c>
      <c r="L19" s="23">
        <f>IF(OR(J19&lt;&gt;"要調整",F19=""),"",IFERROR(INDEX(設定!$H$8:$I$27,MATCH(F19,設定!$G$8:$G$27,0),IF($M19=設定!$H$6&amp;"",1,2))-COUNTIFS($M$3:$M$302,M19,$I$3:$I$302,F19),""))</f>
        <v/>
      </c>
      <c r="M19" s="8">
        <f>IF(N19="","",INDEX(児童名簿!$A$2:$A$301,N19)&amp;"")</f>
        <v/>
      </c>
      <c r="N19" s="8">
        <f>IFERROR(MATCH(SMALL(児童名簿!$G$2:$G$301,17),児童名簿!$G$2:$G$301,0),"")</f>
        <v/>
      </c>
      <c r="O19" s="8">
        <f>IF(P19="","",IFERROR(MATCH(P19,希望入力!$K$2:$K$401,0),""))</f>
        <v/>
      </c>
      <c r="P19" s="8">
        <f>IF(N19="","",INDEX(児童名簿!$F$2:$F$301,N19))</f>
        <v/>
      </c>
      <c r="Q19" s="8">
        <f>IF(I19="","",IFERROR(MATCH(I19,設定!$G$8:$G$27,0),""))</f>
        <v/>
      </c>
      <c r="R19" s="8">
        <f>IF(Q19="","",COUNTIF($Q$3:Q19,Q19))</f>
        <v/>
      </c>
      <c r="S19" s="8">
        <f>IF(Q19="","",Q19*1000+R19)</f>
        <v/>
      </c>
    </row>
    <row r="20">
      <c r="A20" s="23">
        <f>IF(N20="","",IFERROR(INDEX(設定!$C$8:$C$23,INT(INDEX(児童名簿!$G$2:$G$301,N20)/1000)),M20&amp;INDEX(児童名簿!$B$2:$B$301,N20)))</f>
        <v/>
      </c>
      <c r="B20" s="23">
        <f>IF(N20="","",INDEX(児童名簿!$C$2:$C$301,N20))</f>
        <v/>
      </c>
      <c r="C20" s="3">
        <f>IF(N20="","",INDEX(児童名簿!$D$2:$D$301,N20))</f>
        <v/>
      </c>
      <c r="D20" s="23">
        <f>IF(O20="","",INDEX(希望入力!$D$2:$D$401,O20)&amp;"")</f>
        <v/>
      </c>
      <c r="E20" s="23">
        <f>IF(O20="","",INDEX(希望入力!$E$2:$E$401,O20)&amp;"")</f>
        <v/>
      </c>
      <c r="F20" s="23">
        <f>IF(O20="","",INDEX(希望入力!$F$2:$F$401,O20)&amp;"")</f>
        <v/>
      </c>
      <c r="G20" s="23">
        <f>IF(O20="","",IF(D20="","要調整",IFERROR(IF(COUNTIFS($M$3:$M$302,M20,$D$3:$D$302,D20)&lt;=INDEX(設定!$H$8:$I$27,MATCH(D20,設定!$G$8:$G$27,0),IF($M20=設定!$H$6&amp;"",1,2)),D20,"要調整"),"要調整")))</f>
        <v/>
      </c>
      <c r="H20" s="15" t="inlineStr">
        <is>
          <t>飼育</t>
        </is>
      </c>
      <c r="I20" s="24">
        <f>IF(N20="","",IF(H20&lt;&gt;"",H20,IF(OR(G20="",G20="要調整"),"",G20)))</f>
        <v/>
      </c>
      <c r="J20" s="23">
        <f>IF(N20="","",IF(I20&lt;&gt;"","決定",IF(O20="","未提出","要調整")))</f>
        <v/>
      </c>
      <c r="K20" s="23">
        <f>IF(OR(J20&lt;&gt;"要調整",E20=""),"",IFERROR(INDEX(設定!$H$8:$I$27,MATCH(E20,設定!$G$8:$G$27,0),IF($M20=設定!$H$6&amp;"",1,2))-COUNTIFS($M$3:$M$302,M20,$I$3:$I$302,E20),""))</f>
        <v/>
      </c>
      <c r="L20" s="23">
        <f>IF(OR(J20&lt;&gt;"要調整",F20=""),"",IFERROR(INDEX(設定!$H$8:$I$27,MATCH(F20,設定!$G$8:$G$27,0),IF($M20=設定!$H$6&amp;"",1,2))-COUNTIFS($M$3:$M$302,M20,$I$3:$I$302,F20),""))</f>
        <v/>
      </c>
      <c r="M20" s="8">
        <f>IF(N20="","",INDEX(児童名簿!$A$2:$A$301,N20)&amp;"")</f>
        <v/>
      </c>
      <c r="N20" s="8">
        <f>IFERROR(MATCH(SMALL(児童名簿!$G$2:$G$301,18),児童名簿!$G$2:$G$301,0),"")</f>
        <v/>
      </c>
      <c r="O20" s="8">
        <f>IF(P20="","",IFERROR(MATCH(P20,希望入力!$K$2:$K$401,0),""))</f>
        <v/>
      </c>
      <c r="P20" s="8">
        <f>IF(N20="","",INDEX(児童名簿!$F$2:$F$301,N20))</f>
        <v/>
      </c>
      <c r="Q20" s="8">
        <f>IF(I20="","",IFERROR(MATCH(I20,設定!$G$8:$G$27,0),""))</f>
        <v/>
      </c>
      <c r="R20" s="8">
        <f>IF(Q20="","",COUNTIF($Q$3:Q20,Q20))</f>
        <v/>
      </c>
      <c r="S20" s="8">
        <f>IF(Q20="","",Q20*1000+R20)</f>
        <v/>
      </c>
    </row>
    <row r="21">
      <c r="A21" s="23">
        <f>IF(N21="","",IFERROR(INDEX(設定!$C$8:$C$23,INT(INDEX(児童名簿!$G$2:$G$301,N21)/1000)),M21&amp;INDEX(児童名簿!$B$2:$B$301,N21)))</f>
        <v/>
      </c>
      <c r="B21" s="23">
        <f>IF(N21="","",INDEX(児童名簿!$C$2:$C$301,N21))</f>
        <v/>
      </c>
      <c r="C21" s="3">
        <f>IF(N21="","",INDEX(児童名簿!$D$2:$D$301,N21))</f>
        <v/>
      </c>
      <c r="D21" s="23">
        <f>IF(O21="","",INDEX(希望入力!$D$2:$D$401,O21)&amp;"")</f>
        <v/>
      </c>
      <c r="E21" s="23">
        <f>IF(O21="","",INDEX(希望入力!$E$2:$E$401,O21)&amp;"")</f>
        <v/>
      </c>
      <c r="F21" s="23">
        <f>IF(O21="","",INDEX(希望入力!$F$2:$F$401,O21)&amp;"")</f>
        <v/>
      </c>
      <c r="G21" s="23">
        <f>IF(O21="","",IF(D21="","要調整",IFERROR(IF(COUNTIFS($M$3:$M$302,M21,$D$3:$D$302,D21)&lt;=INDEX(設定!$H$8:$I$27,MATCH(D21,設定!$G$8:$G$27,0),IF($M21=設定!$H$6&amp;"",1,2)),D21,"要調整"),"要調整")))</f>
        <v/>
      </c>
      <c r="H21" s="15" t="n"/>
      <c r="I21" s="24">
        <f>IF(N21="","",IF(H21&lt;&gt;"",H21,IF(OR(G21="",G21="要調整"),"",G21)))</f>
        <v/>
      </c>
      <c r="J21" s="23">
        <f>IF(N21="","",IF(I21&lt;&gt;"","決定",IF(O21="","未提出","要調整")))</f>
        <v/>
      </c>
      <c r="K21" s="23">
        <f>IF(OR(J21&lt;&gt;"要調整",E21=""),"",IFERROR(INDEX(設定!$H$8:$I$27,MATCH(E21,設定!$G$8:$G$27,0),IF($M21=設定!$H$6&amp;"",1,2))-COUNTIFS($M$3:$M$302,M21,$I$3:$I$302,E21),""))</f>
        <v/>
      </c>
      <c r="L21" s="23">
        <f>IF(OR(J21&lt;&gt;"要調整",F21=""),"",IFERROR(INDEX(設定!$H$8:$I$27,MATCH(F21,設定!$G$8:$G$27,0),IF($M21=設定!$H$6&amp;"",1,2))-COUNTIFS($M$3:$M$302,M21,$I$3:$I$302,F21),""))</f>
        <v/>
      </c>
      <c r="M21" s="8">
        <f>IF(N21="","",INDEX(児童名簿!$A$2:$A$301,N21)&amp;"")</f>
        <v/>
      </c>
      <c r="N21" s="8">
        <f>IFERROR(MATCH(SMALL(児童名簿!$G$2:$G$301,19),児童名簿!$G$2:$G$301,0),"")</f>
        <v/>
      </c>
      <c r="O21" s="8">
        <f>IF(P21="","",IFERROR(MATCH(P21,希望入力!$K$2:$K$401,0),""))</f>
        <v/>
      </c>
      <c r="P21" s="8">
        <f>IF(N21="","",INDEX(児童名簿!$F$2:$F$301,N21))</f>
        <v/>
      </c>
      <c r="Q21" s="8">
        <f>IF(I21="","",IFERROR(MATCH(I21,設定!$G$8:$G$27,0),""))</f>
        <v/>
      </c>
      <c r="R21" s="8">
        <f>IF(Q21="","",COUNTIF($Q$3:Q21,Q21))</f>
        <v/>
      </c>
      <c r="S21" s="8">
        <f>IF(Q21="","",Q21*1000+R21)</f>
        <v/>
      </c>
    </row>
    <row r="22">
      <c r="A22" s="23">
        <f>IF(N22="","",IFERROR(INDEX(設定!$C$8:$C$23,INT(INDEX(児童名簿!$G$2:$G$301,N22)/1000)),M22&amp;INDEX(児童名簿!$B$2:$B$301,N22)))</f>
        <v/>
      </c>
      <c r="B22" s="23">
        <f>IF(N22="","",INDEX(児童名簿!$C$2:$C$301,N22))</f>
        <v/>
      </c>
      <c r="C22" s="3">
        <f>IF(N22="","",INDEX(児童名簿!$D$2:$D$301,N22))</f>
        <v/>
      </c>
      <c r="D22" s="23">
        <f>IF(O22="","",INDEX(希望入力!$D$2:$D$401,O22)&amp;"")</f>
        <v/>
      </c>
      <c r="E22" s="23">
        <f>IF(O22="","",INDEX(希望入力!$E$2:$E$401,O22)&amp;"")</f>
        <v/>
      </c>
      <c r="F22" s="23">
        <f>IF(O22="","",INDEX(希望入力!$F$2:$F$401,O22)&amp;"")</f>
        <v/>
      </c>
      <c r="G22" s="23">
        <f>IF(O22="","",IF(D22="","要調整",IFERROR(IF(COUNTIFS($M$3:$M$302,M22,$D$3:$D$302,D22)&lt;=INDEX(設定!$H$8:$I$27,MATCH(D22,設定!$G$8:$G$27,0),IF($M22=設定!$H$6&amp;"",1,2)),D22,"要調整"),"要調整")))</f>
        <v/>
      </c>
      <c r="H22" s="15" t="n"/>
      <c r="I22" s="24">
        <f>IF(N22="","",IF(H22&lt;&gt;"",H22,IF(OR(G22="",G22="要調整"),"",G22)))</f>
        <v/>
      </c>
      <c r="J22" s="23">
        <f>IF(N22="","",IF(I22&lt;&gt;"","決定",IF(O22="","未提出","要調整")))</f>
        <v/>
      </c>
      <c r="K22" s="23">
        <f>IF(OR(J22&lt;&gt;"要調整",E22=""),"",IFERROR(INDEX(設定!$H$8:$I$27,MATCH(E22,設定!$G$8:$G$27,0),IF($M22=設定!$H$6&amp;"",1,2))-COUNTIFS($M$3:$M$302,M22,$I$3:$I$302,E22),""))</f>
        <v/>
      </c>
      <c r="L22" s="23">
        <f>IF(OR(J22&lt;&gt;"要調整",F22=""),"",IFERROR(INDEX(設定!$H$8:$I$27,MATCH(F22,設定!$G$8:$G$27,0),IF($M22=設定!$H$6&amp;"",1,2))-COUNTIFS($M$3:$M$302,M22,$I$3:$I$302,F22),""))</f>
        <v/>
      </c>
      <c r="M22" s="8">
        <f>IF(N22="","",INDEX(児童名簿!$A$2:$A$301,N22)&amp;"")</f>
        <v/>
      </c>
      <c r="N22" s="8">
        <f>IFERROR(MATCH(SMALL(児童名簿!$G$2:$G$301,20),児童名簿!$G$2:$G$301,0),"")</f>
        <v/>
      </c>
      <c r="O22" s="8">
        <f>IF(P22="","",IFERROR(MATCH(P22,希望入力!$K$2:$K$401,0),""))</f>
        <v/>
      </c>
      <c r="P22" s="8">
        <f>IF(N22="","",INDEX(児童名簿!$F$2:$F$301,N22))</f>
        <v/>
      </c>
      <c r="Q22" s="8">
        <f>IF(I22="","",IFERROR(MATCH(I22,設定!$G$8:$G$27,0),""))</f>
        <v/>
      </c>
      <c r="R22" s="8">
        <f>IF(Q22="","",COUNTIF($Q$3:Q22,Q22))</f>
        <v/>
      </c>
      <c r="S22" s="8">
        <f>IF(Q22="","",Q22*1000+R22)</f>
        <v/>
      </c>
    </row>
    <row r="23">
      <c r="A23" s="23">
        <f>IF(N23="","",IFERROR(INDEX(設定!$C$8:$C$23,INT(INDEX(児童名簿!$G$2:$G$301,N23)/1000)),M23&amp;INDEX(児童名簿!$B$2:$B$301,N23)))</f>
        <v/>
      </c>
      <c r="B23" s="23">
        <f>IF(N23="","",INDEX(児童名簿!$C$2:$C$301,N23))</f>
        <v/>
      </c>
      <c r="C23" s="3">
        <f>IF(N23="","",INDEX(児童名簿!$D$2:$D$301,N23))</f>
        <v/>
      </c>
      <c r="D23" s="23">
        <f>IF(O23="","",INDEX(希望入力!$D$2:$D$401,O23)&amp;"")</f>
        <v/>
      </c>
      <c r="E23" s="23">
        <f>IF(O23="","",INDEX(希望入力!$E$2:$E$401,O23)&amp;"")</f>
        <v/>
      </c>
      <c r="F23" s="23">
        <f>IF(O23="","",INDEX(希望入力!$F$2:$F$401,O23)&amp;"")</f>
        <v/>
      </c>
      <c r="G23" s="23">
        <f>IF(O23="","",IF(D23="","要調整",IFERROR(IF(COUNTIFS($M$3:$M$302,M23,$D$3:$D$302,D23)&lt;=INDEX(設定!$H$8:$I$27,MATCH(D23,設定!$G$8:$G$27,0),IF($M23=設定!$H$6&amp;"",1,2)),D23,"要調整"),"要調整")))</f>
        <v/>
      </c>
      <c r="H23" s="15" t="n"/>
      <c r="I23" s="24">
        <f>IF(N23="","",IF(H23&lt;&gt;"",H23,IF(OR(G23="",G23="要調整"),"",G23)))</f>
        <v/>
      </c>
      <c r="J23" s="23">
        <f>IF(N23="","",IF(I23&lt;&gt;"","決定",IF(O23="","未提出","要調整")))</f>
        <v/>
      </c>
      <c r="K23" s="23">
        <f>IF(OR(J23&lt;&gt;"要調整",E23=""),"",IFERROR(INDEX(設定!$H$8:$I$27,MATCH(E23,設定!$G$8:$G$27,0),IF($M23=設定!$H$6&amp;"",1,2))-COUNTIFS($M$3:$M$302,M23,$I$3:$I$302,E23),""))</f>
        <v/>
      </c>
      <c r="L23" s="23">
        <f>IF(OR(J23&lt;&gt;"要調整",F23=""),"",IFERROR(INDEX(設定!$H$8:$I$27,MATCH(F23,設定!$G$8:$G$27,0),IF($M23=設定!$H$6&amp;"",1,2))-COUNTIFS($M$3:$M$302,M23,$I$3:$I$302,F23),""))</f>
        <v/>
      </c>
      <c r="M23" s="8">
        <f>IF(N23="","",INDEX(児童名簿!$A$2:$A$301,N23)&amp;"")</f>
        <v/>
      </c>
      <c r="N23" s="8">
        <f>IFERROR(MATCH(SMALL(児童名簿!$G$2:$G$301,21),児童名簿!$G$2:$G$301,0),"")</f>
        <v/>
      </c>
      <c r="O23" s="8">
        <f>IF(P23="","",IFERROR(MATCH(P23,希望入力!$K$2:$K$401,0),""))</f>
        <v/>
      </c>
      <c r="P23" s="8">
        <f>IF(N23="","",INDEX(児童名簿!$F$2:$F$301,N23))</f>
        <v/>
      </c>
      <c r="Q23" s="8">
        <f>IF(I23="","",IFERROR(MATCH(I23,設定!$G$8:$G$27,0),""))</f>
        <v/>
      </c>
      <c r="R23" s="8">
        <f>IF(Q23="","",COUNTIF($Q$3:Q23,Q23))</f>
        <v/>
      </c>
      <c r="S23" s="8">
        <f>IF(Q23="","",Q23*1000+R23)</f>
        <v/>
      </c>
    </row>
    <row r="24">
      <c r="A24" s="23">
        <f>IF(N24="","",IFERROR(INDEX(設定!$C$8:$C$23,INT(INDEX(児童名簿!$G$2:$G$301,N24)/1000)),M24&amp;INDEX(児童名簿!$B$2:$B$301,N24)))</f>
        <v/>
      </c>
      <c r="B24" s="23">
        <f>IF(N24="","",INDEX(児童名簿!$C$2:$C$301,N24))</f>
        <v/>
      </c>
      <c r="C24" s="3">
        <f>IF(N24="","",INDEX(児童名簿!$D$2:$D$301,N24))</f>
        <v/>
      </c>
      <c r="D24" s="23">
        <f>IF(O24="","",INDEX(希望入力!$D$2:$D$401,O24)&amp;"")</f>
        <v/>
      </c>
      <c r="E24" s="23">
        <f>IF(O24="","",INDEX(希望入力!$E$2:$E$401,O24)&amp;"")</f>
        <v/>
      </c>
      <c r="F24" s="23">
        <f>IF(O24="","",INDEX(希望入力!$F$2:$F$401,O24)&amp;"")</f>
        <v/>
      </c>
      <c r="G24" s="23">
        <f>IF(O24="","",IF(D24="","要調整",IFERROR(IF(COUNTIFS($M$3:$M$302,M24,$D$3:$D$302,D24)&lt;=INDEX(設定!$H$8:$I$27,MATCH(D24,設定!$G$8:$G$27,0),IF($M24=設定!$H$6&amp;"",1,2)),D24,"要調整"),"要調整")))</f>
        <v/>
      </c>
      <c r="H24" s="15" t="n"/>
      <c r="I24" s="24">
        <f>IF(N24="","",IF(H24&lt;&gt;"",H24,IF(OR(G24="",G24="要調整"),"",G24)))</f>
        <v/>
      </c>
      <c r="J24" s="23">
        <f>IF(N24="","",IF(I24&lt;&gt;"","決定",IF(O24="","未提出","要調整")))</f>
        <v/>
      </c>
      <c r="K24" s="23">
        <f>IF(OR(J24&lt;&gt;"要調整",E24=""),"",IFERROR(INDEX(設定!$H$8:$I$27,MATCH(E24,設定!$G$8:$G$27,0),IF($M24=設定!$H$6&amp;"",1,2))-COUNTIFS($M$3:$M$302,M24,$I$3:$I$302,E24),""))</f>
        <v/>
      </c>
      <c r="L24" s="23">
        <f>IF(OR(J24&lt;&gt;"要調整",F24=""),"",IFERROR(INDEX(設定!$H$8:$I$27,MATCH(F24,設定!$G$8:$G$27,0),IF($M24=設定!$H$6&amp;"",1,2))-COUNTIFS($M$3:$M$302,M24,$I$3:$I$302,F24),""))</f>
        <v/>
      </c>
      <c r="M24" s="8">
        <f>IF(N24="","",INDEX(児童名簿!$A$2:$A$301,N24)&amp;"")</f>
        <v/>
      </c>
      <c r="N24" s="8">
        <f>IFERROR(MATCH(SMALL(児童名簿!$G$2:$G$301,22),児童名簿!$G$2:$G$301,0),"")</f>
        <v/>
      </c>
      <c r="O24" s="8">
        <f>IF(P24="","",IFERROR(MATCH(P24,希望入力!$K$2:$K$401,0),""))</f>
        <v/>
      </c>
      <c r="P24" s="8">
        <f>IF(N24="","",INDEX(児童名簿!$F$2:$F$301,N24))</f>
        <v/>
      </c>
      <c r="Q24" s="8">
        <f>IF(I24="","",IFERROR(MATCH(I24,設定!$G$8:$G$27,0),""))</f>
        <v/>
      </c>
      <c r="R24" s="8">
        <f>IF(Q24="","",COUNTIF($Q$3:Q24,Q24))</f>
        <v/>
      </c>
      <c r="S24" s="8">
        <f>IF(Q24="","",Q24*1000+R24)</f>
        <v/>
      </c>
    </row>
    <row r="25">
      <c r="A25" s="23">
        <f>IF(N25="","",IFERROR(INDEX(設定!$C$8:$C$23,INT(INDEX(児童名簿!$G$2:$G$301,N25)/1000)),M25&amp;INDEX(児童名簿!$B$2:$B$301,N25)))</f>
        <v/>
      </c>
      <c r="B25" s="23">
        <f>IF(N25="","",INDEX(児童名簿!$C$2:$C$301,N25))</f>
        <v/>
      </c>
      <c r="C25" s="3">
        <f>IF(N25="","",INDEX(児童名簿!$D$2:$D$301,N25))</f>
        <v/>
      </c>
      <c r="D25" s="23">
        <f>IF(O25="","",INDEX(希望入力!$D$2:$D$401,O25)&amp;"")</f>
        <v/>
      </c>
      <c r="E25" s="23">
        <f>IF(O25="","",INDEX(希望入力!$E$2:$E$401,O25)&amp;"")</f>
        <v/>
      </c>
      <c r="F25" s="23">
        <f>IF(O25="","",INDEX(希望入力!$F$2:$F$401,O25)&amp;"")</f>
        <v/>
      </c>
      <c r="G25" s="23">
        <f>IF(O25="","",IF(D25="","要調整",IFERROR(IF(COUNTIFS($M$3:$M$302,M25,$D$3:$D$302,D25)&lt;=INDEX(設定!$H$8:$I$27,MATCH(D25,設定!$G$8:$G$27,0),IF($M25=設定!$H$6&amp;"",1,2)),D25,"要調整"),"要調整")))</f>
        <v/>
      </c>
      <c r="H25" s="15" t="n"/>
      <c r="I25" s="24">
        <f>IF(N25="","",IF(H25&lt;&gt;"",H25,IF(OR(G25="",G25="要調整"),"",G25)))</f>
        <v/>
      </c>
      <c r="J25" s="23">
        <f>IF(N25="","",IF(I25&lt;&gt;"","決定",IF(O25="","未提出","要調整")))</f>
        <v/>
      </c>
      <c r="K25" s="23">
        <f>IF(OR(J25&lt;&gt;"要調整",E25=""),"",IFERROR(INDEX(設定!$H$8:$I$27,MATCH(E25,設定!$G$8:$G$27,0),IF($M25=設定!$H$6&amp;"",1,2))-COUNTIFS($M$3:$M$302,M25,$I$3:$I$302,E25),""))</f>
        <v/>
      </c>
      <c r="L25" s="23">
        <f>IF(OR(J25&lt;&gt;"要調整",F25=""),"",IFERROR(INDEX(設定!$H$8:$I$27,MATCH(F25,設定!$G$8:$G$27,0),IF($M25=設定!$H$6&amp;"",1,2))-COUNTIFS($M$3:$M$302,M25,$I$3:$I$302,F25),""))</f>
        <v/>
      </c>
      <c r="M25" s="8">
        <f>IF(N25="","",INDEX(児童名簿!$A$2:$A$301,N25)&amp;"")</f>
        <v/>
      </c>
      <c r="N25" s="8">
        <f>IFERROR(MATCH(SMALL(児童名簿!$G$2:$G$301,23),児童名簿!$G$2:$G$301,0),"")</f>
        <v/>
      </c>
      <c r="O25" s="8">
        <f>IF(P25="","",IFERROR(MATCH(P25,希望入力!$K$2:$K$401,0),""))</f>
        <v/>
      </c>
      <c r="P25" s="8">
        <f>IF(N25="","",INDEX(児童名簿!$F$2:$F$301,N25))</f>
        <v/>
      </c>
      <c r="Q25" s="8">
        <f>IF(I25="","",IFERROR(MATCH(I25,設定!$G$8:$G$27,0),""))</f>
        <v/>
      </c>
      <c r="R25" s="8">
        <f>IF(Q25="","",COUNTIF($Q$3:Q25,Q25))</f>
        <v/>
      </c>
      <c r="S25" s="8">
        <f>IF(Q25="","",Q25*1000+R25)</f>
        <v/>
      </c>
    </row>
    <row r="26">
      <c r="A26" s="23">
        <f>IF(N26="","",IFERROR(INDEX(設定!$C$8:$C$23,INT(INDEX(児童名簿!$G$2:$G$301,N26)/1000)),M26&amp;INDEX(児童名簿!$B$2:$B$301,N26)))</f>
        <v/>
      </c>
      <c r="B26" s="23">
        <f>IF(N26="","",INDEX(児童名簿!$C$2:$C$301,N26))</f>
        <v/>
      </c>
      <c r="C26" s="3">
        <f>IF(N26="","",INDEX(児童名簿!$D$2:$D$301,N26))</f>
        <v/>
      </c>
      <c r="D26" s="23">
        <f>IF(O26="","",INDEX(希望入力!$D$2:$D$401,O26)&amp;"")</f>
        <v/>
      </c>
      <c r="E26" s="23">
        <f>IF(O26="","",INDEX(希望入力!$E$2:$E$401,O26)&amp;"")</f>
        <v/>
      </c>
      <c r="F26" s="23">
        <f>IF(O26="","",INDEX(希望入力!$F$2:$F$401,O26)&amp;"")</f>
        <v/>
      </c>
      <c r="G26" s="23">
        <f>IF(O26="","",IF(D26="","要調整",IFERROR(IF(COUNTIFS($M$3:$M$302,M26,$D$3:$D$302,D26)&lt;=INDEX(設定!$H$8:$I$27,MATCH(D26,設定!$G$8:$G$27,0),IF($M26=設定!$H$6&amp;"",1,2)),D26,"要調整"),"要調整")))</f>
        <v/>
      </c>
      <c r="H26" s="15" t="n"/>
      <c r="I26" s="24">
        <f>IF(N26="","",IF(H26&lt;&gt;"",H26,IF(OR(G26="",G26="要調整"),"",G26)))</f>
        <v/>
      </c>
      <c r="J26" s="23">
        <f>IF(N26="","",IF(I26&lt;&gt;"","決定",IF(O26="","未提出","要調整")))</f>
        <v/>
      </c>
      <c r="K26" s="23">
        <f>IF(OR(J26&lt;&gt;"要調整",E26=""),"",IFERROR(INDEX(設定!$H$8:$I$27,MATCH(E26,設定!$G$8:$G$27,0),IF($M26=設定!$H$6&amp;"",1,2))-COUNTIFS($M$3:$M$302,M26,$I$3:$I$302,E26),""))</f>
        <v/>
      </c>
      <c r="L26" s="23">
        <f>IF(OR(J26&lt;&gt;"要調整",F26=""),"",IFERROR(INDEX(設定!$H$8:$I$27,MATCH(F26,設定!$G$8:$G$27,0),IF($M26=設定!$H$6&amp;"",1,2))-COUNTIFS($M$3:$M$302,M26,$I$3:$I$302,F26),""))</f>
        <v/>
      </c>
      <c r="M26" s="8">
        <f>IF(N26="","",INDEX(児童名簿!$A$2:$A$301,N26)&amp;"")</f>
        <v/>
      </c>
      <c r="N26" s="8">
        <f>IFERROR(MATCH(SMALL(児童名簿!$G$2:$G$301,24),児童名簿!$G$2:$G$301,0),"")</f>
        <v/>
      </c>
      <c r="O26" s="8">
        <f>IF(P26="","",IFERROR(MATCH(P26,希望入力!$K$2:$K$401,0),""))</f>
        <v/>
      </c>
      <c r="P26" s="8">
        <f>IF(N26="","",INDEX(児童名簿!$F$2:$F$301,N26))</f>
        <v/>
      </c>
      <c r="Q26" s="8">
        <f>IF(I26="","",IFERROR(MATCH(I26,設定!$G$8:$G$27,0),""))</f>
        <v/>
      </c>
      <c r="R26" s="8">
        <f>IF(Q26="","",COUNTIF($Q$3:Q26,Q26))</f>
        <v/>
      </c>
      <c r="S26" s="8">
        <f>IF(Q26="","",Q26*1000+R26)</f>
        <v/>
      </c>
    </row>
    <row r="27">
      <c r="A27" s="23">
        <f>IF(N27="","",IFERROR(INDEX(設定!$C$8:$C$23,INT(INDEX(児童名簿!$G$2:$G$301,N27)/1000)),M27&amp;INDEX(児童名簿!$B$2:$B$301,N27)))</f>
        <v/>
      </c>
      <c r="B27" s="23">
        <f>IF(N27="","",INDEX(児童名簿!$C$2:$C$301,N27))</f>
        <v/>
      </c>
      <c r="C27" s="3">
        <f>IF(N27="","",INDEX(児童名簿!$D$2:$D$301,N27))</f>
        <v/>
      </c>
      <c r="D27" s="23">
        <f>IF(O27="","",INDEX(希望入力!$D$2:$D$401,O27)&amp;"")</f>
        <v/>
      </c>
      <c r="E27" s="23">
        <f>IF(O27="","",INDEX(希望入力!$E$2:$E$401,O27)&amp;"")</f>
        <v/>
      </c>
      <c r="F27" s="23">
        <f>IF(O27="","",INDEX(希望入力!$F$2:$F$401,O27)&amp;"")</f>
        <v/>
      </c>
      <c r="G27" s="23">
        <f>IF(O27="","",IF(D27="","要調整",IFERROR(IF(COUNTIFS($M$3:$M$302,M27,$D$3:$D$302,D27)&lt;=INDEX(設定!$H$8:$I$27,MATCH(D27,設定!$G$8:$G$27,0),IF($M27=設定!$H$6&amp;"",1,2)),D27,"要調整"),"要調整")))</f>
        <v/>
      </c>
      <c r="H27" s="15" t="n"/>
      <c r="I27" s="24">
        <f>IF(N27="","",IF(H27&lt;&gt;"",H27,IF(OR(G27="",G27="要調整"),"",G27)))</f>
        <v/>
      </c>
      <c r="J27" s="23">
        <f>IF(N27="","",IF(I27&lt;&gt;"","決定",IF(O27="","未提出","要調整")))</f>
        <v/>
      </c>
      <c r="K27" s="23">
        <f>IF(OR(J27&lt;&gt;"要調整",E27=""),"",IFERROR(INDEX(設定!$H$8:$I$27,MATCH(E27,設定!$G$8:$G$27,0),IF($M27=設定!$H$6&amp;"",1,2))-COUNTIFS($M$3:$M$302,M27,$I$3:$I$302,E27),""))</f>
        <v/>
      </c>
      <c r="L27" s="23">
        <f>IF(OR(J27&lt;&gt;"要調整",F27=""),"",IFERROR(INDEX(設定!$H$8:$I$27,MATCH(F27,設定!$G$8:$G$27,0),IF($M27=設定!$H$6&amp;"",1,2))-COUNTIFS($M$3:$M$302,M27,$I$3:$I$302,F27),""))</f>
        <v/>
      </c>
      <c r="M27" s="8">
        <f>IF(N27="","",INDEX(児童名簿!$A$2:$A$301,N27)&amp;"")</f>
        <v/>
      </c>
      <c r="N27" s="8">
        <f>IFERROR(MATCH(SMALL(児童名簿!$G$2:$G$301,25),児童名簿!$G$2:$G$301,0),"")</f>
        <v/>
      </c>
      <c r="O27" s="8">
        <f>IF(P27="","",IFERROR(MATCH(P27,希望入力!$K$2:$K$401,0),""))</f>
        <v/>
      </c>
      <c r="P27" s="8">
        <f>IF(N27="","",INDEX(児童名簿!$F$2:$F$301,N27))</f>
        <v/>
      </c>
      <c r="Q27" s="8">
        <f>IF(I27="","",IFERROR(MATCH(I27,設定!$G$8:$G$27,0),""))</f>
        <v/>
      </c>
      <c r="R27" s="8">
        <f>IF(Q27="","",COUNTIF($Q$3:Q27,Q27))</f>
        <v/>
      </c>
      <c r="S27" s="8">
        <f>IF(Q27="","",Q27*1000+R27)</f>
        <v/>
      </c>
    </row>
    <row r="28">
      <c r="A28" s="23">
        <f>IF(N28="","",IFERROR(INDEX(設定!$C$8:$C$23,INT(INDEX(児童名簿!$G$2:$G$301,N28)/1000)),M28&amp;INDEX(児童名簿!$B$2:$B$301,N28)))</f>
        <v/>
      </c>
      <c r="B28" s="23">
        <f>IF(N28="","",INDEX(児童名簿!$C$2:$C$301,N28))</f>
        <v/>
      </c>
      <c r="C28" s="3">
        <f>IF(N28="","",INDEX(児童名簿!$D$2:$D$301,N28))</f>
        <v/>
      </c>
      <c r="D28" s="23">
        <f>IF(O28="","",INDEX(希望入力!$D$2:$D$401,O28)&amp;"")</f>
        <v/>
      </c>
      <c r="E28" s="23">
        <f>IF(O28="","",INDEX(希望入力!$E$2:$E$401,O28)&amp;"")</f>
        <v/>
      </c>
      <c r="F28" s="23">
        <f>IF(O28="","",INDEX(希望入力!$F$2:$F$401,O28)&amp;"")</f>
        <v/>
      </c>
      <c r="G28" s="23">
        <f>IF(O28="","",IF(D28="","要調整",IFERROR(IF(COUNTIFS($M$3:$M$302,M28,$D$3:$D$302,D28)&lt;=INDEX(設定!$H$8:$I$27,MATCH(D28,設定!$G$8:$G$27,0),IF($M28=設定!$H$6&amp;"",1,2)),D28,"要調整"),"要調整")))</f>
        <v/>
      </c>
      <c r="H28" s="15" t="n"/>
      <c r="I28" s="24">
        <f>IF(N28="","",IF(H28&lt;&gt;"",H28,IF(OR(G28="",G28="要調整"),"",G28)))</f>
        <v/>
      </c>
      <c r="J28" s="23">
        <f>IF(N28="","",IF(I28&lt;&gt;"","決定",IF(O28="","未提出","要調整")))</f>
        <v/>
      </c>
      <c r="K28" s="23">
        <f>IF(OR(J28&lt;&gt;"要調整",E28=""),"",IFERROR(INDEX(設定!$H$8:$I$27,MATCH(E28,設定!$G$8:$G$27,0),IF($M28=設定!$H$6&amp;"",1,2))-COUNTIFS($M$3:$M$302,M28,$I$3:$I$302,E28),""))</f>
        <v/>
      </c>
      <c r="L28" s="23">
        <f>IF(OR(J28&lt;&gt;"要調整",F28=""),"",IFERROR(INDEX(設定!$H$8:$I$27,MATCH(F28,設定!$G$8:$G$27,0),IF($M28=設定!$H$6&amp;"",1,2))-COUNTIFS($M$3:$M$302,M28,$I$3:$I$302,F28),""))</f>
        <v/>
      </c>
      <c r="M28" s="8">
        <f>IF(N28="","",INDEX(児童名簿!$A$2:$A$301,N28)&amp;"")</f>
        <v/>
      </c>
      <c r="N28" s="8">
        <f>IFERROR(MATCH(SMALL(児童名簿!$G$2:$G$301,26),児童名簿!$G$2:$G$301,0),"")</f>
        <v/>
      </c>
      <c r="O28" s="8">
        <f>IF(P28="","",IFERROR(MATCH(P28,希望入力!$K$2:$K$401,0),""))</f>
        <v/>
      </c>
      <c r="P28" s="8">
        <f>IF(N28="","",INDEX(児童名簿!$F$2:$F$301,N28))</f>
        <v/>
      </c>
      <c r="Q28" s="8">
        <f>IF(I28="","",IFERROR(MATCH(I28,設定!$G$8:$G$27,0),""))</f>
        <v/>
      </c>
      <c r="R28" s="8">
        <f>IF(Q28="","",COUNTIF($Q$3:Q28,Q28))</f>
        <v/>
      </c>
      <c r="S28" s="8">
        <f>IF(Q28="","",Q28*1000+R28)</f>
        <v/>
      </c>
    </row>
    <row r="29">
      <c r="A29" s="23">
        <f>IF(N29="","",IFERROR(INDEX(設定!$C$8:$C$23,INT(INDEX(児童名簿!$G$2:$G$301,N29)/1000)),M29&amp;INDEX(児童名簿!$B$2:$B$301,N29)))</f>
        <v/>
      </c>
      <c r="B29" s="23">
        <f>IF(N29="","",INDEX(児童名簿!$C$2:$C$301,N29))</f>
        <v/>
      </c>
      <c r="C29" s="3">
        <f>IF(N29="","",INDEX(児童名簿!$D$2:$D$301,N29))</f>
        <v/>
      </c>
      <c r="D29" s="23">
        <f>IF(O29="","",INDEX(希望入力!$D$2:$D$401,O29)&amp;"")</f>
        <v/>
      </c>
      <c r="E29" s="23">
        <f>IF(O29="","",INDEX(希望入力!$E$2:$E$401,O29)&amp;"")</f>
        <v/>
      </c>
      <c r="F29" s="23">
        <f>IF(O29="","",INDEX(希望入力!$F$2:$F$401,O29)&amp;"")</f>
        <v/>
      </c>
      <c r="G29" s="23">
        <f>IF(O29="","",IF(D29="","要調整",IFERROR(IF(COUNTIFS($M$3:$M$302,M29,$D$3:$D$302,D29)&lt;=INDEX(設定!$H$8:$I$27,MATCH(D29,設定!$G$8:$G$27,0),IF($M29=設定!$H$6&amp;"",1,2)),D29,"要調整"),"要調整")))</f>
        <v/>
      </c>
      <c r="H29" s="15" t="inlineStr">
        <is>
          <t>飼育</t>
        </is>
      </c>
      <c r="I29" s="24">
        <f>IF(N29="","",IF(H29&lt;&gt;"",H29,IF(OR(G29="",G29="要調整"),"",G29)))</f>
        <v/>
      </c>
      <c r="J29" s="23">
        <f>IF(N29="","",IF(I29&lt;&gt;"","決定",IF(O29="","未提出","要調整")))</f>
        <v/>
      </c>
      <c r="K29" s="23">
        <f>IF(OR(J29&lt;&gt;"要調整",E29=""),"",IFERROR(INDEX(設定!$H$8:$I$27,MATCH(E29,設定!$G$8:$G$27,0),IF($M29=設定!$H$6&amp;"",1,2))-COUNTIFS($M$3:$M$302,M29,$I$3:$I$302,E29),""))</f>
        <v/>
      </c>
      <c r="L29" s="23">
        <f>IF(OR(J29&lt;&gt;"要調整",F29=""),"",IFERROR(INDEX(設定!$H$8:$I$27,MATCH(F29,設定!$G$8:$G$27,0),IF($M29=設定!$H$6&amp;"",1,2))-COUNTIFS($M$3:$M$302,M29,$I$3:$I$302,F29),""))</f>
        <v/>
      </c>
      <c r="M29" s="8">
        <f>IF(N29="","",INDEX(児童名簿!$A$2:$A$301,N29)&amp;"")</f>
        <v/>
      </c>
      <c r="N29" s="8">
        <f>IFERROR(MATCH(SMALL(児童名簿!$G$2:$G$301,27),児童名簿!$G$2:$G$301,0),"")</f>
        <v/>
      </c>
      <c r="O29" s="8">
        <f>IF(P29="","",IFERROR(MATCH(P29,希望入力!$K$2:$K$401,0),""))</f>
        <v/>
      </c>
      <c r="P29" s="8">
        <f>IF(N29="","",INDEX(児童名簿!$F$2:$F$301,N29))</f>
        <v/>
      </c>
      <c r="Q29" s="8">
        <f>IF(I29="","",IFERROR(MATCH(I29,設定!$G$8:$G$27,0),""))</f>
        <v/>
      </c>
      <c r="R29" s="8">
        <f>IF(Q29="","",COUNTIF($Q$3:Q29,Q29))</f>
        <v/>
      </c>
      <c r="S29" s="8">
        <f>IF(Q29="","",Q29*1000+R29)</f>
        <v/>
      </c>
    </row>
    <row r="30">
      <c r="A30" s="23">
        <f>IF(N30="","",IFERROR(INDEX(設定!$C$8:$C$23,INT(INDEX(児童名簿!$G$2:$G$301,N30)/1000)),M30&amp;INDEX(児童名簿!$B$2:$B$301,N30)))</f>
        <v/>
      </c>
      <c r="B30" s="23">
        <f>IF(N30="","",INDEX(児童名簿!$C$2:$C$301,N30))</f>
        <v/>
      </c>
      <c r="C30" s="3">
        <f>IF(N30="","",INDEX(児童名簿!$D$2:$D$301,N30))</f>
        <v/>
      </c>
      <c r="D30" s="23">
        <f>IF(O30="","",INDEX(希望入力!$D$2:$D$401,O30)&amp;"")</f>
        <v/>
      </c>
      <c r="E30" s="23">
        <f>IF(O30="","",INDEX(希望入力!$E$2:$E$401,O30)&amp;"")</f>
        <v/>
      </c>
      <c r="F30" s="23">
        <f>IF(O30="","",INDEX(希望入力!$F$2:$F$401,O30)&amp;"")</f>
        <v/>
      </c>
      <c r="G30" s="23">
        <f>IF(O30="","",IF(D30="","要調整",IFERROR(IF(COUNTIFS($M$3:$M$302,M30,$D$3:$D$302,D30)&lt;=INDEX(設定!$H$8:$I$27,MATCH(D30,設定!$G$8:$G$27,0),IF($M30=設定!$H$6&amp;"",1,2)),D30,"要調整"),"要調整")))</f>
        <v/>
      </c>
      <c r="H30" s="15" t="n"/>
      <c r="I30" s="24">
        <f>IF(N30="","",IF(H30&lt;&gt;"",H30,IF(OR(G30="",G30="要調整"),"",G30)))</f>
        <v/>
      </c>
      <c r="J30" s="23">
        <f>IF(N30="","",IF(I30&lt;&gt;"","決定",IF(O30="","未提出","要調整")))</f>
        <v/>
      </c>
      <c r="K30" s="23">
        <f>IF(OR(J30&lt;&gt;"要調整",E30=""),"",IFERROR(INDEX(設定!$H$8:$I$27,MATCH(E30,設定!$G$8:$G$27,0),IF($M30=設定!$H$6&amp;"",1,2))-COUNTIFS($M$3:$M$302,M30,$I$3:$I$302,E30),""))</f>
        <v/>
      </c>
      <c r="L30" s="23">
        <f>IF(OR(J30&lt;&gt;"要調整",F30=""),"",IFERROR(INDEX(設定!$H$8:$I$27,MATCH(F30,設定!$G$8:$G$27,0),IF($M30=設定!$H$6&amp;"",1,2))-COUNTIFS($M$3:$M$302,M30,$I$3:$I$302,F30),""))</f>
        <v/>
      </c>
      <c r="M30" s="8">
        <f>IF(N30="","",INDEX(児童名簿!$A$2:$A$301,N30)&amp;"")</f>
        <v/>
      </c>
      <c r="N30" s="8">
        <f>IFERROR(MATCH(SMALL(児童名簿!$G$2:$G$301,28),児童名簿!$G$2:$G$301,0),"")</f>
        <v/>
      </c>
      <c r="O30" s="8">
        <f>IF(P30="","",IFERROR(MATCH(P30,希望入力!$K$2:$K$401,0),""))</f>
        <v/>
      </c>
      <c r="P30" s="8">
        <f>IF(N30="","",INDEX(児童名簿!$F$2:$F$301,N30))</f>
        <v/>
      </c>
      <c r="Q30" s="8">
        <f>IF(I30="","",IFERROR(MATCH(I30,設定!$G$8:$G$27,0),""))</f>
        <v/>
      </c>
      <c r="R30" s="8">
        <f>IF(Q30="","",COUNTIF($Q$3:Q30,Q30))</f>
        <v/>
      </c>
      <c r="S30" s="8">
        <f>IF(Q30="","",Q30*1000+R30)</f>
        <v/>
      </c>
    </row>
    <row r="31">
      <c r="A31" s="23">
        <f>IF(N31="","",IFERROR(INDEX(設定!$C$8:$C$23,INT(INDEX(児童名簿!$G$2:$G$301,N31)/1000)),M31&amp;INDEX(児童名簿!$B$2:$B$301,N31)))</f>
        <v/>
      </c>
      <c r="B31" s="23">
        <f>IF(N31="","",INDEX(児童名簿!$C$2:$C$301,N31))</f>
        <v/>
      </c>
      <c r="C31" s="3">
        <f>IF(N31="","",INDEX(児童名簿!$D$2:$D$301,N31))</f>
        <v/>
      </c>
      <c r="D31" s="23">
        <f>IF(O31="","",INDEX(希望入力!$D$2:$D$401,O31)&amp;"")</f>
        <v/>
      </c>
      <c r="E31" s="23">
        <f>IF(O31="","",INDEX(希望入力!$E$2:$E$401,O31)&amp;"")</f>
        <v/>
      </c>
      <c r="F31" s="23">
        <f>IF(O31="","",INDEX(希望入力!$F$2:$F$401,O31)&amp;"")</f>
        <v/>
      </c>
      <c r="G31" s="23">
        <f>IF(O31="","",IF(D31="","要調整",IFERROR(IF(COUNTIFS($M$3:$M$302,M31,$D$3:$D$302,D31)&lt;=INDEX(設定!$H$8:$I$27,MATCH(D31,設定!$G$8:$G$27,0),IF($M31=設定!$H$6&amp;"",1,2)),D31,"要調整"),"要調整")))</f>
        <v/>
      </c>
      <c r="H31" s="15" t="n"/>
      <c r="I31" s="24">
        <f>IF(N31="","",IF(H31&lt;&gt;"",H31,IF(OR(G31="",G31="要調整"),"",G31)))</f>
        <v/>
      </c>
      <c r="J31" s="23">
        <f>IF(N31="","",IF(I31&lt;&gt;"","決定",IF(O31="","未提出","要調整")))</f>
        <v/>
      </c>
      <c r="K31" s="23">
        <f>IF(OR(J31&lt;&gt;"要調整",E31=""),"",IFERROR(INDEX(設定!$H$8:$I$27,MATCH(E31,設定!$G$8:$G$27,0),IF($M31=設定!$H$6&amp;"",1,2))-COUNTIFS($M$3:$M$302,M31,$I$3:$I$302,E31),""))</f>
        <v/>
      </c>
      <c r="L31" s="23">
        <f>IF(OR(J31&lt;&gt;"要調整",F31=""),"",IFERROR(INDEX(設定!$H$8:$I$27,MATCH(F31,設定!$G$8:$G$27,0),IF($M31=設定!$H$6&amp;"",1,2))-COUNTIFS($M$3:$M$302,M31,$I$3:$I$302,F31),""))</f>
        <v/>
      </c>
      <c r="M31" s="8">
        <f>IF(N31="","",INDEX(児童名簿!$A$2:$A$301,N31)&amp;"")</f>
        <v/>
      </c>
      <c r="N31" s="8">
        <f>IFERROR(MATCH(SMALL(児童名簿!$G$2:$G$301,29),児童名簿!$G$2:$G$301,0),"")</f>
        <v/>
      </c>
      <c r="O31" s="8">
        <f>IF(P31="","",IFERROR(MATCH(P31,希望入力!$K$2:$K$401,0),""))</f>
        <v/>
      </c>
      <c r="P31" s="8">
        <f>IF(N31="","",INDEX(児童名簿!$F$2:$F$301,N31))</f>
        <v/>
      </c>
      <c r="Q31" s="8">
        <f>IF(I31="","",IFERROR(MATCH(I31,設定!$G$8:$G$27,0),""))</f>
        <v/>
      </c>
      <c r="R31" s="8">
        <f>IF(Q31="","",COUNTIF($Q$3:Q31,Q31))</f>
        <v/>
      </c>
      <c r="S31" s="8">
        <f>IF(Q31="","",Q31*1000+R31)</f>
        <v/>
      </c>
    </row>
    <row r="32">
      <c r="A32" s="23">
        <f>IF(N32="","",IFERROR(INDEX(設定!$C$8:$C$23,INT(INDEX(児童名簿!$G$2:$G$301,N32)/1000)),M32&amp;INDEX(児童名簿!$B$2:$B$301,N32)))</f>
        <v/>
      </c>
      <c r="B32" s="23">
        <f>IF(N32="","",INDEX(児童名簿!$C$2:$C$301,N32))</f>
        <v/>
      </c>
      <c r="C32" s="3">
        <f>IF(N32="","",INDEX(児童名簿!$D$2:$D$301,N32))</f>
        <v/>
      </c>
      <c r="D32" s="23">
        <f>IF(O32="","",INDEX(希望入力!$D$2:$D$401,O32)&amp;"")</f>
        <v/>
      </c>
      <c r="E32" s="23">
        <f>IF(O32="","",INDEX(希望入力!$E$2:$E$401,O32)&amp;"")</f>
        <v/>
      </c>
      <c r="F32" s="23">
        <f>IF(O32="","",INDEX(希望入力!$F$2:$F$401,O32)&amp;"")</f>
        <v/>
      </c>
      <c r="G32" s="23">
        <f>IF(O32="","",IF(D32="","要調整",IFERROR(IF(COUNTIFS($M$3:$M$302,M32,$D$3:$D$302,D32)&lt;=INDEX(設定!$H$8:$I$27,MATCH(D32,設定!$G$8:$G$27,0),IF($M32=設定!$H$6&amp;"",1,2)),D32,"要調整"),"要調整")))</f>
        <v/>
      </c>
      <c r="H32" s="15" t="n"/>
      <c r="I32" s="24">
        <f>IF(N32="","",IF(H32&lt;&gt;"",H32,IF(OR(G32="",G32="要調整"),"",G32)))</f>
        <v/>
      </c>
      <c r="J32" s="23">
        <f>IF(N32="","",IF(I32&lt;&gt;"","決定",IF(O32="","未提出","要調整")))</f>
        <v/>
      </c>
      <c r="K32" s="23">
        <f>IF(OR(J32&lt;&gt;"要調整",E32=""),"",IFERROR(INDEX(設定!$H$8:$I$27,MATCH(E32,設定!$G$8:$G$27,0),IF($M32=設定!$H$6&amp;"",1,2))-COUNTIFS($M$3:$M$302,M32,$I$3:$I$302,E32),""))</f>
        <v/>
      </c>
      <c r="L32" s="23">
        <f>IF(OR(J32&lt;&gt;"要調整",F32=""),"",IFERROR(INDEX(設定!$H$8:$I$27,MATCH(F32,設定!$G$8:$G$27,0),IF($M32=設定!$H$6&amp;"",1,2))-COUNTIFS($M$3:$M$302,M32,$I$3:$I$302,F32),""))</f>
        <v/>
      </c>
      <c r="M32" s="8">
        <f>IF(N32="","",INDEX(児童名簿!$A$2:$A$301,N32)&amp;"")</f>
        <v/>
      </c>
      <c r="N32" s="8">
        <f>IFERROR(MATCH(SMALL(児童名簿!$G$2:$G$301,30),児童名簿!$G$2:$G$301,0),"")</f>
        <v/>
      </c>
      <c r="O32" s="8">
        <f>IF(P32="","",IFERROR(MATCH(P32,希望入力!$K$2:$K$401,0),""))</f>
        <v/>
      </c>
      <c r="P32" s="8">
        <f>IF(N32="","",INDEX(児童名簿!$F$2:$F$301,N32))</f>
        <v/>
      </c>
      <c r="Q32" s="8">
        <f>IF(I32="","",IFERROR(MATCH(I32,設定!$G$8:$G$27,0),""))</f>
        <v/>
      </c>
      <c r="R32" s="8">
        <f>IF(Q32="","",COUNTIF($Q$3:Q32,Q32))</f>
        <v/>
      </c>
      <c r="S32" s="8">
        <f>IF(Q32="","",Q32*1000+R32)</f>
        <v/>
      </c>
    </row>
    <row r="33">
      <c r="A33" s="23">
        <f>IF(N33="","",IFERROR(INDEX(設定!$C$8:$C$23,INT(INDEX(児童名簿!$G$2:$G$301,N33)/1000)),M33&amp;INDEX(児童名簿!$B$2:$B$301,N33)))</f>
        <v/>
      </c>
      <c r="B33" s="23">
        <f>IF(N33="","",INDEX(児童名簿!$C$2:$C$301,N33))</f>
        <v/>
      </c>
      <c r="C33" s="3">
        <f>IF(N33="","",INDEX(児童名簿!$D$2:$D$301,N33))</f>
        <v/>
      </c>
      <c r="D33" s="23">
        <f>IF(O33="","",INDEX(希望入力!$D$2:$D$401,O33)&amp;"")</f>
        <v/>
      </c>
      <c r="E33" s="23">
        <f>IF(O33="","",INDEX(希望入力!$E$2:$E$401,O33)&amp;"")</f>
        <v/>
      </c>
      <c r="F33" s="23">
        <f>IF(O33="","",INDEX(希望入力!$F$2:$F$401,O33)&amp;"")</f>
        <v/>
      </c>
      <c r="G33" s="23">
        <f>IF(O33="","",IF(D33="","要調整",IFERROR(IF(COUNTIFS($M$3:$M$302,M33,$D$3:$D$302,D33)&lt;=INDEX(設定!$H$8:$I$27,MATCH(D33,設定!$G$8:$G$27,0),IF($M33=設定!$H$6&amp;"",1,2)),D33,"要調整"),"要調整")))</f>
        <v/>
      </c>
      <c r="H33" s="15" t="n"/>
      <c r="I33" s="24">
        <f>IF(N33="","",IF(H33&lt;&gt;"",H33,IF(OR(G33="",G33="要調整"),"",G33)))</f>
        <v/>
      </c>
      <c r="J33" s="23">
        <f>IF(N33="","",IF(I33&lt;&gt;"","決定",IF(O33="","未提出","要調整")))</f>
        <v/>
      </c>
      <c r="K33" s="23">
        <f>IF(OR(J33&lt;&gt;"要調整",E33=""),"",IFERROR(INDEX(設定!$H$8:$I$27,MATCH(E33,設定!$G$8:$G$27,0),IF($M33=設定!$H$6&amp;"",1,2))-COUNTIFS($M$3:$M$302,M33,$I$3:$I$302,E33),""))</f>
        <v/>
      </c>
      <c r="L33" s="23">
        <f>IF(OR(J33&lt;&gt;"要調整",F33=""),"",IFERROR(INDEX(設定!$H$8:$I$27,MATCH(F33,設定!$G$8:$G$27,0),IF($M33=設定!$H$6&amp;"",1,2))-COUNTIFS($M$3:$M$302,M33,$I$3:$I$302,F33),""))</f>
        <v/>
      </c>
      <c r="M33" s="8">
        <f>IF(N33="","",INDEX(児童名簿!$A$2:$A$301,N33)&amp;"")</f>
        <v/>
      </c>
      <c r="N33" s="8">
        <f>IFERROR(MATCH(SMALL(児童名簿!$G$2:$G$301,31),児童名簿!$G$2:$G$301,0),"")</f>
        <v/>
      </c>
      <c r="O33" s="8">
        <f>IF(P33="","",IFERROR(MATCH(P33,希望入力!$K$2:$K$401,0),""))</f>
        <v/>
      </c>
      <c r="P33" s="8">
        <f>IF(N33="","",INDEX(児童名簿!$F$2:$F$301,N33))</f>
        <v/>
      </c>
      <c r="Q33" s="8">
        <f>IF(I33="","",IFERROR(MATCH(I33,設定!$G$8:$G$27,0),""))</f>
        <v/>
      </c>
      <c r="R33" s="8">
        <f>IF(Q33="","",COUNTIF($Q$3:Q33,Q33))</f>
        <v/>
      </c>
      <c r="S33" s="8">
        <f>IF(Q33="","",Q33*1000+R33)</f>
        <v/>
      </c>
    </row>
    <row r="34">
      <c r="A34" s="23">
        <f>IF(N34="","",IFERROR(INDEX(設定!$C$8:$C$23,INT(INDEX(児童名簿!$G$2:$G$301,N34)/1000)),M34&amp;INDEX(児童名簿!$B$2:$B$301,N34)))</f>
        <v/>
      </c>
      <c r="B34" s="23">
        <f>IF(N34="","",INDEX(児童名簿!$C$2:$C$301,N34))</f>
        <v/>
      </c>
      <c r="C34" s="3">
        <f>IF(N34="","",INDEX(児童名簿!$D$2:$D$301,N34))</f>
        <v/>
      </c>
      <c r="D34" s="23">
        <f>IF(O34="","",INDEX(希望入力!$D$2:$D$401,O34)&amp;"")</f>
        <v/>
      </c>
      <c r="E34" s="23">
        <f>IF(O34="","",INDEX(希望入力!$E$2:$E$401,O34)&amp;"")</f>
        <v/>
      </c>
      <c r="F34" s="23">
        <f>IF(O34="","",INDEX(希望入力!$F$2:$F$401,O34)&amp;"")</f>
        <v/>
      </c>
      <c r="G34" s="23">
        <f>IF(O34="","",IF(D34="","要調整",IFERROR(IF(COUNTIFS($M$3:$M$302,M34,$D$3:$D$302,D34)&lt;=INDEX(設定!$H$8:$I$27,MATCH(D34,設定!$G$8:$G$27,0),IF($M34=設定!$H$6&amp;"",1,2)),D34,"要調整"),"要調整")))</f>
        <v/>
      </c>
      <c r="H34" s="15" t="n"/>
      <c r="I34" s="24">
        <f>IF(N34="","",IF(H34&lt;&gt;"",H34,IF(OR(G34="",G34="要調整"),"",G34)))</f>
        <v/>
      </c>
      <c r="J34" s="23">
        <f>IF(N34="","",IF(I34&lt;&gt;"","決定",IF(O34="","未提出","要調整")))</f>
        <v/>
      </c>
      <c r="K34" s="23">
        <f>IF(OR(J34&lt;&gt;"要調整",E34=""),"",IFERROR(INDEX(設定!$H$8:$I$27,MATCH(E34,設定!$G$8:$G$27,0),IF($M34=設定!$H$6&amp;"",1,2))-COUNTIFS($M$3:$M$302,M34,$I$3:$I$302,E34),""))</f>
        <v/>
      </c>
      <c r="L34" s="23">
        <f>IF(OR(J34&lt;&gt;"要調整",F34=""),"",IFERROR(INDEX(設定!$H$8:$I$27,MATCH(F34,設定!$G$8:$G$27,0),IF($M34=設定!$H$6&amp;"",1,2))-COUNTIFS($M$3:$M$302,M34,$I$3:$I$302,F34),""))</f>
        <v/>
      </c>
      <c r="M34" s="8">
        <f>IF(N34="","",INDEX(児童名簿!$A$2:$A$301,N34)&amp;"")</f>
        <v/>
      </c>
      <c r="N34" s="8">
        <f>IFERROR(MATCH(SMALL(児童名簿!$G$2:$G$301,32),児童名簿!$G$2:$G$301,0),"")</f>
        <v/>
      </c>
      <c r="O34" s="8">
        <f>IF(P34="","",IFERROR(MATCH(P34,希望入力!$K$2:$K$401,0),""))</f>
        <v/>
      </c>
      <c r="P34" s="8">
        <f>IF(N34="","",INDEX(児童名簿!$F$2:$F$301,N34))</f>
        <v/>
      </c>
      <c r="Q34" s="8">
        <f>IF(I34="","",IFERROR(MATCH(I34,設定!$G$8:$G$27,0),""))</f>
        <v/>
      </c>
      <c r="R34" s="8">
        <f>IF(Q34="","",COUNTIF($Q$3:Q34,Q34))</f>
        <v/>
      </c>
      <c r="S34" s="8">
        <f>IF(Q34="","",Q34*1000+R34)</f>
        <v/>
      </c>
    </row>
    <row r="35">
      <c r="A35" s="23">
        <f>IF(N35="","",IFERROR(INDEX(設定!$C$8:$C$23,INT(INDEX(児童名簿!$G$2:$G$301,N35)/1000)),M35&amp;INDEX(児童名簿!$B$2:$B$301,N35)))</f>
        <v/>
      </c>
      <c r="B35" s="23">
        <f>IF(N35="","",INDEX(児童名簿!$C$2:$C$301,N35))</f>
        <v/>
      </c>
      <c r="C35" s="3">
        <f>IF(N35="","",INDEX(児童名簿!$D$2:$D$301,N35))</f>
        <v/>
      </c>
      <c r="D35" s="23">
        <f>IF(O35="","",INDEX(希望入力!$D$2:$D$401,O35)&amp;"")</f>
        <v/>
      </c>
      <c r="E35" s="23">
        <f>IF(O35="","",INDEX(希望入力!$E$2:$E$401,O35)&amp;"")</f>
        <v/>
      </c>
      <c r="F35" s="23">
        <f>IF(O35="","",INDEX(希望入力!$F$2:$F$401,O35)&amp;"")</f>
        <v/>
      </c>
      <c r="G35" s="23">
        <f>IF(O35="","",IF(D35="","要調整",IFERROR(IF(COUNTIFS($M$3:$M$302,M35,$D$3:$D$302,D35)&lt;=INDEX(設定!$H$8:$I$27,MATCH(D35,設定!$G$8:$G$27,0),IF($M35=設定!$H$6&amp;"",1,2)),D35,"要調整"),"要調整")))</f>
        <v/>
      </c>
      <c r="H35" s="15" t="n"/>
      <c r="I35" s="24">
        <f>IF(N35="","",IF(H35&lt;&gt;"",H35,IF(OR(G35="",G35="要調整"),"",G35)))</f>
        <v/>
      </c>
      <c r="J35" s="23">
        <f>IF(N35="","",IF(I35&lt;&gt;"","決定",IF(O35="","未提出","要調整")))</f>
        <v/>
      </c>
      <c r="K35" s="23">
        <f>IF(OR(J35&lt;&gt;"要調整",E35=""),"",IFERROR(INDEX(設定!$H$8:$I$27,MATCH(E35,設定!$G$8:$G$27,0),IF($M35=設定!$H$6&amp;"",1,2))-COUNTIFS($M$3:$M$302,M35,$I$3:$I$302,E35),""))</f>
        <v/>
      </c>
      <c r="L35" s="23">
        <f>IF(OR(J35&lt;&gt;"要調整",F35=""),"",IFERROR(INDEX(設定!$H$8:$I$27,MATCH(F35,設定!$G$8:$G$27,0),IF($M35=設定!$H$6&amp;"",1,2))-COUNTIFS($M$3:$M$302,M35,$I$3:$I$302,F35),""))</f>
        <v/>
      </c>
      <c r="M35" s="8">
        <f>IF(N35="","",INDEX(児童名簿!$A$2:$A$301,N35)&amp;"")</f>
        <v/>
      </c>
      <c r="N35" s="8">
        <f>IFERROR(MATCH(SMALL(児童名簿!$G$2:$G$301,33),児童名簿!$G$2:$G$301,0),"")</f>
        <v/>
      </c>
      <c r="O35" s="8">
        <f>IF(P35="","",IFERROR(MATCH(P35,希望入力!$K$2:$K$401,0),""))</f>
        <v/>
      </c>
      <c r="P35" s="8">
        <f>IF(N35="","",INDEX(児童名簿!$F$2:$F$301,N35))</f>
        <v/>
      </c>
      <c r="Q35" s="8">
        <f>IF(I35="","",IFERROR(MATCH(I35,設定!$G$8:$G$27,0),""))</f>
        <v/>
      </c>
      <c r="R35" s="8">
        <f>IF(Q35="","",COUNTIF($Q$3:Q35,Q35))</f>
        <v/>
      </c>
      <c r="S35" s="8">
        <f>IF(Q35="","",Q35*1000+R35)</f>
        <v/>
      </c>
    </row>
    <row r="36">
      <c r="A36" s="23">
        <f>IF(N36="","",IFERROR(INDEX(設定!$C$8:$C$23,INT(INDEX(児童名簿!$G$2:$G$301,N36)/1000)),M36&amp;INDEX(児童名簿!$B$2:$B$301,N36)))</f>
        <v/>
      </c>
      <c r="B36" s="23">
        <f>IF(N36="","",INDEX(児童名簿!$C$2:$C$301,N36))</f>
        <v/>
      </c>
      <c r="C36" s="3">
        <f>IF(N36="","",INDEX(児童名簿!$D$2:$D$301,N36))</f>
        <v/>
      </c>
      <c r="D36" s="23">
        <f>IF(O36="","",INDEX(希望入力!$D$2:$D$401,O36)&amp;"")</f>
        <v/>
      </c>
      <c r="E36" s="23">
        <f>IF(O36="","",INDEX(希望入力!$E$2:$E$401,O36)&amp;"")</f>
        <v/>
      </c>
      <c r="F36" s="23">
        <f>IF(O36="","",INDEX(希望入力!$F$2:$F$401,O36)&amp;"")</f>
        <v/>
      </c>
      <c r="G36" s="23">
        <f>IF(O36="","",IF(D36="","要調整",IFERROR(IF(COUNTIFS($M$3:$M$302,M36,$D$3:$D$302,D36)&lt;=INDEX(設定!$H$8:$I$27,MATCH(D36,設定!$G$8:$G$27,0),IF($M36=設定!$H$6&amp;"",1,2)),D36,"要調整"),"要調整")))</f>
        <v/>
      </c>
      <c r="H36" s="15" t="inlineStr">
        <is>
          <t>飼育</t>
        </is>
      </c>
      <c r="I36" s="24">
        <f>IF(N36="","",IF(H36&lt;&gt;"",H36,IF(OR(G36="",G36="要調整"),"",G36)))</f>
        <v/>
      </c>
      <c r="J36" s="23">
        <f>IF(N36="","",IF(I36&lt;&gt;"","決定",IF(O36="","未提出","要調整")))</f>
        <v/>
      </c>
      <c r="K36" s="23">
        <f>IF(OR(J36&lt;&gt;"要調整",E36=""),"",IFERROR(INDEX(設定!$H$8:$I$27,MATCH(E36,設定!$G$8:$G$27,0),IF($M36=設定!$H$6&amp;"",1,2))-COUNTIFS($M$3:$M$302,M36,$I$3:$I$302,E36),""))</f>
        <v/>
      </c>
      <c r="L36" s="23">
        <f>IF(OR(J36&lt;&gt;"要調整",F36=""),"",IFERROR(INDEX(設定!$H$8:$I$27,MATCH(F36,設定!$G$8:$G$27,0),IF($M36=設定!$H$6&amp;"",1,2))-COUNTIFS($M$3:$M$302,M36,$I$3:$I$302,F36),""))</f>
        <v/>
      </c>
      <c r="M36" s="8">
        <f>IF(N36="","",INDEX(児童名簿!$A$2:$A$301,N36)&amp;"")</f>
        <v/>
      </c>
      <c r="N36" s="8">
        <f>IFERROR(MATCH(SMALL(児童名簿!$G$2:$G$301,34),児童名簿!$G$2:$G$301,0),"")</f>
        <v/>
      </c>
      <c r="O36" s="8">
        <f>IF(P36="","",IFERROR(MATCH(P36,希望入力!$K$2:$K$401,0),""))</f>
        <v/>
      </c>
      <c r="P36" s="8">
        <f>IF(N36="","",INDEX(児童名簿!$F$2:$F$301,N36))</f>
        <v/>
      </c>
      <c r="Q36" s="8">
        <f>IF(I36="","",IFERROR(MATCH(I36,設定!$G$8:$G$27,0),""))</f>
        <v/>
      </c>
      <c r="R36" s="8">
        <f>IF(Q36="","",COUNTIF($Q$3:Q36,Q36))</f>
        <v/>
      </c>
      <c r="S36" s="8">
        <f>IF(Q36="","",Q36*1000+R36)</f>
        <v/>
      </c>
    </row>
    <row r="37">
      <c r="A37" s="23">
        <f>IF(N37="","",IFERROR(INDEX(設定!$C$8:$C$23,INT(INDEX(児童名簿!$G$2:$G$301,N37)/1000)),M37&amp;INDEX(児童名簿!$B$2:$B$301,N37)))</f>
        <v/>
      </c>
      <c r="B37" s="23">
        <f>IF(N37="","",INDEX(児童名簿!$C$2:$C$301,N37))</f>
        <v/>
      </c>
      <c r="C37" s="3">
        <f>IF(N37="","",INDEX(児童名簿!$D$2:$D$301,N37))</f>
        <v/>
      </c>
      <c r="D37" s="23">
        <f>IF(O37="","",INDEX(希望入力!$D$2:$D$401,O37)&amp;"")</f>
        <v/>
      </c>
      <c r="E37" s="23">
        <f>IF(O37="","",INDEX(希望入力!$E$2:$E$401,O37)&amp;"")</f>
        <v/>
      </c>
      <c r="F37" s="23">
        <f>IF(O37="","",INDEX(希望入力!$F$2:$F$401,O37)&amp;"")</f>
        <v/>
      </c>
      <c r="G37" s="23">
        <f>IF(O37="","",IF(D37="","要調整",IFERROR(IF(COUNTIFS($M$3:$M$302,M37,$D$3:$D$302,D37)&lt;=INDEX(設定!$H$8:$I$27,MATCH(D37,設定!$G$8:$G$27,0),IF($M37=設定!$H$6&amp;"",1,2)),D37,"要調整"),"要調整")))</f>
        <v/>
      </c>
      <c r="H37" s="15" t="n"/>
      <c r="I37" s="24">
        <f>IF(N37="","",IF(H37&lt;&gt;"",H37,IF(OR(G37="",G37="要調整"),"",G37)))</f>
        <v/>
      </c>
      <c r="J37" s="23">
        <f>IF(N37="","",IF(I37&lt;&gt;"","決定",IF(O37="","未提出","要調整")))</f>
        <v/>
      </c>
      <c r="K37" s="23">
        <f>IF(OR(J37&lt;&gt;"要調整",E37=""),"",IFERROR(INDEX(設定!$H$8:$I$27,MATCH(E37,設定!$G$8:$G$27,0),IF($M37=設定!$H$6&amp;"",1,2))-COUNTIFS($M$3:$M$302,M37,$I$3:$I$302,E37),""))</f>
        <v/>
      </c>
      <c r="L37" s="23">
        <f>IF(OR(J37&lt;&gt;"要調整",F37=""),"",IFERROR(INDEX(設定!$H$8:$I$27,MATCH(F37,設定!$G$8:$G$27,0),IF($M37=設定!$H$6&amp;"",1,2))-COUNTIFS($M$3:$M$302,M37,$I$3:$I$302,F37),""))</f>
        <v/>
      </c>
      <c r="M37" s="8">
        <f>IF(N37="","",INDEX(児童名簿!$A$2:$A$301,N37)&amp;"")</f>
        <v/>
      </c>
      <c r="N37" s="8">
        <f>IFERROR(MATCH(SMALL(児童名簿!$G$2:$G$301,35),児童名簿!$G$2:$G$301,0),"")</f>
        <v/>
      </c>
      <c r="O37" s="8">
        <f>IF(P37="","",IFERROR(MATCH(P37,希望入力!$K$2:$K$401,0),""))</f>
        <v/>
      </c>
      <c r="P37" s="8">
        <f>IF(N37="","",INDEX(児童名簿!$F$2:$F$301,N37))</f>
        <v/>
      </c>
      <c r="Q37" s="8">
        <f>IF(I37="","",IFERROR(MATCH(I37,設定!$G$8:$G$27,0),""))</f>
        <v/>
      </c>
      <c r="R37" s="8">
        <f>IF(Q37="","",COUNTIF($Q$3:Q37,Q37))</f>
        <v/>
      </c>
      <c r="S37" s="8">
        <f>IF(Q37="","",Q37*1000+R37)</f>
        <v/>
      </c>
    </row>
    <row r="38">
      <c r="A38" s="23">
        <f>IF(N38="","",IFERROR(INDEX(設定!$C$8:$C$23,INT(INDEX(児童名簿!$G$2:$G$301,N38)/1000)),M38&amp;INDEX(児童名簿!$B$2:$B$301,N38)))</f>
        <v/>
      </c>
      <c r="B38" s="23">
        <f>IF(N38="","",INDEX(児童名簿!$C$2:$C$301,N38))</f>
        <v/>
      </c>
      <c r="C38" s="3">
        <f>IF(N38="","",INDEX(児童名簿!$D$2:$D$301,N38))</f>
        <v/>
      </c>
      <c r="D38" s="23">
        <f>IF(O38="","",INDEX(希望入力!$D$2:$D$401,O38)&amp;"")</f>
        <v/>
      </c>
      <c r="E38" s="23">
        <f>IF(O38="","",INDEX(希望入力!$E$2:$E$401,O38)&amp;"")</f>
        <v/>
      </c>
      <c r="F38" s="23">
        <f>IF(O38="","",INDEX(希望入力!$F$2:$F$401,O38)&amp;"")</f>
        <v/>
      </c>
      <c r="G38" s="23">
        <f>IF(O38="","",IF(D38="","要調整",IFERROR(IF(COUNTIFS($M$3:$M$302,M38,$D$3:$D$302,D38)&lt;=INDEX(設定!$H$8:$I$27,MATCH(D38,設定!$G$8:$G$27,0),IF($M38=設定!$H$6&amp;"",1,2)),D38,"要調整"),"要調整")))</f>
        <v/>
      </c>
      <c r="H38" s="15" t="n"/>
      <c r="I38" s="24">
        <f>IF(N38="","",IF(H38&lt;&gt;"",H38,IF(OR(G38="",G38="要調整"),"",G38)))</f>
        <v/>
      </c>
      <c r="J38" s="23">
        <f>IF(N38="","",IF(I38&lt;&gt;"","決定",IF(O38="","未提出","要調整")))</f>
        <v/>
      </c>
      <c r="K38" s="23">
        <f>IF(OR(J38&lt;&gt;"要調整",E38=""),"",IFERROR(INDEX(設定!$H$8:$I$27,MATCH(E38,設定!$G$8:$G$27,0),IF($M38=設定!$H$6&amp;"",1,2))-COUNTIFS($M$3:$M$302,M38,$I$3:$I$302,E38),""))</f>
        <v/>
      </c>
      <c r="L38" s="23">
        <f>IF(OR(J38&lt;&gt;"要調整",F38=""),"",IFERROR(INDEX(設定!$H$8:$I$27,MATCH(F38,設定!$G$8:$G$27,0),IF($M38=設定!$H$6&amp;"",1,2))-COUNTIFS($M$3:$M$302,M38,$I$3:$I$302,F38),""))</f>
        <v/>
      </c>
      <c r="M38" s="8">
        <f>IF(N38="","",INDEX(児童名簿!$A$2:$A$301,N38)&amp;"")</f>
        <v/>
      </c>
      <c r="N38" s="8">
        <f>IFERROR(MATCH(SMALL(児童名簿!$G$2:$G$301,36),児童名簿!$G$2:$G$301,0),"")</f>
        <v/>
      </c>
      <c r="O38" s="8">
        <f>IF(P38="","",IFERROR(MATCH(P38,希望入力!$K$2:$K$401,0),""))</f>
        <v/>
      </c>
      <c r="P38" s="8">
        <f>IF(N38="","",INDEX(児童名簿!$F$2:$F$301,N38))</f>
        <v/>
      </c>
      <c r="Q38" s="8">
        <f>IF(I38="","",IFERROR(MATCH(I38,設定!$G$8:$G$27,0),""))</f>
        <v/>
      </c>
      <c r="R38" s="8">
        <f>IF(Q38="","",COUNTIF($Q$3:Q38,Q38))</f>
        <v/>
      </c>
      <c r="S38" s="8">
        <f>IF(Q38="","",Q38*1000+R38)</f>
        <v/>
      </c>
    </row>
    <row r="39">
      <c r="A39" s="23">
        <f>IF(N39="","",IFERROR(INDEX(設定!$C$8:$C$23,INT(INDEX(児童名簿!$G$2:$G$301,N39)/1000)),M39&amp;INDEX(児童名簿!$B$2:$B$301,N39)))</f>
        <v/>
      </c>
      <c r="B39" s="23">
        <f>IF(N39="","",INDEX(児童名簿!$C$2:$C$301,N39))</f>
        <v/>
      </c>
      <c r="C39" s="3">
        <f>IF(N39="","",INDEX(児童名簿!$D$2:$D$301,N39))</f>
        <v/>
      </c>
      <c r="D39" s="23">
        <f>IF(O39="","",INDEX(希望入力!$D$2:$D$401,O39)&amp;"")</f>
        <v/>
      </c>
      <c r="E39" s="23">
        <f>IF(O39="","",INDEX(希望入力!$E$2:$E$401,O39)&amp;"")</f>
        <v/>
      </c>
      <c r="F39" s="23">
        <f>IF(O39="","",INDEX(希望入力!$F$2:$F$401,O39)&amp;"")</f>
        <v/>
      </c>
      <c r="G39" s="23">
        <f>IF(O39="","",IF(D39="","要調整",IFERROR(IF(COUNTIFS($M$3:$M$302,M39,$D$3:$D$302,D39)&lt;=INDEX(設定!$H$8:$I$27,MATCH(D39,設定!$G$8:$G$27,0),IF($M39=設定!$H$6&amp;"",1,2)),D39,"要調整"),"要調整")))</f>
        <v/>
      </c>
      <c r="H39" s="15" t="n"/>
      <c r="I39" s="24">
        <f>IF(N39="","",IF(H39&lt;&gt;"",H39,IF(OR(G39="",G39="要調整"),"",G39)))</f>
        <v/>
      </c>
      <c r="J39" s="23">
        <f>IF(N39="","",IF(I39&lt;&gt;"","決定",IF(O39="","未提出","要調整")))</f>
        <v/>
      </c>
      <c r="K39" s="23">
        <f>IF(OR(J39&lt;&gt;"要調整",E39=""),"",IFERROR(INDEX(設定!$H$8:$I$27,MATCH(E39,設定!$G$8:$G$27,0),IF($M39=設定!$H$6&amp;"",1,2))-COUNTIFS($M$3:$M$302,M39,$I$3:$I$302,E39),""))</f>
        <v/>
      </c>
      <c r="L39" s="23">
        <f>IF(OR(J39&lt;&gt;"要調整",F39=""),"",IFERROR(INDEX(設定!$H$8:$I$27,MATCH(F39,設定!$G$8:$G$27,0),IF($M39=設定!$H$6&amp;"",1,2))-COUNTIFS($M$3:$M$302,M39,$I$3:$I$302,F39),""))</f>
        <v/>
      </c>
      <c r="M39" s="8">
        <f>IF(N39="","",INDEX(児童名簿!$A$2:$A$301,N39)&amp;"")</f>
        <v/>
      </c>
      <c r="N39" s="8">
        <f>IFERROR(MATCH(SMALL(児童名簿!$G$2:$G$301,37),児童名簿!$G$2:$G$301,0),"")</f>
        <v/>
      </c>
      <c r="O39" s="8">
        <f>IF(P39="","",IFERROR(MATCH(P39,希望入力!$K$2:$K$401,0),""))</f>
        <v/>
      </c>
      <c r="P39" s="8">
        <f>IF(N39="","",INDEX(児童名簿!$F$2:$F$301,N39))</f>
        <v/>
      </c>
      <c r="Q39" s="8">
        <f>IF(I39="","",IFERROR(MATCH(I39,設定!$G$8:$G$27,0),""))</f>
        <v/>
      </c>
      <c r="R39" s="8">
        <f>IF(Q39="","",COUNTIF($Q$3:Q39,Q39))</f>
        <v/>
      </c>
      <c r="S39" s="8">
        <f>IF(Q39="","",Q39*1000+R39)</f>
        <v/>
      </c>
    </row>
    <row r="40">
      <c r="A40" s="23">
        <f>IF(N40="","",IFERROR(INDEX(設定!$C$8:$C$23,INT(INDEX(児童名簿!$G$2:$G$301,N40)/1000)),M40&amp;INDEX(児童名簿!$B$2:$B$301,N40)))</f>
        <v/>
      </c>
      <c r="B40" s="23">
        <f>IF(N40="","",INDEX(児童名簿!$C$2:$C$301,N40))</f>
        <v/>
      </c>
      <c r="C40" s="3">
        <f>IF(N40="","",INDEX(児童名簿!$D$2:$D$301,N40))</f>
        <v/>
      </c>
      <c r="D40" s="23">
        <f>IF(O40="","",INDEX(希望入力!$D$2:$D$401,O40)&amp;"")</f>
        <v/>
      </c>
      <c r="E40" s="23">
        <f>IF(O40="","",INDEX(希望入力!$E$2:$E$401,O40)&amp;"")</f>
        <v/>
      </c>
      <c r="F40" s="23">
        <f>IF(O40="","",INDEX(希望入力!$F$2:$F$401,O40)&amp;"")</f>
        <v/>
      </c>
      <c r="G40" s="23">
        <f>IF(O40="","",IF(D40="","要調整",IFERROR(IF(COUNTIFS($M$3:$M$302,M40,$D$3:$D$302,D40)&lt;=INDEX(設定!$H$8:$I$27,MATCH(D40,設定!$G$8:$G$27,0),IF($M40=設定!$H$6&amp;"",1,2)),D40,"要調整"),"要調整")))</f>
        <v/>
      </c>
      <c r="H40" s="15" t="n"/>
      <c r="I40" s="24">
        <f>IF(N40="","",IF(H40&lt;&gt;"",H40,IF(OR(G40="",G40="要調整"),"",G40)))</f>
        <v/>
      </c>
      <c r="J40" s="23">
        <f>IF(N40="","",IF(I40&lt;&gt;"","決定",IF(O40="","未提出","要調整")))</f>
        <v/>
      </c>
      <c r="K40" s="23">
        <f>IF(OR(J40&lt;&gt;"要調整",E40=""),"",IFERROR(INDEX(設定!$H$8:$I$27,MATCH(E40,設定!$G$8:$G$27,0),IF($M40=設定!$H$6&amp;"",1,2))-COUNTIFS($M$3:$M$302,M40,$I$3:$I$302,E40),""))</f>
        <v/>
      </c>
      <c r="L40" s="23">
        <f>IF(OR(J40&lt;&gt;"要調整",F40=""),"",IFERROR(INDEX(設定!$H$8:$I$27,MATCH(F40,設定!$G$8:$G$27,0),IF($M40=設定!$H$6&amp;"",1,2))-COUNTIFS($M$3:$M$302,M40,$I$3:$I$302,F40),""))</f>
        <v/>
      </c>
      <c r="M40" s="8">
        <f>IF(N40="","",INDEX(児童名簿!$A$2:$A$301,N40)&amp;"")</f>
        <v/>
      </c>
      <c r="N40" s="8">
        <f>IFERROR(MATCH(SMALL(児童名簿!$G$2:$G$301,38),児童名簿!$G$2:$G$301,0),"")</f>
        <v/>
      </c>
      <c r="O40" s="8">
        <f>IF(P40="","",IFERROR(MATCH(P40,希望入力!$K$2:$K$401,0),""))</f>
        <v/>
      </c>
      <c r="P40" s="8">
        <f>IF(N40="","",INDEX(児童名簿!$F$2:$F$301,N40))</f>
        <v/>
      </c>
      <c r="Q40" s="8">
        <f>IF(I40="","",IFERROR(MATCH(I40,設定!$G$8:$G$27,0),""))</f>
        <v/>
      </c>
      <c r="R40" s="8">
        <f>IF(Q40="","",COUNTIF($Q$3:Q40,Q40))</f>
        <v/>
      </c>
      <c r="S40" s="8">
        <f>IF(Q40="","",Q40*1000+R40)</f>
        <v/>
      </c>
    </row>
    <row r="41">
      <c r="A41" s="23">
        <f>IF(N41="","",IFERROR(INDEX(設定!$C$8:$C$23,INT(INDEX(児童名簿!$G$2:$G$301,N41)/1000)),M41&amp;INDEX(児童名簿!$B$2:$B$301,N41)))</f>
        <v/>
      </c>
      <c r="B41" s="23">
        <f>IF(N41="","",INDEX(児童名簿!$C$2:$C$301,N41))</f>
        <v/>
      </c>
      <c r="C41" s="3">
        <f>IF(N41="","",INDEX(児童名簿!$D$2:$D$301,N41))</f>
        <v/>
      </c>
      <c r="D41" s="23">
        <f>IF(O41="","",INDEX(希望入力!$D$2:$D$401,O41)&amp;"")</f>
        <v/>
      </c>
      <c r="E41" s="23">
        <f>IF(O41="","",INDEX(希望入力!$E$2:$E$401,O41)&amp;"")</f>
        <v/>
      </c>
      <c r="F41" s="23">
        <f>IF(O41="","",INDEX(希望入力!$F$2:$F$401,O41)&amp;"")</f>
        <v/>
      </c>
      <c r="G41" s="23">
        <f>IF(O41="","",IF(D41="","要調整",IFERROR(IF(COUNTIFS($M$3:$M$302,M41,$D$3:$D$302,D41)&lt;=INDEX(設定!$H$8:$I$27,MATCH(D41,設定!$G$8:$G$27,0),IF($M41=設定!$H$6&amp;"",1,2)),D41,"要調整"),"要調整")))</f>
        <v/>
      </c>
      <c r="H41" s="15" t="n"/>
      <c r="I41" s="24">
        <f>IF(N41="","",IF(H41&lt;&gt;"",H41,IF(OR(G41="",G41="要調整"),"",G41)))</f>
        <v/>
      </c>
      <c r="J41" s="23">
        <f>IF(N41="","",IF(I41&lt;&gt;"","決定",IF(O41="","未提出","要調整")))</f>
        <v/>
      </c>
      <c r="K41" s="23">
        <f>IF(OR(J41&lt;&gt;"要調整",E41=""),"",IFERROR(INDEX(設定!$H$8:$I$27,MATCH(E41,設定!$G$8:$G$27,0),IF($M41=設定!$H$6&amp;"",1,2))-COUNTIFS($M$3:$M$302,M41,$I$3:$I$302,E41),""))</f>
        <v/>
      </c>
      <c r="L41" s="23">
        <f>IF(OR(J41&lt;&gt;"要調整",F41=""),"",IFERROR(INDEX(設定!$H$8:$I$27,MATCH(F41,設定!$G$8:$G$27,0),IF($M41=設定!$H$6&amp;"",1,2))-COUNTIFS($M$3:$M$302,M41,$I$3:$I$302,F41),""))</f>
        <v/>
      </c>
      <c r="M41" s="8">
        <f>IF(N41="","",INDEX(児童名簿!$A$2:$A$301,N41)&amp;"")</f>
        <v/>
      </c>
      <c r="N41" s="8">
        <f>IFERROR(MATCH(SMALL(児童名簿!$G$2:$G$301,39),児童名簿!$G$2:$G$301,0),"")</f>
        <v/>
      </c>
      <c r="O41" s="8">
        <f>IF(P41="","",IFERROR(MATCH(P41,希望入力!$K$2:$K$401,0),""))</f>
        <v/>
      </c>
      <c r="P41" s="8">
        <f>IF(N41="","",INDEX(児童名簿!$F$2:$F$301,N41))</f>
        <v/>
      </c>
      <c r="Q41" s="8">
        <f>IF(I41="","",IFERROR(MATCH(I41,設定!$G$8:$G$27,0),""))</f>
        <v/>
      </c>
      <c r="R41" s="8">
        <f>IF(Q41="","",COUNTIF($Q$3:Q41,Q41))</f>
        <v/>
      </c>
      <c r="S41" s="8">
        <f>IF(Q41="","",Q41*1000+R41)</f>
        <v/>
      </c>
    </row>
    <row r="42">
      <c r="A42" s="23">
        <f>IF(N42="","",IFERROR(INDEX(設定!$C$8:$C$23,INT(INDEX(児童名簿!$G$2:$G$301,N42)/1000)),M42&amp;INDEX(児童名簿!$B$2:$B$301,N42)))</f>
        <v/>
      </c>
      <c r="B42" s="23">
        <f>IF(N42="","",INDEX(児童名簿!$C$2:$C$301,N42))</f>
        <v/>
      </c>
      <c r="C42" s="3">
        <f>IF(N42="","",INDEX(児童名簿!$D$2:$D$301,N42))</f>
        <v/>
      </c>
      <c r="D42" s="23">
        <f>IF(O42="","",INDEX(希望入力!$D$2:$D$401,O42)&amp;"")</f>
        <v/>
      </c>
      <c r="E42" s="23">
        <f>IF(O42="","",INDEX(希望入力!$E$2:$E$401,O42)&amp;"")</f>
        <v/>
      </c>
      <c r="F42" s="23">
        <f>IF(O42="","",INDEX(希望入力!$F$2:$F$401,O42)&amp;"")</f>
        <v/>
      </c>
      <c r="G42" s="23">
        <f>IF(O42="","",IF(D42="","要調整",IFERROR(IF(COUNTIFS($M$3:$M$302,M42,$D$3:$D$302,D42)&lt;=INDEX(設定!$H$8:$I$27,MATCH(D42,設定!$G$8:$G$27,0),IF($M42=設定!$H$6&amp;"",1,2)),D42,"要調整"),"要調整")))</f>
        <v/>
      </c>
      <c r="H42" s="15" t="n"/>
      <c r="I42" s="24">
        <f>IF(N42="","",IF(H42&lt;&gt;"",H42,IF(OR(G42="",G42="要調整"),"",G42)))</f>
        <v/>
      </c>
      <c r="J42" s="23">
        <f>IF(N42="","",IF(I42&lt;&gt;"","決定",IF(O42="","未提出","要調整")))</f>
        <v/>
      </c>
      <c r="K42" s="23">
        <f>IF(OR(J42&lt;&gt;"要調整",E42=""),"",IFERROR(INDEX(設定!$H$8:$I$27,MATCH(E42,設定!$G$8:$G$27,0),IF($M42=設定!$H$6&amp;"",1,2))-COUNTIFS($M$3:$M$302,M42,$I$3:$I$302,E42),""))</f>
        <v/>
      </c>
      <c r="L42" s="23">
        <f>IF(OR(J42&lt;&gt;"要調整",F42=""),"",IFERROR(INDEX(設定!$H$8:$I$27,MATCH(F42,設定!$G$8:$G$27,0),IF($M42=設定!$H$6&amp;"",1,2))-COUNTIFS($M$3:$M$302,M42,$I$3:$I$302,F42),""))</f>
        <v/>
      </c>
      <c r="M42" s="8">
        <f>IF(N42="","",INDEX(児童名簿!$A$2:$A$301,N42)&amp;"")</f>
        <v/>
      </c>
      <c r="N42" s="8">
        <f>IFERROR(MATCH(SMALL(児童名簿!$G$2:$G$301,40),児童名簿!$G$2:$G$301,0),"")</f>
        <v/>
      </c>
      <c r="O42" s="8">
        <f>IF(P42="","",IFERROR(MATCH(P42,希望入力!$K$2:$K$401,0),""))</f>
        <v/>
      </c>
      <c r="P42" s="8">
        <f>IF(N42="","",INDEX(児童名簿!$F$2:$F$301,N42))</f>
        <v/>
      </c>
      <c r="Q42" s="8">
        <f>IF(I42="","",IFERROR(MATCH(I42,設定!$G$8:$G$27,0),""))</f>
        <v/>
      </c>
      <c r="R42" s="8">
        <f>IF(Q42="","",COUNTIF($Q$3:Q42,Q42))</f>
        <v/>
      </c>
      <c r="S42" s="8">
        <f>IF(Q42="","",Q42*1000+R42)</f>
        <v/>
      </c>
    </row>
    <row r="43">
      <c r="A43" s="23">
        <f>IF(N43="","",IFERROR(INDEX(設定!$C$8:$C$23,INT(INDEX(児童名簿!$G$2:$G$301,N43)/1000)),M43&amp;INDEX(児童名簿!$B$2:$B$301,N43)))</f>
        <v/>
      </c>
      <c r="B43" s="23">
        <f>IF(N43="","",INDEX(児童名簿!$C$2:$C$301,N43))</f>
        <v/>
      </c>
      <c r="C43" s="3">
        <f>IF(N43="","",INDEX(児童名簿!$D$2:$D$301,N43))</f>
        <v/>
      </c>
      <c r="D43" s="23">
        <f>IF(O43="","",INDEX(希望入力!$D$2:$D$401,O43)&amp;"")</f>
        <v/>
      </c>
      <c r="E43" s="23">
        <f>IF(O43="","",INDEX(希望入力!$E$2:$E$401,O43)&amp;"")</f>
        <v/>
      </c>
      <c r="F43" s="23">
        <f>IF(O43="","",INDEX(希望入力!$F$2:$F$401,O43)&amp;"")</f>
        <v/>
      </c>
      <c r="G43" s="23">
        <f>IF(O43="","",IF(D43="","要調整",IFERROR(IF(COUNTIFS($M$3:$M$302,M43,$D$3:$D$302,D43)&lt;=INDEX(設定!$H$8:$I$27,MATCH(D43,設定!$G$8:$G$27,0),IF($M43=設定!$H$6&amp;"",1,2)),D43,"要調整"),"要調整")))</f>
        <v/>
      </c>
      <c r="H43" s="15" t="n"/>
      <c r="I43" s="24">
        <f>IF(N43="","",IF(H43&lt;&gt;"",H43,IF(OR(G43="",G43="要調整"),"",G43)))</f>
        <v/>
      </c>
      <c r="J43" s="23">
        <f>IF(N43="","",IF(I43&lt;&gt;"","決定",IF(O43="","未提出","要調整")))</f>
        <v/>
      </c>
      <c r="K43" s="23">
        <f>IF(OR(J43&lt;&gt;"要調整",E43=""),"",IFERROR(INDEX(設定!$H$8:$I$27,MATCH(E43,設定!$G$8:$G$27,0),IF($M43=設定!$H$6&amp;"",1,2))-COUNTIFS($M$3:$M$302,M43,$I$3:$I$302,E43),""))</f>
        <v/>
      </c>
      <c r="L43" s="23">
        <f>IF(OR(J43&lt;&gt;"要調整",F43=""),"",IFERROR(INDEX(設定!$H$8:$I$27,MATCH(F43,設定!$G$8:$G$27,0),IF($M43=設定!$H$6&amp;"",1,2))-COUNTIFS($M$3:$M$302,M43,$I$3:$I$302,F43),""))</f>
        <v/>
      </c>
      <c r="M43" s="8">
        <f>IF(N43="","",INDEX(児童名簿!$A$2:$A$301,N43)&amp;"")</f>
        <v/>
      </c>
      <c r="N43" s="8">
        <f>IFERROR(MATCH(SMALL(児童名簿!$G$2:$G$301,41),児童名簿!$G$2:$G$301,0),"")</f>
        <v/>
      </c>
      <c r="O43" s="8">
        <f>IF(P43="","",IFERROR(MATCH(P43,希望入力!$K$2:$K$401,0),""))</f>
        <v/>
      </c>
      <c r="P43" s="8">
        <f>IF(N43="","",INDEX(児童名簿!$F$2:$F$301,N43))</f>
        <v/>
      </c>
      <c r="Q43" s="8">
        <f>IF(I43="","",IFERROR(MATCH(I43,設定!$G$8:$G$27,0),""))</f>
        <v/>
      </c>
      <c r="R43" s="8">
        <f>IF(Q43="","",COUNTIF($Q$3:Q43,Q43))</f>
        <v/>
      </c>
      <c r="S43" s="8">
        <f>IF(Q43="","",Q43*1000+R43)</f>
        <v/>
      </c>
    </row>
    <row r="44">
      <c r="A44" s="23">
        <f>IF(N44="","",IFERROR(INDEX(設定!$C$8:$C$23,INT(INDEX(児童名簿!$G$2:$G$301,N44)/1000)),M44&amp;INDEX(児童名簿!$B$2:$B$301,N44)))</f>
        <v/>
      </c>
      <c r="B44" s="23">
        <f>IF(N44="","",INDEX(児童名簿!$C$2:$C$301,N44))</f>
        <v/>
      </c>
      <c r="C44" s="3">
        <f>IF(N44="","",INDEX(児童名簿!$D$2:$D$301,N44))</f>
        <v/>
      </c>
      <c r="D44" s="23">
        <f>IF(O44="","",INDEX(希望入力!$D$2:$D$401,O44)&amp;"")</f>
        <v/>
      </c>
      <c r="E44" s="23">
        <f>IF(O44="","",INDEX(希望入力!$E$2:$E$401,O44)&amp;"")</f>
        <v/>
      </c>
      <c r="F44" s="23">
        <f>IF(O44="","",INDEX(希望入力!$F$2:$F$401,O44)&amp;"")</f>
        <v/>
      </c>
      <c r="G44" s="23">
        <f>IF(O44="","",IF(D44="","要調整",IFERROR(IF(COUNTIFS($M$3:$M$302,M44,$D$3:$D$302,D44)&lt;=INDEX(設定!$H$8:$I$27,MATCH(D44,設定!$G$8:$G$27,0),IF($M44=設定!$H$6&amp;"",1,2)),D44,"要調整"),"要調整")))</f>
        <v/>
      </c>
      <c r="H44" s="15" t="n"/>
      <c r="I44" s="24">
        <f>IF(N44="","",IF(H44&lt;&gt;"",H44,IF(OR(G44="",G44="要調整"),"",G44)))</f>
        <v/>
      </c>
      <c r="J44" s="23">
        <f>IF(N44="","",IF(I44&lt;&gt;"","決定",IF(O44="","未提出","要調整")))</f>
        <v/>
      </c>
      <c r="K44" s="23">
        <f>IF(OR(J44&lt;&gt;"要調整",E44=""),"",IFERROR(INDEX(設定!$H$8:$I$27,MATCH(E44,設定!$G$8:$G$27,0),IF($M44=設定!$H$6&amp;"",1,2))-COUNTIFS($M$3:$M$302,M44,$I$3:$I$302,E44),""))</f>
        <v/>
      </c>
      <c r="L44" s="23">
        <f>IF(OR(J44&lt;&gt;"要調整",F44=""),"",IFERROR(INDEX(設定!$H$8:$I$27,MATCH(F44,設定!$G$8:$G$27,0),IF($M44=設定!$H$6&amp;"",1,2))-COUNTIFS($M$3:$M$302,M44,$I$3:$I$302,F44),""))</f>
        <v/>
      </c>
      <c r="M44" s="8">
        <f>IF(N44="","",INDEX(児童名簿!$A$2:$A$301,N44)&amp;"")</f>
        <v/>
      </c>
      <c r="N44" s="8">
        <f>IFERROR(MATCH(SMALL(児童名簿!$G$2:$G$301,42),児童名簿!$G$2:$G$301,0),"")</f>
        <v/>
      </c>
      <c r="O44" s="8">
        <f>IF(P44="","",IFERROR(MATCH(P44,希望入力!$K$2:$K$401,0),""))</f>
        <v/>
      </c>
      <c r="P44" s="8">
        <f>IF(N44="","",INDEX(児童名簿!$F$2:$F$301,N44))</f>
        <v/>
      </c>
      <c r="Q44" s="8">
        <f>IF(I44="","",IFERROR(MATCH(I44,設定!$G$8:$G$27,0),""))</f>
        <v/>
      </c>
      <c r="R44" s="8">
        <f>IF(Q44="","",COUNTIF($Q$3:Q44,Q44))</f>
        <v/>
      </c>
      <c r="S44" s="8">
        <f>IF(Q44="","",Q44*1000+R44)</f>
        <v/>
      </c>
    </row>
    <row r="45">
      <c r="A45" s="23">
        <f>IF(N45="","",IFERROR(INDEX(設定!$C$8:$C$23,INT(INDEX(児童名簿!$G$2:$G$301,N45)/1000)),M45&amp;INDEX(児童名簿!$B$2:$B$301,N45)))</f>
        <v/>
      </c>
      <c r="B45" s="23">
        <f>IF(N45="","",INDEX(児童名簿!$C$2:$C$301,N45))</f>
        <v/>
      </c>
      <c r="C45" s="3">
        <f>IF(N45="","",INDEX(児童名簿!$D$2:$D$301,N45))</f>
        <v/>
      </c>
      <c r="D45" s="23">
        <f>IF(O45="","",INDEX(希望入力!$D$2:$D$401,O45)&amp;"")</f>
        <v/>
      </c>
      <c r="E45" s="23">
        <f>IF(O45="","",INDEX(希望入力!$E$2:$E$401,O45)&amp;"")</f>
        <v/>
      </c>
      <c r="F45" s="23">
        <f>IF(O45="","",INDEX(希望入力!$F$2:$F$401,O45)&amp;"")</f>
        <v/>
      </c>
      <c r="G45" s="23">
        <f>IF(O45="","",IF(D45="","要調整",IFERROR(IF(COUNTIFS($M$3:$M$302,M45,$D$3:$D$302,D45)&lt;=INDEX(設定!$H$8:$I$27,MATCH(D45,設定!$G$8:$G$27,0),IF($M45=設定!$H$6&amp;"",1,2)),D45,"要調整"),"要調整")))</f>
        <v/>
      </c>
      <c r="H45" s="15" t="n"/>
      <c r="I45" s="24">
        <f>IF(N45="","",IF(H45&lt;&gt;"",H45,IF(OR(G45="",G45="要調整"),"",G45)))</f>
        <v/>
      </c>
      <c r="J45" s="23">
        <f>IF(N45="","",IF(I45&lt;&gt;"","決定",IF(O45="","未提出","要調整")))</f>
        <v/>
      </c>
      <c r="K45" s="23">
        <f>IF(OR(J45&lt;&gt;"要調整",E45=""),"",IFERROR(INDEX(設定!$H$8:$I$27,MATCH(E45,設定!$G$8:$G$27,0),IF($M45=設定!$H$6&amp;"",1,2))-COUNTIFS($M$3:$M$302,M45,$I$3:$I$302,E45),""))</f>
        <v/>
      </c>
      <c r="L45" s="23">
        <f>IF(OR(J45&lt;&gt;"要調整",F45=""),"",IFERROR(INDEX(設定!$H$8:$I$27,MATCH(F45,設定!$G$8:$G$27,0),IF($M45=設定!$H$6&amp;"",1,2))-COUNTIFS($M$3:$M$302,M45,$I$3:$I$302,F45),""))</f>
        <v/>
      </c>
      <c r="M45" s="8">
        <f>IF(N45="","",INDEX(児童名簿!$A$2:$A$301,N45)&amp;"")</f>
        <v/>
      </c>
      <c r="N45" s="8">
        <f>IFERROR(MATCH(SMALL(児童名簿!$G$2:$G$301,43),児童名簿!$G$2:$G$301,0),"")</f>
        <v/>
      </c>
      <c r="O45" s="8">
        <f>IF(P45="","",IFERROR(MATCH(P45,希望入力!$K$2:$K$401,0),""))</f>
        <v/>
      </c>
      <c r="P45" s="8">
        <f>IF(N45="","",INDEX(児童名簿!$F$2:$F$301,N45))</f>
        <v/>
      </c>
      <c r="Q45" s="8">
        <f>IF(I45="","",IFERROR(MATCH(I45,設定!$G$8:$G$27,0),""))</f>
        <v/>
      </c>
      <c r="R45" s="8">
        <f>IF(Q45="","",COUNTIF($Q$3:Q45,Q45))</f>
        <v/>
      </c>
      <c r="S45" s="8">
        <f>IF(Q45="","",Q45*1000+R45)</f>
        <v/>
      </c>
    </row>
    <row r="46">
      <c r="A46" s="23">
        <f>IF(N46="","",IFERROR(INDEX(設定!$C$8:$C$23,INT(INDEX(児童名簿!$G$2:$G$301,N46)/1000)),M46&amp;INDEX(児童名簿!$B$2:$B$301,N46)))</f>
        <v/>
      </c>
      <c r="B46" s="23">
        <f>IF(N46="","",INDEX(児童名簿!$C$2:$C$301,N46))</f>
        <v/>
      </c>
      <c r="C46" s="3">
        <f>IF(N46="","",INDEX(児童名簿!$D$2:$D$301,N46))</f>
        <v/>
      </c>
      <c r="D46" s="23">
        <f>IF(O46="","",INDEX(希望入力!$D$2:$D$401,O46)&amp;"")</f>
        <v/>
      </c>
      <c r="E46" s="23">
        <f>IF(O46="","",INDEX(希望入力!$E$2:$E$401,O46)&amp;"")</f>
        <v/>
      </c>
      <c r="F46" s="23">
        <f>IF(O46="","",INDEX(希望入力!$F$2:$F$401,O46)&amp;"")</f>
        <v/>
      </c>
      <c r="G46" s="23">
        <f>IF(O46="","",IF(D46="","要調整",IFERROR(IF(COUNTIFS($M$3:$M$302,M46,$D$3:$D$302,D46)&lt;=INDEX(設定!$H$8:$I$27,MATCH(D46,設定!$G$8:$G$27,0),IF($M46=設定!$H$6&amp;"",1,2)),D46,"要調整"),"要調整")))</f>
        <v/>
      </c>
      <c r="H46" s="15" t="n"/>
      <c r="I46" s="24">
        <f>IF(N46="","",IF(H46&lt;&gt;"",H46,IF(OR(G46="",G46="要調整"),"",G46)))</f>
        <v/>
      </c>
      <c r="J46" s="23">
        <f>IF(N46="","",IF(I46&lt;&gt;"","決定",IF(O46="","未提出","要調整")))</f>
        <v/>
      </c>
      <c r="K46" s="23">
        <f>IF(OR(J46&lt;&gt;"要調整",E46=""),"",IFERROR(INDEX(設定!$H$8:$I$27,MATCH(E46,設定!$G$8:$G$27,0),IF($M46=設定!$H$6&amp;"",1,2))-COUNTIFS($M$3:$M$302,M46,$I$3:$I$302,E46),""))</f>
        <v/>
      </c>
      <c r="L46" s="23">
        <f>IF(OR(J46&lt;&gt;"要調整",F46=""),"",IFERROR(INDEX(設定!$H$8:$I$27,MATCH(F46,設定!$G$8:$G$27,0),IF($M46=設定!$H$6&amp;"",1,2))-COUNTIFS($M$3:$M$302,M46,$I$3:$I$302,F46),""))</f>
        <v/>
      </c>
      <c r="M46" s="8">
        <f>IF(N46="","",INDEX(児童名簿!$A$2:$A$301,N46)&amp;"")</f>
        <v/>
      </c>
      <c r="N46" s="8">
        <f>IFERROR(MATCH(SMALL(児童名簿!$G$2:$G$301,44),児童名簿!$G$2:$G$301,0),"")</f>
        <v/>
      </c>
      <c r="O46" s="8">
        <f>IF(P46="","",IFERROR(MATCH(P46,希望入力!$K$2:$K$401,0),""))</f>
        <v/>
      </c>
      <c r="P46" s="8">
        <f>IF(N46="","",INDEX(児童名簿!$F$2:$F$301,N46))</f>
        <v/>
      </c>
      <c r="Q46" s="8">
        <f>IF(I46="","",IFERROR(MATCH(I46,設定!$G$8:$G$27,0),""))</f>
        <v/>
      </c>
      <c r="R46" s="8">
        <f>IF(Q46="","",COUNTIF($Q$3:Q46,Q46))</f>
        <v/>
      </c>
      <c r="S46" s="8">
        <f>IF(Q46="","",Q46*1000+R46)</f>
        <v/>
      </c>
    </row>
    <row r="47">
      <c r="A47" s="23">
        <f>IF(N47="","",IFERROR(INDEX(設定!$C$8:$C$23,INT(INDEX(児童名簿!$G$2:$G$301,N47)/1000)),M47&amp;INDEX(児童名簿!$B$2:$B$301,N47)))</f>
        <v/>
      </c>
      <c r="B47" s="23">
        <f>IF(N47="","",INDEX(児童名簿!$C$2:$C$301,N47))</f>
        <v/>
      </c>
      <c r="C47" s="3">
        <f>IF(N47="","",INDEX(児童名簿!$D$2:$D$301,N47))</f>
        <v/>
      </c>
      <c r="D47" s="23">
        <f>IF(O47="","",INDEX(希望入力!$D$2:$D$401,O47)&amp;"")</f>
        <v/>
      </c>
      <c r="E47" s="23">
        <f>IF(O47="","",INDEX(希望入力!$E$2:$E$401,O47)&amp;"")</f>
        <v/>
      </c>
      <c r="F47" s="23">
        <f>IF(O47="","",INDEX(希望入力!$F$2:$F$401,O47)&amp;"")</f>
        <v/>
      </c>
      <c r="G47" s="23">
        <f>IF(O47="","",IF(D47="","要調整",IFERROR(IF(COUNTIFS($M$3:$M$302,M47,$D$3:$D$302,D47)&lt;=INDEX(設定!$H$8:$I$27,MATCH(D47,設定!$G$8:$G$27,0),IF($M47=設定!$H$6&amp;"",1,2)),D47,"要調整"),"要調整")))</f>
        <v/>
      </c>
      <c r="H47" s="15" t="n"/>
      <c r="I47" s="24">
        <f>IF(N47="","",IF(H47&lt;&gt;"",H47,IF(OR(G47="",G47="要調整"),"",G47)))</f>
        <v/>
      </c>
      <c r="J47" s="23">
        <f>IF(N47="","",IF(I47&lt;&gt;"","決定",IF(O47="","未提出","要調整")))</f>
        <v/>
      </c>
      <c r="K47" s="23">
        <f>IF(OR(J47&lt;&gt;"要調整",E47=""),"",IFERROR(INDEX(設定!$H$8:$I$27,MATCH(E47,設定!$G$8:$G$27,0),IF($M47=設定!$H$6&amp;"",1,2))-COUNTIFS($M$3:$M$302,M47,$I$3:$I$302,E47),""))</f>
        <v/>
      </c>
      <c r="L47" s="23">
        <f>IF(OR(J47&lt;&gt;"要調整",F47=""),"",IFERROR(INDEX(設定!$H$8:$I$27,MATCH(F47,設定!$G$8:$G$27,0),IF($M47=設定!$H$6&amp;"",1,2))-COUNTIFS($M$3:$M$302,M47,$I$3:$I$302,F47),""))</f>
        <v/>
      </c>
      <c r="M47" s="8">
        <f>IF(N47="","",INDEX(児童名簿!$A$2:$A$301,N47)&amp;"")</f>
        <v/>
      </c>
      <c r="N47" s="8">
        <f>IFERROR(MATCH(SMALL(児童名簿!$G$2:$G$301,45),児童名簿!$G$2:$G$301,0),"")</f>
        <v/>
      </c>
      <c r="O47" s="8">
        <f>IF(P47="","",IFERROR(MATCH(P47,希望入力!$K$2:$K$401,0),""))</f>
        <v/>
      </c>
      <c r="P47" s="8">
        <f>IF(N47="","",INDEX(児童名簿!$F$2:$F$301,N47))</f>
        <v/>
      </c>
      <c r="Q47" s="8">
        <f>IF(I47="","",IFERROR(MATCH(I47,設定!$G$8:$G$27,0),""))</f>
        <v/>
      </c>
      <c r="R47" s="8">
        <f>IF(Q47="","",COUNTIF($Q$3:Q47,Q47))</f>
        <v/>
      </c>
      <c r="S47" s="8">
        <f>IF(Q47="","",Q47*1000+R47)</f>
        <v/>
      </c>
    </row>
    <row r="48">
      <c r="A48" s="23">
        <f>IF(N48="","",IFERROR(INDEX(設定!$C$8:$C$23,INT(INDEX(児童名簿!$G$2:$G$301,N48)/1000)),M48&amp;INDEX(児童名簿!$B$2:$B$301,N48)))</f>
        <v/>
      </c>
      <c r="B48" s="23">
        <f>IF(N48="","",INDEX(児童名簿!$C$2:$C$301,N48))</f>
        <v/>
      </c>
      <c r="C48" s="3">
        <f>IF(N48="","",INDEX(児童名簿!$D$2:$D$301,N48))</f>
        <v/>
      </c>
      <c r="D48" s="23">
        <f>IF(O48="","",INDEX(希望入力!$D$2:$D$401,O48)&amp;"")</f>
        <v/>
      </c>
      <c r="E48" s="23">
        <f>IF(O48="","",INDEX(希望入力!$E$2:$E$401,O48)&amp;"")</f>
        <v/>
      </c>
      <c r="F48" s="23">
        <f>IF(O48="","",INDEX(希望入力!$F$2:$F$401,O48)&amp;"")</f>
        <v/>
      </c>
      <c r="G48" s="23">
        <f>IF(O48="","",IF(D48="","要調整",IFERROR(IF(COUNTIFS($M$3:$M$302,M48,$D$3:$D$302,D48)&lt;=INDEX(設定!$H$8:$I$27,MATCH(D48,設定!$G$8:$G$27,0),IF($M48=設定!$H$6&amp;"",1,2)),D48,"要調整"),"要調整")))</f>
        <v/>
      </c>
      <c r="H48" s="15" t="n"/>
      <c r="I48" s="24">
        <f>IF(N48="","",IF(H48&lt;&gt;"",H48,IF(OR(G48="",G48="要調整"),"",G48)))</f>
        <v/>
      </c>
      <c r="J48" s="23">
        <f>IF(N48="","",IF(I48&lt;&gt;"","決定",IF(O48="","未提出","要調整")))</f>
        <v/>
      </c>
      <c r="K48" s="23">
        <f>IF(OR(J48&lt;&gt;"要調整",E48=""),"",IFERROR(INDEX(設定!$H$8:$I$27,MATCH(E48,設定!$G$8:$G$27,0),IF($M48=設定!$H$6&amp;"",1,2))-COUNTIFS($M$3:$M$302,M48,$I$3:$I$302,E48),""))</f>
        <v/>
      </c>
      <c r="L48" s="23">
        <f>IF(OR(J48&lt;&gt;"要調整",F48=""),"",IFERROR(INDEX(設定!$H$8:$I$27,MATCH(F48,設定!$G$8:$G$27,0),IF($M48=設定!$H$6&amp;"",1,2))-COUNTIFS($M$3:$M$302,M48,$I$3:$I$302,F48),""))</f>
        <v/>
      </c>
      <c r="M48" s="8">
        <f>IF(N48="","",INDEX(児童名簿!$A$2:$A$301,N48)&amp;"")</f>
        <v/>
      </c>
      <c r="N48" s="8">
        <f>IFERROR(MATCH(SMALL(児童名簿!$G$2:$G$301,46),児童名簿!$G$2:$G$301,0),"")</f>
        <v/>
      </c>
      <c r="O48" s="8">
        <f>IF(P48="","",IFERROR(MATCH(P48,希望入力!$K$2:$K$401,0),""))</f>
        <v/>
      </c>
      <c r="P48" s="8">
        <f>IF(N48="","",INDEX(児童名簿!$F$2:$F$301,N48))</f>
        <v/>
      </c>
      <c r="Q48" s="8">
        <f>IF(I48="","",IFERROR(MATCH(I48,設定!$G$8:$G$27,0),""))</f>
        <v/>
      </c>
      <c r="R48" s="8">
        <f>IF(Q48="","",COUNTIF($Q$3:Q48,Q48))</f>
        <v/>
      </c>
      <c r="S48" s="8">
        <f>IF(Q48="","",Q48*1000+R48)</f>
        <v/>
      </c>
    </row>
    <row r="49">
      <c r="A49" s="23">
        <f>IF(N49="","",IFERROR(INDEX(設定!$C$8:$C$23,INT(INDEX(児童名簿!$G$2:$G$301,N49)/1000)),M49&amp;INDEX(児童名簿!$B$2:$B$301,N49)))</f>
        <v/>
      </c>
      <c r="B49" s="23">
        <f>IF(N49="","",INDEX(児童名簿!$C$2:$C$301,N49))</f>
        <v/>
      </c>
      <c r="C49" s="3">
        <f>IF(N49="","",INDEX(児童名簿!$D$2:$D$301,N49))</f>
        <v/>
      </c>
      <c r="D49" s="23">
        <f>IF(O49="","",INDEX(希望入力!$D$2:$D$401,O49)&amp;"")</f>
        <v/>
      </c>
      <c r="E49" s="23">
        <f>IF(O49="","",INDEX(希望入力!$E$2:$E$401,O49)&amp;"")</f>
        <v/>
      </c>
      <c r="F49" s="23">
        <f>IF(O49="","",INDEX(希望入力!$F$2:$F$401,O49)&amp;"")</f>
        <v/>
      </c>
      <c r="G49" s="23">
        <f>IF(O49="","",IF(D49="","要調整",IFERROR(IF(COUNTIFS($M$3:$M$302,M49,$D$3:$D$302,D49)&lt;=INDEX(設定!$H$8:$I$27,MATCH(D49,設定!$G$8:$G$27,0),IF($M49=設定!$H$6&amp;"",1,2)),D49,"要調整"),"要調整")))</f>
        <v/>
      </c>
      <c r="H49" s="15" t="n"/>
      <c r="I49" s="24">
        <f>IF(N49="","",IF(H49&lt;&gt;"",H49,IF(OR(G49="",G49="要調整"),"",G49)))</f>
        <v/>
      </c>
      <c r="J49" s="23">
        <f>IF(N49="","",IF(I49&lt;&gt;"","決定",IF(O49="","未提出","要調整")))</f>
        <v/>
      </c>
      <c r="K49" s="23">
        <f>IF(OR(J49&lt;&gt;"要調整",E49=""),"",IFERROR(INDEX(設定!$H$8:$I$27,MATCH(E49,設定!$G$8:$G$27,0),IF($M49=設定!$H$6&amp;"",1,2))-COUNTIFS($M$3:$M$302,M49,$I$3:$I$302,E49),""))</f>
        <v/>
      </c>
      <c r="L49" s="23">
        <f>IF(OR(J49&lt;&gt;"要調整",F49=""),"",IFERROR(INDEX(設定!$H$8:$I$27,MATCH(F49,設定!$G$8:$G$27,0),IF($M49=設定!$H$6&amp;"",1,2))-COUNTIFS($M$3:$M$302,M49,$I$3:$I$302,F49),""))</f>
        <v/>
      </c>
      <c r="M49" s="8">
        <f>IF(N49="","",INDEX(児童名簿!$A$2:$A$301,N49)&amp;"")</f>
        <v/>
      </c>
      <c r="N49" s="8">
        <f>IFERROR(MATCH(SMALL(児童名簿!$G$2:$G$301,47),児童名簿!$G$2:$G$301,0),"")</f>
        <v/>
      </c>
      <c r="O49" s="8">
        <f>IF(P49="","",IFERROR(MATCH(P49,希望入力!$K$2:$K$401,0),""))</f>
        <v/>
      </c>
      <c r="P49" s="8">
        <f>IF(N49="","",INDEX(児童名簿!$F$2:$F$301,N49))</f>
        <v/>
      </c>
      <c r="Q49" s="8">
        <f>IF(I49="","",IFERROR(MATCH(I49,設定!$G$8:$G$27,0),""))</f>
        <v/>
      </c>
      <c r="R49" s="8">
        <f>IF(Q49="","",COUNTIF($Q$3:Q49,Q49))</f>
        <v/>
      </c>
      <c r="S49" s="8">
        <f>IF(Q49="","",Q49*1000+R49)</f>
        <v/>
      </c>
    </row>
    <row r="50">
      <c r="A50" s="23">
        <f>IF(N50="","",IFERROR(INDEX(設定!$C$8:$C$23,INT(INDEX(児童名簿!$G$2:$G$301,N50)/1000)),M50&amp;INDEX(児童名簿!$B$2:$B$301,N50)))</f>
        <v/>
      </c>
      <c r="B50" s="23">
        <f>IF(N50="","",INDEX(児童名簿!$C$2:$C$301,N50))</f>
        <v/>
      </c>
      <c r="C50" s="3">
        <f>IF(N50="","",INDEX(児童名簿!$D$2:$D$301,N50))</f>
        <v/>
      </c>
      <c r="D50" s="23">
        <f>IF(O50="","",INDEX(希望入力!$D$2:$D$401,O50)&amp;"")</f>
        <v/>
      </c>
      <c r="E50" s="23">
        <f>IF(O50="","",INDEX(希望入力!$E$2:$E$401,O50)&amp;"")</f>
        <v/>
      </c>
      <c r="F50" s="23">
        <f>IF(O50="","",INDEX(希望入力!$F$2:$F$401,O50)&amp;"")</f>
        <v/>
      </c>
      <c r="G50" s="23">
        <f>IF(O50="","",IF(D50="","要調整",IFERROR(IF(COUNTIFS($M$3:$M$302,M50,$D$3:$D$302,D50)&lt;=INDEX(設定!$H$8:$I$27,MATCH(D50,設定!$G$8:$G$27,0),IF($M50=設定!$H$6&amp;"",1,2)),D50,"要調整"),"要調整")))</f>
        <v/>
      </c>
      <c r="H50" s="15" t="n"/>
      <c r="I50" s="24">
        <f>IF(N50="","",IF(H50&lt;&gt;"",H50,IF(OR(G50="",G50="要調整"),"",G50)))</f>
        <v/>
      </c>
      <c r="J50" s="23">
        <f>IF(N50="","",IF(I50&lt;&gt;"","決定",IF(O50="","未提出","要調整")))</f>
        <v/>
      </c>
      <c r="K50" s="23">
        <f>IF(OR(J50&lt;&gt;"要調整",E50=""),"",IFERROR(INDEX(設定!$H$8:$I$27,MATCH(E50,設定!$G$8:$G$27,0),IF($M50=設定!$H$6&amp;"",1,2))-COUNTIFS($M$3:$M$302,M50,$I$3:$I$302,E50),""))</f>
        <v/>
      </c>
      <c r="L50" s="23">
        <f>IF(OR(J50&lt;&gt;"要調整",F50=""),"",IFERROR(INDEX(設定!$H$8:$I$27,MATCH(F50,設定!$G$8:$G$27,0),IF($M50=設定!$H$6&amp;"",1,2))-COUNTIFS($M$3:$M$302,M50,$I$3:$I$302,F50),""))</f>
        <v/>
      </c>
      <c r="M50" s="8">
        <f>IF(N50="","",INDEX(児童名簿!$A$2:$A$301,N50)&amp;"")</f>
        <v/>
      </c>
      <c r="N50" s="8">
        <f>IFERROR(MATCH(SMALL(児童名簿!$G$2:$G$301,48),児童名簿!$G$2:$G$301,0),"")</f>
        <v/>
      </c>
      <c r="O50" s="8">
        <f>IF(P50="","",IFERROR(MATCH(P50,希望入力!$K$2:$K$401,0),""))</f>
        <v/>
      </c>
      <c r="P50" s="8">
        <f>IF(N50="","",INDEX(児童名簿!$F$2:$F$301,N50))</f>
        <v/>
      </c>
      <c r="Q50" s="8">
        <f>IF(I50="","",IFERROR(MATCH(I50,設定!$G$8:$G$27,0),""))</f>
        <v/>
      </c>
      <c r="R50" s="8">
        <f>IF(Q50="","",COUNTIF($Q$3:Q50,Q50))</f>
        <v/>
      </c>
      <c r="S50" s="8">
        <f>IF(Q50="","",Q50*1000+R50)</f>
        <v/>
      </c>
    </row>
    <row r="51">
      <c r="A51" s="23">
        <f>IF(N51="","",IFERROR(INDEX(設定!$C$8:$C$23,INT(INDEX(児童名簿!$G$2:$G$301,N51)/1000)),M51&amp;INDEX(児童名簿!$B$2:$B$301,N51)))</f>
        <v/>
      </c>
      <c r="B51" s="23">
        <f>IF(N51="","",INDEX(児童名簿!$C$2:$C$301,N51))</f>
        <v/>
      </c>
      <c r="C51" s="3">
        <f>IF(N51="","",INDEX(児童名簿!$D$2:$D$301,N51))</f>
        <v/>
      </c>
      <c r="D51" s="23">
        <f>IF(O51="","",INDEX(希望入力!$D$2:$D$401,O51)&amp;"")</f>
        <v/>
      </c>
      <c r="E51" s="23">
        <f>IF(O51="","",INDEX(希望入力!$E$2:$E$401,O51)&amp;"")</f>
        <v/>
      </c>
      <c r="F51" s="23">
        <f>IF(O51="","",INDEX(希望入力!$F$2:$F$401,O51)&amp;"")</f>
        <v/>
      </c>
      <c r="G51" s="23">
        <f>IF(O51="","",IF(D51="","要調整",IFERROR(IF(COUNTIFS($M$3:$M$302,M51,$D$3:$D$302,D51)&lt;=INDEX(設定!$H$8:$I$27,MATCH(D51,設定!$G$8:$G$27,0),IF($M51=設定!$H$6&amp;"",1,2)),D51,"要調整"),"要調整")))</f>
        <v/>
      </c>
      <c r="H51" s="15" t="n"/>
      <c r="I51" s="24">
        <f>IF(N51="","",IF(H51&lt;&gt;"",H51,IF(OR(G51="",G51="要調整"),"",G51)))</f>
        <v/>
      </c>
      <c r="J51" s="23">
        <f>IF(N51="","",IF(I51&lt;&gt;"","決定",IF(O51="","未提出","要調整")))</f>
        <v/>
      </c>
      <c r="K51" s="23">
        <f>IF(OR(J51&lt;&gt;"要調整",E51=""),"",IFERROR(INDEX(設定!$H$8:$I$27,MATCH(E51,設定!$G$8:$G$27,0),IF($M51=設定!$H$6&amp;"",1,2))-COUNTIFS($M$3:$M$302,M51,$I$3:$I$302,E51),""))</f>
        <v/>
      </c>
      <c r="L51" s="23">
        <f>IF(OR(J51&lt;&gt;"要調整",F51=""),"",IFERROR(INDEX(設定!$H$8:$I$27,MATCH(F51,設定!$G$8:$G$27,0),IF($M51=設定!$H$6&amp;"",1,2))-COUNTIFS($M$3:$M$302,M51,$I$3:$I$302,F51),""))</f>
        <v/>
      </c>
      <c r="M51" s="8">
        <f>IF(N51="","",INDEX(児童名簿!$A$2:$A$301,N51)&amp;"")</f>
        <v/>
      </c>
      <c r="N51" s="8">
        <f>IFERROR(MATCH(SMALL(児童名簿!$G$2:$G$301,49),児童名簿!$G$2:$G$301,0),"")</f>
        <v/>
      </c>
      <c r="O51" s="8">
        <f>IF(P51="","",IFERROR(MATCH(P51,希望入力!$K$2:$K$401,0),""))</f>
        <v/>
      </c>
      <c r="P51" s="8">
        <f>IF(N51="","",INDEX(児童名簿!$F$2:$F$301,N51))</f>
        <v/>
      </c>
      <c r="Q51" s="8">
        <f>IF(I51="","",IFERROR(MATCH(I51,設定!$G$8:$G$27,0),""))</f>
        <v/>
      </c>
      <c r="R51" s="8">
        <f>IF(Q51="","",COUNTIF($Q$3:Q51,Q51))</f>
        <v/>
      </c>
      <c r="S51" s="8">
        <f>IF(Q51="","",Q51*1000+R51)</f>
        <v/>
      </c>
    </row>
    <row r="52">
      <c r="A52" s="23">
        <f>IF(N52="","",IFERROR(INDEX(設定!$C$8:$C$23,INT(INDEX(児童名簿!$G$2:$G$301,N52)/1000)),M52&amp;INDEX(児童名簿!$B$2:$B$301,N52)))</f>
        <v/>
      </c>
      <c r="B52" s="23">
        <f>IF(N52="","",INDEX(児童名簿!$C$2:$C$301,N52))</f>
        <v/>
      </c>
      <c r="C52" s="3">
        <f>IF(N52="","",INDEX(児童名簿!$D$2:$D$301,N52))</f>
        <v/>
      </c>
      <c r="D52" s="23">
        <f>IF(O52="","",INDEX(希望入力!$D$2:$D$401,O52)&amp;"")</f>
        <v/>
      </c>
      <c r="E52" s="23">
        <f>IF(O52="","",INDEX(希望入力!$E$2:$E$401,O52)&amp;"")</f>
        <v/>
      </c>
      <c r="F52" s="23">
        <f>IF(O52="","",INDEX(希望入力!$F$2:$F$401,O52)&amp;"")</f>
        <v/>
      </c>
      <c r="G52" s="23">
        <f>IF(O52="","",IF(D52="","要調整",IFERROR(IF(COUNTIFS($M$3:$M$302,M52,$D$3:$D$302,D52)&lt;=INDEX(設定!$H$8:$I$27,MATCH(D52,設定!$G$8:$G$27,0),IF($M52=設定!$H$6&amp;"",1,2)),D52,"要調整"),"要調整")))</f>
        <v/>
      </c>
      <c r="H52" s="15" t="n"/>
      <c r="I52" s="24">
        <f>IF(N52="","",IF(H52&lt;&gt;"",H52,IF(OR(G52="",G52="要調整"),"",G52)))</f>
        <v/>
      </c>
      <c r="J52" s="23">
        <f>IF(N52="","",IF(I52&lt;&gt;"","決定",IF(O52="","未提出","要調整")))</f>
        <v/>
      </c>
      <c r="K52" s="23">
        <f>IF(OR(J52&lt;&gt;"要調整",E52=""),"",IFERROR(INDEX(設定!$H$8:$I$27,MATCH(E52,設定!$G$8:$G$27,0),IF($M52=設定!$H$6&amp;"",1,2))-COUNTIFS($M$3:$M$302,M52,$I$3:$I$302,E52),""))</f>
        <v/>
      </c>
      <c r="L52" s="23">
        <f>IF(OR(J52&lt;&gt;"要調整",F52=""),"",IFERROR(INDEX(設定!$H$8:$I$27,MATCH(F52,設定!$G$8:$G$27,0),IF($M52=設定!$H$6&amp;"",1,2))-COUNTIFS($M$3:$M$302,M52,$I$3:$I$302,F52),""))</f>
        <v/>
      </c>
      <c r="M52" s="8">
        <f>IF(N52="","",INDEX(児童名簿!$A$2:$A$301,N52)&amp;"")</f>
        <v/>
      </c>
      <c r="N52" s="8">
        <f>IFERROR(MATCH(SMALL(児童名簿!$G$2:$G$301,50),児童名簿!$G$2:$G$301,0),"")</f>
        <v/>
      </c>
      <c r="O52" s="8">
        <f>IF(P52="","",IFERROR(MATCH(P52,希望入力!$K$2:$K$401,0),""))</f>
        <v/>
      </c>
      <c r="P52" s="8">
        <f>IF(N52="","",INDEX(児童名簿!$F$2:$F$301,N52))</f>
        <v/>
      </c>
      <c r="Q52" s="8">
        <f>IF(I52="","",IFERROR(MATCH(I52,設定!$G$8:$G$27,0),""))</f>
        <v/>
      </c>
      <c r="R52" s="8">
        <f>IF(Q52="","",COUNTIF($Q$3:Q52,Q52))</f>
        <v/>
      </c>
      <c r="S52" s="8">
        <f>IF(Q52="","",Q52*1000+R52)</f>
        <v/>
      </c>
    </row>
    <row r="53">
      <c r="A53" s="23">
        <f>IF(N53="","",IFERROR(INDEX(設定!$C$8:$C$23,INT(INDEX(児童名簿!$G$2:$G$301,N53)/1000)),M53&amp;INDEX(児童名簿!$B$2:$B$301,N53)))</f>
        <v/>
      </c>
      <c r="B53" s="23">
        <f>IF(N53="","",INDEX(児童名簿!$C$2:$C$301,N53))</f>
        <v/>
      </c>
      <c r="C53" s="3">
        <f>IF(N53="","",INDEX(児童名簿!$D$2:$D$301,N53))</f>
        <v/>
      </c>
      <c r="D53" s="23">
        <f>IF(O53="","",INDEX(希望入力!$D$2:$D$401,O53)&amp;"")</f>
        <v/>
      </c>
      <c r="E53" s="23">
        <f>IF(O53="","",INDEX(希望入力!$E$2:$E$401,O53)&amp;"")</f>
        <v/>
      </c>
      <c r="F53" s="23">
        <f>IF(O53="","",INDEX(希望入力!$F$2:$F$401,O53)&amp;"")</f>
        <v/>
      </c>
      <c r="G53" s="23">
        <f>IF(O53="","",IF(D53="","要調整",IFERROR(IF(COUNTIFS($M$3:$M$302,M53,$D$3:$D$302,D53)&lt;=INDEX(設定!$H$8:$I$27,MATCH(D53,設定!$G$8:$G$27,0),IF($M53=設定!$H$6&amp;"",1,2)),D53,"要調整"),"要調整")))</f>
        <v/>
      </c>
      <c r="H53" s="15" t="inlineStr">
        <is>
          <t>飼育</t>
        </is>
      </c>
      <c r="I53" s="24">
        <f>IF(N53="","",IF(H53&lt;&gt;"",H53,IF(OR(G53="",G53="要調整"),"",G53)))</f>
        <v/>
      </c>
      <c r="J53" s="23">
        <f>IF(N53="","",IF(I53&lt;&gt;"","決定",IF(O53="","未提出","要調整")))</f>
        <v/>
      </c>
      <c r="K53" s="23">
        <f>IF(OR(J53&lt;&gt;"要調整",E53=""),"",IFERROR(INDEX(設定!$H$8:$I$27,MATCH(E53,設定!$G$8:$G$27,0),IF($M53=設定!$H$6&amp;"",1,2))-COUNTIFS($M$3:$M$302,M53,$I$3:$I$302,E53),""))</f>
        <v/>
      </c>
      <c r="L53" s="23">
        <f>IF(OR(J53&lt;&gt;"要調整",F53=""),"",IFERROR(INDEX(設定!$H$8:$I$27,MATCH(F53,設定!$G$8:$G$27,0),IF($M53=設定!$H$6&amp;"",1,2))-COUNTIFS($M$3:$M$302,M53,$I$3:$I$302,F53),""))</f>
        <v/>
      </c>
      <c r="M53" s="8">
        <f>IF(N53="","",INDEX(児童名簿!$A$2:$A$301,N53)&amp;"")</f>
        <v/>
      </c>
      <c r="N53" s="8">
        <f>IFERROR(MATCH(SMALL(児童名簿!$G$2:$G$301,51),児童名簿!$G$2:$G$301,0),"")</f>
        <v/>
      </c>
      <c r="O53" s="8">
        <f>IF(P53="","",IFERROR(MATCH(P53,希望入力!$K$2:$K$401,0),""))</f>
        <v/>
      </c>
      <c r="P53" s="8">
        <f>IF(N53="","",INDEX(児童名簿!$F$2:$F$301,N53))</f>
        <v/>
      </c>
      <c r="Q53" s="8">
        <f>IF(I53="","",IFERROR(MATCH(I53,設定!$G$8:$G$27,0),""))</f>
        <v/>
      </c>
      <c r="R53" s="8">
        <f>IF(Q53="","",COUNTIF($Q$3:Q53,Q53))</f>
        <v/>
      </c>
      <c r="S53" s="8">
        <f>IF(Q53="","",Q53*1000+R53)</f>
        <v/>
      </c>
    </row>
    <row r="54">
      <c r="A54" s="23">
        <f>IF(N54="","",IFERROR(INDEX(設定!$C$8:$C$23,INT(INDEX(児童名簿!$G$2:$G$301,N54)/1000)),M54&amp;INDEX(児童名簿!$B$2:$B$301,N54)))</f>
        <v/>
      </c>
      <c r="B54" s="23">
        <f>IF(N54="","",INDEX(児童名簿!$C$2:$C$301,N54))</f>
        <v/>
      </c>
      <c r="C54" s="3">
        <f>IF(N54="","",INDEX(児童名簿!$D$2:$D$301,N54))</f>
        <v/>
      </c>
      <c r="D54" s="23">
        <f>IF(O54="","",INDEX(希望入力!$D$2:$D$401,O54)&amp;"")</f>
        <v/>
      </c>
      <c r="E54" s="23">
        <f>IF(O54="","",INDEX(希望入力!$E$2:$E$401,O54)&amp;"")</f>
        <v/>
      </c>
      <c r="F54" s="23">
        <f>IF(O54="","",INDEX(希望入力!$F$2:$F$401,O54)&amp;"")</f>
        <v/>
      </c>
      <c r="G54" s="23">
        <f>IF(O54="","",IF(D54="","要調整",IFERROR(IF(COUNTIFS($M$3:$M$302,M54,$D$3:$D$302,D54)&lt;=INDEX(設定!$H$8:$I$27,MATCH(D54,設定!$G$8:$G$27,0),IF($M54=設定!$H$6&amp;"",1,2)),D54,"要調整"),"要調整")))</f>
        <v/>
      </c>
      <c r="H54" s="15" t="n"/>
      <c r="I54" s="24">
        <f>IF(N54="","",IF(H54&lt;&gt;"",H54,IF(OR(G54="",G54="要調整"),"",G54)))</f>
        <v/>
      </c>
      <c r="J54" s="23">
        <f>IF(N54="","",IF(I54&lt;&gt;"","決定",IF(O54="","未提出","要調整")))</f>
        <v/>
      </c>
      <c r="K54" s="23">
        <f>IF(OR(J54&lt;&gt;"要調整",E54=""),"",IFERROR(INDEX(設定!$H$8:$I$27,MATCH(E54,設定!$G$8:$G$27,0),IF($M54=設定!$H$6&amp;"",1,2))-COUNTIFS($M$3:$M$302,M54,$I$3:$I$302,E54),""))</f>
        <v/>
      </c>
      <c r="L54" s="23">
        <f>IF(OR(J54&lt;&gt;"要調整",F54=""),"",IFERROR(INDEX(設定!$H$8:$I$27,MATCH(F54,設定!$G$8:$G$27,0),IF($M54=設定!$H$6&amp;"",1,2))-COUNTIFS($M$3:$M$302,M54,$I$3:$I$302,F54),""))</f>
        <v/>
      </c>
      <c r="M54" s="8">
        <f>IF(N54="","",INDEX(児童名簿!$A$2:$A$301,N54)&amp;"")</f>
        <v/>
      </c>
      <c r="N54" s="8">
        <f>IFERROR(MATCH(SMALL(児童名簿!$G$2:$G$301,52),児童名簿!$G$2:$G$301,0),"")</f>
        <v/>
      </c>
      <c r="O54" s="8">
        <f>IF(P54="","",IFERROR(MATCH(P54,希望入力!$K$2:$K$401,0),""))</f>
        <v/>
      </c>
      <c r="P54" s="8">
        <f>IF(N54="","",INDEX(児童名簿!$F$2:$F$301,N54))</f>
        <v/>
      </c>
      <c r="Q54" s="8">
        <f>IF(I54="","",IFERROR(MATCH(I54,設定!$G$8:$G$27,0),""))</f>
        <v/>
      </c>
      <c r="R54" s="8">
        <f>IF(Q54="","",COUNTIF($Q$3:Q54,Q54))</f>
        <v/>
      </c>
      <c r="S54" s="8">
        <f>IF(Q54="","",Q54*1000+R54)</f>
        <v/>
      </c>
    </row>
    <row r="55">
      <c r="A55" s="23">
        <f>IF(N55="","",IFERROR(INDEX(設定!$C$8:$C$23,INT(INDEX(児童名簿!$G$2:$G$301,N55)/1000)),M55&amp;INDEX(児童名簿!$B$2:$B$301,N55)))</f>
        <v/>
      </c>
      <c r="B55" s="23">
        <f>IF(N55="","",INDEX(児童名簿!$C$2:$C$301,N55))</f>
        <v/>
      </c>
      <c r="C55" s="3">
        <f>IF(N55="","",INDEX(児童名簿!$D$2:$D$301,N55))</f>
        <v/>
      </c>
      <c r="D55" s="23">
        <f>IF(O55="","",INDEX(希望入力!$D$2:$D$401,O55)&amp;"")</f>
        <v/>
      </c>
      <c r="E55" s="23">
        <f>IF(O55="","",INDEX(希望入力!$E$2:$E$401,O55)&amp;"")</f>
        <v/>
      </c>
      <c r="F55" s="23">
        <f>IF(O55="","",INDEX(希望入力!$F$2:$F$401,O55)&amp;"")</f>
        <v/>
      </c>
      <c r="G55" s="23">
        <f>IF(O55="","",IF(D55="","要調整",IFERROR(IF(COUNTIFS($M$3:$M$302,M55,$D$3:$D$302,D55)&lt;=INDEX(設定!$H$8:$I$27,MATCH(D55,設定!$G$8:$G$27,0),IF($M55=設定!$H$6&amp;"",1,2)),D55,"要調整"),"要調整")))</f>
        <v/>
      </c>
      <c r="H55" s="15" t="n"/>
      <c r="I55" s="24">
        <f>IF(N55="","",IF(H55&lt;&gt;"",H55,IF(OR(G55="",G55="要調整"),"",G55)))</f>
        <v/>
      </c>
      <c r="J55" s="23">
        <f>IF(N55="","",IF(I55&lt;&gt;"","決定",IF(O55="","未提出","要調整")))</f>
        <v/>
      </c>
      <c r="K55" s="23">
        <f>IF(OR(J55&lt;&gt;"要調整",E55=""),"",IFERROR(INDEX(設定!$H$8:$I$27,MATCH(E55,設定!$G$8:$G$27,0),IF($M55=設定!$H$6&amp;"",1,2))-COUNTIFS($M$3:$M$302,M55,$I$3:$I$302,E55),""))</f>
        <v/>
      </c>
      <c r="L55" s="23">
        <f>IF(OR(J55&lt;&gt;"要調整",F55=""),"",IFERROR(INDEX(設定!$H$8:$I$27,MATCH(F55,設定!$G$8:$G$27,0),IF($M55=設定!$H$6&amp;"",1,2))-COUNTIFS($M$3:$M$302,M55,$I$3:$I$302,F55),""))</f>
        <v/>
      </c>
      <c r="M55" s="8">
        <f>IF(N55="","",INDEX(児童名簿!$A$2:$A$301,N55)&amp;"")</f>
        <v/>
      </c>
      <c r="N55" s="8">
        <f>IFERROR(MATCH(SMALL(児童名簿!$G$2:$G$301,53),児童名簿!$G$2:$G$301,0),"")</f>
        <v/>
      </c>
      <c r="O55" s="8">
        <f>IF(P55="","",IFERROR(MATCH(P55,希望入力!$K$2:$K$401,0),""))</f>
        <v/>
      </c>
      <c r="P55" s="8">
        <f>IF(N55="","",INDEX(児童名簿!$F$2:$F$301,N55))</f>
        <v/>
      </c>
      <c r="Q55" s="8">
        <f>IF(I55="","",IFERROR(MATCH(I55,設定!$G$8:$G$27,0),""))</f>
        <v/>
      </c>
      <c r="R55" s="8">
        <f>IF(Q55="","",COUNTIF($Q$3:Q55,Q55))</f>
        <v/>
      </c>
      <c r="S55" s="8">
        <f>IF(Q55="","",Q55*1000+R55)</f>
        <v/>
      </c>
    </row>
    <row r="56">
      <c r="A56" s="23">
        <f>IF(N56="","",IFERROR(INDEX(設定!$C$8:$C$23,INT(INDEX(児童名簿!$G$2:$G$301,N56)/1000)),M56&amp;INDEX(児童名簿!$B$2:$B$301,N56)))</f>
        <v/>
      </c>
      <c r="B56" s="23">
        <f>IF(N56="","",INDEX(児童名簿!$C$2:$C$301,N56))</f>
        <v/>
      </c>
      <c r="C56" s="3">
        <f>IF(N56="","",INDEX(児童名簿!$D$2:$D$301,N56))</f>
        <v/>
      </c>
      <c r="D56" s="23">
        <f>IF(O56="","",INDEX(希望入力!$D$2:$D$401,O56)&amp;"")</f>
        <v/>
      </c>
      <c r="E56" s="23">
        <f>IF(O56="","",INDEX(希望入力!$E$2:$E$401,O56)&amp;"")</f>
        <v/>
      </c>
      <c r="F56" s="23">
        <f>IF(O56="","",INDEX(希望入力!$F$2:$F$401,O56)&amp;"")</f>
        <v/>
      </c>
      <c r="G56" s="23">
        <f>IF(O56="","",IF(D56="","要調整",IFERROR(IF(COUNTIFS($M$3:$M$302,M56,$D$3:$D$302,D56)&lt;=INDEX(設定!$H$8:$I$27,MATCH(D56,設定!$G$8:$G$27,0),IF($M56=設定!$H$6&amp;"",1,2)),D56,"要調整"),"要調整")))</f>
        <v/>
      </c>
      <c r="H56" s="15" t="n"/>
      <c r="I56" s="24">
        <f>IF(N56="","",IF(H56&lt;&gt;"",H56,IF(OR(G56="",G56="要調整"),"",G56)))</f>
        <v/>
      </c>
      <c r="J56" s="23">
        <f>IF(N56="","",IF(I56&lt;&gt;"","決定",IF(O56="","未提出","要調整")))</f>
        <v/>
      </c>
      <c r="K56" s="23">
        <f>IF(OR(J56&lt;&gt;"要調整",E56=""),"",IFERROR(INDEX(設定!$H$8:$I$27,MATCH(E56,設定!$G$8:$G$27,0),IF($M56=設定!$H$6&amp;"",1,2))-COUNTIFS($M$3:$M$302,M56,$I$3:$I$302,E56),""))</f>
        <v/>
      </c>
      <c r="L56" s="23">
        <f>IF(OR(J56&lt;&gt;"要調整",F56=""),"",IFERROR(INDEX(設定!$H$8:$I$27,MATCH(F56,設定!$G$8:$G$27,0),IF($M56=設定!$H$6&amp;"",1,2))-COUNTIFS($M$3:$M$302,M56,$I$3:$I$302,F56),""))</f>
        <v/>
      </c>
      <c r="M56" s="8">
        <f>IF(N56="","",INDEX(児童名簿!$A$2:$A$301,N56)&amp;"")</f>
        <v/>
      </c>
      <c r="N56" s="8">
        <f>IFERROR(MATCH(SMALL(児童名簿!$G$2:$G$301,54),児童名簿!$G$2:$G$301,0),"")</f>
        <v/>
      </c>
      <c r="O56" s="8">
        <f>IF(P56="","",IFERROR(MATCH(P56,希望入力!$K$2:$K$401,0),""))</f>
        <v/>
      </c>
      <c r="P56" s="8">
        <f>IF(N56="","",INDEX(児童名簿!$F$2:$F$301,N56))</f>
        <v/>
      </c>
      <c r="Q56" s="8">
        <f>IF(I56="","",IFERROR(MATCH(I56,設定!$G$8:$G$27,0),""))</f>
        <v/>
      </c>
      <c r="R56" s="8">
        <f>IF(Q56="","",COUNTIF($Q$3:Q56,Q56))</f>
        <v/>
      </c>
      <c r="S56" s="8">
        <f>IF(Q56="","",Q56*1000+R56)</f>
        <v/>
      </c>
    </row>
    <row r="57">
      <c r="A57" s="23">
        <f>IF(N57="","",IFERROR(INDEX(設定!$C$8:$C$23,INT(INDEX(児童名簿!$G$2:$G$301,N57)/1000)),M57&amp;INDEX(児童名簿!$B$2:$B$301,N57)))</f>
        <v/>
      </c>
      <c r="B57" s="23">
        <f>IF(N57="","",INDEX(児童名簿!$C$2:$C$301,N57))</f>
        <v/>
      </c>
      <c r="C57" s="3">
        <f>IF(N57="","",INDEX(児童名簿!$D$2:$D$301,N57))</f>
        <v/>
      </c>
      <c r="D57" s="23">
        <f>IF(O57="","",INDEX(希望入力!$D$2:$D$401,O57)&amp;"")</f>
        <v/>
      </c>
      <c r="E57" s="23">
        <f>IF(O57="","",INDEX(希望入力!$E$2:$E$401,O57)&amp;"")</f>
        <v/>
      </c>
      <c r="F57" s="23">
        <f>IF(O57="","",INDEX(希望入力!$F$2:$F$401,O57)&amp;"")</f>
        <v/>
      </c>
      <c r="G57" s="23">
        <f>IF(O57="","",IF(D57="","要調整",IFERROR(IF(COUNTIFS($M$3:$M$302,M57,$D$3:$D$302,D57)&lt;=INDEX(設定!$H$8:$I$27,MATCH(D57,設定!$G$8:$G$27,0),IF($M57=設定!$H$6&amp;"",1,2)),D57,"要調整"),"要調整")))</f>
        <v/>
      </c>
      <c r="H57" s="15" t="n"/>
      <c r="I57" s="24">
        <f>IF(N57="","",IF(H57&lt;&gt;"",H57,IF(OR(G57="",G57="要調整"),"",G57)))</f>
        <v/>
      </c>
      <c r="J57" s="23">
        <f>IF(N57="","",IF(I57&lt;&gt;"","決定",IF(O57="","未提出","要調整")))</f>
        <v/>
      </c>
      <c r="K57" s="23">
        <f>IF(OR(J57&lt;&gt;"要調整",E57=""),"",IFERROR(INDEX(設定!$H$8:$I$27,MATCH(E57,設定!$G$8:$G$27,0),IF($M57=設定!$H$6&amp;"",1,2))-COUNTIFS($M$3:$M$302,M57,$I$3:$I$302,E57),""))</f>
        <v/>
      </c>
      <c r="L57" s="23">
        <f>IF(OR(J57&lt;&gt;"要調整",F57=""),"",IFERROR(INDEX(設定!$H$8:$I$27,MATCH(F57,設定!$G$8:$G$27,0),IF($M57=設定!$H$6&amp;"",1,2))-COUNTIFS($M$3:$M$302,M57,$I$3:$I$302,F57),""))</f>
        <v/>
      </c>
      <c r="M57" s="8">
        <f>IF(N57="","",INDEX(児童名簿!$A$2:$A$301,N57)&amp;"")</f>
        <v/>
      </c>
      <c r="N57" s="8">
        <f>IFERROR(MATCH(SMALL(児童名簿!$G$2:$G$301,55),児童名簿!$G$2:$G$301,0),"")</f>
        <v/>
      </c>
      <c r="O57" s="8">
        <f>IF(P57="","",IFERROR(MATCH(P57,希望入力!$K$2:$K$401,0),""))</f>
        <v/>
      </c>
      <c r="P57" s="8">
        <f>IF(N57="","",INDEX(児童名簿!$F$2:$F$301,N57))</f>
        <v/>
      </c>
      <c r="Q57" s="8">
        <f>IF(I57="","",IFERROR(MATCH(I57,設定!$G$8:$G$27,0),""))</f>
        <v/>
      </c>
      <c r="R57" s="8">
        <f>IF(Q57="","",COUNTIF($Q$3:Q57,Q57))</f>
        <v/>
      </c>
      <c r="S57" s="8">
        <f>IF(Q57="","",Q57*1000+R57)</f>
        <v/>
      </c>
    </row>
    <row r="58">
      <c r="A58" s="23">
        <f>IF(N58="","",IFERROR(INDEX(設定!$C$8:$C$23,INT(INDEX(児童名簿!$G$2:$G$301,N58)/1000)),M58&amp;INDEX(児童名簿!$B$2:$B$301,N58)))</f>
        <v/>
      </c>
      <c r="B58" s="23">
        <f>IF(N58="","",INDEX(児童名簿!$C$2:$C$301,N58))</f>
        <v/>
      </c>
      <c r="C58" s="3">
        <f>IF(N58="","",INDEX(児童名簿!$D$2:$D$301,N58))</f>
        <v/>
      </c>
      <c r="D58" s="23">
        <f>IF(O58="","",INDEX(希望入力!$D$2:$D$401,O58)&amp;"")</f>
        <v/>
      </c>
      <c r="E58" s="23">
        <f>IF(O58="","",INDEX(希望入力!$E$2:$E$401,O58)&amp;"")</f>
        <v/>
      </c>
      <c r="F58" s="23">
        <f>IF(O58="","",INDEX(希望入力!$F$2:$F$401,O58)&amp;"")</f>
        <v/>
      </c>
      <c r="G58" s="23">
        <f>IF(O58="","",IF(D58="","要調整",IFERROR(IF(COUNTIFS($M$3:$M$302,M58,$D$3:$D$302,D58)&lt;=INDEX(設定!$H$8:$I$27,MATCH(D58,設定!$G$8:$G$27,0),IF($M58=設定!$H$6&amp;"",1,2)),D58,"要調整"),"要調整")))</f>
        <v/>
      </c>
      <c r="H58" s="15" t="n"/>
      <c r="I58" s="24">
        <f>IF(N58="","",IF(H58&lt;&gt;"",H58,IF(OR(G58="",G58="要調整"),"",G58)))</f>
        <v/>
      </c>
      <c r="J58" s="23">
        <f>IF(N58="","",IF(I58&lt;&gt;"","決定",IF(O58="","未提出","要調整")))</f>
        <v/>
      </c>
      <c r="K58" s="23">
        <f>IF(OR(J58&lt;&gt;"要調整",E58=""),"",IFERROR(INDEX(設定!$H$8:$I$27,MATCH(E58,設定!$G$8:$G$27,0),IF($M58=設定!$H$6&amp;"",1,2))-COUNTIFS($M$3:$M$302,M58,$I$3:$I$302,E58),""))</f>
        <v/>
      </c>
      <c r="L58" s="23">
        <f>IF(OR(J58&lt;&gt;"要調整",F58=""),"",IFERROR(INDEX(設定!$H$8:$I$27,MATCH(F58,設定!$G$8:$G$27,0),IF($M58=設定!$H$6&amp;"",1,2))-COUNTIFS($M$3:$M$302,M58,$I$3:$I$302,F58),""))</f>
        <v/>
      </c>
      <c r="M58" s="8">
        <f>IF(N58="","",INDEX(児童名簿!$A$2:$A$301,N58)&amp;"")</f>
        <v/>
      </c>
      <c r="N58" s="8">
        <f>IFERROR(MATCH(SMALL(児童名簿!$G$2:$G$301,56),児童名簿!$G$2:$G$301,0),"")</f>
        <v/>
      </c>
      <c r="O58" s="8">
        <f>IF(P58="","",IFERROR(MATCH(P58,希望入力!$K$2:$K$401,0),""))</f>
        <v/>
      </c>
      <c r="P58" s="8">
        <f>IF(N58="","",INDEX(児童名簿!$F$2:$F$301,N58))</f>
        <v/>
      </c>
      <c r="Q58" s="8">
        <f>IF(I58="","",IFERROR(MATCH(I58,設定!$G$8:$G$27,0),""))</f>
        <v/>
      </c>
      <c r="R58" s="8">
        <f>IF(Q58="","",COUNTIF($Q$3:Q58,Q58))</f>
        <v/>
      </c>
      <c r="S58" s="8">
        <f>IF(Q58="","",Q58*1000+R58)</f>
        <v/>
      </c>
    </row>
    <row r="59">
      <c r="A59" s="23">
        <f>IF(N59="","",IFERROR(INDEX(設定!$C$8:$C$23,INT(INDEX(児童名簿!$G$2:$G$301,N59)/1000)),M59&amp;INDEX(児童名簿!$B$2:$B$301,N59)))</f>
        <v/>
      </c>
      <c r="B59" s="23">
        <f>IF(N59="","",INDEX(児童名簿!$C$2:$C$301,N59))</f>
        <v/>
      </c>
      <c r="C59" s="3">
        <f>IF(N59="","",INDEX(児童名簿!$D$2:$D$301,N59))</f>
        <v/>
      </c>
      <c r="D59" s="23">
        <f>IF(O59="","",INDEX(希望入力!$D$2:$D$401,O59)&amp;"")</f>
        <v/>
      </c>
      <c r="E59" s="23">
        <f>IF(O59="","",INDEX(希望入力!$E$2:$E$401,O59)&amp;"")</f>
        <v/>
      </c>
      <c r="F59" s="23">
        <f>IF(O59="","",INDEX(希望入力!$F$2:$F$401,O59)&amp;"")</f>
        <v/>
      </c>
      <c r="G59" s="23">
        <f>IF(O59="","",IF(D59="","要調整",IFERROR(IF(COUNTIFS($M$3:$M$302,M59,$D$3:$D$302,D59)&lt;=INDEX(設定!$H$8:$I$27,MATCH(D59,設定!$G$8:$G$27,0),IF($M59=設定!$H$6&amp;"",1,2)),D59,"要調整"),"要調整")))</f>
        <v/>
      </c>
      <c r="H59" s="15" t="n"/>
      <c r="I59" s="24">
        <f>IF(N59="","",IF(H59&lt;&gt;"",H59,IF(OR(G59="",G59="要調整"),"",G59)))</f>
        <v/>
      </c>
      <c r="J59" s="23">
        <f>IF(N59="","",IF(I59&lt;&gt;"","決定",IF(O59="","未提出","要調整")))</f>
        <v/>
      </c>
      <c r="K59" s="23">
        <f>IF(OR(J59&lt;&gt;"要調整",E59=""),"",IFERROR(INDEX(設定!$H$8:$I$27,MATCH(E59,設定!$G$8:$G$27,0),IF($M59=設定!$H$6&amp;"",1,2))-COUNTIFS($M$3:$M$302,M59,$I$3:$I$302,E59),""))</f>
        <v/>
      </c>
      <c r="L59" s="23">
        <f>IF(OR(J59&lt;&gt;"要調整",F59=""),"",IFERROR(INDEX(設定!$H$8:$I$27,MATCH(F59,設定!$G$8:$G$27,0),IF($M59=設定!$H$6&amp;"",1,2))-COUNTIFS($M$3:$M$302,M59,$I$3:$I$302,F59),""))</f>
        <v/>
      </c>
      <c r="M59" s="8">
        <f>IF(N59="","",INDEX(児童名簿!$A$2:$A$301,N59)&amp;"")</f>
        <v/>
      </c>
      <c r="N59" s="8">
        <f>IFERROR(MATCH(SMALL(児童名簿!$G$2:$G$301,57),児童名簿!$G$2:$G$301,0),"")</f>
        <v/>
      </c>
      <c r="O59" s="8">
        <f>IF(P59="","",IFERROR(MATCH(P59,希望入力!$K$2:$K$401,0),""))</f>
        <v/>
      </c>
      <c r="P59" s="8">
        <f>IF(N59="","",INDEX(児童名簿!$F$2:$F$301,N59))</f>
        <v/>
      </c>
      <c r="Q59" s="8">
        <f>IF(I59="","",IFERROR(MATCH(I59,設定!$G$8:$G$27,0),""))</f>
        <v/>
      </c>
      <c r="R59" s="8">
        <f>IF(Q59="","",COUNTIF($Q$3:Q59,Q59))</f>
        <v/>
      </c>
      <c r="S59" s="8">
        <f>IF(Q59="","",Q59*1000+R59)</f>
        <v/>
      </c>
    </row>
    <row r="60">
      <c r="A60" s="23">
        <f>IF(N60="","",IFERROR(INDEX(設定!$C$8:$C$23,INT(INDEX(児童名簿!$G$2:$G$301,N60)/1000)),M60&amp;INDEX(児童名簿!$B$2:$B$301,N60)))</f>
        <v/>
      </c>
      <c r="B60" s="23">
        <f>IF(N60="","",INDEX(児童名簿!$C$2:$C$301,N60))</f>
        <v/>
      </c>
      <c r="C60" s="3">
        <f>IF(N60="","",INDEX(児童名簿!$D$2:$D$301,N60))</f>
        <v/>
      </c>
      <c r="D60" s="23">
        <f>IF(O60="","",INDEX(希望入力!$D$2:$D$401,O60)&amp;"")</f>
        <v/>
      </c>
      <c r="E60" s="23">
        <f>IF(O60="","",INDEX(希望入力!$E$2:$E$401,O60)&amp;"")</f>
        <v/>
      </c>
      <c r="F60" s="23">
        <f>IF(O60="","",INDEX(希望入力!$F$2:$F$401,O60)&amp;"")</f>
        <v/>
      </c>
      <c r="G60" s="23">
        <f>IF(O60="","",IF(D60="","要調整",IFERROR(IF(COUNTIFS($M$3:$M$302,M60,$D$3:$D$302,D60)&lt;=INDEX(設定!$H$8:$I$27,MATCH(D60,設定!$G$8:$G$27,0),IF($M60=設定!$H$6&amp;"",1,2)),D60,"要調整"),"要調整")))</f>
        <v/>
      </c>
      <c r="H60" s="15" t="n"/>
      <c r="I60" s="24">
        <f>IF(N60="","",IF(H60&lt;&gt;"",H60,IF(OR(G60="",G60="要調整"),"",G60)))</f>
        <v/>
      </c>
      <c r="J60" s="23">
        <f>IF(N60="","",IF(I60&lt;&gt;"","決定",IF(O60="","未提出","要調整")))</f>
        <v/>
      </c>
      <c r="K60" s="23">
        <f>IF(OR(J60&lt;&gt;"要調整",E60=""),"",IFERROR(INDEX(設定!$H$8:$I$27,MATCH(E60,設定!$G$8:$G$27,0),IF($M60=設定!$H$6&amp;"",1,2))-COUNTIFS($M$3:$M$302,M60,$I$3:$I$302,E60),""))</f>
        <v/>
      </c>
      <c r="L60" s="23">
        <f>IF(OR(J60&lt;&gt;"要調整",F60=""),"",IFERROR(INDEX(設定!$H$8:$I$27,MATCH(F60,設定!$G$8:$G$27,0),IF($M60=設定!$H$6&amp;"",1,2))-COUNTIFS($M$3:$M$302,M60,$I$3:$I$302,F60),""))</f>
        <v/>
      </c>
      <c r="M60" s="8">
        <f>IF(N60="","",INDEX(児童名簿!$A$2:$A$301,N60)&amp;"")</f>
        <v/>
      </c>
      <c r="N60" s="8">
        <f>IFERROR(MATCH(SMALL(児童名簿!$G$2:$G$301,58),児童名簿!$G$2:$G$301,0),"")</f>
        <v/>
      </c>
      <c r="O60" s="8">
        <f>IF(P60="","",IFERROR(MATCH(P60,希望入力!$K$2:$K$401,0),""))</f>
        <v/>
      </c>
      <c r="P60" s="8">
        <f>IF(N60="","",INDEX(児童名簿!$F$2:$F$301,N60))</f>
        <v/>
      </c>
      <c r="Q60" s="8">
        <f>IF(I60="","",IFERROR(MATCH(I60,設定!$G$8:$G$27,0),""))</f>
        <v/>
      </c>
      <c r="R60" s="8">
        <f>IF(Q60="","",COUNTIF($Q$3:Q60,Q60))</f>
        <v/>
      </c>
      <c r="S60" s="8">
        <f>IF(Q60="","",Q60*1000+R60)</f>
        <v/>
      </c>
    </row>
    <row r="61">
      <c r="A61" s="23">
        <f>IF(N61="","",IFERROR(INDEX(設定!$C$8:$C$23,INT(INDEX(児童名簿!$G$2:$G$301,N61)/1000)),M61&amp;INDEX(児童名簿!$B$2:$B$301,N61)))</f>
        <v/>
      </c>
      <c r="B61" s="23">
        <f>IF(N61="","",INDEX(児童名簿!$C$2:$C$301,N61))</f>
        <v/>
      </c>
      <c r="C61" s="3">
        <f>IF(N61="","",INDEX(児童名簿!$D$2:$D$301,N61))</f>
        <v/>
      </c>
      <c r="D61" s="23">
        <f>IF(O61="","",INDEX(希望入力!$D$2:$D$401,O61)&amp;"")</f>
        <v/>
      </c>
      <c r="E61" s="23">
        <f>IF(O61="","",INDEX(希望入力!$E$2:$E$401,O61)&amp;"")</f>
        <v/>
      </c>
      <c r="F61" s="23">
        <f>IF(O61="","",INDEX(希望入力!$F$2:$F$401,O61)&amp;"")</f>
        <v/>
      </c>
      <c r="G61" s="23">
        <f>IF(O61="","",IF(D61="","要調整",IFERROR(IF(COUNTIFS($M$3:$M$302,M61,$D$3:$D$302,D61)&lt;=INDEX(設定!$H$8:$I$27,MATCH(D61,設定!$G$8:$G$27,0),IF($M61=設定!$H$6&amp;"",1,2)),D61,"要調整"),"要調整")))</f>
        <v/>
      </c>
      <c r="H61" s="15" t="n"/>
      <c r="I61" s="24">
        <f>IF(N61="","",IF(H61&lt;&gt;"",H61,IF(OR(G61="",G61="要調整"),"",G61)))</f>
        <v/>
      </c>
      <c r="J61" s="23">
        <f>IF(N61="","",IF(I61&lt;&gt;"","決定",IF(O61="","未提出","要調整")))</f>
        <v/>
      </c>
      <c r="K61" s="23">
        <f>IF(OR(J61&lt;&gt;"要調整",E61=""),"",IFERROR(INDEX(設定!$H$8:$I$27,MATCH(E61,設定!$G$8:$G$27,0),IF($M61=設定!$H$6&amp;"",1,2))-COUNTIFS($M$3:$M$302,M61,$I$3:$I$302,E61),""))</f>
        <v/>
      </c>
      <c r="L61" s="23">
        <f>IF(OR(J61&lt;&gt;"要調整",F61=""),"",IFERROR(INDEX(設定!$H$8:$I$27,MATCH(F61,設定!$G$8:$G$27,0),IF($M61=設定!$H$6&amp;"",1,2))-COUNTIFS($M$3:$M$302,M61,$I$3:$I$302,F61),""))</f>
        <v/>
      </c>
      <c r="M61" s="8">
        <f>IF(N61="","",INDEX(児童名簿!$A$2:$A$301,N61)&amp;"")</f>
        <v/>
      </c>
      <c r="N61" s="8">
        <f>IFERROR(MATCH(SMALL(児童名簿!$G$2:$G$301,59),児童名簿!$G$2:$G$301,0),"")</f>
        <v/>
      </c>
      <c r="O61" s="8">
        <f>IF(P61="","",IFERROR(MATCH(P61,希望入力!$K$2:$K$401,0),""))</f>
        <v/>
      </c>
      <c r="P61" s="8">
        <f>IF(N61="","",INDEX(児童名簿!$F$2:$F$301,N61))</f>
        <v/>
      </c>
      <c r="Q61" s="8">
        <f>IF(I61="","",IFERROR(MATCH(I61,設定!$G$8:$G$27,0),""))</f>
        <v/>
      </c>
      <c r="R61" s="8">
        <f>IF(Q61="","",COUNTIF($Q$3:Q61,Q61))</f>
        <v/>
      </c>
      <c r="S61" s="8">
        <f>IF(Q61="","",Q61*1000+R61)</f>
        <v/>
      </c>
    </row>
    <row r="62">
      <c r="A62" s="23">
        <f>IF(N62="","",IFERROR(INDEX(設定!$C$8:$C$23,INT(INDEX(児童名簿!$G$2:$G$301,N62)/1000)),M62&amp;INDEX(児童名簿!$B$2:$B$301,N62)))</f>
        <v/>
      </c>
      <c r="B62" s="23">
        <f>IF(N62="","",INDEX(児童名簿!$C$2:$C$301,N62))</f>
        <v/>
      </c>
      <c r="C62" s="3">
        <f>IF(N62="","",INDEX(児童名簿!$D$2:$D$301,N62))</f>
        <v/>
      </c>
      <c r="D62" s="23">
        <f>IF(O62="","",INDEX(希望入力!$D$2:$D$401,O62)&amp;"")</f>
        <v/>
      </c>
      <c r="E62" s="23">
        <f>IF(O62="","",INDEX(希望入力!$E$2:$E$401,O62)&amp;"")</f>
        <v/>
      </c>
      <c r="F62" s="23">
        <f>IF(O62="","",INDEX(希望入力!$F$2:$F$401,O62)&amp;"")</f>
        <v/>
      </c>
      <c r="G62" s="23">
        <f>IF(O62="","",IF(D62="","要調整",IFERROR(IF(COUNTIFS($M$3:$M$302,M62,$D$3:$D$302,D62)&lt;=INDEX(設定!$H$8:$I$27,MATCH(D62,設定!$G$8:$G$27,0),IF($M62=設定!$H$6&amp;"",1,2)),D62,"要調整"),"要調整")))</f>
        <v/>
      </c>
      <c r="H62" s="15" t="n"/>
      <c r="I62" s="24">
        <f>IF(N62="","",IF(H62&lt;&gt;"",H62,IF(OR(G62="",G62="要調整"),"",G62)))</f>
        <v/>
      </c>
      <c r="J62" s="23">
        <f>IF(N62="","",IF(I62&lt;&gt;"","決定",IF(O62="","未提出","要調整")))</f>
        <v/>
      </c>
      <c r="K62" s="23">
        <f>IF(OR(J62&lt;&gt;"要調整",E62=""),"",IFERROR(INDEX(設定!$H$8:$I$27,MATCH(E62,設定!$G$8:$G$27,0),IF($M62=設定!$H$6&amp;"",1,2))-COUNTIFS($M$3:$M$302,M62,$I$3:$I$302,E62),""))</f>
        <v/>
      </c>
      <c r="L62" s="23">
        <f>IF(OR(J62&lt;&gt;"要調整",F62=""),"",IFERROR(INDEX(設定!$H$8:$I$27,MATCH(F62,設定!$G$8:$G$27,0),IF($M62=設定!$H$6&amp;"",1,2))-COUNTIFS($M$3:$M$302,M62,$I$3:$I$302,F62),""))</f>
        <v/>
      </c>
      <c r="M62" s="8">
        <f>IF(N62="","",INDEX(児童名簿!$A$2:$A$301,N62)&amp;"")</f>
        <v/>
      </c>
      <c r="N62" s="8">
        <f>IFERROR(MATCH(SMALL(児童名簿!$G$2:$G$301,60),児童名簿!$G$2:$G$301,0),"")</f>
        <v/>
      </c>
      <c r="O62" s="8">
        <f>IF(P62="","",IFERROR(MATCH(P62,希望入力!$K$2:$K$401,0),""))</f>
        <v/>
      </c>
      <c r="P62" s="8">
        <f>IF(N62="","",INDEX(児童名簿!$F$2:$F$301,N62))</f>
        <v/>
      </c>
      <c r="Q62" s="8">
        <f>IF(I62="","",IFERROR(MATCH(I62,設定!$G$8:$G$27,0),""))</f>
        <v/>
      </c>
      <c r="R62" s="8">
        <f>IF(Q62="","",COUNTIF($Q$3:Q62,Q62))</f>
        <v/>
      </c>
      <c r="S62" s="8">
        <f>IF(Q62="","",Q62*1000+R62)</f>
        <v/>
      </c>
    </row>
    <row r="63">
      <c r="A63" s="23">
        <f>IF(N63="","",IFERROR(INDEX(設定!$C$8:$C$23,INT(INDEX(児童名簿!$G$2:$G$301,N63)/1000)),M63&amp;INDEX(児童名簿!$B$2:$B$301,N63)))</f>
        <v/>
      </c>
      <c r="B63" s="23">
        <f>IF(N63="","",INDEX(児童名簿!$C$2:$C$301,N63))</f>
        <v/>
      </c>
      <c r="C63" s="3">
        <f>IF(N63="","",INDEX(児童名簿!$D$2:$D$301,N63))</f>
        <v/>
      </c>
      <c r="D63" s="23">
        <f>IF(O63="","",INDEX(希望入力!$D$2:$D$401,O63)&amp;"")</f>
        <v/>
      </c>
      <c r="E63" s="23">
        <f>IF(O63="","",INDEX(希望入力!$E$2:$E$401,O63)&amp;"")</f>
        <v/>
      </c>
      <c r="F63" s="23">
        <f>IF(O63="","",INDEX(希望入力!$F$2:$F$401,O63)&amp;"")</f>
        <v/>
      </c>
      <c r="G63" s="23">
        <f>IF(O63="","",IF(D63="","要調整",IFERROR(IF(COUNTIFS($M$3:$M$302,M63,$D$3:$D$302,D63)&lt;=INDEX(設定!$H$8:$I$27,MATCH(D63,設定!$G$8:$G$27,0),IF($M63=設定!$H$6&amp;"",1,2)),D63,"要調整"),"要調整")))</f>
        <v/>
      </c>
      <c r="H63" s="15" t="inlineStr">
        <is>
          <t>飼育</t>
        </is>
      </c>
      <c r="I63" s="24">
        <f>IF(N63="","",IF(H63&lt;&gt;"",H63,IF(OR(G63="",G63="要調整"),"",G63)))</f>
        <v/>
      </c>
      <c r="J63" s="23">
        <f>IF(N63="","",IF(I63&lt;&gt;"","決定",IF(O63="","未提出","要調整")))</f>
        <v/>
      </c>
      <c r="K63" s="23">
        <f>IF(OR(J63&lt;&gt;"要調整",E63=""),"",IFERROR(INDEX(設定!$H$8:$I$27,MATCH(E63,設定!$G$8:$G$27,0),IF($M63=設定!$H$6&amp;"",1,2))-COUNTIFS($M$3:$M$302,M63,$I$3:$I$302,E63),""))</f>
        <v/>
      </c>
      <c r="L63" s="23">
        <f>IF(OR(J63&lt;&gt;"要調整",F63=""),"",IFERROR(INDEX(設定!$H$8:$I$27,MATCH(F63,設定!$G$8:$G$27,0),IF($M63=設定!$H$6&amp;"",1,2))-COUNTIFS($M$3:$M$302,M63,$I$3:$I$302,F63),""))</f>
        <v/>
      </c>
      <c r="M63" s="8">
        <f>IF(N63="","",INDEX(児童名簿!$A$2:$A$301,N63)&amp;"")</f>
        <v/>
      </c>
      <c r="N63" s="8">
        <f>IFERROR(MATCH(SMALL(児童名簿!$G$2:$G$301,61),児童名簿!$G$2:$G$301,0),"")</f>
        <v/>
      </c>
      <c r="O63" s="8">
        <f>IF(P63="","",IFERROR(MATCH(P63,希望入力!$K$2:$K$401,0),""))</f>
        <v/>
      </c>
      <c r="P63" s="8">
        <f>IF(N63="","",INDEX(児童名簿!$F$2:$F$301,N63))</f>
        <v/>
      </c>
      <c r="Q63" s="8">
        <f>IF(I63="","",IFERROR(MATCH(I63,設定!$G$8:$G$27,0),""))</f>
        <v/>
      </c>
      <c r="R63" s="8">
        <f>IF(Q63="","",COUNTIF($Q$3:Q63,Q63))</f>
        <v/>
      </c>
      <c r="S63" s="8">
        <f>IF(Q63="","",Q63*1000+R63)</f>
        <v/>
      </c>
    </row>
    <row r="64">
      <c r="A64" s="23">
        <f>IF(N64="","",IFERROR(INDEX(設定!$C$8:$C$23,INT(INDEX(児童名簿!$G$2:$G$301,N64)/1000)),M64&amp;INDEX(児童名簿!$B$2:$B$301,N64)))</f>
        <v/>
      </c>
      <c r="B64" s="23">
        <f>IF(N64="","",INDEX(児童名簿!$C$2:$C$301,N64))</f>
        <v/>
      </c>
      <c r="C64" s="3">
        <f>IF(N64="","",INDEX(児童名簿!$D$2:$D$301,N64))</f>
        <v/>
      </c>
      <c r="D64" s="23">
        <f>IF(O64="","",INDEX(希望入力!$D$2:$D$401,O64)&amp;"")</f>
        <v/>
      </c>
      <c r="E64" s="23">
        <f>IF(O64="","",INDEX(希望入力!$E$2:$E$401,O64)&amp;"")</f>
        <v/>
      </c>
      <c r="F64" s="23">
        <f>IF(O64="","",INDEX(希望入力!$F$2:$F$401,O64)&amp;"")</f>
        <v/>
      </c>
      <c r="G64" s="23">
        <f>IF(O64="","",IF(D64="","要調整",IFERROR(IF(COUNTIFS($M$3:$M$302,M64,$D$3:$D$302,D64)&lt;=INDEX(設定!$H$8:$I$27,MATCH(D64,設定!$G$8:$G$27,0),IF($M64=設定!$H$6&amp;"",1,2)),D64,"要調整"),"要調整")))</f>
        <v/>
      </c>
      <c r="H64" s="15" t="n"/>
      <c r="I64" s="24">
        <f>IF(N64="","",IF(H64&lt;&gt;"",H64,IF(OR(G64="",G64="要調整"),"",G64)))</f>
        <v/>
      </c>
      <c r="J64" s="23">
        <f>IF(N64="","",IF(I64&lt;&gt;"","決定",IF(O64="","未提出","要調整")))</f>
        <v/>
      </c>
      <c r="K64" s="23">
        <f>IF(OR(J64&lt;&gt;"要調整",E64=""),"",IFERROR(INDEX(設定!$H$8:$I$27,MATCH(E64,設定!$G$8:$G$27,0),IF($M64=設定!$H$6&amp;"",1,2))-COUNTIFS($M$3:$M$302,M64,$I$3:$I$302,E64),""))</f>
        <v/>
      </c>
      <c r="L64" s="23">
        <f>IF(OR(J64&lt;&gt;"要調整",F64=""),"",IFERROR(INDEX(設定!$H$8:$I$27,MATCH(F64,設定!$G$8:$G$27,0),IF($M64=設定!$H$6&amp;"",1,2))-COUNTIFS($M$3:$M$302,M64,$I$3:$I$302,F64),""))</f>
        <v/>
      </c>
      <c r="M64" s="8">
        <f>IF(N64="","",INDEX(児童名簿!$A$2:$A$301,N64)&amp;"")</f>
        <v/>
      </c>
      <c r="N64" s="8">
        <f>IFERROR(MATCH(SMALL(児童名簿!$G$2:$G$301,62),児童名簿!$G$2:$G$301,0),"")</f>
        <v/>
      </c>
      <c r="O64" s="8">
        <f>IF(P64="","",IFERROR(MATCH(P64,希望入力!$K$2:$K$401,0),""))</f>
        <v/>
      </c>
      <c r="P64" s="8">
        <f>IF(N64="","",INDEX(児童名簿!$F$2:$F$301,N64))</f>
        <v/>
      </c>
      <c r="Q64" s="8">
        <f>IF(I64="","",IFERROR(MATCH(I64,設定!$G$8:$G$27,0),""))</f>
        <v/>
      </c>
      <c r="R64" s="8">
        <f>IF(Q64="","",COUNTIF($Q$3:Q64,Q64))</f>
        <v/>
      </c>
      <c r="S64" s="8">
        <f>IF(Q64="","",Q64*1000+R64)</f>
        <v/>
      </c>
    </row>
    <row r="65">
      <c r="A65" s="23">
        <f>IF(N65="","",IFERROR(INDEX(設定!$C$8:$C$23,INT(INDEX(児童名簿!$G$2:$G$301,N65)/1000)),M65&amp;INDEX(児童名簿!$B$2:$B$301,N65)))</f>
        <v/>
      </c>
      <c r="B65" s="23">
        <f>IF(N65="","",INDEX(児童名簿!$C$2:$C$301,N65))</f>
        <v/>
      </c>
      <c r="C65" s="3">
        <f>IF(N65="","",INDEX(児童名簿!$D$2:$D$301,N65))</f>
        <v/>
      </c>
      <c r="D65" s="23">
        <f>IF(O65="","",INDEX(希望入力!$D$2:$D$401,O65)&amp;"")</f>
        <v/>
      </c>
      <c r="E65" s="23">
        <f>IF(O65="","",INDEX(希望入力!$E$2:$E$401,O65)&amp;"")</f>
        <v/>
      </c>
      <c r="F65" s="23">
        <f>IF(O65="","",INDEX(希望入力!$F$2:$F$401,O65)&amp;"")</f>
        <v/>
      </c>
      <c r="G65" s="23">
        <f>IF(O65="","",IF(D65="","要調整",IFERROR(IF(COUNTIFS($M$3:$M$302,M65,$D$3:$D$302,D65)&lt;=INDEX(設定!$H$8:$I$27,MATCH(D65,設定!$G$8:$G$27,0),IF($M65=設定!$H$6&amp;"",1,2)),D65,"要調整"),"要調整")))</f>
        <v/>
      </c>
      <c r="H65" s="15" t="inlineStr">
        <is>
          <t>飼育</t>
        </is>
      </c>
      <c r="I65" s="24">
        <f>IF(N65="","",IF(H65&lt;&gt;"",H65,IF(OR(G65="",G65="要調整"),"",G65)))</f>
        <v/>
      </c>
      <c r="J65" s="23">
        <f>IF(N65="","",IF(I65&lt;&gt;"","決定",IF(O65="","未提出","要調整")))</f>
        <v/>
      </c>
      <c r="K65" s="23">
        <f>IF(OR(J65&lt;&gt;"要調整",E65=""),"",IFERROR(INDEX(設定!$H$8:$I$27,MATCH(E65,設定!$G$8:$G$27,0),IF($M65=設定!$H$6&amp;"",1,2))-COUNTIFS($M$3:$M$302,M65,$I$3:$I$302,E65),""))</f>
        <v/>
      </c>
      <c r="L65" s="23">
        <f>IF(OR(J65&lt;&gt;"要調整",F65=""),"",IFERROR(INDEX(設定!$H$8:$I$27,MATCH(F65,設定!$G$8:$G$27,0),IF($M65=設定!$H$6&amp;"",1,2))-COUNTIFS($M$3:$M$302,M65,$I$3:$I$302,F65),""))</f>
        <v/>
      </c>
      <c r="M65" s="8">
        <f>IF(N65="","",INDEX(児童名簿!$A$2:$A$301,N65)&amp;"")</f>
        <v/>
      </c>
      <c r="N65" s="8">
        <f>IFERROR(MATCH(SMALL(児童名簿!$G$2:$G$301,63),児童名簿!$G$2:$G$301,0),"")</f>
        <v/>
      </c>
      <c r="O65" s="8">
        <f>IF(P65="","",IFERROR(MATCH(P65,希望入力!$K$2:$K$401,0),""))</f>
        <v/>
      </c>
      <c r="P65" s="8">
        <f>IF(N65="","",INDEX(児童名簿!$F$2:$F$301,N65))</f>
        <v/>
      </c>
      <c r="Q65" s="8">
        <f>IF(I65="","",IFERROR(MATCH(I65,設定!$G$8:$G$27,0),""))</f>
        <v/>
      </c>
      <c r="R65" s="8">
        <f>IF(Q65="","",COUNTIF($Q$3:Q65,Q65))</f>
        <v/>
      </c>
      <c r="S65" s="8">
        <f>IF(Q65="","",Q65*1000+R65)</f>
        <v/>
      </c>
    </row>
    <row r="66">
      <c r="A66" s="23">
        <f>IF(N66="","",IFERROR(INDEX(設定!$C$8:$C$23,INT(INDEX(児童名簿!$G$2:$G$301,N66)/1000)),M66&amp;INDEX(児童名簿!$B$2:$B$301,N66)))</f>
        <v/>
      </c>
      <c r="B66" s="23">
        <f>IF(N66="","",INDEX(児童名簿!$C$2:$C$301,N66))</f>
        <v/>
      </c>
      <c r="C66" s="3">
        <f>IF(N66="","",INDEX(児童名簿!$D$2:$D$301,N66))</f>
        <v/>
      </c>
      <c r="D66" s="23">
        <f>IF(O66="","",INDEX(希望入力!$D$2:$D$401,O66)&amp;"")</f>
        <v/>
      </c>
      <c r="E66" s="23">
        <f>IF(O66="","",INDEX(希望入力!$E$2:$E$401,O66)&amp;"")</f>
        <v/>
      </c>
      <c r="F66" s="23">
        <f>IF(O66="","",INDEX(希望入力!$F$2:$F$401,O66)&amp;"")</f>
        <v/>
      </c>
      <c r="G66" s="23">
        <f>IF(O66="","",IF(D66="","要調整",IFERROR(IF(COUNTIFS($M$3:$M$302,M66,$D$3:$D$302,D66)&lt;=INDEX(設定!$H$8:$I$27,MATCH(D66,設定!$G$8:$G$27,0),IF($M66=設定!$H$6&amp;"",1,2)),D66,"要調整"),"要調整")))</f>
        <v/>
      </c>
      <c r="H66" s="15" t="n"/>
      <c r="I66" s="24">
        <f>IF(N66="","",IF(H66&lt;&gt;"",H66,IF(OR(G66="",G66="要調整"),"",G66)))</f>
        <v/>
      </c>
      <c r="J66" s="23">
        <f>IF(N66="","",IF(I66&lt;&gt;"","決定",IF(O66="","未提出","要調整")))</f>
        <v/>
      </c>
      <c r="K66" s="23">
        <f>IF(OR(J66&lt;&gt;"要調整",E66=""),"",IFERROR(INDEX(設定!$H$8:$I$27,MATCH(E66,設定!$G$8:$G$27,0),IF($M66=設定!$H$6&amp;"",1,2))-COUNTIFS($M$3:$M$302,M66,$I$3:$I$302,E66),""))</f>
        <v/>
      </c>
      <c r="L66" s="23">
        <f>IF(OR(J66&lt;&gt;"要調整",F66=""),"",IFERROR(INDEX(設定!$H$8:$I$27,MATCH(F66,設定!$G$8:$G$27,0),IF($M66=設定!$H$6&amp;"",1,2))-COUNTIFS($M$3:$M$302,M66,$I$3:$I$302,F66),""))</f>
        <v/>
      </c>
      <c r="M66" s="8">
        <f>IF(N66="","",INDEX(児童名簿!$A$2:$A$301,N66)&amp;"")</f>
        <v/>
      </c>
      <c r="N66" s="8">
        <f>IFERROR(MATCH(SMALL(児童名簿!$G$2:$G$301,64),児童名簿!$G$2:$G$301,0),"")</f>
        <v/>
      </c>
      <c r="O66" s="8">
        <f>IF(P66="","",IFERROR(MATCH(P66,希望入力!$K$2:$K$401,0),""))</f>
        <v/>
      </c>
      <c r="P66" s="8">
        <f>IF(N66="","",INDEX(児童名簿!$F$2:$F$301,N66))</f>
        <v/>
      </c>
      <c r="Q66" s="8">
        <f>IF(I66="","",IFERROR(MATCH(I66,設定!$G$8:$G$27,0),""))</f>
        <v/>
      </c>
      <c r="R66" s="8">
        <f>IF(Q66="","",COUNTIF($Q$3:Q66,Q66))</f>
        <v/>
      </c>
      <c r="S66" s="8">
        <f>IF(Q66="","",Q66*1000+R66)</f>
        <v/>
      </c>
    </row>
    <row r="67">
      <c r="A67" s="23">
        <f>IF(N67="","",IFERROR(INDEX(設定!$C$8:$C$23,INT(INDEX(児童名簿!$G$2:$G$301,N67)/1000)),M67&amp;INDEX(児童名簿!$B$2:$B$301,N67)))</f>
        <v/>
      </c>
      <c r="B67" s="23">
        <f>IF(N67="","",INDEX(児童名簿!$C$2:$C$301,N67))</f>
        <v/>
      </c>
      <c r="C67" s="3">
        <f>IF(N67="","",INDEX(児童名簿!$D$2:$D$301,N67))</f>
        <v/>
      </c>
      <c r="D67" s="23">
        <f>IF(O67="","",INDEX(希望入力!$D$2:$D$401,O67)&amp;"")</f>
        <v/>
      </c>
      <c r="E67" s="23">
        <f>IF(O67="","",INDEX(希望入力!$E$2:$E$401,O67)&amp;"")</f>
        <v/>
      </c>
      <c r="F67" s="23">
        <f>IF(O67="","",INDEX(希望入力!$F$2:$F$401,O67)&amp;"")</f>
        <v/>
      </c>
      <c r="G67" s="23">
        <f>IF(O67="","",IF(D67="","要調整",IFERROR(IF(COUNTIFS($M$3:$M$302,M67,$D$3:$D$302,D67)&lt;=INDEX(設定!$H$8:$I$27,MATCH(D67,設定!$G$8:$G$27,0),IF($M67=設定!$H$6&amp;"",1,2)),D67,"要調整"),"要調整")))</f>
        <v/>
      </c>
      <c r="H67" s="15" t="n"/>
      <c r="I67" s="24">
        <f>IF(N67="","",IF(H67&lt;&gt;"",H67,IF(OR(G67="",G67="要調整"),"",G67)))</f>
        <v/>
      </c>
      <c r="J67" s="23">
        <f>IF(N67="","",IF(I67&lt;&gt;"","決定",IF(O67="","未提出","要調整")))</f>
        <v/>
      </c>
      <c r="K67" s="23">
        <f>IF(OR(J67&lt;&gt;"要調整",E67=""),"",IFERROR(INDEX(設定!$H$8:$I$27,MATCH(E67,設定!$G$8:$G$27,0),IF($M67=設定!$H$6&amp;"",1,2))-COUNTIFS($M$3:$M$302,M67,$I$3:$I$302,E67),""))</f>
        <v/>
      </c>
      <c r="L67" s="23">
        <f>IF(OR(J67&lt;&gt;"要調整",F67=""),"",IFERROR(INDEX(設定!$H$8:$I$27,MATCH(F67,設定!$G$8:$G$27,0),IF($M67=設定!$H$6&amp;"",1,2))-COUNTIFS($M$3:$M$302,M67,$I$3:$I$302,F67),""))</f>
        <v/>
      </c>
      <c r="M67" s="8">
        <f>IF(N67="","",INDEX(児童名簿!$A$2:$A$301,N67)&amp;"")</f>
        <v/>
      </c>
      <c r="N67" s="8">
        <f>IFERROR(MATCH(SMALL(児童名簿!$G$2:$G$301,65),児童名簿!$G$2:$G$301,0),"")</f>
        <v/>
      </c>
      <c r="O67" s="8">
        <f>IF(P67="","",IFERROR(MATCH(P67,希望入力!$K$2:$K$401,0),""))</f>
        <v/>
      </c>
      <c r="P67" s="8">
        <f>IF(N67="","",INDEX(児童名簿!$F$2:$F$301,N67))</f>
        <v/>
      </c>
      <c r="Q67" s="8">
        <f>IF(I67="","",IFERROR(MATCH(I67,設定!$G$8:$G$27,0),""))</f>
        <v/>
      </c>
      <c r="R67" s="8">
        <f>IF(Q67="","",COUNTIF($Q$3:Q67,Q67))</f>
        <v/>
      </c>
      <c r="S67" s="8">
        <f>IF(Q67="","",Q67*1000+R67)</f>
        <v/>
      </c>
    </row>
    <row r="68">
      <c r="A68" s="23">
        <f>IF(N68="","",IFERROR(INDEX(設定!$C$8:$C$23,INT(INDEX(児童名簿!$G$2:$G$301,N68)/1000)),M68&amp;INDEX(児童名簿!$B$2:$B$301,N68)))</f>
        <v/>
      </c>
      <c r="B68" s="23">
        <f>IF(N68="","",INDEX(児童名簿!$C$2:$C$301,N68))</f>
        <v/>
      </c>
      <c r="C68" s="3">
        <f>IF(N68="","",INDEX(児童名簿!$D$2:$D$301,N68))</f>
        <v/>
      </c>
      <c r="D68" s="23">
        <f>IF(O68="","",INDEX(希望入力!$D$2:$D$401,O68)&amp;"")</f>
        <v/>
      </c>
      <c r="E68" s="23">
        <f>IF(O68="","",INDEX(希望入力!$E$2:$E$401,O68)&amp;"")</f>
        <v/>
      </c>
      <c r="F68" s="23">
        <f>IF(O68="","",INDEX(希望入力!$F$2:$F$401,O68)&amp;"")</f>
        <v/>
      </c>
      <c r="G68" s="23">
        <f>IF(O68="","",IF(D68="","要調整",IFERROR(IF(COUNTIFS($M$3:$M$302,M68,$D$3:$D$302,D68)&lt;=INDEX(設定!$H$8:$I$27,MATCH(D68,設定!$G$8:$G$27,0),IF($M68=設定!$H$6&amp;"",1,2)),D68,"要調整"),"要調整")))</f>
        <v/>
      </c>
      <c r="H68" s="15" t="n"/>
      <c r="I68" s="24">
        <f>IF(N68="","",IF(H68&lt;&gt;"",H68,IF(OR(G68="",G68="要調整"),"",G68)))</f>
        <v/>
      </c>
      <c r="J68" s="23">
        <f>IF(N68="","",IF(I68&lt;&gt;"","決定",IF(O68="","未提出","要調整")))</f>
        <v/>
      </c>
      <c r="K68" s="23">
        <f>IF(OR(J68&lt;&gt;"要調整",E68=""),"",IFERROR(INDEX(設定!$H$8:$I$27,MATCH(E68,設定!$G$8:$G$27,0),IF($M68=設定!$H$6&amp;"",1,2))-COUNTIFS($M$3:$M$302,M68,$I$3:$I$302,E68),""))</f>
        <v/>
      </c>
      <c r="L68" s="23">
        <f>IF(OR(J68&lt;&gt;"要調整",F68=""),"",IFERROR(INDEX(設定!$H$8:$I$27,MATCH(F68,設定!$G$8:$G$27,0),IF($M68=設定!$H$6&amp;"",1,2))-COUNTIFS($M$3:$M$302,M68,$I$3:$I$302,F68),""))</f>
        <v/>
      </c>
      <c r="M68" s="8">
        <f>IF(N68="","",INDEX(児童名簿!$A$2:$A$301,N68)&amp;"")</f>
        <v/>
      </c>
      <c r="N68" s="8">
        <f>IFERROR(MATCH(SMALL(児童名簿!$G$2:$G$301,66),児童名簿!$G$2:$G$301,0),"")</f>
        <v/>
      </c>
      <c r="O68" s="8">
        <f>IF(P68="","",IFERROR(MATCH(P68,希望入力!$K$2:$K$401,0),""))</f>
        <v/>
      </c>
      <c r="P68" s="8">
        <f>IF(N68="","",INDEX(児童名簿!$F$2:$F$301,N68))</f>
        <v/>
      </c>
      <c r="Q68" s="8">
        <f>IF(I68="","",IFERROR(MATCH(I68,設定!$G$8:$G$27,0),""))</f>
        <v/>
      </c>
      <c r="R68" s="8">
        <f>IF(Q68="","",COUNTIF($Q$3:Q68,Q68))</f>
        <v/>
      </c>
      <c r="S68" s="8">
        <f>IF(Q68="","",Q68*1000+R68)</f>
        <v/>
      </c>
    </row>
    <row r="69">
      <c r="A69" s="23">
        <f>IF(N69="","",IFERROR(INDEX(設定!$C$8:$C$23,INT(INDEX(児童名簿!$G$2:$G$301,N69)/1000)),M69&amp;INDEX(児童名簿!$B$2:$B$301,N69)))</f>
        <v/>
      </c>
      <c r="B69" s="23">
        <f>IF(N69="","",INDEX(児童名簿!$C$2:$C$301,N69))</f>
        <v/>
      </c>
      <c r="C69" s="3">
        <f>IF(N69="","",INDEX(児童名簿!$D$2:$D$301,N69))</f>
        <v/>
      </c>
      <c r="D69" s="23">
        <f>IF(O69="","",INDEX(希望入力!$D$2:$D$401,O69)&amp;"")</f>
        <v/>
      </c>
      <c r="E69" s="23">
        <f>IF(O69="","",INDEX(希望入力!$E$2:$E$401,O69)&amp;"")</f>
        <v/>
      </c>
      <c r="F69" s="23">
        <f>IF(O69="","",INDEX(希望入力!$F$2:$F$401,O69)&amp;"")</f>
        <v/>
      </c>
      <c r="G69" s="23">
        <f>IF(O69="","",IF(D69="","要調整",IFERROR(IF(COUNTIFS($M$3:$M$302,M69,$D$3:$D$302,D69)&lt;=INDEX(設定!$H$8:$I$27,MATCH(D69,設定!$G$8:$G$27,0),IF($M69=設定!$H$6&amp;"",1,2)),D69,"要調整"),"要調整")))</f>
        <v/>
      </c>
      <c r="H69" s="15" t="n"/>
      <c r="I69" s="24">
        <f>IF(N69="","",IF(H69&lt;&gt;"",H69,IF(OR(G69="",G69="要調整"),"",G69)))</f>
        <v/>
      </c>
      <c r="J69" s="23">
        <f>IF(N69="","",IF(I69&lt;&gt;"","決定",IF(O69="","未提出","要調整")))</f>
        <v/>
      </c>
      <c r="K69" s="23">
        <f>IF(OR(J69&lt;&gt;"要調整",E69=""),"",IFERROR(INDEX(設定!$H$8:$I$27,MATCH(E69,設定!$G$8:$G$27,0),IF($M69=設定!$H$6&amp;"",1,2))-COUNTIFS($M$3:$M$302,M69,$I$3:$I$302,E69),""))</f>
        <v/>
      </c>
      <c r="L69" s="23">
        <f>IF(OR(J69&lt;&gt;"要調整",F69=""),"",IFERROR(INDEX(設定!$H$8:$I$27,MATCH(F69,設定!$G$8:$G$27,0),IF($M69=設定!$H$6&amp;"",1,2))-COUNTIFS($M$3:$M$302,M69,$I$3:$I$302,F69),""))</f>
        <v/>
      </c>
      <c r="M69" s="8">
        <f>IF(N69="","",INDEX(児童名簿!$A$2:$A$301,N69)&amp;"")</f>
        <v/>
      </c>
      <c r="N69" s="8">
        <f>IFERROR(MATCH(SMALL(児童名簿!$G$2:$G$301,67),児童名簿!$G$2:$G$301,0),"")</f>
        <v/>
      </c>
      <c r="O69" s="8">
        <f>IF(P69="","",IFERROR(MATCH(P69,希望入力!$K$2:$K$401,0),""))</f>
        <v/>
      </c>
      <c r="P69" s="8">
        <f>IF(N69="","",INDEX(児童名簿!$F$2:$F$301,N69))</f>
        <v/>
      </c>
      <c r="Q69" s="8">
        <f>IF(I69="","",IFERROR(MATCH(I69,設定!$G$8:$G$27,0),""))</f>
        <v/>
      </c>
      <c r="R69" s="8">
        <f>IF(Q69="","",COUNTIF($Q$3:Q69,Q69))</f>
        <v/>
      </c>
      <c r="S69" s="8">
        <f>IF(Q69="","",Q69*1000+R69)</f>
        <v/>
      </c>
    </row>
    <row r="70">
      <c r="A70" s="23">
        <f>IF(N70="","",IFERROR(INDEX(設定!$C$8:$C$23,INT(INDEX(児童名簿!$G$2:$G$301,N70)/1000)),M70&amp;INDEX(児童名簿!$B$2:$B$301,N70)))</f>
        <v/>
      </c>
      <c r="B70" s="23">
        <f>IF(N70="","",INDEX(児童名簿!$C$2:$C$301,N70))</f>
        <v/>
      </c>
      <c r="C70" s="3">
        <f>IF(N70="","",INDEX(児童名簿!$D$2:$D$301,N70))</f>
        <v/>
      </c>
      <c r="D70" s="23">
        <f>IF(O70="","",INDEX(希望入力!$D$2:$D$401,O70)&amp;"")</f>
        <v/>
      </c>
      <c r="E70" s="23">
        <f>IF(O70="","",INDEX(希望入力!$E$2:$E$401,O70)&amp;"")</f>
        <v/>
      </c>
      <c r="F70" s="23">
        <f>IF(O70="","",INDEX(希望入力!$F$2:$F$401,O70)&amp;"")</f>
        <v/>
      </c>
      <c r="G70" s="23">
        <f>IF(O70="","",IF(D70="","要調整",IFERROR(IF(COUNTIFS($M$3:$M$302,M70,$D$3:$D$302,D70)&lt;=INDEX(設定!$H$8:$I$27,MATCH(D70,設定!$G$8:$G$27,0),IF($M70=設定!$H$6&amp;"",1,2)),D70,"要調整"),"要調整")))</f>
        <v/>
      </c>
      <c r="H70" s="15" t="inlineStr">
        <is>
          <t>飼育</t>
        </is>
      </c>
      <c r="I70" s="24">
        <f>IF(N70="","",IF(H70&lt;&gt;"",H70,IF(OR(G70="",G70="要調整"),"",G70)))</f>
        <v/>
      </c>
      <c r="J70" s="23">
        <f>IF(N70="","",IF(I70&lt;&gt;"","決定",IF(O70="","未提出","要調整")))</f>
        <v/>
      </c>
      <c r="K70" s="23">
        <f>IF(OR(J70&lt;&gt;"要調整",E70=""),"",IFERROR(INDEX(設定!$H$8:$I$27,MATCH(E70,設定!$G$8:$G$27,0),IF($M70=設定!$H$6&amp;"",1,2))-COUNTIFS($M$3:$M$302,M70,$I$3:$I$302,E70),""))</f>
        <v/>
      </c>
      <c r="L70" s="23">
        <f>IF(OR(J70&lt;&gt;"要調整",F70=""),"",IFERROR(INDEX(設定!$H$8:$I$27,MATCH(F70,設定!$G$8:$G$27,0),IF($M70=設定!$H$6&amp;"",1,2))-COUNTIFS($M$3:$M$302,M70,$I$3:$I$302,F70),""))</f>
        <v/>
      </c>
      <c r="M70" s="8">
        <f>IF(N70="","",INDEX(児童名簿!$A$2:$A$301,N70)&amp;"")</f>
        <v/>
      </c>
      <c r="N70" s="8">
        <f>IFERROR(MATCH(SMALL(児童名簿!$G$2:$G$301,68),児童名簿!$G$2:$G$301,0),"")</f>
        <v/>
      </c>
      <c r="O70" s="8">
        <f>IF(P70="","",IFERROR(MATCH(P70,希望入力!$K$2:$K$401,0),""))</f>
        <v/>
      </c>
      <c r="P70" s="8">
        <f>IF(N70="","",INDEX(児童名簿!$F$2:$F$301,N70))</f>
        <v/>
      </c>
      <c r="Q70" s="8">
        <f>IF(I70="","",IFERROR(MATCH(I70,設定!$G$8:$G$27,0),""))</f>
        <v/>
      </c>
      <c r="R70" s="8">
        <f>IF(Q70="","",COUNTIF($Q$3:Q70,Q70))</f>
        <v/>
      </c>
      <c r="S70" s="8">
        <f>IF(Q70="","",Q70*1000+R70)</f>
        <v/>
      </c>
    </row>
    <row r="71">
      <c r="A71" s="23">
        <f>IF(N71="","",IFERROR(INDEX(設定!$C$8:$C$23,INT(INDEX(児童名簿!$G$2:$G$301,N71)/1000)),M71&amp;INDEX(児童名簿!$B$2:$B$301,N71)))</f>
        <v/>
      </c>
      <c r="B71" s="23">
        <f>IF(N71="","",INDEX(児童名簿!$C$2:$C$301,N71))</f>
        <v/>
      </c>
      <c r="C71" s="3">
        <f>IF(N71="","",INDEX(児童名簿!$D$2:$D$301,N71))</f>
        <v/>
      </c>
      <c r="D71" s="23">
        <f>IF(O71="","",INDEX(希望入力!$D$2:$D$401,O71)&amp;"")</f>
        <v/>
      </c>
      <c r="E71" s="23">
        <f>IF(O71="","",INDEX(希望入力!$E$2:$E$401,O71)&amp;"")</f>
        <v/>
      </c>
      <c r="F71" s="23">
        <f>IF(O71="","",INDEX(希望入力!$F$2:$F$401,O71)&amp;"")</f>
        <v/>
      </c>
      <c r="G71" s="23">
        <f>IF(O71="","",IF(D71="","要調整",IFERROR(IF(COUNTIFS($M$3:$M$302,M71,$D$3:$D$302,D71)&lt;=INDEX(設定!$H$8:$I$27,MATCH(D71,設定!$G$8:$G$27,0),IF($M71=設定!$H$6&amp;"",1,2)),D71,"要調整"),"要調整")))</f>
        <v/>
      </c>
      <c r="H71" s="15" t="n"/>
      <c r="I71" s="24">
        <f>IF(N71="","",IF(H71&lt;&gt;"",H71,IF(OR(G71="",G71="要調整"),"",G71)))</f>
        <v/>
      </c>
      <c r="J71" s="23">
        <f>IF(N71="","",IF(I71&lt;&gt;"","決定",IF(O71="","未提出","要調整")))</f>
        <v/>
      </c>
      <c r="K71" s="23">
        <f>IF(OR(J71&lt;&gt;"要調整",E71=""),"",IFERROR(INDEX(設定!$H$8:$I$27,MATCH(E71,設定!$G$8:$G$27,0),IF($M71=設定!$H$6&amp;"",1,2))-COUNTIFS($M$3:$M$302,M71,$I$3:$I$302,E71),""))</f>
        <v/>
      </c>
      <c r="L71" s="23">
        <f>IF(OR(J71&lt;&gt;"要調整",F71=""),"",IFERROR(INDEX(設定!$H$8:$I$27,MATCH(F71,設定!$G$8:$G$27,0),IF($M71=設定!$H$6&amp;"",1,2))-COUNTIFS($M$3:$M$302,M71,$I$3:$I$302,F71),""))</f>
        <v/>
      </c>
      <c r="M71" s="8">
        <f>IF(N71="","",INDEX(児童名簿!$A$2:$A$301,N71)&amp;"")</f>
        <v/>
      </c>
      <c r="N71" s="8">
        <f>IFERROR(MATCH(SMALL(児童名簿!$G$2:$G$301,69),児童名簿!$G$2:$G$301,0),"")</f>
        <v/>
      </c>
      <c r="O71" s="8">
        <f>IF(P71="","",IFERROR(MATCH(P71,希望入力!$K$2:$K$401,0),""))</f>
        <v/>
      </c>
      <c r="P71" s="8">
        <f>IF(N71="","",INDEX(児童名簿!$F$2:$F$301,N71))</f>
        <v/>
      </c>
      <c r="Q71" s="8">
        <f>IF(I71="","",IFERROR(MATCH(I71,設定!$G$8:$G$27,0),""))</f>
        <v/>
      </c>
      <c r="R71" s="8">
        <f>IF(Q71="","",COUNTIF($Q$3:Q71,Q71))</f>
        <v/>
      </c>
      <c r="S71" s="8">
        <f>IF(Q71="","",Q71*1000+R71)</f>
        <v/>
      </c>
    </row>
    <row r="72">
      <c r="A72" s="23">
        <f>IF(N72="","",IFERROR(INDEX(設定!$C$8:$C$23,INT(INDEX(児童名簿!$G$2:$G$301,N72)/1000)),M72&amp;INDEX(児童名簿!$B$2:$B$301,N72)))</f>
        <v/>
      </c>
      <c r="B72" s="23">
        <f>IF(N72="","",INDEX(児童名簿!$C$2:$C$301,N72))</f>
        <v/>
      </c>
      <c r="C72" s="3">
        <f>IF(N72="","",INDEX(児童名簿!$D$2:$D$301,N72))</f>
        <v/>
      </c>
      <c r="D72" s="23">
        <f>IF(O72="","",INDEX(希望入力!$D$2:$D$401,O72)&amp;"")</f>
        <v/>
      </c>
      <c r="E72" s="23">
        <f>IF(O72="","",INDEX(希望入力!$E$2:$E$401,O72)&amp;"")</f>
        <v/>
      </c>
      <c r="F72" s="23">
        <f>IF(O72="","",INDEX(希望入力!$F$2:$F$401,O72)&amp;"")</f>
        <v/>
      </c>
      <c r="G72" s="23">
        <f>IF(O72="","",IF(D72="","要調整",IFERROR(IF(COUNTIFS($M$3:$M$302,M72,$D$3:$D$302,D72)&lt;=INDEX(設定!$H$8:$I$27,MATCH(D72,設定!$G$8:$G$27,0),IF($M72=設定!$H$6&amp;"",1,2)),D72,"要調整"),"要調整")))</f>
        <v/>
      </c>
      <c r="H72" s="15" t="n"/>
      <c r="I72" s="24">
        <f>IF(N72="","",IF(H72&lt;&gt;"",H72,IF(OR(G72="",G72="要調整"),"",G72)))</f>
        <v/>
      </c>
      <c r="J72" s="23">
        <f>IF(N72="","",IF(I72&lt;&gt;"","決定",IF(O72="","未提出","要調整")))</f>
        <v/>
      </c>
      <c r="K72" s="23">
        <f>IF(OR(J72&lt;&gt;"要調整",E72=""),"",IFERROR(INDEX(設定!$H$8:$I$27,MATCH(E72,設定!$G$8:$G$27,0),IF($M72=設定!$H$6&amp;"",1,2))-COUNTIFS($M$3:$M$302,M72,$I$3:$I$302,E72),""))</f>
        <v/>
      </c>
      <c r="L72" s="23">
        <f>IF(OR(J72&lt;&gt;"要調整",F72=""),"",IFERROR(INDEX(設定!$H$8:$I$27,MATCH(F72,設定!$G$8:$G$27,0),IF($M72=設定!$H$6&amp;"",1,2))-COUNTIFS($M$3:$M$302,M72,$I$3:$I$302,F72),""))</f>
        <v/>
      </c>
      <c r="M72" s="8">
        <f>IF(N72="","",INDEX(児童名簿!$A$2:$A$301,N72)&amp;"")</f>
        <v/>
      </c>
      <c r="N72" s="8">
        <f>IFERROR(MATCH(SMALL(児童名簿!$G$2:$G$301,70),児童名簿!$G$2:$G$301,0),"")</f>
        <v/>
      </c>
      <c r="O72" s="8">
        <f>IF(P72="","",IFERROR(MATCH(P72,希望入力!$K$2:$K$401,0),""))</f>
        <v/>
      </c>
      <c r="P72" s="8">
        <f>IF(N72="","",INDEX(児童名簿!$F$2:$F$301,N72))</f>
        <v/>
      </c>
      <c r="Q72" s="8">
        <f>IF(I72="","",IFERROR(MATCH(I72,設定!$G$8:$G$27,0),""))</f>
        <v/>
      </c>
      <c r="R72" s="8">
        <f>IF(Q72="","",COUNTIF($Q$3:Q72,Q72))</f>
        <v/>
      </c>
      <c r="S72" s="8">
        <f>IF(Q72="","",Q72*1000+R72)</f>
        <v/>
      </c>
    </row>
    <row r="73">
      <c r="A73" s="23">
        <f>IF(N73="","",IFERROR(INDEX(設定!$C$8:$C$23,INT(INDEX(児童名簿!$G$2:$G$301,N73)/1000)),M73&amp;INDEX(児童名簿!$B$2:$B$301,N73)))</f>
        <v/>
      </c>
      <c r="B73" s="23">
        <f>IF(N73="","",INDEX(児童名簿!$C$2:$C$301,N73))</f>
        <v/>
      </c>
      <c r="C73" s="3">
        <f>IF(N73="","",INDEX(児童名簿!$D$2:$D$301,N73))</f>
        <v/>
      </c>
      <c r="D73" s="23">
        <f>IF(O73="","",INDEX(希望入力!$D$2:$D$401,O73)&amp;"")</f>
        <v/>
      </c>
      <c r="E73" s="23">
        <f>IF(O73="","",INDEX(希望入力!$E$2:$E$401,O73)&amp;"")</f>
        <v/>
      </c>
      <c r="F73" s="23">
        <f>IF(O73="","",INDEX(希望入力!$F$2:$F$401,O73)&amp;"")</f>
        <v/>
      </c>
      <c r="G73" s="23">
        <f>IF(O73="","",IF(D73="","要調整",IFERROR(IF(COUNTIFS($M$3:$M$302,M73,$D$3:$D$302,D73)&lt;=INDEX(設定!$H$8:$I$27,MATCH(D73,設定!$G$8:$G$27,0),IF($M73=設定!$H$6&amp;"",1,2)),D73,"要調整"),"要調整")))</f>
        <v/>
      </c>
      <c r="H73" s="15" t="n"/>
      <c r="I73" s="24">
        <f>IF(N73="","",IF(H73&lt;&gt;"",H73,IF(OR(G73="",G73="要調整"),"",G73)))</f>
        <v/>
      </c>
      <c r="J73" s="23">
        <f>IF(N73="","",IF(I73&lt;&gt;"","決定",IF(O73="","未提出","要調整")))</f>
        <v/>
      </c>
      <c r="K73" s="23">
        <f>IF(OR(J73&lt;&gt;"要調整",E73=""),"",IFERROR(INDEX(設定!$H$8:$I$27,MATCH(E73,設定!$G$8:$G$27,0),IF($M73=設定!$H$6&amp;"",1,2))-COUNTIFS($M$3:$M$302,M73,$I$3:$I$302,E73),""))</f>
        <v/>
      </c>
      <c r="L73" s="23">
        <f>IF(OR(J73&lt;&gt;"要調整",F73=""),"",IFERROR(INDEX(設定!$H$8:$I$27,MATCH(F73,設定!$G$8:$G$27,0),IF($M73=設定!$H$6&amp;"",1,2))-COUNTIFS($M$3:$M$302,M73,$I$3:$I$302,F73),""))</f>
        <v/>
      </c>
      <c r="M73" s="8">
        <f>IF(N73="","",INDEX(児童名簿!$A$2:$A$301,N73)&amp;"")</f>
        <v/>
      </c>
      <c r="N73" s="8">
        <f>IFERROR(MATCH(SMALL(児童名簿!$G$2:$G$301,71),児童名簿!$G$2:$G$301,0),"")</f>
        <v/>
      </c>
      <c r="O73" s="8">
        <f>IF(P73="","",IFERROR(MATCH(P73,希望入力!$K$2:$K$401,0),""))</f>
        <v/>
      </c>
      <c r="P73" s="8">
        <f>IF(N73="","",INDEX(児童名簿!$F$2:$F$301,N73))</f>
        <v/>
      </c>
      <c r="Q73" s="8">
        <f>IF(I73="","",IFERROR(MATCH(I73,設定!$G$8:$G$27,0),""))</f>
        <v/>
      </c>
      <c r="R73" s="8">
        <f>IF(Q73="","",COUNTIF($Q$3:Q73,Q73))</f>
        <v/>
      </c>
      <c r="S73" s="8">
        <f>IF(Q73="","",Q73*1000+R73)</f>
        <v/>
      </c>
    </row>
    <row r="74">
      <c r="A74" s="23">
        <f>IF(N74="","",IFERROR(INDEX(設定!$C$8:$C$23,INT(INDEX(児童名簿!$G$2:$G$301,N74)/1000)),M74&amp;INDEX(児童名簿!$B$2:$B$301,N74)))</f>
        <v/>
      </c>
      <c r="B74" s="23">
        <f>IF(N74="","",INDEX(児童名簿!$C$2:$C$301,N74))</f>
        <v/>
      </c>
      <c r="C74" s="3">
        <f>IF(N74="","",INDEX(児童名簿!$D$2:$D$301,N74))</f>
        <v/>
      </c>
      <c r="D74" s="23">
        <f>IF(O74="","",INDEX(希望入力!$D$2:$D$401,O74)&amp;"")</f>
        <v/>
      </c>
      <c r="E74" s="23">
        <f>IF(O74="","",INDEX(希望入力!$E$2:$E$401,O74)&amp;"")</f>
        <v/>
      </c>
      <c r="F74" s="23">
        <f>IF(O74="","",INDEX(希望入力!$F$2:$F$401,O74)&amp;"")</f>
        <v/>
      </c>
      <c r="G74" s="23">
        <f>IF(O74="","",IF(D74="","要調整",IFERROR(IF(COUNTIFS($M$3:$M$302,M74,$D$3:$D$302,D74)&lt;=INDEX(設定!$H$8:$I$27,MATCH(D74,設定!$G$8:$G$27,0),IF($M74=設定!$H$6&amp;"",1,2)),D74,"要調整"),"要調整")))</f>
        <v/>
      </c>
      <c r="H74" s="15" t="n"/>
      <c r="I74" s="24">
        <f>IF(N74="","",IF(H74&lt;&gt;"",H74,IF(OR(G74="",G74="要調整"),"",G74)))</f>
        <v/>
      </c>
      <c r="J74" s="23">
        <f>IF(N74="","",IF(I74&lt;&gt;"","決定",IF(O74="","未提出","要調整")))</f>
        <v/>
      </c>
      <c r="K74" s="23">
        <f>IF(OR(J74&lt;&gt;"要調整",E74=""),"",IFERROR(INDEX(設定!$H$8:$I$27,MATCH(E74,設定!$G$8:$G$27,0),IF($M74=設定!$H$6&amp;"",1,2))-COUNTIFS($M$3:$M$302,M74,$I$3:$I$302,E74),""))</f>
        <v/>
      </c>
      <c r="L74" s="23">
        <f>IF(OR(J74&lt;&gt;"要調整",F74=""),"",IFERROR(INDEX(設定!$H$8:$I$27,MATCH(F74,設定!$G$8:$G$27,0),IF($M74=設定!$H$6&amp;"",1,2))-COUNTIFS($M$3:$M$302,M74,$I$3:$I$302,F74),""))</f>
        <v/>
      </c>
      <c r="M74" s="8">
        <f>IF(N74="","",INDEX(児童名簿!$A$2:$A$301,N74)&amp;"")</f>
        <v/>
      </c>
      <c r="N74" s="8">
        <f>IFERROR(MATCH(SMALL(児童名簿!$G$2:$G$301,72),児童名簿!$G$2:$G$301,0),"")</f>
        <v/>
      </c>
      <c r="O74" s="8">
        <f>IF(P74="","",IFERROR(MATCH(P74,希望入力!$K$2:$K$401,0),""))</f>
        <v/>
      </c>
      <c r="P74" s="8">
        <f>IF(N74="","",INDEX(児童名簿!$F$2:$F$301,N74))</f>
        <v/>
      </c>
      <c r="Q74" s="8">
        <f>IF(I74="","",IFERROR(MATCH(I74,設定!$G$8:$G$27,0),""))</f>
        <v/>
      </c>
      <c r="R74" s="8">
        <f>IF(Q74="","",COUNTIF($Q$3:Q74,Q74))</f>
        <v/>
      </c>
      <c r="S74" s="8">
        <f>IF(Q74="","",Q74*1000+R74)</f>
        <v/>
      </c>
    </row>
    <row r="75">
      <c r="A75" s="23">
        <f>IF(N75="","",IFERROR(INDEX(設定!$C$8:$C$23,INT(INDEX(児童名簿!$G$2:$G$301,N75)/1000)),M75&amp;INDEX(児童名簿!$B$2:$B$301,N75)))</f>
        <v/>
      </c>
      <c r="B75" s="23">
        <f>IF(N75="","",INDEX(児童名簿!$C$2:$C$301,N75))</f>
        <v/>
      </c>
      <c r="C75" s="3">
        <f>IF(N75="","",INDEX(児童名簿!$D$2:$D$301,N75))</f>
        <v/>
      </c>
      <c r="D75" s="23">
        <f>IF(O75="","",INDEX(希望入力!$D$2:$D$401,O75)&amp;"")</f>
        <v/>
      </c>
      <c r="E75" s="23">
        <f>IF(O75="","",INDEX(希望入力!$E$2:$E$401,O75)&amp;"")</f>
        <v/>
      </c>
      <c r="F75" s="23">
        <f>IF(O75="","",INDEX(希望入力!$F$2:$F$401,O75)&amp;"")</f>
        <v/>
      </c>
      <c r="G75" s="23">
        <f>IF(O75="","",IF(D75="","要調整",IFERROR(IF(COUNTIFS($M$3:$M$302,M75,$D$3:$D$302,D75)&lt;=INDEX(設定!$H$8:$I$27,MATCH(D75,設定!$G$8:$G$27,0),IF($M75=設定!$H$6&amp;"",1,2)),D75,"要調整"),"要調整")))</f>
        <v/>
      </c>
      <c r="H75" s="15" t="n"/>
      <c r="I75" s="24">
        <f>IF(N75="","",IF(H75&lt;&gt;"",H75,IF(OR(G75="",G75="要調整"),"",G75)))</f>
        <v/>
      </c>
      <c r="J75" s="23">
        <f>IF(N75="","",IF(I75&lt;&gt;"","決定",IF(O75="","未提出","要調整")))</f>
        <v/>
      </c>
      <c r="K75" s="23">
        <f>IF(OR(J75&lt;&gt;"要調整",E75=""),"",IFERROR(INDEX(設定!$H$8:$I$27,MATCH(E75,設定!$G$8:$G$27,0),IF($M75=設定!$H$6&amp;"",1,2))-COUNTIFS($M$3:$M$302,M75,$I$3:$I$302,E75),""))</f>
        <v/>
      </c>
      <c r="L75" s="23">
        <f>IF(OR(J75&lt;&gt;"要調整",F75=""),"",IFERROR(INDEX(設定!$H$8:$I$27,MATCH(F75,設定!$G$8:$G$27,0),IF($M75=設定!$H$6&amp;"",1,2))-COUNTIFS($M$3:$M$302,M75,$I$3:$I$302,F75),""))</f>
        <v/>
      </c>
      <c r="M75" s="8">
        <f>IF(N75="","",INDEX(児童名簿!$A$2:$A$301,N75)&amp;"")</f>
        <v/>
      </c>
      <c r="N75" s="8">
        <f>IFERROR(MATCH(SMALL(児童名簿!$G$2:$G$301,73),児童名簿!$G$2:$G$301,0),"")</f>
        <v/>
      </c>
      <c r="O75" s="8">
        <f>IF(P75="","",IFERROR(MATCH(P75,希望入力!$K$2:$K$401,0),""))</f>
        <v/>
      </c>
      <c r="P75" s="8">
        <f>IF(N75="","",INDEX(児童名簿!$F$2:$F$301,N75))</f>
        <v/>
      </c>
      <c r="Q75" s="8">
        <f>IF(I75="","",IFERROR(MATCH(I75,設定!$G$8:$G$27,0),""))</f>
        <v/>
      </c>
      <c r="R75" s="8">
        <f>IF(Q75="","",COUNTIF($Q$3:Q75,Q75))</f>
        <v/>
      </c>
      <c r="S75" s="8">
        <f>IF(Q75="","",Q75*1000+R75)</f>
        <v/>
      </c>
    </row>
    <row r="76">
      <c r="A76" s="23">
        <f>IF(N76="","",IFERROR(INDEX(設定!$C$8:$C$23,INT(INDEX(児童名簿!$G$2:$G$301,N76)/1000)),M76&amp;INDEX(児童名簿!$B$2:$B$301,N76)))</f>
        <v/>
      </c>
      <c r="B76" s="23">
        <f>IF(N76="","",INDEX(児童名簿!$C$2:$C$301,N76))</f>
        <v/>
      </c>
      <c r="C76" s="3">
        <f>IF(N76="","",INDEX(児童名簿!$D$2:$D$301,N76))</f>
        <v/>
      </c>
      <c r="D76" s="23">
        <f>IF(O76="","",INDEX(希望入力!$D$2:$D$401,O76)&amp;"")</f>
        <v/>
      </c>
      <c r="E76" s="23">
        <f>IF(O76="","",INDEX(希望入力!$E$2:$E$401,O76)&amp;"")</f>
        <v/>
      </c>
      <c r="F76" s="23">
        <f>IF(O76="","",INDEX(希望入力!$F$2:$F$401,O76)&amp;"")</f>
        <v/>
      </c>
      <c r="G76" s="23">
        <f>IF(O76="","",IF(D76="","要調整",IFERROR(IF(COUNTIFS($M$3:$M$302,M76,$D$3:$D$302,D76)&lt;=INDEX(設定!$H$8:$I$27,MATCH(D76,設定!$G$8:$G$27,0),IF($M76=設定!$H$6&amp;"",1,2)),D76,"要調整"),"要調整")))</f>
        <v/>
      </c>
      <c r="H76" s="15" t="n"/>
      <c r="I76" s="24">
        <f>IF(N76="","",IF(H76&lt;&gt;"",H76,IF(OR(G76="",G76="要調整"),"",G76)))</f>
        <v/>
      </c>
      <c r="J76" s="23">
        <f>IF(N76="","",IF(I76&lt;&gt;"","決定",IF(O76="","未提出","要調整")))</f>
        <v/>
      </c>
      <c r="K76" s="23">
        <f>IF(OR(J76&lt;&gt;"要調整",E76=""),"",IFERROR(INDEX(設定!$H$8:$I$27,MATCH(E76,設定!$G$8:$G$27,0),IF($M76=設定!$H$6&amp;"",1,2))-COUNTIFS($M$3:$M$302,M76,$I$3:$I$302,E76),""))</f>
        <v/>
      </c>
      <c r="L76" s="23">
        <f>IF(OR(J76&lt;&gt;"要調整",F76=""),"",IFERROR(INDEX(設定!$H$8:$I$27,MATCH(F76,設定!$G$8:$G$27,0),IF($M76=設定!$H$6&amp;"",1,2))-COUNTIFS($M$3:$M$302,M76,$I$3:$I$302,F76),""))</f>
        <v/>
      </c>
      <c r="M76" s="8">
        <f>IF(N76="","",INDEX(児童名簿!$A$2:$A$301,N76)&amp;"")</f>
        <v/>
      </c>
      <c r="N76" s="8">
        <f>IFERROR(MATCH(SMALL(児童名簿!$G$2:$G$301,74),児童名簿!$G$2:$G$301,0),"")</f>
        <v/>
      </c>
      <c r="O76" s="8">
        <f>IF(P76="","",IFERROR(MATCH(P76,希望入力!$K$2:$K$401,0),""))</f>
        <v/>
      </c>
      <c r="P76" s="8">
        <f>IF(N76="","",INDEX(児童名簿!$F$2:$F$301,N76))</f>
        <v/>
      </c>
      <c r="Q76" s="8">
        <f>IF(I76="","",IFERROR(MATCH(I76,設定!$G$8:$G$27,0),""))</f>
        <v/>
      </c>
      <c r="R76" s="8">
        <f>IF(Q76="","",COUNTIF($Q$3:Q76,Q76))</f>
        <v/>
      </c>
      <c r="S76" s="8">
        <f>IF(Q76="","",Q76*1000+R76)</f>
        <v/>
      </c>
    </row>
    <row r="77">
      <c r="A77" s="23">
        <f>IF(N77="","",IFERROR(INDEX(設定!$C$8:$C$23,INT(INDEX(児童名簿!$G$2:$G$301,N77)/1000)),M77&amp;INDEX(児童名簿!$B$2:$B$301,N77)))</f>
        <v/>
      </c>
      <c r="B77" s="23">
        <f>IF(N77="","",INDEX(児童名簿!$C$2:$C$301,N77))</f>
        <v/>
      </c>
      <c r="C77" s="3">
        <f>IF(N77="","",INDEX(児童名簿!$D$2:$D$301,N77))</f>
        <v/>
      </c>
      <c r="D77" s="23">
        <f>IF(O77="","",INDEX(希望入力!$D$2:$D$401,O77)&amp;"")</f>
        <v/>
      </c>
      <c r="E77" s="23">
        <f>IF(O77="","",INDEX(希望入力!$E$2:$E$401,O77)&amp;"")</f>
        <v/>
      </c>
      <c r="F77" s="23">
        <f>IF(O77="","",INDEX(希望入力!$F$2:$F$401,O77)&amp;"")</f>
        <v/>
      </c>
      <c r="G77" s="23">
        <f>IF(O77="","",IF(D77="","要調整",IFERROR(IF(COUNTIFS($M$3:$M$302,M77,$D$3:$D$302,D77)&lt;=INDEX(設定!$H$8:$I$27,MATCH(D77,設定!$G$8:$G$27,0),IF($M77=設定!$H$6&amp;"",1,2)),D77,"要調整"),"要調整")))</f>
        <v/>
      </c>
      <c r="H77" s="15" t="n"/>
      <c r="I77" s="24">
        <f>IF(N77="","",IF(H77&lt;&gt;"",H77,IF(OR(G77="",G77="要調整"),"",G77)))</f>
        <v/>
      </c>
      <c r="J77" s="23">
        <f>IF(N77="","",IF(I77&lt;&gt;"","決定",IF(O77="","未提出","要調整")))</f>
        <v/>
      </c>
      <c r="K77" s="23">
        <f>IF(OR(J77&lt;&gt;"要調整",E77=""),"",IFERROR(INDEX(設定!$H$8:$I$27,MATCH(E77,設定!$G$8:$G$27,0),IF($M77=設定!$H$6&amp;"",1,2))-COUNTIFS($M$3:$M$302,M77,$I$3:$I$302,E77),""))</f>
        <v/>
      </c>
      <c r="L77" s="23">
        <f>IF(OR(J77&lt;&gt;"要調整",F77=""),"",IFERROR(INDEX(設定!$H$8:$I$27,MATCH(F77,設定!$G$8:$G$27,0),IF($M77=設定!$H$6&amp;"",1,2))-COUNTIFS($M$3:$M$302,M77,$I$3:$I$302,F77),""))</f>
        <v/>
      </c>
      <c r="M77" s="8">
        <f>IF(N77="","",INDEX(児童名簿!$A$2:$A$301,N77)&amp;"")</f>
        <v/>
      </c>
      <c r="N77" s="8">
        <f>IFERROR(MATCH(SMALL(児童名簿!$G$2:$G$301,75),児童名簿!$G$2:$G$301,0),"")</f>
        <v/>
      </c>
      <c r="O77" s="8">
        <f>IF(P77="","",IFERROR(MATCH(P77,希望入力!$K$2:$K$401,0),""))</f>
        <v/>
      </c>
      <c r="P77" s="8">
        <f>IF(N77="","",INDEX(児童名簿!$F$2:$F$301,N77))</f>
        <v/>
      </c>
      <c r="Q77" s="8">
        <f>IF(I77="","",IFERROR(MATCH(I77,設定!$G$8:$G$27,0),""))</f>
        <v/>
      </c>
      <c r="R77" s="8">
        <f>IF(Q77="","",COUNTIF($Q$3:Q77,Q77))</f>
        <v/>
      </c>
      <c r="S77" s="8">
        <f>IF(Q77="","",Q77*1000+R77)</f>
        <v/>
      </c>
    </row>
    <row r="78">
      <c r="A78" s="23">
        <f>IF(N78="","",IFERROR(INDEX(設定!$C$8:$C$23,INT(INDEX(児童名簿!$G$2:$G$301,N78)/1000)),M78&amp;INDEX(児童名簿!$B$2:$B$301,N78)))</f>
        <v/>
      </c>
      <c r="B78" s="23">
        <f>IF(N78="","",INDEX(児童名簿!$C$2:$C$301,N78))</f>
        <v/>
      </c>
      <c r="C78" s="3">
        <f>IF(N78="","",INDEX(児童名簿!$D$2:$D$301,N78))</f>
        <v/>
      </c>
      <c r="D78" s="23">
        <f>IF(O78="","",INDEX(希望入力!$D$2:$D$401,O78)&amp;"")</f>
        <v/>
      </c>
      <c r="E78" s="23">
        <f>IF(O78="","",INDEX(希望入力!$E$2:$E$401,O78)&amp;"")</f>
        <v/>
      </c>
      <c r="F78" s="23">
        <f>IF(O78="","",INDEX(希望入力!$F$2:$F$401,O78)&amp;"")</f>
        <v/>
      </c>
      <c r="G78" s="23">
        <f>IF(O78="","",IF(D78="","要調整",IFERROR(IF(COUNTIFS($M$3:$M$302,M78,$D$3:$D$302,D78)&lt;=INDEX(設定!$H$8:$I$27,MATCH(D78,設定!$G$8:$G$27,0),IF($M78=設定!$H$6&amp;"",1,2)),D78,"要調整"),"要調整")))</f>
        <v/>
      </c>
      <c r="H78" s="15" t="inlineStr">
        <is>
          <t>飼育</t>
        </is>
      </c>
      <c r="I78" s="24">
        <f>IF(N78="","",IF(H78&lt;&gt;"",H78,IF(OR(G78="",G78="要調整"),"",G78)))</f>
        <v/>
      </c>
      <c r="J78" s="23">
        <f>IF(N78="","",IF(I78&lt;&gt;"","決定",IF(O78="","未提出","要調整")))</f>
        <v/>
      </c>
      <c r="K78" s="23">
        <f>IF(OR(J78&lt;&gt;"要調整",E78=""),"",IFERROR(INDEX(設定!$H$8:$I$27,MATCH(E78,設定!$G$8:$G$27,0),IF($M78=設定!$H$6&amp;"",1,2))-COUNTIFS($M$3:$M$302,M78,$I$3:$I$302,E78),""))</f>
        <v/>
      </c>
      <c r="L78" s="23">
        <f>IF(OR(J78&lt;&gt;"要調整",F78=""),"",IFERROR(INDEX(設定!$H$8:$I$27,MATCH(F78,設定!$G$8:$G$27,0),IF($M78=設定!$H$6&amp;"",1,2))-COUNTIFS($M$3:$M$302,M78,$I$3:$I$302,F78),""))</f>
        <v/>
      </c>
      <c r="M78" s="8">
        <f>IF(N78="","",INDEX(児童名簿!$A$2:$A$301,N78)&amp;"")</f>
        <v/>
      </c>
      <c r="N78" s="8">
        <f>IFERROR(MATCH(SMALL(児童名簿!$G$2:$G$301,76),児童名簿!$G$2:$G$301,0),"")</f>
        <v/>
      </c>
      <c r="O78" s="8">
        <f>IF(P78="","",IFERROR(MATCH(P78,希望入力!$K$2:$K$401,0),""))</f>
        <v/>
      </c>
      <c r="P78" s="8">
        <f>IF(N78="","",INDEX(児童名簿!$F$2:$F$301,N78))</f>
        <v/>
      </c>
      <c r="Q78" s="8">
        <f>IF(I78="","",IFERROR(MATCH(I78,設定!$G$8:$G$27,0),""))</f>
        <v/>
      </c>
      <c r="R78" s="8">
        <f>IF(Q78="","",COUNTIF($Q$3:Q78,Q78))</f>
        <v/>
      </c>
      <c r="S78" s="8">
        <f>IF(Q78="","",Q78*1000+R78)</f>
        <v/>
      </c>
    </row>
    <row r="79">
      <c r="A79" s="23">
        <f>IF(N79="","",IFERROR(INDEX(設定!$C$8:$C$23,INT(INDEX(児童名簿!$G$2:$G$301,N79)/1000)),M79&amp;INDEX(児童名簿!$B$2:$B$301,N79)))</f>
        <v/>
      </c>
      <c r="B79" s="23">
        <f>IF(N79="","",INDEX(児童名簿!$C$2:$C$301,N79))</f>
        <v/>
      </c>
      <c r="C79" s="3">
        <f>IF(N79="","",INDEX(児童名簿!$D$2:$D$301,N79))</f>
        <v/>
      </c>
      <c r="D79" s="23">
        <f>IF(O79="","",INDEX(希望入力!$D$2:$D$401,O79)&amp;"")</f>
        <v/>
      </c>
      <c r="E79" s="23">
        <f>IF(O79="","",INDEX(希望入力!$E$2:$E$401,O79)&amp;"")</f>
        <v/>
      </c>
      <c r="F79" s="23">
        <f>IF(O79="","",INDEX(希望入力!$F$2:$F$401,O79)&amp;"")</f>
        <v/>
      </c>
      <c r="G79" s="23">
        <f>IF(O79="","",IF(D79="","要調整",IFERROR(IF(COUNTIFS($M$3:$M$302,M79,$D$3:$D$302,D79)&lt;=INDEX(設定!$H$8:$I$27,MATCH(D79,設定!$G$8:$G$27,0),IF($M79=設定!$H$6&amp;"",1,2)),D79,"要調整"),"要調整")))</f>
        <v/>
      </c>
      <c r="H79" s="15" t="n"/>
      <c r="I79" s="24">
        <f>IF(N79="","",IF(H79&lt;&gt;"",H79,IF(OR(G79="",G79="要調整"),"",G79)))</f>
        <v/>
      </c>
      <c r="J79" s="23">
        <f>IF(N79="","",IF(I79&lt;&gt;"","決定",IF(O79="","未提出","要調整")))</f>
        <v/>
      </c>
      <c r="K79" s="23">
        <f>IF(OR(J79&lt;&gt;"要調整",E79=""),"",IFERROR(INDEX(設定!$H$8:$I$27,MATCH(E79,設定!$G$8:$G$27,0),IF($M79=設定!$H$6&amp;"",1,2))-COUNTIFS($M$3:$M$302,M79,$I$3:$I$302,E79),""))</f>
        <v/>
      </c>
      <c r="L79" s="23">
        <f>IF(OR(J79&lt;&gt;"要調整",F79=""),"",IFERROR(INDEX(設定!$H$8:$I$27,MATCH(F79,設定!$G$8:$G$27,0),IF($M79=設定!$H$6&amp;"",1,2))-COUNTIFS($M$3:$M$302,M79,$I$3:$I$302,F79),""))</f>
        <v/>
      </c>
      <c r="M79" s="8">
        <f>IF(N79="","",INDEX(児童名簿!$A$2:$A$301,N79)&amp;"")</f>
        <v/>
      </c>
      <c r="N79" s="8">
        <f>IFERROR(MATCH(SMALL(児童名簿!$G$2:$G$301,77),児童名簿!$G$2:$G$301,0),"")</f>
        <v/>
      </c>
      <c r="O79" s="8">
        <f>IF(P79="","",IFERROR(MATCH(P79,希望入力!$K$2:$K$401,0),""))</f>
        <v/>
      </c>
      <c r="P79" s="8">
        <f>IF(N79="","",INDEX(児童名簿!$F$2:$F$301,N79))</f>
        <v/>
      </c>
      <c r="Q79" s="8">
        <f>IF(I79="","",IFERROR(MATCH(I79,設定!$G$8:$G$27,0),""))</f>
        <v/>
      </c>
      <c r="R79" s="8">
        <f>IF(Q79="","",COUNTIF($Q$3:Q79,Q79))</f>
        <v/>
      </c>
      <c r="S79" s="8">
        <f>IF(Q79="","",Q79*1000+R79)</f>
        <v/>
      </c>
    </row>
    <row r="80">
      <c r="A80" s="23">
        <f>IF(N80="","",IFERROR(INDEX(設定!$C$8:$C$23,INT(INDEX(児童名簿!$G$2:$G$301,N80)/1000)),M80&amp;INDEX(児童名簿!$B$2:$B$301,N80)))</f>
        <v/>
      </c>
      <c r="B80" s="23">
        <f>IF(N80="","",INDEX(児童名簿!$C$2:$C$301,N80))</f>
        <v/>
      </c>
      <c r="C80" s="3">
        <f>IF(N80="","",INDEX(児童名簿!$D$2:$D$301,N80))</f>
        <v/>
      </c>
      <c r="D80" s="23">
        <f>IF(O80="","",INDEX(希望入力!$D$2:$D$401,O80)&amp;"")</f>
        <v/>
      </c>
      <c r="E80" s="23">
        <f>IF(O80="","",INDEX(希望入力!$E$2:$E$401,O80)&amp;"")</f>
        <v/>
      </c>
      <c r="F80" s="23">
        <f>IF(O80="","",INDEX(希望入力!$F$2:$F$401,O80)&amp;"")</f>
        <v/>
      </c>
      <c r="G80" s="23">
        <f>IF(O80="","",IF(D80="","要調整",IFERROR(IF(COUNTIFS($M$3:$M$302,M80,$D$3:$D$302,D80)&lt;=INDEX(設定!$H$8:$I$27,MATCH(D80,設定!$G$8:$G$27,0),IF($M80=設定!$H$6&amp;"",1,2)),D80,"要調整"),"要調整")))</f>
        <v/>
      </c>
      <c r="H80" s="15" t="inlineStr">
        <is>
          <t>飼育</t>
        </is>
      </c>
      <c r="I80" s="24">
        <f>IF(N80="","",IF(H80&lt;&gt;"",H80,IF(OR(G80="",G80="要調整"),"",G80)))</f>
        <v/>
      </c>
      <c r="J80" s="23">
        <f>IF(N80="","",IF(I80&lt;&gt;"","決定",IF(O80="","未提出","要調整")))</f>
        <v/>
      </c>
      <c r="K80" s="23">
        <f>IF(OR(J80&lt;&gt;"要調整",E80=""),"",IFERROR(INDEX(設定!$H$8:$I$27,MATCH(E80,設定!$G$8:$G$27,0),IF($M80=設定!$H$6&amp;"",1,2))-COUNTIFS($M$3:$M$302,M80,$I$3:$I$302,E80),""))</f>
        <v/>
      </c>
      <c r="L80" s="23">
        <f>IF(OR(J80&lt;&gt;"要調整",F80=""),"",IFERROR(INDEX(設定!$H$8:$I$27,MATCH(F80,設定!$G$8:$G$27,0),IF($M80=設定!$H$6&amp;"",1,2))-COUNTIFS($M$3:$M$302,M80,$I$3:$I$302,F80),""))</f>
        <v/>
      </c>
      <c r="M80" s="8">
        <f>IF(N80="","",INDEX(児童名簿!$A$2:$A$301,N80)&amp;"")</f>
        <v/>
      </c>
      <c r="N80" s="8">
        <f>IFERROR(MATCH(SMALL(児童名簿!$G$2:$G$301,78),児童名簿!$G$2:$G$301,0),"")</f>
        <v/>
      </c>
      <c r="O80" s="8">
        <f>IF(P80="","",IFERROR(MATCH(P80,希望入力!$K$2:$K$401,0),""))</f>
        <v/>
      </c>
      <c r="P80" s="8">
        <f>IF(N80="","",INDEX(児童名簿!$F$2:$F$301,N80))</f>
        <v/>
      </c>
      <c r="Q80" s="8">
        <f>IF(I80="","",IFERROR(MATCH(I80,設定!$G$8:$G$27,0),""))</f>
        <v/>
      </c>
      <c r="R80" s="8">
        <f>IF(Q80="","",COUNTIF($Q$3:Q80,Q80))</f>
        <v/>
      </c>
      <c r="S80" s="8">
        <f>IF(Q80="","",Q80*1000+R80)</f>
        <v/>
      </c>
    </row>
    <row r="81">
      <c r="A81" s="23">
        <f>IF(N81="","",IFERROR(INDEX(設定!$C$8:$C$23,INT(INDEX(児童名簿!$G$2:$G$301,N81)/1000)),M81&amp;INDEX(児童名簿!$B$2:$B$301,N81)))</f>
        <v/>
      </c>
      <c r="B81" s="23">
        <f>IF(N81="","",INDEX(児童名簿!$C$2:$C$301,N81))</f>
        <v/>
      </c>
      <c r="C81" s="3">
        <f>IF(N81="","",INDEX(児童名簿!$D$2:$D$301,N81))</f>
        <v/>
      </c>
      <c r="D81" s="23">
        <f>IF(O81="","",INDEX(希望入力!$D$2:$D$401,O81)&amp;"")</f>
        <v/>
      </c>
      <c r="E81" s="23">
        <f>IF(O81="","",INDEX(希望入力!$E$2:$E$401,O81)&amp;"")</f>
        <v/>
      </c>
      <c r="F81" s="23">
        <f>IF(O81="","",INDEX(希望入力!$F$2:$F$401,O81)&amp;"")</f>
        <v/>
      </c>
      <c r="G81" s="23">
        <f>IF(O81="","",IF(D81="","要調整",IFERROR(IF(COUNTIFS($M$3:$M$302,M81,$D$3:$D$302,D81)&lt;=INDEX(設定!$H$8:$I$27,MATCH(D81,設定!$G$8:$G$27,0),IF($M81=設定!$H$6&amp;"",1,2)),D81,"要調整"),"要調整")))</f>
        <v/>
      </c>
      <c r="H81" s="15" t="n"/>
      <c r="I81" s="24">
        <f>IF(N81="","",IF(H81&lt;&gt;"",H81,IF(OR(G81="",G81="要調整"),"",G81)))</f>
        <v/>
      </c>
      <c r="J81" s="23">
        <f>IF(N81="","",IF(I81&lt;&gt;"","決定",IF(O81="","未提出","要調整")))</f>
        <v/>
      </c>
      <c r="K81" s="23">
        <f>IF(OR(J81&lt;&gt;"要調整",E81=""),"",IFERROR(INDEX(設定!$H$8:$I$27,MATCH(E81,設定!$G$8:$G$27,0),IF($M81=設定!$H$6&amp;"",1,2))-COUNTIFS($M$3:$M$302,M81,$I$3:$I$302,E81),""))</f>
        <v/>
      </c>
      <c r="L81" s="23">
        <f>IF(OR(J81&lt;&gt;"要調整",F81=""),"",IFERROR(INDEX(設定!$H$8:$I$27,MATCH(F81,設定!$G$8:$G$27,0),IF($M81=設定!$H$6&amp;"",1,2))-COUNTIFS($M$3:$M$302,M81,$I$3:$I$302,F81),""))</f>
        <v/>
      </c>
      <c r="M81" s="8">
        <f>IF(N81="","",INDEX(児童名簿!$A$2:$A$301,N81)&amp;"")</f>
        <v/>
      </c>
      <c r="N81" s="8">
        <f>IFERROR(MATCH(SMALL(児童名簿!$G$2:$G$301,79),児童名簿!$G$2:$G$301,0),"")</f>
        <v/>
      </c>
      <c r="O81" s="8">
        <f>IF(P81="","",IFERROR(MATCH(P81,希望入力!$K$2:$K$401,0),""))</f>
        <v/>
      </c>
      <c r="P81" s="8">
        <f>IF(N81="","",INDEX(児童名簿!$F$2:$F$301,N81))</f>
        <v/>
      </c>
      <c r="Q81" s="8">
        <f>IF(I81="","",IFERROR(MATCH(I81,設定!$G$8:$G$27,0),""))</f>
        <v/>
      </c>
      <c r="R81" s="8">
        <f>IF(Q81="","",COUNTIF($Q$3:Q81,Q81))</f>
        <v/>
      </c>
      <c r="S81" s="8">
        <f>IF(Q81="","",Q81*1000+R81)</f>
        <v/>
      </c>
    </row>
    <row r="82">
      <c r="A82" s="23">
        <f>IF(N82="","",IFERROR(INDEX(設定!$C$8:$C$23,INT(INDEX(児童名簿!$G$2:$G$301,N82)/1000)),M82&amp;INDEX(児童名簿!$B$2:$B$301,N82)))</f>
        <v/>
      </c>
      <c r="B82" s="23">
        <f>IF(N82="","",INDEX(児童名簿!$C$2:$C$301,N82))</f>
        <v/>
      </c>
      <c r="C82" s="3">
        <f>IF(N82="","",INDEX(児童名簿!$D$2:$D$301,N82))</f>
        <v/>
      </c>
      <c r="D82" s="23">
        <f>IF(O82="","",INDEX(希望入力!$D$2:$D$401,O82)&amp;"")</f>
        <v/>
      </c>
      <c r="E82" s="23">
        <f>IF(O82="","",INDEX(希望入力!$E$2:$E$401,O82)&amp;"")</f>
        <v/>
      </c>
      <c r="F82" s="23">
        <f>IF(O82="","",INDEX(希望入力!$F$2:$F$401,O82)&amp;"")</f>
        <v/>
      </c>
      <c r="G82" s="23">
        <f>IF(O82="","",IF(D82="","要調整",IFERROR(IF(COUNTIFS($M$3:$M$302,M82,$D$3:$D$302,D82)&lt;=INDEX(設定!$H$8:$I$27,MATCH(D82,設定!$G$8:$G$27,0),IF($M82=設定!$H$6&amp;"",1,2)),D82,"要調整"),"要調整")))</f>
        <v/>
      </c>
      <c r="H82" s="15" t="n"/>
      <c r="I82" s="24">
        <f>IF(N82="","",IF(H82&lt;&gt;"",H82,IF(OR(G82="",G82="要調整"),"",G82)))</f>
        <v/>
      </c>
      <c r="J82" s="23">
        <f>IF(N82="","",IF(I82&lt;&gt;"","決定",IF(O82="","未提出","要調整")))</f>
        <v/>
      </c>
      <c r="K82" s="23">
        <f>IF(OR(J82&lt;&gt;"要調整",E82=""),"",IFERROR(INDEX(設定!$H$8:$I$27,MATCH(E82,設定!$G$8:$G$27,0),IF($M82=設定!$H$6&amp;"",1,2))-COUNTIFS($M$3:$M$302,M82,$I$3:$I$302,E82),""))</f>
        <v/>
      </c>
      <c r="L82" s="23">
        <f>IF(OR(J82&lt;&gt;"要調整",F82=""),"",IFERROR(INDEX(設定!$H$8:$I$27,MATCH(F82,設定!$G$8:$G$27,0),IF($M82=設定!$H$6&amp;"",1,2))-COUNTIFS($M$3:$M$302,M82,$I$3:$I$302,F82),""))</f>
        <v/>
      </c>
      <c r="M82" s="8">
        <f>IF(N82="","",INDEX(児童名簿!$A$2:$A$301,N82)&amp;"")</f>
        <v/>
      </c>
      <c r="N82" s="8">
        <f>IFERROR(MATCH(SMALL(児童名簿!$G$2:$G$301,80),児童名簿!$G$2:$G$301,0),"")</f>
        <v/>
      </c>
      <c r="O82" s="8">
        <f>IF(P82="","",IFERROR(MATCH(P82,希望入力!$K$2:$K$401,0),""))</f>
        <v/>
      </c>
      <c r="P82" s="8">
        <f>IF(N82="","",INDEX(児童名簿!$F$2:$F$301,N82))</f>
        <v/>
      </c>
      <c r="Q82" s="8">
        <f>IF(I82="","",IFERROR(MATCH(I82,設定!$G$8:$G$27,0),""))</f>
        <v/>
      </c>
      <c r="R82" s="8">
        <f>IF(Q82="","",COUNTIF($Q$3:Q82,Q82))</f>
        <v/>
      </c>
      <c r="S82" s="8">
        <f>IF(Q82="","",Q82*1000+R82)</f>
        <v/>
      </c>
    </row>
    <row r="83">
      <c r="A83" s="23">
        <f>IF(N83="","",IFERROR(INDEX(設定!$C$8:$C$23,INT(INDEX(児童名簿!$G$2:$G$301,N83)/1000)),M83&amp;INDEX(児童名簿!$B$2:$B$301,N83)))</f>
        <v/>
      </c>
      <c r="B83" s="23">
        <f>IF(N83="","",INDEX(児童名簿!$C$2:$C$301,N83))</f>
        <v/>
      </c>
      <c r="C83" s="3">
        <f>IF(N83="","",INDEX(児童名簿!$D$2:$D$301,N83))</f>
        <v/>
      </c>
      <c r="D83" s="23">
        <f>IF(O83="","",INDEX(希望入力!$D$2:$D$401,O83)&amp;"")</f>
        <v/>
      </c>
      <c r="E83" s="23">
        <f>IF(O83="","",INDEX(希望入力!$E$2:$E$401,O83)&amp;"")</f>
        <v/>
      </c>
      <c r="F83" s="23">
        <f>IF(O83="","",INDEX(希望入力!$F$2:$F$401,O83)&amp;"")</f>
        <v/>
      </c>
      <c r="G83" s="23">
        <f>IF(O83="","",IF(D83="","要調整",IFERROR(IF(COUNTIFS($M$3:$M$302,M83,$D$3:$D$302,D83)&lt;=INDEX(設定!$H$8:$I$27,MATCH(D83,設定!$G$8:$G$27,0),IF($M83=設定!$H$6&amp;"",1,2)),D83,"要調整"),"要調整")))</f>
        <v/>
      </c>
      <c r="H83" s="15" t="n"/>
      <c r="I83" s="24">
        <f>IF(N83="","",IF(H83&lt;&gt;"",H83,IF(OR(G83="",G83="要調整"),"",G83)))</f>
        <v/>
      </c>
      <c r="J83" s="23">
        <f>IF(N83="","",IF(I83&lt;&gt;"","決定",IF(O83="","未提出","要調整")))</f>
        <v/>
      </c>
      <c r="K83" s="23">
        <f>IF(OR(J83&lt;&gt;"要調整",E83=""),"",IFERROR(INDEX(設定!$H$8:$I$27,MATCH(E83,設定!$G$8:$G$27,0),IF($M83=設定!$H$6&amp;"",1,2))-COUNTIFS($M$3:$M$302,M83,$I$3:$I$302,E83),""))</f>
        <v/>
      </c>
      <c r="L83" s="23">
        <f>IF(OR(J83&lt;&gt;"要調整",F83=""),"",IFERROR(INDEX(設定!$H$8:$I$27,MATCH(F83,設定!$G$8:$G$27,0),IF($M83=設定!$H$6&amp;"",1,2))-COUNTIFS($M$3:$M$302,M83,$I$3:$I$302,F83),""))</f>
        <v/>
      </c>
      <c r="M83" s="8">
        <f>IF(N83="","",INDEX(児童名簿!$A$2:$A$301,N83)&amp;"")</f>
        <v/>
      </c>
      <c r="N83" s="8">
        <f>IFERROR(MATCH(SMALL(児童名簿!$G$2:$G$301,81),児童名簿!$G$2:$G$301,0),"")</f>
        <v/>
      </c>
      <c r="O83" s="8">
        <f>IF(P83="","",IFERROR(MATCH(P83,希望入力!$K$2:$K$401,0),""))</f>
        <v/>
      </c>
      <c r="P83" s="8">
        <f>IF(N83="","",INDEX(児童名簿!$F$2:$F$301,N83))</f>
        <v/>
      </c>
      <c r="Q83" s="8">
        <f>IF(I83="","",IFERROR(MATCH(I83,設定!$G$8:$G$27,0),""))</f>
        <v/>
      </c>
      <c r="R83" s="8">
        <f>IF(Q83="","",COUNTIF($Q$3:Q83,Q83))</f>
        <v/>
      </c>
      <c r="S83" s="8">
        <f>IF(Q83="","",Q83*1000+R83)</f>
        <v/>
      </c>
    </row>
    <row r="84">
      <c r="A84" s="23">
        <f>IF(N84="","",IFERROR(INDEX(設定!$C$8:$C$23,INT(INDEX(児童名簿!$G$2:$G$301,N84)/1000)),M84&amp;INDEX(児童名簿!$B$2:$B$301,N84)))</f>
        <v/>
      </c>
      <c r="B84" s="23">
        <f>IF(N84="","",INDEX(児童名簿!$C$2:$C$301,N84))</f>
        <v/>
      </c>
      <c r="C84" s="3">
        <f>IF(N84="","",INDEX(児童名簿!$D$2:$D$301,N84))</f>
        <v/>
      </c>
      <c r="D84" s="23">
        <f>IF(O84="","",INDEX(希望入力!$D$2:$D$401,O84)&amp;"")</f>
        <v/>
      </c>
      <c r="E84" s="23">
        <f>IF(O84="","",INDEX(希望入力!$E$2:$E$401,O84)&amp;"")</f>
        <v/>
      </c>
      <c r="F84" s="23">
        <f>IF(O84="","",INDEX(希望入力!$F$2:$F$401,O84)&amp;"")</f>
        <v/>
      </c>
      <c r="G84" s="23">
        <f>IF(O84="","",IF(D84="","要調整",IFERROR(IF(COUNTIFS($M$3:$M$302,M84,$D$3:$D$302,D84)&lt;=INDEX(設定!$H$8:$I$27,MATCH(D84,設定!$G$8:$G$27,0),IF($M84=設定!$H$6&amp;"",1,2)),D84,"要調整"),"要調整")))</f>
        <v/>
      </c>
      <c r="H84" s="15" t="n"/>
      <c r="I84" s="24">
        <f>IF(N84="","",IF(H84&lt;&gt;"",H84,IF(OR(G84="",G84="要調整"),"",G84)))</f>
        <v/>
      </c>
      <c r="J84" s="23">
        <f>IF(N84="","",IF(I84&lt;&gt;"","決定",IF(O84="","未提出","要調整")))</f>
        <v/>
      </c>
      <c r="K84" s="23">
        <f>IF(OR(J84&lt;&gt;"要調整",E84=""),"",IFERROR(INDEX(設定!$H$8:$I$27,MATCH(E84,設定!$G$8:$G$27,0),IF($M84=設定!$H$6&amp;"",1,2))-COUNTIFS($M$3:$M$302,M84,$I$3:$I$302,E84),""))</f>
        <v/>
      </c>
      <c r="L84" s="23">
        <f>IF(OR(J84&lt;&gt;"要調整",F84=""),"",IFERROR(INDEX(設定!$H$8:$I$27,MATCH(F84,設定!$G$8:$G$27,0),IF($M84=設定!$H$6&amp;"",1,2))-COUNTIFS($M$3:$M$302,M84,$I$3:$I$302,F84),""))</f>
        <v/>
      </c>
      <c r="M84" s="8">
        <f>IF(N84="","",INDEX(児童名簿!$A$2:$A$301,N84)&amp;"")</f>
        <v/>
      </c>
      <c r="N84" s="8">
        <f>IFERROR(MATCH(SMALL(児童名簿!$G$2:$G$301,82),児童名簿!$G$2:$G$301,0),"")</f>
        <v/>
      </c>
      <c r="O84" s="8">
        <f>IF(P84="","",IFERROR(MATCH(P84,希望入力!$K$2:$K$401,0),""))</f>
        <v/>
      </c>
      <c r="P84" s="8">
        <f>IF(N84="","",INDEX(児童名簿!$F$2:$F$301,N84))</f>
        <v/>
      </c>
      <c r="Q84" s="8">
        <f>IF(I84="","",IFERROR(MATCH(I84,設定!$G$8:$G$27,0),""))</f>
        <v/>
      </c>
      <c r="R84" s="8">
        <f>IF(Q84="","",COUNTIF($Q$3:Q84,Q84))</f>
        <v/>
      </c>
      <c r="S84" s="8">
        <f>IF(Q84="","",Q84*1000+R84)</f>
        <v/>
      </c>
    </row>
    <row r="85">
      <c r="A85" s="23">
        <f>IF(N85="","",IFERROR(INDEX(設定!$C$8:$C$23,INT(INDEX(児童名簿!$G$2:$G$301,N85)/1000)),M85&amp;INDEX(児童名簿!$B$2:$B$301,N85)))</f>
        <v/>
      </c>
      <c r="B85" s="23">
        <f>IF(N85="","",INDEX(児童名簿!$C$2:$C$301,N85))</f>
        <v/>
      </c>
      <c r="C85" s="3">
        <f>IF(N85="","",INDEX(児童名簿!$D$2:$D$301,N85))</f>
        <v/>
      </c>
      <c r="D85" s="23">
        <f>IF(O85="","",INDEX(希望入力!$D$2:$D$401,O85)&amp;"")</f>
        <v/>
      </c>
      <c r="E85" s="23">
        <f>IF(O85="","",INDEX(希望入力!$E$2:$E$401,O85)&amp;"")</f>
        <v/>
      </c>
      <c r="F85" s="23">
        <f>IF(O85="","",INDEX(希望入力!$F$2:$F$401,O85)&amp;"")</f>
        <v/>
      </c>
      <c r="G85" s="23">
        <f>IF(O85="","",IF(D85="","要調整",IFERROR(IF(COUNTIFS($M$3:$M$302,M85,$D$3:$D$302,D85)&lt;=INDEX(設定!$H$8:$I$27,MATCH(D85,設定!$G$8:$G$27,0),IF($M85=設定!$H$6&amp;"",1,2)),D85,"要調整"),"要調整")))</f>
        <v/>
      </c>
      <c r="H85" s="15" t="n"/>
      <c r="I85" s="24">
        <f>IF(N85="","",IF(H85&lt;&gt;"",H85,IF(OR(G85="",G85="要調整"),"",G85)))</f>
        <v/>
      </c>
      <c r="J85" s="23">
        <f>IF(N85="","",IF(I85&lt;&gt;"","決定",IF(O85="","未提出","要調整")))</f>
        <v/>
      </c>
      <c r="K85" s="23">
        <f>IF(OR(J85&lt;&gt;"要調整",E85=""),"",IFERROR(INDEX(設定!$H$8:$I$27,MATCH(E85,設定!$G$8:$G$27,0),IF($M85=設定!$H$6&amp;"",1,2))-COUNTIFS($M$3:$M$302,M85,$I$3:$I$302,E85),""))</f>
        <v/>
      </c>
      <c r="L85" s="23">
        <f>IF(OR(J85&lt;&gt;"要調整",F85=""),"",IFERROR(INDEX(設定!$H$8:$I$27,MATCH(F85,設定!$G$8:$G$27,0),IF($M85=設定!$H$6&amp;"",1,2))-COUNTIFS($M$3:$M$302,M85,$I$3:$I$302,F85),""))</f>
        <v/>
      </c>
      <c r="M85" s="8">
        <f>IF(N85="","",INDEX(児童名簿!$A$2:$A$301,N85)&amp;"")</f>
        <v/>
      </c>
      <c r="N85" s="8">
        <f>IFERROR(MATCH(SMALL(児童名簿!$G$2:$G$301,83),児童名簿!$G$2:$G$301,0),"")</f>
        <v/>
      </c>
      <c r="O85" s="8">
        <f>IF(P85="","",IFERROR(MATCH(P85,希望入力!$K$2:$K$401,0),""))</f>
        <v/>
      </c>
      <c r="P85" s="8">
        <f>IF(N85="","",INDEX(児童名簿!$F$2:$F$301,N85))</f>
        <v/>
      </c>
      <c r="Q85" s="8">
        <f>IF(I85="","",IFERROR(MATCH(I85,設定!$G$8:$G$27,0),""))</f>
        <v/>
      </c>
      <c r="R85" s="8">
        <f>IF(Q85="","",COUNTIF($Q$3:Q85,Q85))</f>
        <v/>
      </c>
      <c r="S85" s="8">
        <f>IF(Q85="","",Q85*1000+R85)</f>
        <v/>
      </c>
    </row>
    <row r="86">
      <c r="A86" s="23">
        <f>IF(N86="","",IFERROR(INDEX(設定!$C$8:$C$23,INT(INDEX(児童名簿!$G$2:$G$301,N86)/1000)),M86&amp;INDEX(児童名簿!$B$2:$B$301,N86)))</f>
        <v/>
      </c>
      <c r="B86" s="23">
        <f>IF(N86="","",INDEX(児童名簿!$C$2:$C$301,N86))</f>
        <v/>
      </c>
      <c r="C86" s="3">
        <f>IF(N86="","",INDEX(児童名簿!$D$2:$D$301,N86))</f>
        <v/>
      </c>
      <c r="D86" s="23">
        <f>IF(O86="","",INDEX(希望入力!$D$2:$D$401,O86)&amp;"")</f>
        <v/>
      </c>
      <c r="E86" s="23">
        <f>IF(O86="","",INDEX(希望入力!$E$2:$E$401,O86)&amp;"")</f>
        <v/>
      </c>
      <c r="F86" s="23">
        <f>IF(O86="","",INDEX(希望入力!$F$2:$F$401,O86)&amp;"")</f>
        <v/>
      </c>
      <c r="G86" s="23">
        <f>IF(O86="","",IF(D86="","要調整",IFERROR(IF(COUNTIFS($M$3:$M$302,M86,$D$3:$D$302,D86)&lt;=INDEX(設定!$H$8:$I$27,MATCH(D86,設定!$G$8:$G$27,0),IF($M86=設定!$H$6&amp;"",1,2)),D86,"要調整"),"要調整")))</f>
        <v/>
      </c>
      <c r="H86" s="15" t="n"/>
      <c r="I86" s="24">
        <f>IF(N86="","",IF(H86&lt;&gt;"",H86,IF(OR(G86="",G86="要調整"),"",G86)))</f>
        <v/>
      </c>
      <c r="J86" s="23">
        <f>IF(N86="","",IF(I86&lt;&gt;"","決定",IF(O86="","未提出","要調整")))</f>
        <v/>
      </c>
      <c r="K86" s="23">
        <f>IF(OR(J86&lt;&gt;"要調整",E86=""),"",IFERROR(INDEX(設定!$H$8:$I$27,MATCH(E86,設定!$G$8:$G$27,0),IF($M86=設定!$H$6&amp;"",1,2))-COUNTIFS($M$3:$M$302,M86,$I$3:$I$302,E86),""))</f>
        <v/>
      </c>
      <c r="L86" s="23">
        <f>IF(OR(J86&lt;&gt;"要調整",F86=""),"",IFERROR(INDEX(設定!$H$8:$I$27,MATCH(F86,設定!$G$8:$G$27,0),IF($M86=設定!$H$6&amp;"",1,2))-COUNTIFS($M$3:$M$302,M86,$I$3:$I$302,F86),""))</f>
        <v/>
      </c>
      <c r="M86" s="8">
        <f>IF(N86="","",INDEX(児童名簿!$A$2:$A$301,N86)&amp;"")</f>
        <v/>
      </c>
      <c r="N86" s="8">
        <f>IFERROR(MATCH(SMALL(児童名簿!$G$2:$G$301,84),児童名簿!$G$2:$G$301,0),"")</f>
        <v/>
      </c>
      <c r="O86" s="8">
        <f>IF(P86="","",IFERROR(MATCH(P86,希望入力!$K$2:$K$401,0),""))</f>
        <v/>
      </c>
      <c r="P86" s="8">
        <f>IF(N86="","",INDEX(児童名簿!$F$2:$F$301,N86))</f>
        <v/>
      </c>
      <c r="Q86" s="8">
        <f>IF(I86="","",IFERROR(MATCH(I86,設定!$G$8:$G$27,0),""))</f>
        <v/>
      </c>
      <c r="R86" s="8">
        <f>IF(Q86="","",COUNTIF($Q$3:Q86,Q86))</f>
        <v/>
      </c>
      <c r="S86" s="8">
        <f>IF(Q86="","",Q86*1000+R86)</f>
        <v/>
      </c>
    </row>
    <row r="87">
      <c r="A87" s="23">
        <f>IF(N87="","",IFERROR(INDEX(設定!$C$8:$C$23,INT(INDEX(児童名簿!$G$2:$G$301,N87)/1000)),M87&amp;INDEX(児童名簿!$B$2:$B$301,N87)))</f>
        <v/>
      </c>
      <c r="B87" s="23">
        <f>IF(N87="","",INDEX(児童名簿!$C$2:$C$301,N87))</f>
        <v/>
      </c>
      <c r="C87" s="3">
        <f>IF(N87="","",INDEX(児童名簿!$D$2:$D$301,N87))</f>
        <v/>
      </c>
      <c r="D87" s="23">
        <f>IF(O87="","",INDEX(希望入力!$D$2:$D$401,O87)&amp;"")</f>
        <v/>
      </c>
      <c r="E87" s="23">
        <f>IF(O87="","",INDEX(希望入力!$E$2:$E$401,O87)&amp;"")</f>
        <v/>
      </c>
      <c r="F87" s="23">
        <f>IF(O87="","",INDEX(希望入力!$F$2:$F$401,O87)&amp;"")</f>
        <v/>
      </c>
      <c r="G87" s="23">
        <f>IF(O87="","",IF(D87="","要調整",IFERROR(IF(COUNTIFS($M$3:$M$302,M87,$D$3:$D$302,D87)&lt;=INDEX(設定!$H$8:$I$27,MATCH(D87,設定!$G$8:$G$27,0),IF($M87=設定!$H$6&amp;"",1,2)),D87,"要調整"),"要調整")))</f>
        <v/>
      </c>
      <c r="H87" s="15" t="n"/>
      <c r="I87" s="24">
        <f>IF(N87="","",IF(H87&lt;&gt;"",H87,IF(OR(G87="",G87="要調整"),"",G87)))</f>
        <v/>
      </c>
      <c r="J87" s="23">
        <f>IF(N87="","",IF(I87&lt;&gt;"","決定",IF(O87="","未提出","要調整")))</f>
        <v/>
      </c>
      <c r="K87" s="23">
        <f>IF(OR(J87&lt;&gt;"要調整",E87=""),"",IFERROR(INDEX(設定!$H$8:$I$27,MATCH(E87,設定!$G$8:$G$27,0),IF($M87=設定!$H$6&amp;"",1,2))-COUNTIFS($M$3:$M$302,M87,$I$3:$I$302,E87),""))</f>
        <v/>
      </c>
      <c r="L87" s="23">
        <f>IF(OR(J87&lt;&gt;"要調整",F87=""),"",IFERROR(INDEX(設定!$H$8:$I$27,MATCH(F87,設定!$G$8:$G$27,0),IF($M87=設定!$H$6&amp;"",1,2))-COUNTIFS($M$3:$M$302,M87,$I$3:$I$302,F87),""))</f>
        <v/>
      </c>
      <c r="M87" s="8">
        <f>IF(N87="","",INDEX(児童名簿!$A$2:$A$301,N87)&amp;"")</f>
        <v/>
      </c>
      <c r="N87" s="8">
        <f>IFERROR(MATCH(SMALL(児童名簿!$G$2:$G$301,85),児童名簿!$G$2:$G$301,0),"")</f>
        <v/>
      </c>
      <c r="O87" s="8">
        <f>IF(P87="","",IFERROR(MATCH(P87,希望入力!$K$2:$K$401,0),""))</f>
        <v/>
      </c>
      <c r="P87" s="8">
        <f>IF(N87="","",INDEX(児童名簿!$F$2:$F$301,N87))</f>
        <v/>
      </c>
      <c r="Q87" s="8">
        <f>IF(I87="","",IFERROR(MATCH(I87,設定!$G$8:$G$27,0),""))</f>
        <v/>
      </c>
      <c r="R87" s="8">
        <f>IF(Q87="","",COUNTIF($Q$3:Q87,Q87))</f>
        <v/>
      </c>
      <c r="S87" s="8">
        <f>IF(Q87="","",Q87*1000+R87)</f>
        <v/>
      </c>
    </row>
    <row r="88">
      <c r="A88" s="23">
        <f>IF(N88="","",IFERROR(INDEX(設定!$C$8:$C$23,INT(INDEX(児童名簿!$G$2:$G$301,N88)/1000)),M88&amp;INDEX(児童名簿!$B$2:$B$301,N88)))</f>
        <v/>
      </c>
      <c r="B88" s="23">
        <f>IF(N88="","",INDEX(児童名簿!$C$2:$C$301,N88))</f>
        <v/>
      </c>
      <c r="C88" s="3">
        <f>IF(N88="","",INDEX(児童名簿!$D$2:$D$301,N88))</f>
        <v/>
      </c>
      <c r="D88" s="23">
        <f>IF(O88="","",INDEX(希望入力!$D$2:$D$401,O88)&amp;"")</f>
        <v/>
      </c>
      <c r="E88" s="23">
        <f>IF(O88="","",INDEX(希望入力!$E$2:$E$401,O88)&amp;"")</f>
        <v/>
      </c>
      <c r="F88" s="23">
        <f>IF(O88="","",INDEX(希望入力!$F$2:$F$401,O88)&amp;"")</f>
        <v/>
      </c>
      <c r="G88" s="23">
        <f>IF(O88="","",IF(D88="","要調整",IFERROR(IF(COUNTIFS($M$3:$M$302,M88,$D$3:$D$302,D88)&lt;=INDEX(設定!$H$8:$I$27,MATCH(D88,設定!$G$8:$G$27,0),IF($M88=設定!$H$6&amp;"",1,2)),D88,"要調整"),"要調整")))</f>
        <v/>
      </c>
      <c r="H88" s="15" t="n"/>
      <c r="I88" s="24">
        <f>IF(N88="","",IF(H88&lt;&gt;"",H88,IF(OR(G88="",G88="要調整"),"",G88)))</f>
        <v/>
      </c>
      <c r="J88" s="23">
        <f>IF(N88="","",IF(I88&lt;&gt;"","決定",IF(O88="","未提出","要調整")))</f>
        <v/>
      </c>
      <c r="K88" s="23">
        <f>IF(OR(J88&lt;&gt;"要調整",E88=""),"",IFERROR(INDEX(設定!$H$8:$I$27,MATCH(E88,設定!$G$8:$G$27,0),IF($M88=設定!$H$6&amp;"",1,2))-COUNTIFS($M$3:$M$302,M88,$I$3:$I$302,E88),""))</f>
        <v/>
      </c>
      <c r="L88" s="23">
        <f>IF(OR(J88&lt;&gt;"要調整",F88=""),"",IFERROR(INDEX(設定!$H$8:$I$27,MATCH(F88,設定!$G$8:$G$27,0),IF($M88=設定!$H$6&amp;"",1,2))-COUNTIFS($M$3:$M$302,M88,$I$3:$I$302,F88),""))</f>
        <v/>
      </c>
      <c r="M88" s="8">
        <f>IF(N88="","",INDEX(児童名簿!$A$2:$A$301,N88)&amp;"")</f>
        <v/>
      </c>
      <c r="N88" s="8">
        <f>IFERROR(MATCH(SMALL(児童名簿!$G$2:$G$301,86),児童名簿!$G$2:$G$301,0),"")</f>
        <v/>
      </c>
      <c r="O88" s="8">
        <f>IF(P88="","",IFERROR(MATCH(P88,希望入力!$K$2:$K$401,0),""))</f>
        <v/>
      </c>
      <c r="P88" s="8">
        <f>IF(N88="","",INDEX(児童名簿!$F$2:$F$301,N88))</f>
        <v/>
      </c>
      <c r="Q88" s="8">
        <f>IF(I88="","",IFERROR(MATCH(I88,設定!$G$8:$G$27,0),""))</f>
        <v/>
      </c>
      <c r="R88" s="8">
        <f>IF(Q88="","",COUNTIF($Q$3:Q88,Q88))</f>
        <v/>
      </c>
      <c r="S88" s="8">
        <f>IF(Q88="","",Q88*1000+R88)</f>
        <v/>
      </c>
    </row>
    <row r="89">
      <c r="A89" s="23">
        <f>IF(N89="","",IFERROR(INDEX(設定!$C$8:$C$23,INT(INDEX(児童名簿!$G$2:$G$301,N89)/1000)),M89&amp;INDEX(児童名簿!$B$2:$B$301,N89)))</f>
        <v/>
      </c>
      <c r="B89" s="23">
        <f>IF(N89="","",INDEX(児童名簿!$C$2:$C$301,N89))</f>
        <v/>
      </c>
      <c r="C89" s="3">
        <f>IF(N89="","",INDEX(児童名簿!$D$2:$D$301,N89))</f>
        <v/>
      </c>
      <c r="D89" s="23">
        <f>IF(O89="","",INDEX(希望入力!$D$2:$D$401,O89)&amp;"")</f>
        <v/>
      </c>
      <c r="E89" s="23">
        <f>IF(O89="","",INDEX(希望入力!$E$2:$E$401,O89)&amp;"")</f>
        <v/>
      </c>
      <c r="F89" s="23">
        <f>IF(O89="","",INDEX(希望入力!$F$2:$F$401,O89)&amp;"")</f>
        <v/>
      </c>
      <c r="G89" s="23">
        <f>IF(O89="","",IF(D89="","要調整",IFERROR(IF(COUNTIFS($M$3:$M$302,M89,$D$3:$D$302,D89)&lt;=INDEX(設定!$H$8:$I$27,MATCH(D89,設定!$G$8:$G$27,0),IF($M89=設定!$H$6&amp;"",1,2)),D89,"要調整"),"要調整")))</f>
        <v/>
      </c>
      <c r="H89" s="15" t="n"/>
      <c r="I89" s="24">
        <f>IF(N89="","",IF(H89&lt;&gt;"",H89,IF(OR(G89="",G89="要調整"),"",G89)))</f>
        <v/>
      </c>
      <c r="J89" s="23">
        <f>IF(N89="","",IF(I89&lt;&gt;"","決定",IF(O89="","未提出","要調整")))</f>
        <v/>
      </c>
      <c r="K89" s="23">
        <f>IF(OR(J89&lt;&gt;"要調整",E89=""),"",IFERROR(INDEX(設定!$H$8:$I$27,MATCH(E89,設定!$G$8:$G$27,0),IF($M89=設定!$H$6&amp;"",1,2))-COUNTIFS($M$3:$M$302,M89,$I$3:$I$302,E89),""))</f>
        <v/>
      </c>
      <c r="L89" s="23">
        <f>IF(OR(J89&lt;&gt;"要調整",F89=""),"",IFERROR(INDEX(設定!$H$8:$I$27,MATCH(F89,設定!$G$8:$G$27,0),IF($M89=設定!$H$6&amp;"",1,2))-COUNTIFS($M$3:$M$302,M89,$I$3:$I$302,F89),""))</f>
        <v/>
      </c>
      <c r="M89" s="8">
        <f>IF(N89="","",INDEX(児童名簿!$A$2:$A$301,N89)&amp;"")</f>
        <v/>
      </c>
      <c r="N89" s="8">
        <f>IFERROR(MATCH(SMALL(児童名簿!$G$2:$G$301,87),児童名簿!$G$2:$G$301,0),"")</f>
        <v/>
      </c>
      <c r="O89" s="8">
        <f>IF(P89="","",IFERROR(MATCH(P89,希望入力!$K$2:$K$401,0),""))</f>
        <v/>
      </c>
      <c r="P89" s="8">
        <f>IF(N89="","",INDEX(児童名簿!$F$2:$F$301,N89))</f>
        <v/>
      </c>
      <c r="Q89" s="8">
        <f>IF(I89="","",IFERROR(MATCH(I89,設定!$G$8:$G$27,0),""))</f>
        <v/>
      </c>
      <c r="R89" s="8">
        <f>IF(Q89="","",COUNTIF($Q$3:Q89,Q89))</f>
        <v/>
      </c>
      <c r="S89" s="8">
        <f>IF(Q89="","",Q89*1000+R89)</f>
        <v/>
      </c>
    </row>
    <row r="90">
      <c r="A90" s="23">
        <f>IF(N90="","",IFERROR(INDEX(設定!$C$8:$C$23,INT(INDEX(児童名簿!$G$2:$G$301,N90)/1000)),M90&amp;INDEX(児童名簿!$B$2:$B$301,N90)))</f>
        <v/>
      </c>
      <c r="B90" s="23">
        <f>IF(N90="","",INDEX(児童名簿!$C$2:$C$301,N90))</f>
        <v/>
      </c>
      <c r="C90" s="3">
        <f>IF(N90="","",INDEX(児童名簿!$D$2:$D$301,N90))</f>
        <v/>
      </c>
      <c r="D90" s="23">
        <f>IF(O90="","",INDEX(希望入力!$D$2:$D$401,O90)&amp;"")</f>
        <v/>
      </c>
      <c r="E90" s="23">
        <f>IF(O90="","",INDEX(希望入力!$E$2:$E$401,O90)&amp;"")</f>
        <v/>
      </c>
      <c r="F90" s="23">
        <f>IF(O90="","",INDEX(希望入力!$F$2:$F$401,O90)&amp;"")</f>
        <v/>
      </c>
      <c r="G90" s="23">
        <f>IF(O90="","",IF(D90="","要調整",IFERROR(IF(COUNTIFS($M$3:$M$302,M90,$D$3:$D$302,D90)&lt;=INDEX(設定!$H$8:$I$27,MATCH(D90,設定!$G$8:$G$27,0),IF($M90=設定!$H$6&amp;"",1,2)),D90,"要調整"),"要調整")))</f>
        <v/>
      </c>
      <c r="H90" s="15" t="n"/>
      <c r="I90" s="24">
        <f>IF(N90="","",IF(H90&lt;&gt;"",H90,IF(OR(G90="",G90="要調整"),"",G90)))</f>
        <v/>
      </c>
      <c r="J90" s="23">
        <f>IF(N90="","",IF(I90&lt;&gt;"","決定",IF(O90="","未提出","要調整")))</f>
        <v/>
      </c>
      <c r="K90" s="23">
        <f>IF(OR(J90&lt;&gt;"要調整",E90=""),"",IFERROR(INDEX(設定!$H$8:$I$27,MATCH(E90,設定!$G$8:$G$27,0),IF($M90=設定!$H$6&amp;"",1,2))-COUNTIFS($M$3:$M$302,M90,$I$3:$I$302,E90),""))</f>
        <v/>
      </c>
      <c r="L90" s="23">
        <f>IF(OR(J90&lt;&gt;"要調整",F90=""),"",IFERROR(INDEX(設定!$H$8:$I$27,MATCH(F90,設定!$G$8:$G$27,0),IF($M90=設定!$H$6&amp;"",1,2))-COUNTIFS($M$3:$M$302,M90,$I$3:$I$302,F90),""))</f>
        <v/>
      </c>
      <c r="M90" s="8">
        <f>IF(N90="","",INDEX(児童名簿!$A$2:$A$301,N90)&amp;"")</f>
        <v/>
      </c>
      <c r="N90" s="8">
        <f>IFERROR(MATCH(SMALL(児童名簿!$G$2:$G$301,88),児童名簿!$G$2:$G$301,0),"")</f>
        <v/>
      </c>
      <c r="O90" s="8">
        <f>IF(P90="","",IFERROR(MATCH(P90,希望入力!$K$2:$K$401,0),""))</f>
        <v/>
      </c>
      <c r="P90" s="8">
        <f>IF(N90="","",INDEX(児童名簿!$F$2:$F$301,N90))</f>
        <v/>
      </c>
      <c r="Q90" s="8">
        <f>IF(I90="","",IFERROR(MATCH(I90,設定!$G$8:$G$27,0),""))</f>
        <v/>
      </c>
      <c r="R90" s="8">
        <f>IF(Q90="","",COUNTIF($Q$3:Q90,Q90))</f>
        <v/>
      </c>
      <c r="S90" s="8">
        <f>IF(Q90="","",Q90*1000+R90)</f>
        <v/>
      </c>
    </row>
    <row r="91">
      <c r="A91" s="23">
        <f>IF(N91="","",IFERROR(INDEX(設定!$C$8:$C$23,INT(INDEX(児童名簿!$G$2:$G$301,N91)/1000)),M91&amp;INDEX(児童名簿!$B$2:$B$301,N91)))</f>
        <v/>
      </c>
      <c r="B91" s="23">
        <f>IF(N91="","",INDEX(児童名簿!$C$2:$C$301,N91))</f>
        <v/>
      </c>
      <c r="C91" s="3">
        <f>IF(N91="","",INDEX(児童名簿!$D$2:$D$301,N91))</f>
        <v/>
      </c>
      <c r="D91" s="23">
        <f>IF(O91="","",INDEX(希望入力!$D$2:$D$401,O91)&amp;"")</f>
        <v/>
      </c>
      <c r="E91" s="23">
        <f>IF(O91="","",INDEX(希望入力!$E$2:$E$401,O91)&amp;"")</f>
        <v/>
      </c>
      <c r="F91" s="23">
        <f>IF(O91="","",INDEX(希望入力!$F$2:$F$401,O91)&amp;"")</f>
        <v/>
      </c>
      <c r="G91" s="23">
        <f>IF(O91="","",IF(D91="","要調整",IFERROR(IF(COUNTIFS($M$3:$M$302,M91,$D$3:$D$302,D91)&lt;=INDEX(設定!$H$8:$I$27,MATCH(D91,設定!$G$8:$G$27,0),IF($M91=設定!$H$6&amp;"",1,2)),D91,"要調整"),"要調整")))</f>
        <v/>
      </c>
      <c r="H91" s="15" t="n"/>
      <c r="I91" s="24">
        <f>IF(N91="","",IF(H91&lt;&gt;"",H91,IF(OR(G91="",G91="要調整"),"",G91)))</f>
        <v/>
      </c>
      <c r="J91" s="23">
        <f>IF(N91="","",IF(I91&lt;&gt;"","決定",IF(O91="","未提出","要調整")))</f>
        <v/>
      </c>
      <c r="K91" s="23">
        <f>IF(OR(J91&lt;&gt;"要調整",E91=""),"",IFERROR(INDEX(設定!$H$8:$I$27,MATCH(E91,設定!$G$8:$G$27,0),IF($M91=設定!$H$6&amp;"",1,2))-COUNTIFS($M$3:$M$302,M91,$I$3:$I$302,E91),""))</f>
        <v/>
      </c>
      <c r="L91" s="23">
        <f>IF(OR(J91&lt;&gt;"要調整",F91=""),"",IFERROR(INDEX(設定!$H$8:$I$27,MATCH(F91,設定!$G$8:$G$27,0),IF($M91=設定!$H$6&amp;"",1,2))-COUNTIFS($M$3:$M$302,M91,$I$3:$I$302,F91),""))</f>
        <v/>
      </c>
      <c r="M91" s="8">
        <f>IF(N91="","",INDEX(児童名簿!$A$2:$A$301,N91)&amp;"")</f>
        <v/>
      </c>
      <c r="N91" s="8">
        <f>IFERROR(MATCH(SMALL(児童名簿!$G$2:$G$301,89),児童名簿!$G$2:$G$301,0),"")</f>
        <v/>
      </c>
      <c r="O91" s="8">
        <f>IF(P91="","",IFERROR(MATCH(P91,希望入力!$K$2:$K$401,0),""))</f>
        <v/>
      </c>
      <c r="P91" s="8">
        <f>IF(N91="","",INDEX(児童名簿!$F$2:$F$301,N91))</f>
        <v/>
      </c>
      <c r="Q91" s="8">
        <f>IF(I91="","",IFERROR(MATCH(I91,設定!$G$8:$G$27,0),""))</f>
        <v/>
      </c>
      <c r="R91" s="8">
        <f>IF(Q91="","",COUNTIF($Q$3:Q91,Q91))</f>
        <v/>
      </c>
      <c r="S91" s="8">
        <f>IF(Q91="","",Q91*1000+R91)</f>
        <v/>
      </c>
    </row>
    <row r="92">
      <c r="A92" s="23">
        <f>IF(N92="","",IFERROR(INDEX(設定!$C$8:$C$23,INT(INDEX(児童名簿!$G$2:$G$301,N92)/1000)),M92&amp;INDEX(児童名簿!$B$2:$B$301,N92)))</f>
        <v/>
      </c>
      <c r="B92" s="23">
        <f>IF(N92="","",INDEX(児童名簿!$C$2:$C$301,N92))</f>
        <v/>
      </c>
      <c r="C92" s="3">
        <f>IF(N92="","",INDEX(児童名簿!$D$2:$D$301,N92))</f>
        <v/>
      </c>
      <c r="D92" s="23">
        <f>IF(O92="","",INDEX(希望入力!$D$2:$D$401,O92)&amp;"")</f>
        <v/>
      </c>
      <c r="E92" s="23">
        <f>IF(O92="","",INDEX(希望入力!$E$2:$E$401,O92)&amp;"")</f>
        <v/>
      </c>
      <c r="F92" s="23">
        <f>IF(O92="","",INDEX(希望入力!$F$2:$F$401,O92)&amp;"")</f>
        <v/>
      </c>
      <c r="G92" s="23">
        <f>IF(O92="","",IF(D92="","要調整",IFERROR(IF(COUNTIFS($M$3:$M$302,M92,$D$3:$D$302,D92)&lt;=INDEX(設定!$H$8:$I$27,MATCH(D92,設定!$G$8:$G$27,0),IF($M92=設定!$H$6&amp;"",1,2)),D92,"要調整"),"要調整")))</f>
        <v/>
      </c>
      <c r="H92" s="15" t="n"/>
      <c r="I92" s="24">
        <f>IF(N92="","",IF(H92&lt;&gt;"",H92,IF(OR(G92="",G92="要調整"),"",G92)))</f>
        <v/>
      </c>
      <c r="J92" s="23">
        <f>IF(N92="","",IF(I92&lt;&gt;"","決定",IF(O92="","未提出","要調整")))</f>
        <v/>
      </c>
      <c r="K92" s="23">
        <f>IF(OR(J92&lt;&gt;"要調整",E92=""),"",IFERROR(INDEX(設定!$H$8:$I$27,MATCH(E92,設定!$G$8:$G$27,0),IF($M92=設定!$H$6&amp;"",1,2))-COUNTIFS($M$3:$M$302,M92,$I$3:$I$302,E92),""))</f>
        <v/>
      </c>
      <c r="L92" s="23">
        <f>IF(OR(J92&lt;&gt;"要調整",F92=""),"",IFERROR(INDEX(設定!$H$8:$I$27,MATCH(F92,設定!$G$8:$G$27,0),IF($M92=設定!$H$6&amp;"",1,2))-COUNTIFS($M$3:$M$302,M92,$I$3:$I$302,F92),""))</f>
        <v/>
      </c>
      <c r="M92" s="8">
        <f>IF(N92="","",INDEX(児童名簿!$A$2:$A$301,N92)&amp;"")</f>
        <v/>
      </c>
      <c r="N92" s="8">
        <f>IFERROR(MATCH(SMALL(児童名簿!$G$2:$G$301,90),児童名簿!$G$2:$G$301,0),"")</f>
        <v/>
      </c>
      <c r="O92" s="8">
        <f>IF(P92="","",IFERROR(MATCH(P92,希望入力!$K$2:$K$401,0),""))</f>
        <v/>
      </c>
      <c r="P92" s="8">
        <f>IF(N92="","",INDEX(児童名簿!$F$2:$F$301,N92))</f>
        <v/>
      </c>
      <c r="Q92" s="8">
        <f>IF(I92="","",IFERROR(MATCH(I92,設定!$G$8:$G$27,0),""))</f>
        <v/>
      </c>
      <c r="R92" s="8">
        <f>IF(Q92="","",COUNTIF($Q$3:Q92,Q92))</f>
        <v/>
      </c>
      <c r="S92" s="8">
        <f>IF(Q92="","",Q92*1000+R92)</f>
        <v/>
      </c>
    </row>
    <row r="93">
      <c r="A93" s="23">
        <f>IF(N93="","",IFERROR(INDEX(設定!$C$8:$C$23,INT(INDEX(児童名簿!$G$2:$G$301,N93)/1000)),M93&amp;INDEX(児童名簿!$B$2:$B$301,N93)))</f>
        <v/>
      </c>
      <c r="B93" s="23">
        <f>IF(N93="","",INDEX(児童名簿!$C$2:$C$301,N93))</f>
        <v/>
      </c>
      <c r="C93" s="3">
        <f>IF(N93="","",INDEX(児童名簿!$D$2:$D$301,N93))</f>
        <v/>
      </c>
      <c r="D93" s="23">
        <f>IF(O93="","",INDEX(希望入力!$D$2:$D$401,O93)&amp;"")</f>
        <v/>
      </c>
      <c r="E93" s="23">
        <f>IF(O93="","",INDEX(希望入力!$E$2:$E$401,O93)&amp;"")</f>
        <v/>
      </c>
      <c r="F93" s="23">
        <f>IF(O93="","",INDEX(希望入力!$F$2:$F$401,O93)&amp;"")</f>
        <v/>
      </c>
      <c r="G93" s="23">
        <f>IF(O93="","",IF(D93="","要調整",IFERROR(IF(COUNTIFS($M$3:$M$302,M93,$D$3:$D$302,D93)&lt;=INDEX(設定!$H$8:$I$27,MATCH(D93,設定!$G$8:$G$27,0),IF($M93=設定!$H$6&amp;"",1,2)),D93,"要調整"),"要調整")))</f>
        <v/>
      </c>
      <c r="H93" s="15" t="n"/>
      <c r="I93" s="24">
        <f>IF(N93="","",IF(H93&lt;&gt;"",H93,IF(OR(G93="",G93="要調整"),"",G93)))</f>
        <v/>
      </c>
      <c r="J93" s="23">
        <f>IF(N93="","",IF(I93&lt;&gt;"","決定",IF(O93="","未提出","要調整")))</f>
        <v/>
      </c>
      <c r="K93" s="23">
        <f>IF(OR(J93&lt;&gt;"要調整",E93=""),"",IFERROR(INDEX(設定!$H$8:$I$27,MATCH(E93,設定!$G$8:$G$27,0),IF($M93=設定!$H$6&amp;"",1,2))-COUNTIFS($M$3:$M$302,M93,$I$3:$I$302,E93),""))</f>
        <v/>
      </c>
      <c r="L93" s="23">
        <f>IF(OR(J93&lt;&gt;"要調整",F93=""),"",IFERROR(INDEX(設定!$H$8:$I$27,MATCH(F93,設定!$G$8:$G$27,0),IF($M93=設定!$H$6&amp;"",1,2))-COUNTIFS($M$3:$M$302,M93,$I$3:$I$302,F93),""))</f>
        <v/>
      </c>
      <c r="M93" s="8">
        <f>IF(N93="","",INDEX(児童名簿!$A$2:$A$301,N93)&amp;"")</f>
        <v/>
      </c>
      <c r="N93" s="8">
        <f>IFERROR(MATCH(SMALL(児童名簿!$G$2:$G$301,91),児童名簿!$G$2:$G$301,0),"")</f>
        <v/>
      </c>
      <c r="O93" s="8">
        <f>IF(P93="","",IFERROR(MATCH(P93,希望入力!$K$2:$K$401,0),""))</f>
        <v/>
      </c>
      <c r="P93" s="8">
        <f>IF(N93="","",INDEX(児童名簿!$F$2:$F$301,N93))</f>
        <v/>
      </c>
      <c r="Q93" s="8">
        <f>IF(I93="","",IFERROR(MATCH(I93,設定!$G$8:$G$27,0),""))</f>
        <v/>
      </c>
      <c r="R93" s="8">
        <f>IF(Q93="","",COUNTIF($Q$3:Q93,Q93))</f>
        <v/>
      </c>
      <c r="S93" s="8">
        <f>IF(Q93="","",Q93*1000+R93)</f>
        <v/>
      </c>
    </row>
    <row r="94">
      <c r="A94" s="23">
        <f>IF(N94="","",IFERROR(INDEX(設定!$C$8:$C$23,INT(INDEX(児童名簿!$G$2:$G$301,N94)/1000)),M94&amp;INDEX(児童名簿!$B$2:$B$301,N94)))</f>
        <v/>
      </c>
      <c r="B94" s="23">
        <f>IF(N94="","",INDEX(児童名簿!$C$2:$C$301,N94))</f>
        <v/>
      </c>
      <c r="C94" s="3">
        <f>IF(N94="","",INDEX(児童名簿!$D$2:$D$301,N94))</f>
        <v/>
      </c>
      <c r="D94" s="23">
        <f>IF(O94="","",INDEX(希望入力!$D$2:$D$401,O94)&amp;"")</f>
        <v/>
      </c>
      <c r="E94" s="23">
        <f>IF(O94="","",INDEX(希望入力!$E$2:$E$401,O94)&amp;"")</f>
        <v/>
      </c>
      <c r="F94" s="23">
        <f>IF(O94="","",INDEX(希望入力!$F$2:$F$401,O94)&amp;"")</f>
        <v/>
      </c>
      <c r="G94" s="23">
        <f>IF(O94="","",IF(D94="","要調整",IFERROR(IF(COUNTIFS($M$3:$M$302,M94,$D$3:$D$302,D94)&lt;=INDEX(設定!$H$8:$I$27,MATCH(D94,設定!$G$8:$G$27,0),IF($M94=設定!$H$6&amp;"",1,2)),D94,"要調整"),"要調整")))</f>
        <v/>
      </c>
      <c r="H94" s="15" t="n"/>
      <c r="I94" s="24">
        <f>IF(N94="","",IF(H94&lt;&gt;"",H94,IF(OR(G94="",G94="要調整"),"",G94)))</f>
        <v/>
      </c>
      <c r="J94" s="23">
        <f>IF(N94="","",IF(I94&lt;&gt;"","決定",IF(O94="","未提出","要調整")))</f>
        <v/>
      </c>
      <c r="K94" s="23">
        <f>IF(OR(J94&lt;&gt;"要調整",E94=""),"",IFERROR(INDEX(設定!$H$8:$I$27,MATCH(E94,設定!$G$8:$G$27,0),IF($M94=設定!$H$6&amp;"",1,2))-COUNTIFS($M$3:$M$302,M94,$I$3:$I$302,E94),""))</f>
        <v/>
      </c>
      <c r="L94" s="23">
        <f>IF(OR(J94&lt;&gt;"要調整",F94=""),"",IFERROR(INDEX(設定!$H$8:$I$27,MATCH(F94,設定!$G$8:$G$27,0),IF($M94=設定!$H$6&amp;"",1,2))-COUNTIFS($M$3:$M$302,M94,$I$3:$I$302,F94),""))</f>
        <v/>
      </c>
      <c r="M94" s="8">
        <f>IF(N94="","",INDEX(児童名簿!$A$2:$A$301,N94)&amp;"")</f>
        <v/>
      </c>
      <c r="N94" s="8">
        <f>IFERROR(MATCH(SMALL(児童名簿!$G$2:$G$301,92),児童名簿!$G$2:$G$301,0),"")</f>
        <v/>
      </c>
      <c r="O94" s="8">
        <f>IF(P94="","",IFERROR(MATCH(P94,希望入力!$K$2:$K$401,0),""))</f>
        <v/>
      </c>
      <c r="P94" s="8">
        <f>IF(N94="","",INDEX(児童名簿!$F$2:$F$301,N94))</f>
        <v/>
      </c>
      <c r="Q94" s="8">
        <f>IF(I94="","",IFERROR(MATCH(I94,設定!$G$8:$G$27,0),""))</f>
        <v/>
      </c>
      <c r="R94" s="8">
        <f>IF(Q94="","",COUNTIF($Q$3:Q94,Q94))</f>
        <v/>
      </c>
      <c r="S94" s="8">
        <f>IF(Q94="","",Q94*1000+R94)</f>
        <v/>
      </c>
    </row>
    <row r="95">
      <c r="A95" s="23">
        <f>IF(N95="","",IFERROR(INDEX(設定!$C$8:$C$23,INT(INDEX(児童名簿!$G$2:$G$301,N95)/1000)),M95&amp;INDEX(児童名簿!$B$2:$B$301,N95)))</f>
        <v/>
      </c>
      <c r="B95" s="23">
        <f>IF(N95="","",INDEX(児童名簿!$C$2:$C$301,N95))</f>
        <v/>
      </c>
      <c r="C95" s="3">
        <f>IF(N95="","",INDEX(児童名簿!$D$2:$D$301,N95))</f>
        <v/>
      </c>
      <c r="D95" s="23">
        <f>IF(O95="","",INDEX(希望入力!$D$2:$D$401,O95)&amp;"")</f>
        <v/>
      </c>
      <c r="E95" s="23">
        <f>IF(O95="","",INDEX(希望入力!$E$2:$E$401,O95)&amp;"")</f>
        <v/>
      </c>
      <c r="F95" s="23">
        <f>IF(O95="","",INDEX(希望入力!$F$2:$F$401,O95)&amp;"")</f>
        <v/>
      </c>
      <c r="G95" s="23">
        <f>IF(O95="","",IF(D95="","要調整",IFERROR(IF(COUNTIFS($M$3:$M$302,M95,$D$3:$D$302,D95)&lt;=INDEX(設定!$H$8:$I$27,MATCH(D95,設定!$G$8:$G$27,0),IF($M95=設定!$H$6&amp;"",1,2)),D95,"要調整"),"要調整")))</f>
        <v/>
      </c>
      <c r="H95" s="15" t="n"/>
      <c r="I95" s="24">
        <f>IF(N95="","",IF(H95&lt;&gt;"",H95,IF(OR(G95="",G95="要調整"),"",G95)))</f>
        <v/>
      </c>
      <c r="J95" s="23">
        <f>IF(N95="","",IF(I95&lt;&gt;"","決定",IF(O95="","未提出","要調整")))</f>
        <v/>
      </c>
      <c r="K95" s="23">
        <f>IF(OR(J95&lt;&gt;"要調整",E95=""),"",IFERROR(INDEX(設定!$H$8:$I$27,MATCH(E95,設定!$G$8:$G$27,0),IF($M95=設定!$H$6&amp;"",1,2))-COUNTIFS($M$3:$M$302,M95,$I$3:$I$302,E95),""))</f>
        <v/>
      </c>
      <c r="L95" s="23">
        <f>IF(OR(J95&lt;&gt;"要調整",F95=""),"",IFERROR(INDEX(設定!$H$8:$I$27,MATCH(F95,設定!$G$8:$G$27,0),IF($M95=設定!$H$6&amp;"",1,2))-COUNTIFS($M$3:$M$302,M95,$I$3:$I$302,F95),""))</f>
        <v/>
      </c>
      <c r="M95" s="8">
        <f>IF(N95="","",INDEX(児童名簿!$A$2:$A$301,N95)&amp;"")</f>
        <v/>
      </c>
      <c r="N95" s="8">
        <f>IFERROR(MATCH(SMALL(児童名簿!$G$2:$G$301,93),児童名簿!$G$2:$G$301,0),"")</f>
        <v/>
      </c>
      <c r="O95" s="8">
        <f>IF(P95="","",IFERROR(MATCH(P95,希望入力!$K$2:$K$401,0),""))</f>
        <v/>
      </c>
      <c r="P95" s="8">
        <f>IF(N95="","",INDEX(児童名簿!$F$2:$F$301,N95))</f>
        <v/>
      </c>
      <c r="Q95" s="8">
        <f>IF(I95="","",IFERROR(MATCH(I95,設定!$G$8:$G$27,0),""))</f>
        <v/>
      </c>
      <c r="R95" s="8">
        <f>IF(Q95="","",COUNTIF($Q$3:Q95,Q95))</f>
        <v/>
      </c>
      <c r="S95" s="8">
        <f>IF(Q95="","",Q95*1000+R95)</f>
        <v/>
      </c>
    </row>
    <row r="96">
      <c r="A96" s="23">
        <f>IF(N96="","",IFERROR(INDEX(設定!$C$8:$C$23,INT(INDEX(児童名簿!$G$2:$G$301,N96)/1000)),M96&amp;INDEX(児童名簿!$B$2:$B$301,N96)))</f>
        <v/>
      </c>
      <c r="B96" s="23">
        <f>IF(N96="","",INDEX(児童名簿!$C$2:$C$301,N96))</f>
        <v/>
      </c>
      <c r="C96" s="3">
        <f>IF(N96="","",INDEX(児童名簿!$D$2:$D$301,N96))</f>
        <v/>
      </c>
      <c r="D96" s="23">
        <f>IF(O96="","",INDEX(希望入力!$D$2:$D$401,O96)&amp;"")</f>
        <v/>
      </c>
      <c r="E96" s="23">
        <f>IF(O96="","",INDEX(希望入力!$E$2:$E$401,O96)&amp;"")</f>
        <v/>
      </c>
      <c r="F96" s="23">
        <f>IF(O96="","",INDEX(希望入力!$F$2:$F$401,O96)&amp;"")</f>
        <v/>
      </c>
      <c r="G96" s="23">
        <f>IF(O96="","",IF(D96="","要調整",IFERROR(IF(COUNTIFS($M$3:$M$302,M96,$D$3:$D$302,D96)&lt;=INDEX(設定!$H$8:$I$27,MATCH(D96,設定!$G$8:$G$27,0),IF($M96=設定!$H$6&amp;"",1,2)),D96,"要調整"),"要調整")))</f>
        <v/>
      </c>
      <c r="H96" s="15" t="inlineStr">
        <is>
          <t>飼育</t>
        </is>
      </c>
      <c r="I96" s="24">
        <f>IF(N96="","",IF(H96&lt;&gt;"",H96,IF(OR(G96="",G96="要調整"),"",G96)))</f>
        <v/>
      </c>
      <c r="J96" s="23">
        <f>IF(N96="","",IF(I96&lt;&gt;"","決定",IF(O96="","未提出","要調整")))</f>
        <v/>
      </c>
      <c r="K96" s="23">
        <f>IF(OR(J96&lt;&gt;"要調整",E96=""),"",IFERROR(INDEX(設定!$H$8:$I$27,MATCH(E96,設定!$G$8:$G$27,0),IF($M96=設定!$H$6&amp;"",1,2))-COUNTIFS($M$3:$M$302,M96,$I$3:$I$302,E96),""))</f>
        <v/>
      </c>
      <c r="L96" s="23">
        <f>IF(OR(J96&lt;&gt;"要調整",F96=""),"",IFERROR(INDEX(設定!$H$8:$I$27,MATCH(F96,設定!$G$8:$G$27,0),IF($M96=設定!$H$6&amp;"",1,2))-COUNTIFS($M$3:$M$302,M96,$I$3:$I$302,F96),""))</f>
        <v/>
      </c>
      <c r="M96" s="8">
        <f>IF(N96="","",INDEX(児童名簿!$A$2:$A$301,N96)&amp;"")</f>
        <v/>
      </c>
      <c r="N96" s="8">
        <f>IFERROR(MATCH(SMALL(児童名簿!$G$2:$G$301,94),児童名簿!$G$2:$G$301,0),"")</f>
        <v/>
      </c>
      <c r="O96" s="8">
        <f>IF(P96="","",IFERROR(MATCH(P96,希望入力!$K$2:$K$401,0),""))</f>
        <v/>
      </c>
      <c r="P96" s="8">
        <f>IF(N96="","",INDEX(児童名簿!$F$2:$F$301,N96))</f>
        <v/>
      </c>
      <c r="Q96" s="8">
        <f>IF(I96="","",IFERROR(MATCH(I96,設定!$G$8:$G$27,0),""))</f>
        <v/>
      </c>
      <c r="R96" s="8">
        <f>IF(Q96="","",COUNTIF($Q$3:Q96,Q96))</f>
        <v/>
      </c>
      <c r="S96" s="8">
        <f>IF(Q96="","",Q96*1000+R96)</f>
        <v/>
      </c>
    </row>
    <row r="97">
      <c r="A97" s="23">
        <f>IF(N97="","",IFERROR(INDEX(設定!$C$8:$C$23,INT(INDEX(児童名簿!$G$2:$G$301,N97)/1000)),M97&amp;INDEX(児童名簿!$B$2:$B$301,N97)))</f>
        <v/>
      </c>
      <c r="B97" s="23">
        <f>IF(N97="","",INDEX(児童名簿!$C$2:$C$301,N97))</f>
        <v/>
      </c>
      <c r="C97" s="3">
        <f>IF(N97="","",INDEX(児童名簿!$D$2:$D$301,N97))</f>
        <v/>
      </c>
      <c r="D97" s="23">
        <f>IF(O97="","",INDEX(希望入力!$D$2:$D$401,O97)&amp;"")</f>
        <v/>
      </c>
      <c r="E97" s="23">
        <f>IF(O97="","",INDEX(希望入力!$E$2:$E$401,O97)&amp;"")</f>
        <v/>
      </c>
      <c r="F97" s="23">
        <f>IF(O97="","",INDEX(希望入力!$F$2:$F$401,O97)&amp;"")</f>
        <v/>
      </c>
      <c r="G97" s="23">
        <f>IF(O97="","",IF(D97="","要調整",IFERROR(IF(COUNTIFS($M$3:$M$302,M97,$D$3:$D$302,D97)&lt;=INDEX(設定!$H$8:$I$27,MATCH(D97,設定!$G$8:$G$27,0),IF($M97=設定!$H$6&amp;"",1,2)),D97,"要調整"),"要調整")))</f>
        <v/>
      </c>
      <c r="H97" s="15" t="n"/>
      <c r="I97" s="24">
        <f>IF(N97="","",IF(H97&lt;&gt;"",H97,IF(OR(G97="",G97="要調整"),"",G97)))</f>
        <v/>
      </c>
      <c r="J97" s="23">
        <f>IF(N97="","",IF(I97&lt;&gt;"","決定",IF(O97="","未提出","要調整")))</f>
        <v/>
      </c>
      <c r="K97" s="23">
        <f>IF(OR(J97&lt;&gt;"要調整",E97=""),"",IFERROR(INDEX(設定!$H$8:$I$27,MATCH(E97,設定!$G$8:$G$27,0),IF($M97=設定!$H$6&amp;"",1,2))-COUNTIFS($M$3:$M$302,M97,$I$3:$I$302,E97),""))</f>
        <v/>
      </c>
      <c r="L97" s="23">
        <f>IF(OR(J97&lt;&gt;"要調整",F97=""),"",IFERROR(INDEX(設定!$H$8:$I$27,MATCH(F97,設定!$G$8:$G$27,0),IF($M97=設定!$H$6&amp;"",1,2))-COUNTIFS($M$3:$M$302,M97,$I$3:$I$302,F97),""))</f>
        <v/>
      </c>
      <c r="M97" s="8">
        <f>IF(N97="","",INDEX(児童名簿!$A$2:$A$301,N97)&amp;"")</f>
        <v/>
      </c>
      <c r="N97" s="8">
        <f>IFERROR(MATCH(SMALL(児童名簿!$G$2:$G$301,95),児童名簿!$G$2:$G$301,0),"")</f>
        <v/>
      </c>
      <c r="O97" s="8">
        <f>IF(P97="","",IFERROR(MATCH(P97,希望入力!$K$2:$K$401,0),""))</f>
        <v/>
      </c>
      <c r="P97" s="8">
        <f>IF(N97="","",INDEX(児童名簿!$F$2:$F$301,N97))</f>
        <v/>
      </c>
      <c r="Q97" s="8">
        <f>IF(I97="","",IFERROR(MATCH(I97,設定!$G$8:$G$27,0),""))</f>
        <v/>
      </c>
      <c r="R97" s="8">
        <f>IF(Q97="","",COUNTIF($Q$3:Q97,Q97))</f>
        <v/>
      </c>
      <c r="S97" s="8">
        <f>IF(Q97="","",Q97*1000+R97)</f>
        <v/>
      </c>
    </row>
    <row r="98">
      <c r="A98" s="23">
        <f>IF(N98="","",IFERROR(INDEX(設定!$C$8:$C$23,INT(INDEX(児童名簿!$G$2:$G$301,N98)/1000)),M98&amp;INDEX(児童名簿!$B$2:$B$301,N98)))</f>
        <v/>
      </c>
      <c r="B98" s="23">
        <f>IF(N98="","",INDEX(児童名簿!$C$2:$C$301,N98))</f>
        <v/>
      </c>
      <c r="C98" s="3">
        <f>IF(N98="","",INDEX(児童名簿!$D$2:$D$301,N98))</f>
        <v/>
      </c>
      <c r="D98" s="23">
        <f>IF(O98="","",INDEX(希望入力!$D$2:$D$401,O98)&amp;"")</f>
        <v/>
      </c>
      <c r="E98" s="23">
        <f>IF(O98="","",INDEX(希望入力!$E$2:$E$401,O98)&amp;"")</f>
        <v/>
      </c>
      <c r="F98" s="23">
        <f>IF(O98="","",INDEX(希望入力!$F$2:$F$401,O98)&amp;"")</f>
        <v/>
      </c>
      <c r="G98" s="23">
        <f>IF(O98="","",IF(D98="","要調整",IFERROR(IF(COUNTIFS($M$3:$M$302,M98,$D$3:$D$302,D98)&lt;=INDEX(設定!$H$8:$I$27,MATCH(D98,設定!$G$8:$G$27,0),IF($M98=設定!$H$6&amp;"",1,2)),D98,"要調整"),"要調整")))</f>
        <v/>
      </c>
      <c r="H98" s="15" t="n"/>
      <c r="I98" s="24">
        <f>IF(N98="","",IF(H98&lt;&gt;"",H98,IF(OR(G98="",G98="要調整"),"",G98)))</f>
        <v/>
      </c>
      <c r="J98" s="23">
        <f>IF(N98="","",IF(I98&lt;&gt;"","決定",IF(O98="","未提出","要調整")))</f>
        <v/>
      </c>
      <c r="K98" s="23">
        <f>IF(OR(J98&lt;&gt;"要調整",E98=""),"",IFERROR(INDEX(設定!$H$8:$I$27,MATCH(E98,設定!$G$8:$G$27,0),IF($M98=設定!$H$6&amp;"",1,2))-COUNTIFS($M$3:$M$302,M98,$I$3:$I$302,E98),""))</f>
        <v/>
      </c>
      <c r="L98" s="23">
        <f>IF(OR(J98&lt;&gt;"要調整",F98=""),"",IFERROR(INDEX(設定!$H$8:$I$27,MATCH(F98,設定!$G$8:$G$27,0),IF($M98=設定!$H$6&amp;"",1,2))-COUNTIFS($M$3:$M$302,M98,$I$3:$I$302,F98),""))</f>
        <v/>
      </c>
      <c r="M98" s="8">
        <f>IF(N98="","",INDEX(児童名簿!$A$2:$A$301,N98)&amp;"")</f>
        <v/>
      </c>
      <c r="N98" s="8">
        <f>IFERROR(MATCH(SMALL(児童名簿!$G$2:$G$301,96),児童名簿!$G$2:$G$301,0),"")</f>
        <v/>
      </c>
      <c r="O98" s="8">
        <f>IF(P98="","",IFERROR(MATCH(P98,希望入力!$K$2:$K$401,0),""))</f>
        <v/>
      </c>
      <c r="P98" s="8">
        <f>IF(N98="","",INDEX(児童名簿!$F$2:$F$301,N98))</f>
        <v/>
      </c>
      <c r="Q98" s="8">
        <f>IF(I98="","",IFERROR(MATCH(I98,設定!$G$8:$G$27,0),""))</f>
        <v/>
      </c>
      <c r="R98" s="8">
        <f>IF(Q98="","",COUNTIF($Q$3:Q98,Q98))</f>
        <v/>
      </c>
      <c r="S98" s="8">
        <f>IF(Q98="","",Q98*1000+R98)</f>
        <v/>
      </c>
    </row>
    <row r="99">
      <c r="A99" s="23">
        <f>IF(N99="","",IFERROR(INDEX(設定!$C$8:$C$23,INT(INDEX(児童名簿!$G$2:$G$301,N99)/1000)),M99&amp;INDEX(児童名簿!$B$2:$B$301,N99)))</f>
        <v/>
      </c>
      <c r="B99" s="23">
        <f>IF(N99="","",INDEX(児童名簿!$C$2:$C$301,N99))</f>
        <v/>
      </c>
      <c r="C99" s="3">
        <f>IF(N99="","",INDEX(児童名簿!$D$2:$D$301,N99))</f>
        <v/>
      </c>
      <c r="D99" s="23">
        <f>IF(O99="","",INDEX(希望入力!$D$2:$D$401,O99)&amp;"")</f>
        <v/>
      </c>
      <c r="E99" s="23">
        <f>IF(O99="","",INDEX(希望入力!$E$2:$E$401,O99)&amp;"")</f>
        <v/>
      </c>
      <c r="F99" s="23">
        <f>IF(O99="","",INDEX(希望入力!$F$2:$F$401,O99)&amp;"")</f>
        <v/>
      </c>
      <c r="G99" s="23">
        <f>IF(O99="","",IF(D99="","要調整",IFERROR(IF(COUNTIFS($M$3:$M$302,M99,$D$3:$D$302,D99)&lt;=INDEX(設定!$H$8:$I$27,MATCH(D99,設定!$G$8:$G$27,0),IF($M99=設定!$H$6&amp;"",1,2)),D99,"要調整"),"要調整")))</f>
        <v/>
      </c>
      <c r="H99" s="15" t="inlineStr">
        <is>
          <t>飼育</t>
        </is>
      </c>
      <c r="I99" s="24">
        <f>IF(N99="","",IF(H99&lt;&gt;"",H99,IF(OR(G99="",G99="要調整"),"",G99)))</f>
        <v/>
      </c>
      <c r="J99" s="23">
        <f>IF(N99="","",IF(I99&lt;&gt;"","決定",IF(O99="","未提出","要調整")))</f>
        <v/>
      </c>
      <c r="K99" s="23">
        <f>IF(OR(J99&lt;&gt;"要調整",E99=""),"",IFERROR(INDEX(設定!$H$8:$I$27,MATCH(E99,設定!$G$8:$G$27,0),IF($M99=設定!$H$6&amp;"",1,2))-COUNTIFS($M$3:$M$302,M99,$I$3:$I$302,E99),""))</f>
        <v/>
      </c>
      <c r="L99" s="23">
        <f>IF(OR(J99&lt;&gt;"要調整",F99=""),"",IFERROR(INDEX(設定!$H$8:$I$27,MATCH(F99,設定!$G$8:$G$27,0),IF($M99=設定!$H$6&amp;"",1,2))-COUNTIFS($M$3:$M$302,M99,$I$3:$I$302,F99),""))</f>
        <v/>
      </c>
      <c r="M99" s="8">
        <f>IF(N99="","",INDEX(児童名簿!$A$2:$A$301,N99)&amp;"")</f>
        <v/>
      </c>
      <c r="N99" s="8">
        <f>IFERROR(MATCH(SMALL(児童名簿!$G$2:$G$301,97),児童名簿!$G$2:$G$301,0),"")</f>
        <v/>
      </c>
      <c r="O99" s="8">
        <f>IF(P99="","",IFERROR(MATCH(P99,希望入力!$K$2:$K$401,0),""))</f>
        <v/>
      </c>
      <c r="P99" s="8">
        <f>IF(N99="","",INDEX(児童名簿!$F$2:$F$301,N99))</f>
        <v/>
      </c>
      <c r="Q99" s="8">
        <f>IF(I99="","",IFERROR(MATCH(I99,設定!$G$8:$G$27,0),""))</f>
        <v/>
      </c>
      <c r="R99" s="8">
        <f>IF(Q99="","",COUNTIF($Q$3:Q99,Q99))</f>
        <v/>
      </c>
      <c r="S99" s="8">
        <f>IF(Q99="","",Q99*1000+R99)</f>
        <v/>
      </c>
    </row>
    <row r="100">
      <c r="A100" s="23">
        <f>IF(N100="","",IFERROR(INDEX(設定!$C$8:$C$23,INT(INDEX(児童名簿!$G$2:$G$301,N100)/1000)),M100&amp;INDEX(児童名簿!$B$2:$B$301,N100)))</f>
        <v/>
      </c>
      <c r="B100" s="23">
        <f>IF(N100="","",INDEX(児童名簿!$C$2:$C$301,N100))</f>
        <v/>
      </c>
      <c r="C100" s="3">
        <f>IF(N100="","",INDEX(児童名簿!$D$2:$D$301,N100))</f>
        <v/>
      </c>
      <c r="D100" s="23">
        <f>IF(O100="","",INDEX(希望入力!$D$2:$D$401,O100)&amp;"")</f>
        <v/>
      </c>
      <c r="E100" s="23">
        <f>IF(O100="","",INDEX(希望入力!$E$2:$E$401,O100)&amp;"")</f>
        <v/>
      </c>
      <c r="F100" s="23">
        <f>IF(O100="","",INDEX(希望入力!$F$2:$F$401,O100)&amp;"")</f>
        <v/>
      </c>
      <c r="G100" s="23">
        <f>IF(O100="","",IF(D100="","要調整",IFERROR(IF(COUNTIFS($M$3:$M$302,M100,$D$3:$D$302,D100)&lt;=INDEX(設定!$H$8:$I$27,MATCH(D100,設定!$G$8:$G$27,0),IF($M100=設定!$H$6&amp;"",1,2)),D100,"要調整"),"要調整")))</f>
        <v/>
      </c>
      <c r="H100" s="15" t="n"/>
      <c r="I100" s="24">
        <f>IF(N100="","",IF(H100&lt;&gt;"",H100,IF(OR(G100="",G100="要調整"),"",G100)))</f>
        <v/>
      </c>
      <c r="J100" s="23">
        <f>IF(N100="","",IF(I100&lt;&gt;"","決定",IF(O100="","未提出","要調整")))</f>
        <v/>
      </c>
      <c r="K100" s="23">
        <f>IF(OR(J100&lt;&gt;"要調整",E100=""),"",IFERROR(INDEX(設定!$H$8:$I$27,MATCH(E100,設定!$G$8:$G$27,0),IF($M100=設定!$H$6&amp;"",1,2))-COUNTIFS($M$3:$M$302,M100,$I$3:$I$302,E100),""))</f>
        <v/>
      </c>
      <c r="L100" s="23">
        <f>IF(OR(J100&lt;&gt;"要調整",F100=""),"",IFERROR(INDEX(設定!$H$8:$I$27,MATCH(F100,設定!$G$8:$G$27,0),IF($M100=設定!$H$6&amp;"",1,2))-COUNTIFS($M$3:$M$302,M100,$I$3:$I$302,F100),""))</f>
        <v/>
      </c>
      <c r="M100" s="8">
        <f>IF(N100="","",INDEX(児童名簿!$A$2:$A$301,N100)&amp;"")</f>
        <v/>
      </c>
      <c r="N100" s="8">
        <f>IFERROR(MATCH(SMALL(児童名簿!$G$2:$G$301,98),児童名簿!$G$2:$G$301,0),"")</f>
        <v/>
      </c>
      <c r="O100" s="8">
        <f>IF(P100="","",IFERROR(MATCH(P100,希望入力!$K$2:$K$401,0),""))</f>
        <v/>
      </c>
      <c r="P100" s="8">
        <f>IF(N100="","",INDEX(児童名簿!$F$2:$F$301,N100))</f>
        <v/>
      </c>
      <c r="Q100" s="8">
        <f>IF(I100="","",IFERROR(MATCH(I100,設定!$G$8:$G$27,0),""))</f>
        <v/>
      </c>
      <c r="R100" s="8">
        <f>IF(Q100="","",COUNTIF($Q$3:Q100,Q100))</f>
        <v/>
      </c>
      <c r="S100" s="8">
        <f>IF(Q100="","",Q100*1000+R100)</f>
        <v/>
      </c>
    </row>
    <row r="101">
      <c r="A101" s="23">
        <f>IF(N101="","",IFERROR(INDEX(設定!$C$8:$C$23,INT(INDEX(児童名簿!$G$2:$G$301,N101)/1000)),M101&amp;INDEX(児童名簿!$B$2:$B$301,N101)))</f>
        <v/>
      </c>
      <c r="B101" s="23">
        <f>IF(N101="","",INDEX(児童名簿!$C$2:$C$301,N101))</f>
        <v/>
      </c>
      <c r="C101" s="3">
        <f>IF(N101="","",INDEX(児童名簿!$D$2:$D$301,N101))</f>
        <v/>
      </c>
      <c r="D101" s="23">
        <f>IF(O101="","",INDEX(希望入力!$D$2:$D$401,O101)&amp;"")</f>
        <v/>
      </c>
      <c r="E101" s="23">
        <f>IF(O101="","",INDEX(希望入力!$E$2:$E$401,O101)&amp;"")</f>
        <v/>
      </c>
      <c r="F101" s="23">
        <f>IF(O101="","",INDEX(希望入力!$F$2:$F$401,O101)&amp;"")</f>
        <v/>
      </c>
      <c r="G101" s="23">
        <f>IF(O101="","",IF(D101="","要調整",IFERROR(IF(COUNTIFS($M$3:$M$302,M101,$D$3:$D$302,D101)&lt;=INDEX(設定!$H$8:$I$27,MATCH(D101,設定!$G$8:$G$27,0),IF($M101=設定!$H$6&amp;"",1,2)),D101,"要調整"),"要調整")))</f>
        <v/>
      </c>
      <c r="H101" s="15" t="n"/>
      <c r="I101" s="24">
        <f>IF(N101="","",IF(H101&lt;&gt;"",H101,IF(OR(G101="",G101="要調整"),"",G101)))</f>
        <v/>
      </c>
      <c r="J101" s="23">
        <f>IF(N101="","",IF(I101&lt;&gt;"","決定",IF(O101="","未提出","要調整")))</f>
        <v/>
      </c>
      <c r="K101" s="23">
        <f>IF(OR(J101&lt;&gt;"要調整",E101=""),"",IFERROR(INDEX(設定!$H$8:$I$27,MATCH(E101,設定!$G$8:$G$27,0),IF($M101=設定!$H$6&amp;"",1,2))-COUNTIFS($M$3:$M$302,M101,$I$3:$I$302,E101),""))</f>
        <v/>
      </c>
      <c r="L101" s="23">
        <f>IF(OR(J101&lt;&gt;"要調整",F101=""),"",IFERROR(INDEX(設定!$H$8:$I$27,MATCH(F101,設定!$G$8:$G$27,0),IF($M101=設定!$H$6&amp;"",1,2))-COUNTIFS($M$3:$M$302,M101,$I$3:$I$302,F101),""))</f>
        <v/>
      </c>
      <c r="M101" s="8">
        <f>IF(N101="","",INDEX(児童名簿!$A$2:$A$301,N101)&amp;"")</f>
        <v/>
      </c>
      <c r="N101" s="8">
        <f>IFERROR(MATCH(SMALL(児童名簿!$G$2:$G$301,99),児童名簿!$G$2:$G$301,0),"")</f>
        <v/>
      </c>
      <c r="O101" s="8">
        <f>IF(P101="","",IFERROR(MATCH(P101,希望入力!$K$2:$K$401,0),""))</f>
        <v/>
      </c>
      <c r="P101" s="8">
        <f>IF(N101="","",INDEX(児童名簿!$F$2:$F$301,N101))</f>
        <v/>
      </c>
      <c r="Q101" s="8">
        <f>IF(I101="","",IFERROR(MATCH(I101,設定!$G$8:$G$27,0),""))</f>
        <v/>
      </c>
      <c r="R101" s="8">
        <f>IF(Q101="","",COUNTIF($Q$3:Q101,Q101))</f>
        <v/>
      </c>
      <c r="S101" s="8">
        <f>IF(Q101="","",Q101*1000+R101)</f>
        <v/>
      </c>
    </row>
    <row r="102">
      <c r="A102" s="23">
        <f>IF(N102="","",IFERROR(INDEX(設定!$C$8:$C$23,INT(INDEX(児童名簿!$G$2:$G$301,N102)/1000)),M102&amp;INDEX(児童名簿!$B$2:$B$301,N102)))</f>
        <v/>
      </c>
      <c r="B102" s="23">
        <f>IF(N102="","",INDEX(児童名簿!$C$2:$C$301,N102))</f>
        <v/>
      </c>
      <c r="C102" s="3">
        <f>IF(N102="","",INDEX(児童名簿!$D$2:$D$301,N102))</f>
        <v/>
      </c>
      <c r="D102" s="23">
        <f>IF(O102="","",INDEX(希望入力!$D$2:$D$401,O102)&amp;"")</f>
        <v/>
      </c>
      <c r="E102" s="23">
        <f>IF(O102="","",INDEX(希望入力!$E$2:$E$401,O102)&amp;"")</f>
        <v/>
      </c>
      <c r="F102" s="23">
        <f>IF(O102="","",INDEX(希望入力!$F$2:$F$401,O102)&amp;"")</f>
        <v/>
      </c>
      <c r="G102" s="23">
        <f>IF(O102="","",IF(D102="","要調整",IFERROR(IF(COUNTIFS($M$3:$M$302,M102,$D$3:$D$302,D102)&lt;=INDEX(設定!$H$8:$I$27,MATCH(D102,設定!$G$8:$G$27,0),IF($M102=設定!$H$6&amp;"",1,2)),D102,"要調整"),"要調整")))</f>
        <v/>
      </c>
      <c r="H102" s="15" t="n"/>
      <c r="I102" s="24">
        <f>IF(N102="","",IF(H102&lt;&gt;"",H102,IF(OR(G102="",G102="要調整"),"",G102)))</f>
        <v/>
      </c>
      <c r="J102" s="23">
        <f>IF(N102="","",IF(I102&lt;&gt;"","決定",IF(O102="","未提出","要調整")))</f>
        <v/>
      </c>
      <c r="K102" s="23">
        <f>IF(OR(J102&lt;&gt;"要調整",E102=""),"",IFERROR(INDEX(設定!$H$8:$I$27,MATCH(E102,設定!$G$8:$G$27,0),IF($M102=設定!$H$6&amp;"",1,2))-COUNTIFS($M$3:$M$302,M102,$I$3:$I$302,E102),""))</f>
        <v/>
      </c>
      <c r="L102" s="23">
        <f>IF(OR(J102&lt;&gt;"要調整",F102=""),"",IFERROR(INDEX(設定!$H$8:$I$27,MATCH(F102,設定!$G$8:$G$27,0),IF($M102=設定!$H$6&amp;"",1,2))-COUNTIFS($M$3:$M$302,M102,$I$3:$I$302,F102),""))</f>
        <v/>
      </c>
      <c r="M102" s="8">
        <f>IF(N102="","",INDEX(児童名簿!$A$2:$A$301,N102)&amp;"")</f>
        <v/>
      </c>
      <c r="N102" s="8">
        <f>IFERROR(MATCH(SMALL(児童名簿!$G$2:$G$301,100),児童名簿!$G$2:$G$301,0),"")</f>
        <v/>
      </c>
      <c r="O102" s="8">
        <f>IF(P102="","",IFERROR(MATCH(P102,希望入力!$K$2:$K$401,0),""))</f>
        <v/>
      </c>
      <c r="P102" s="8">
        <f>IF(N102="","",INDEX(児童名簿!$F$2:$F$301,N102))</f>
        <v/>
      </c>
      <c r="Q102" s="8">
        <f>IF(I102="","",IFERROR(MATCH(I102,設定!$G$8:$G$27,0),""))</f>
        <v/>
      </c>
      <c r="R102" s="8">
        <f>IF(Q102="","",COUNTIF($Q$3:Q102,Q102))</f>
        <v/>
      </c>
      <c r="S102" s="8">
        <f>IF(Q102="","",Q102*1000+R102)</f>
        <v/>
      </c>
    </row>
    <row r="103">
      <c r="A103" s="23">
        <f>IF(N103="","",IFERROR(INDEX(設定!$C$8:$C$23,INT(INDEX(児童名簿!$G$2:$G$301,N103)/1000)),M103&amp;INDEX(児童名簿!$B$2:$B$301,N103)))</f>
        <v/>
      </c>
      <c r="B103" s="23">
        <f>IF(N103="","",INDEX(児童名簿!$C$2:$C$301,N103))</f>
        <v/>
      </c>
      <c r="C103" s="3">
        <f>IF(N103="","",INDEX(児童名簿!$D$2:$D$301,N103))</f>
        <v/>
      </c>
      <c r="D103" s="23">
        <f>IF(O103="","",INDEX(希望入力!$D$2:$D$401,O103)&amp;"")</f>
        <v/>
      </c>
      <c r="E103" s="23">
        <f>IF(O103="","",INDEX(希望入力!$E$2:$E$401,O103)&amp;"")</f>
        <v/>
      </c>
      <c r="F103" s="23">
        <f>IF(O103="","",INDEX(希望入力!$F$2:$F$401,O103)&amp;"")</f>
        <v/>
      </c>
      <c r="G103" s="23">
        <f>IF(O103="","",IF(D103="","要調整",IFERROR(IF(COUNTIFS($M$3:$M$302,M103,$D$3:$D$302,D103)&lt;=INDEX(設定!$H$8:$I$27,MATCH(D103,設定!$G$8:$G$27,0),IF($M103=設定!$H$6&amp;"",1,2)),D103,"要調整"),"要調整")))</f>
        <v/>
      </c>
      <c r="H103" s="15" t="inlineStr">
        <is>
          <t>飼育</t>
        </is>
      </c>
      <c r="I103" s="24">
        <f>IF(N103="","",IF(H103&lt;&gt;"",H103,IF(OR(G103="",G103="要調整"),"",G103)))</f>
        <v/>
      </c>
      <c r="J103" s="23">
        <f>IF(N103="","",IF(I103&lt;&gt;"","決定",IF(O103="","未提出","要調整")))</f>
        <v/>
      </c>
      <c r="K103" s="23">
        <f>IF(OR(J103&lt;&gt;"要調整",E103=""),"",IFERROR(INDEX(設定!$H$8:$I$27,MATCH(E103,設定!$G$8:$G$27,0),IF($M103=設定!$H$6&amp;"",1,2))-COUNTIFS($M$3:$M$302,M103,$I$3:$I$302,E103),""))</f>
        <v/>
      </c>
      <c r="L103" s="23">
        <f>IF(OR(J103&lt;&gt;"要調整",F103=""),"",IFERROR(INDEX(設定!$H$8:$I$27,MATCH(F103,設定!$G$8:$G$27,0),IF($M103=設定!$H$6&amp;"",1,2))-COUNTIFS($M$3:$M$302,M103,$I$3:$I$302,F103),""))</f>
        <v/>
      </c>
      <c r="M103" s="8">
        <f>IF(N103="","",INDEX(児童名簿!$A$2:$A$301,N103)&amp;"")</f>
        <v/>
      </c>
      <c r="N103" s="8">
        <f>IFERROR(MATCH(SMALL(児童名簿!$G$2:$G$301,101),児童名簿!$G$2:$G$301,0),"")</f>
        <v/>
      </c>
      <c r="O103" s="8">
        <f>IF(P103="","",IFERROR(MATCH(P103,希望入力!$K$2:$K$401,0),""))</f>
        <v/>
      </c>
      <c r="P103" s="8">
        <f>IF(N103="","",INDEX(児童名簿!$F$2:$F$301,N103))</f>
        <v/>
      </c>
      <c r="Q103" s="8">
        <f>IF(I103="","",IFERROR(MATCH(I103,設定!$G$8:$G$27,0),""))</f>
        <v/>
      </c>
      <c r="R103" s="8">
        <f>IF(Q103="","",COUNTIF($Q$3:Q103,Q103))</f>
        <v/>
      </c>
      <c r="S103" s="8">
        <f>IF(Q103="","",Q103*1000+R103)</f>
        <v/>
      </c>
    </row>
    <row r="104">
      <c r="A104" s="23">
        <f>IF(N104="","",IFERROR(INDEX(設定!$C$8:$C$23,INT(INDEX(児童名簿!$G$2:$G$301,N104)/1000)),M104&amp;INDEX(児童名簿!$B$2:$B$301,N104)))</f>
        <v/>
      </c>
      <c r="B104" s="23">
        <f>IF(N104="","",INDEX(児童名簿!$C$2:$C$301,N104))</f>
        <v/>
      </c>
      <c r="C104" s="3">
        <f>IF(N104="","",INDEX(児童名簿!$D$2:$D$301,N104))</f>
        <v/>
      </c>
      <c r="D104" s="23">
        <f>IF(O104="","",INDEX(希望入力!$D$2:$D$401,O104)&amp;"")</f>
        <v/>
      </c>
      <c r="E104" s="23">
        <f>IF(O104="","",INDEX(希望入力!$E$2:$E$401,O104)&amp;"")</f>
        <v/>
      </c>
      <c r="F104" s="23">
        <f>IF(O104="","",INDEX(希望入力!$F$2:$F$401,O104)&amp;"")</f>
        <v/>
      </c>
      <c r="G104" s="23">
        <f>IF(O104="","",IF(D104="","要調整",IFERROR(IF(COUNTIFS($M$3:$M$302,M104,$D$3:$D$302,D104)&lt;=INDEX(設定!$H$8:$I$27,MATCH(D104,設定!$G$8:$G$27,0),IF($M104=設定!$H$6&amp;"",1,2)),D104,"要調整"),"要調整")))</f>
        <v/>
      </c>
      <c r="H104" s="15" t="n"/>
      <c r="I104" s="24">
        <f>IF(N104="","",IF(H104&lt;&gt;"",H104,IF(OR(G104="",G104="要調整"),"",G104)))</f>
        <v/>
      </c>
      <c r="J104" s="23">
        <f>IF(N104="","",IF(I104&lt;&gt;"","決定",IF(O104="","未提出","要調整")))</f>
        <v/>
      </c>
      <c r="K104" s="23">
        <f>IF(OR(J104&lt;&gt;"要調整",E104=""),"",IFERROR(INDEX(設定!$H$8:$I$27,MATCH(E104,設定!$G$8:$G$27,0),IF($M104=設定!$H$6&amp;"",1,2))-COUNTIFS($M$3:$M$302,M104,$I$3:$I$302,E104),""))</f>
        <v/>
      </c>
      <c r="L104" s="23">
        <f>IF(OR(J104&lt;&gt;"要調整",F104=""),"",IFERROR(INDEX(設定!$H$8:$I$27,MATCH(F104,設定!$G$8:$G$27,0),IF($M104=設定!$H$6&amp;"",1,2))-COUNTIFS($M$3:$M$302,M104,$I$3:$I$302,F104),""))</f>
        <v/>
      </c>
      <c r="M104" s="8">
        <f>IF(N104="","",INDEX(児童名簿!$A$2:$A$301,N104)&amp;"")</f>
        <v/>
      </c>
      <c r="N104" s="8">
        <f>IFERROR(MATCH(SMALL(児童名簿!$G$2:$G$301,102),児童名簿!$G$2:$G$301,0),"")</f>
        <v/>
      </c>
      <c r="O104" s="8">
        <f>IF(P104="","",IFERROR(MATCH(P104,希望入力!$K$2:$K$401,0),""))</f>
        <v/>
      </c>
      <c r="P104" s="8">
        <f>IF(N104="","",INDEX(児童名簿!$F$2:$F$301,N104))</f>
        <v/>
      </c>
      <c r="Q104" s="8">
        <f>IF(I104="","",IFERROR(MATCH(I104,設定!$G$8:$G$27,0),""))</f>
        <v/>
      </c>
      <c r="R104" s="8">
        <f>IF(Q104="","",COUNTIF($Q$3:Q104,Q104))</f>
        <v/>
      </c>
      <c r="S104" s="8">
        <f>IF(Q104="","",Q104*1000+R104)</f>
        <v/>
      </c>
    </row>
    <row r="105">
      <c r="A105" s="23">
        <f>IF(N105="","",IFERROR(INDEX(設定!$C$8:$C$23,INT(INDEX(児童名簿!$G$2:$G$301,N105)/1000)),M105&amp;INDEX(児童名簿!$B$2:$B$301,N105)))</f>
        <v/>
      </c>
      <c r="B105" s="23">
        <f>IF(N105="","",INDEX(児童名簿!$C$2:$C$301,N105))</f>
        <v/>
      </c>
      <c r="C105" s="3">
        <f>IF(N105="","",INDEX(児童名簿!$D$2:$D$301,N105))</f>
        <v/>
      </c>
      <c r="D105" s="23">
        <f>IF(O105="","",INDEX(希望入力!$D$2:$D$401,O105)&amp;"")</f>
        <v/>
      </c>
      <c r="E105" s="23">
        <f>IF(O105="","",INDEX(希望入力!$E$2:$E$401,O105)&amp;"")</f>
        <v/>
      </c>
      <c r="F105" s="23">
        <f>IF(O105="","",INDEX(希望入力!$F$2:$F$401,O105)&amp;"")</f>
        <v/>
      </c>
      <c r="G105" s="23">
        <f>IF(O105="","",IF(D105="","要調整",IFERROR(IF(COUNTIFS($M$3:$M$302,M105,$D$3:$D$302,D105)&lt;=INDEX(設定!$H$8:$I$27,MATCH(D105,設定!$G$8:$G$27,0),IF($M105=設定!$H$6&amp;"",1,2)),D105,"要調整"),"要調整")))</f>
        <v/>
      </c>
      <c r="H105" s="15" t="inlineStr">
        <is>
          <t>飼育</t>
        </is>
      </c>
      <c r="I105" s="24">
        <f>IF(N105="","",IF(H105&lt;&gt;"",H105,IF(OR(G105="",G105="要調整"),"",G105)))</f>
        <v/>
      </c>
      <c r="J105" s="23">
        <f>IF(N105="","",IF(I105&lt;&gt;"","決定",IF(O105="","未提出","要調整")))</f>
        <v/>
      </c>
      <c r="K105" s="23">
        <f>IF(OR(J105&lt;&gt;"要調整",E105=""),"",IFERROR(INDEX(設定!$H$8:$I$27,MATCH(E105,設定!$G$8:$G$27,0),IF($M105=設定!$H$6&amp;"",1,2))-COUNTIFS($M$3:$M$302,M105,$I$3:$I$302,E105),""))</f>
        <v/>
      </c>
      <c r="L105" s="23">
        <f>IF(OR(J105&lt;&gt;"要調整",F105=""),"",IFERROR(INDEX(設定!$H$8:$I$27,MATCH(F105,設定!$G$8:$G$27,0),IF($M105=設定!$H$6&amp;"",1,2))-COUNTIFS($M$3:$M$302,M105,$I$3:$I$302,F105),""))</f>
        <v/>
      </c>
      <c r="M105" s="8">
        <f>IF(N105="","",INDEX(児童名簿!$A$2:$A$301,N105)&amp;"")</f>
        <v/>
      </c>
      <c r="N105" s="8">
        <f>IFERROR(MATCH(SMALL(児童名簿!$G$2:$G$301,103),児童名簿!$G$2:$G$301,0),"")</f>
        <v/>
      </c>
      <c r="O105" s="8">
        <f>IF(P105="","",IFERROR(MATCH(P105,希望入力!$K$2:$K$401,0),""))</f>
        <v/>
      </c>
      <c r="P105" s="8">
        <f>IF(N105="","",INDEX(児童名簿!$F$2:$F$301,N105))</f>
        <v/>
      </c>
      <c r="Q105" s="8">
        <f>IF(I105="","",IFERROR(MATCH(I105,設定!$G$8:$G$27,0),""))</f>
        <v/>
      </c>
      <c r="R105" s="8">
        <f>IF(Q105="","",COUNTIF($Q$3:Q105,Q105))</f>
        <v/>
      </c>
      <c r="S105" s="8">
        <f>IF(Q105="","",Q105*1000+R105)</f>
        <v/>
      </c>
    </row>
    <row r="106">
      <c r="A106" s="23">
        <f>IF(N106="","",IFERROR(INDEX(設定!$C$8:$C$23,INT(INDEX(児童名簿!$G$2:$G$301,N106)/1000)),M106&amp;INDEX(児童名簿!$B$2:$B$301,N106)))</f>
        <v/>
      </c>
      <c r="B106" s="23">
        <f>IF(N106="","",INDEX(児童名簿!$C$2:$C$301,N106))</f>
        <v/>
      </c>
      <c r="C106" s="3">
        <f>IF(N106="","",INDEX(児童名簿!$D$2:$D$301,N106))</f>
        <v/>
      </c>
      <c r="D106" s="23">
        <f>IF(O106="","",INDEX(希望入力!$D$2:$D$401,O106)&amp;"")</f>
        <v/>
      </c>
      <c r="E106" s="23">
        <f>IF(O106="","",INDEX(希望入力!$E$2:$E$401,O106)&amp;"")</f>
        <v/>
      </c>
      <c r="F106" s="23">
        <f>IF(O106="","",INDEX(希望入力!$F$2:$F$401,O106)&amp;"")</f>
        <v/>
      </c>
      <c r="G106" s="23">
        <f>IF(O106="","",IF(D106="","要調整",IFERROR(IF(COUNTIFS($M$3:$M$302,M106,$D$3:$D$302,D106)&lt;=INDEX(設定!$H$8:$I$27,MATCH(D106,設定!$G$8:$G$27,0),IF($M106=設定!$H$6&amp;"",1,2)),D106,"要調整"),"要調整")))</f>
        <v/>
      </c>
      <c r="H106" s="15" t="n"/>
      <c r="I106" s="24">
        <f>IF(N106="","",IF(H106&lt;&gt;"",H106,IF(OR(G106="",G106="要調整"),"",G106)))</f>
        <v/>
      </c>
      <c r="J106" s="23">
        <f>IF(N106="","",IF(I106&lt;&gt;"","決定",IF(O106="","未提出","要調整")))</f>
        <v/>
      </c>
      <c r="K106" s="23">
        <f>IF(OR(J106&lt;&gt;"要調整",E106=""),"",IFERROR(INDEX(設定!$H$8:$I$27,MATCH(E106,設定!$G$8:$G$27,0),IF($M106=設定!$H$6&amp;"",1,2))-COUNTIFS($M$3:$M$302,M106,$I$3:$I$302,E106),""))</f>
        <v/>
      </c>
      <c r="L106" s="23">
        <f>IF(OR(J106&lt;&gt;"要調整",F106=""),"",IFERROR(INDEX(設定!$H$8:$I$27,MATCH(F106,設定!$G$8:$G$27,0),IF($M106=設定!$H$6&amp;"",1,2))-COUNTIFS($M$3:$M$302,M106,$I$3:$I$302,F106),""))</f>
        <v/>
      </c>
      <c r="M106" s="8">
        <f>IF(N106="","",INDEX(児童名簿!$A$2:$A$301,N106)&amp;"")</f>
        <v/>
      </c>
      <c r="N106" s="8">
        <f>IFERROR(MATCH(SMALL(児童名簿!$G$2:$G$301,104),児童名簿!$G$2:$G$301,0),"")</f>
        <v/>
      </c>
      <c r="O106" s="8">
        <f>IF(P106="","",IFERROR(MATCH(P106,希望入力!$K$2:$K$401,0),""))</f>
        <v/>
      </c>
      <c r="P106" s="8">
        <f>IF(N106="","",INDEX(児童名簿!$F$2:$F$301,N106))</f>
        <v/>
      </c>
      <c r="Q106" s="8">
        <f>IF(I106="","",IFERROR(MATCH(I106,設定!$G$8:$G$27,0),""))</f>
        <v/>
      </c>
      <c r="R106" s="8">
        <f>IF(Q106="","",COUNTIF($Q$3:Q106,Q106))</f>
        <v/>
      </c>
      <c r="S106" s="8">
        <f>IF(Q106="","",Q106*1000+R106)</f>
        <v/>
      </c>
    </row>
    <row r="107">
      <c r="A107" s="23">
        <f>IF(N107="","",IFERROR(INDEX(設定!$C$8:$C$23,INT(INDEX(児童名簿!$G$2:$G$301,N107)/1000)),M107&amp;INDEX(児童名簿!$B$2:$B$301,N107)))</f>
        <v/>
      </c>
      <c r="B107" s="23">
        <f>IF(N107="","",INDEX(児童名簿!$C$2:$C$301,N107))</f>
        <v/>
      </c>
      <c r="C107" s="3">
        <f>IF(N107="","",INDEX(児童名簿!$D$2:$D$301,N107))</f>
        <v/>
      </c>
      <c r="D107" s="23">
        <f>IF(O107="","",INDEX(希望入力!$D$2:$D$401,O107)&amp;"")</f>
        <v/>
      </c>
      <c r="E107" s="23">
        <f>IF(O107="","",INDEX(希望入力!$E$2:$E$401,O107)&amp;"")</f>
        <v/>
      </c>
      <c r="F107" s="23">
        <f>IF(O107="","",INDEX(希望入力!$F$2:$F$401,O107)&amp;"")</f>
        <v/>
      </c>
      <c r="G107" s="23">
        <f>IF(O107="","",IF(D107="","要調整",IFERROR(IF(COUNTIFS($M$3:$M$302,M107,$D$3:$D$302,D107)&lt;=INDEX(設定!$H$8:$I$27,MATCH(D107,設定!$G$8:$G$27,0),IF($M107=設定!$H$6&amp;"",1,2)),D107,"要調整"),"要調整")))</f>
        <v/>
      </c>
      <c r="H107" s="15" t="inlineStr">
        <is>
          <t>飼育</t>
        </is>
      </c>
      <c r="I107" s="24">
        <f>IF(N107="","",IF(H107&lt;&gt;"",H107,IF(OR(G107="",G107="要調整"),"",G107)))</f>
        <v/>
      </c>
      <c r="J107" s="23">
        <f>IF(N107="","",IF(I107&lt;&gt;"","決定",IF(O107="","未提出","要調整")))</f>
        <v/>
      </c>
      <c r="K107" s="23">
        <f>IF(OR(J107&lt;&gt;"要調整",E107=""),"",IFERROR(INDEX(設定!$H$8:$I$27,MATCH(E107,設定!$G$8:$G$27,0),IF($M107=設定!$H$6&amp;"",1,2))-COUNTIFS($M$3:$M$302,M107,$I$3:$I$302,E107),""))</f>
        <v/>
      </c>
      <c r="L107" s="23">
        <f>IF(OR(J107&lt;&gt;"要調整",F107=""),"",IFERROR(INDEX(設定!$H$8:$I$27,MATCH(F107,設定!$G$8:$G$27,0),IF($M107=設定!$H$6&amp;"",1,2))-COUNTIFS($M$3:$M$302,M107,$I$3:$I$302,F107),""))</f>
        <v/>
      </c>
      <c r="M107" s="8">
        <f>IF(N107="","",INDEX(児童名簿!$A$2:$A$301,N107)&amp;"")</f>
        <v/>
      </c>
      <c r="N107" s="8">
        <f>IFERROR(MATCH(SMALL(児童名簿!$G$2:$G$301,105),児童名簿!$G$2:$G$301,0),"")</f>
        <v/>
      </c>
      <c r="O107" s="8">
        <f>IF(P107="","",IFERROR(MATCH(P107,希望入力!$K$2:$K$401,0),""))</f>
        <v/>
      </c>
      <c r="P107" s="8">
        <f>IF(N107="","",INDEX(児童名簿!$F$2:$F$301,N107))</f>
        <v/>
      </c>
      <c r="Q107" s="8">
        <f>IF(I107="","",IFERROR(MATCH(I107,設定!$G$8:$G$27,0),""))</f>
        <v/>
      </c>
      <c r="R107" s="8">
        <f>IF(Q107="","",COUNTIF($Q$3:Q107,Q107))</f>
        <v/>
      </c>
      <c r="S107" s="8">
        <f>IF(Q107="","",Q107*1000+R107)</f>
        <v/>
      </c>
    </row>
    <row r="108">
      <c r="A108" s="23">
        <f>IF(N108="","",IFERROR(INDEX(設定!$C$8:$C$23,INT(INDEX(児童名簿!$G$2:$G$301,N108)/1000)),M108&amp;INDEX(児童名簿!$B$2:$B$301,N108)))</f>
        <v/>
      </c>
      <c r="B108" s="23">
        <f>IF(N108="","",INDEX(児童名簿!$C$2:$C$301,N108))</f>
        <v/>
      </c>
      <c r="C108" s="3">
        <f>IF(N108="","",INDEX(児童名簿!$D$2:$D$301,N108))</f>
        <v/>
      </c>
      <c r="D108" s="23">
        <f>IF(O108="","",INDEX(希望入力!$D$2:$D$401,O108)&amp;"")</f>
        <v/>
      </c>
      <c r="E108" s="23">
        <f>IF(O108="","",INDEX(希望入力!$E$2:$E$401,O108)&amp;"")</f>
        <v/>
      </c>
      <c r="F108" s="23">
        <f>IF(O108="","",INDEX(希望入力!$F$2:$F$401,O108)&amp;"")</f>
        <v/>
      </c>
      <c r="G108" s="23">
        <f>IF(O108="","",IF(D108="","要調整",IFERROR(IF(COUNTIFS($M$3:$M$302,M108,$D$3:$D$302,D108)&lt;=INDEX(設定!$H$8:$I$27,MATCH(D108,設定!$G$8:$G$27,0),IF($M108=設定!$H$6&amp;"",1,2)),D108,"要調整"),"要調整")))</f>
        <v/>
      </c>
      <c r="H108" s="15" t="inlineStr">
        <is>
          <t>飼育</t>
        </is>
      </c>
      <c r="I108" s="24">
        <f>IF(N108="","",IF(H108&lt;&gt;"",H108,IF(OR(G108="",G108="要調整"),"",G108)))</f>
        <v/>
      </c>
      <c r="J108" s="23">
        <f>IF(N108="","",IF(I108&lt;&gt;"","決定",IF(O108="","未提出","要調整")))</f>
        <v/>
      </c>
      <c r="K108" s="23">
        <f>IF(OR(J108&lt;&gt;"要調整",E108=""),"",IFERROR(INDEX(設定!$H$8:$I$27,MATCH(E108,設定!$G$8:$G$27,0),IF($M108=設定!$H$6&amp;"",1,2))-COUNTIFS($M$3:$M$302,M108,$I$3:$I$302,E108),""))</f>
        <v/>
      </c>
      <c r="L108" s="23">
        <f>IF(OR(J108&lt;&gt;"要調整",F108=""),"",IFERROR(INDEX(設定!$H$8:$I$27,MATCH(F108,設定!$G$8:$G$27,0),IF($M108=設定!$H$6&amp;"",1,2))-COUNTIFS($M$3:$M$302,M108,$I$3:$I$302,F108),""))</f>
        <v/>
      </c>
      <c r="M108" s="8">
        <f>IF(N108="","",INDEX(児童名簿!$A$2:$A$301,N108)&amp;"")</f>
        <v/>
      </c>
      <c r="N108" s="8">
        <f>IFERROR(MATCH(SMALL(児童名簿!$G$2:$G$301,106),児童名簿!$G$2:$G$301,0),"")</f>
        <v/>
      </c>
      <c r="O108" s="8">
        <f>IF(P108="","",IFERROR(MATCH(P108,希望入力!$K$2:$K$401,0),""))</f>
        <v/>
      </c>
      <c r="P108" s="8">
        <f>IF(N108="","",INDEX(児童名簿!$F$2:$F$301,N108))</f>
        <v/>
      </c>
      <c r="Q108" s="8">
        <f>IF(I108="","",IFERROR(MATCH(I108,設定!$G$8:$G$27,0),""))</f>
        <v/>
      </c>
      <c r="R108" s="8">
        <f>IF(Q108="","",COUNTIF($Q$3:Q108,Q108))</f>
        <v/>
      </c>
      <c r="S108" s="8">
        <f>IF(Q108="","",Q108*1000+R108)</f>
        <v/>
      </c>
    </row>
    <row r="109">
      <c r="A109" s="23">
        <f>IF(N109="","",IFERROR(INDEX(設定!$C$8:$C$23,INT(INDEX(児童名簿!$G$2:$G$301,N109)/1000)),M109&amp;INDEX(児童名簿!$B$2:$B$301,N109)))</f>
        <v/>
      </c>
      <c r="B109" s="23">
        <f>IF(N109="","",INDEX(児童名簿!$C$2:$C$301,N109))</f>
        <v/>
      </c>
      <c r="C109" s="3">
        <f>IF(N109="","",INDEX(児童名簿!$D$2:$D$301,N109))</f>
        <v/>
      </c>
      <c r="D109" s="23">
        <f>IF(O109="","",INDEX(希望入力!$D$2:$D$401,O109)&amp;"")</f>
        <v/>
      </c>
      <c r="E109" s="23">
        <f>IF(O109="","",INDEX(希望入力!$E$2:$E$401,O109)&amp;"")</f>
        <v/>
      </c>
      <c r="F109" s="23">
        <f>IF(O109="","",INDEX(希望入力!$F$2:$F$401,O109)&amp;"")</f>
        <v/>
      </c>
      <c r="G109" s="23">
        <f>IF(O109="","",IF(D109="","要調整",IFERROR(IF(COUNTIFS($M$3:$M$302,M109,$D$3:$D$302,D109)&lt;=INDEX(設定!$H$8:$I$27,MATCH(D109,設定!$G$8:$G$27,0),IF($M109=設定!$H$6&amp;"",1,2)),D109,"要調整"),"要調整")))</f>
        <v/>
      </c>
      <c r="H109" s="15" t="n"/>
      <c r="I109" s="24">
        <f>IF(N109="","",IF(H109&lt;&gt;"",H109,IF(OR(G109="",G109="要調整"),"",G109)))</f>
        <v/>
      </c>
      <c r="J109" s="23">
        <f>IF(N109="","",IF(I109&lt;&gt;"","決定",IF(O109="","未提出","要調整")))</f>
        <v/>
      </c>
      <c r="K109" s="23">
        <f>IF(OR(J109&lt;&gt;"要調整",E109=""),"",IFERROR(INDEX(設定!$H$8:$I$27,MATCH(E109,設定!$G$8:$G$27,0),IF($M109=設定!$H$6&amp;"",1,2))-COUNTIFS($M$3:$M$302,M109,$I$3:$I$302,E109),""))</f>
        <v/>
      </c>
      <c r="L109" s="23">
        <f>IF(OR(J109&lt;&gt;"要調整",F109=""),"",IFERROR(INDEX(設定!$H$8:$I$27,MATCH(F109,設定!$G$8:$G$27,0),IF($M109=設定!$H$6&amp;"",1,2))-COUNTIFS($M$3:$M$302,M109,$I$3:$I$302,F109),""))</f>
        <v/>
      </c>
      <c r="M109" s="8">
        <f>IF(N109="","",INDEX(児童名簿!$A$2:$A$301,N109)&amp;"")</f>
        <v/>
      </c>
      <c r="N109" s="8">
        <f>IFERROR(MATCH(SMALL(児童名簿!$G$2:$G$301,107),児童名簿!$G$2:$G$301,0),"")</f>
        <v/>
      </c>
      <c r="O109" s="8">
        <f>IF(P109="","",IFERROR(MATCH(P109,希望入力!$K$2:$K$401,0),""))</f>
        <v/>
      </c>
      <c r="P109" s="8">
        <f>IF(N109="","",INDEX(児童名簿!$F$2:$F$301,N109))</f>
        <v/>
      </c>
      <c r="Q109" s="8">
        <f>IF(I109="","",IFERROR(MATCH(I109,設定!$G$8:$G$27,0),""))</f>
        <v/>
      </c>
      <c r="R109" s="8">
        <f>IF(Q109="","",COUNTIF($Q$3:Q109,Q109))</f>
        <v/>
      </c>
      <c r="S109" s="8">
        <f>IF(Q109="","",Q109*1000+R109)</f>
        <v/>
      </c>
    </row>
    <row r="110">
      <c r="A110" s="23">
        <f>IF(N110="","",IFERROR(INDEX(設定!$C$8:$C$23,INT(INDEX(児童名簿!$G$2:$G$301,N110)/1000)),M110&amp;INDEX(児童名簿!$B$2:$B$301,N110)))</f>
        <v/>
      </c>
      <c r="B110" s="23">
        <f>IF(N110="","",INDEX(児童名簿!$C$2:$C$301,N110))</f>
        <v/>
      </c>
      <c r="C110" s="3">
        <f>IF(N110="","",INDEX(児童名簿!$D$2:$D$301,N110))</f>
        <v/>
      </c>
      <c r="D110" s="23">
        <f>IF(O110="","",INDEX(希望入力!$D$2:$D$401,O110)&amp;"")</f>
        <v/>
      </c>
      <c r="E110" s="23">
        <f>IF(O110="","",INDEX(希望入力!$E$2:$E$401,O110)&amp;"")</f>
        <v/>
      </c>
      <c r="F110" s="23">
        <f>IF(O110="","",INDEX(希望入力!$F$2:$F$401,O110)&amp;"")</f>
        <v/>
      </c>
      <c r="G110" s="23">
        <f>IF(O110="","",IF(D110="","要調整",IFERROR(IF(COUNTIFS($M$3:$M$302,M110,$D$3:$D$302,D110)&lt;=INDEX(設定!$H$8:$I$27,MATCH(D110,設定!$G$8:$G$27,0),IF($M110=設定!$H$6&amp;"",1,2)),D110,"要調整"),"要調整")))</f>
        <v/>
      </c>
      <c r="H110" s="15" t="inlineStr">
        <is>
          <t>飼育</t>
        </is>
      </c>
      <c r="I110" s="24">
        <f>IF(N110="","",IF(H110&lt;&gt;"",H110,IF(OR(G110="",G110="要調整"),"",G110)))</f>
        <v/>
      </c>
      <c r="J110" s="23">
        <f>IF(N110="","",IF(I110&lt;&gt;"","決定",IF(O110="","未提出","要調整")))</f>
        <v/>
      </c>
      <c r="K110" s="23">
        <f>IF(OR(J110&lt;&gt;"要調整",E110=""),"",IFERROR(INDEX(設定!$H$8:$I$27,MATCH(E110,設定!$G$8:$G$27,0),IF($M110=設定!$H$6&amp;"",1,2))-COUNTIFS($M$3:$M$302,M110,$I$3:$I$302,E110),""))</f>
        <v/>
      </c>
      <c r="L110" s="23">
        <f>IF(OR(J110&lt;&gt;"要調整",F110=""),"",IFERROR(INDEX(設定!$H$8:$I$27,MATCH(F110,設定!$G$8:$G$27,0),IF($M110=設定!$H$6&amp;"",1,2))-COUNTIFS($M$3:$M$302,M110,$I$3:$I$302,F110),""))</f>
        <v/>
      </c>
      <c r="M110" s="8">
        <f>IF(N110="","",INDEX(児童名簿!$A$2:$A$301,N110)&amp;"")</f>
        <v/>
      </c>
      <c r="N110" s="8">
        <f>IFERROR(MATCH(SMALL(児童名簿!$G$2:$G$301,108),児童名簿!$G$2:$G$301,0),"")</f>
        <v/>
      </c>
      <c r="O110" s="8">
        <f>IF(P110="","",IFERROR(MATCH(P110,希望入力!$K$2:$K$401,0),""))</f>
        <v/>
      </c>
      <c r="P110" s="8">
        <f>IF(N110="","",INDEX(児童名簿!$F$2:$F$301,N110))</f>
        <v/>
      </c>
      <c r="Q110" s="8">
        <f>IF(I110="","",IFERROR(MATCH(I110,設定!$G$8:$G$27,0),""))</f>
        <v/>
      </c>
      <c r="R110" s="8">
        <f>IF(Q110="","",COUNTIF($Q$3:Q110,Q110))</f>
        <v/>
      </c>
      <c r="S110" s="8">
        <f>IF(Q110="","",Q110*1000+R110)</f>
        <v/>
      </c>
    </row>
    <row r="111">
      <c r="A111" s="23">
        <f>IF(N111="","",IFERROR(INDEX(設定!$C$8:$C$23,INT(INDEX(児童名簿!$G$2:$G$301,N111)/1000)),M111&amp;INDEX(児童名簿!$B$2:$B$301,N111)))</f>
        <v/>
      </c>
      <c r="B111" s="23">
        <f>IF(N111="","",INDEX(児童名簿!$C$2:$C$301,N111))</f>
        <v/>
      </c>
      <c r="C111" s="3">
        <f>IF(N111="","",INDEX(児童名簿!$D$2:$D$301,N111))</f>
        <v/>
      </c>
      <c r="D111" s="23">
        <f>IF(O111="","",INDEX(希望入力!$D$2:$D$401,O111)&amp;"")</f>
        <v/>
      </c>
      <c r="E111" s="23">
        <f>IF(O111="","",INDEX(希望入力!$E$2:$E$401,O111)&amp;"")</f>
        <v/>
      </c>
      <c r="F111" s="23">
        <f>IF(O111="","",INDEX(希望入力!$F$2:$F$401,O111)&amp;"")</f>
        <v/>
      </c>
      <c r="G111" s="23">
        <f>IF(O111="","",IF(D111="","要調整",IFERROR(IF(COUNTIFS($M$3:$M$302,M111,$D$3:$D$302,D111)&lt;=INDEX(設定!$H$8:$I$27,MATCH(D111,設定!$G$8:$G$27,0),IF($M111=設定!$H$6&amp;"",1,2)),D111,"要調整"),"要調整")))</f>
        <v/>
      </c>
      <c r="H111" s="15" t="inlineStr">
        <is>
          <t>代表</t>
        </is>
      </c>
      <c r="I111" s="24">
        <f>IF(N111="","",IF(H111&lt;&gt;"",H111,IF(OR(G111="",G111="要調整"),"",G111)))</f>
        <v/>
      </c>
      <c r="J111" s="23">
        <f>IF(N111="","",IF(I111&lt;&gt;"","決定",IF(O111="","未提出","要調整")))</f>
        <v/>
      </c>
      <c r="K111" s="23">
        <f>IF(OR(J111&lt;&gt;"要調整",E111=""),"",IFERROR(INDEX(設定!$H$8:$I$27,MATCH(E111,設定!$G$8:$G$27,0),IF($M111=設定!$H$6&amp;"",1,2))-COUNTIFS($M$3:$M$302,M111,$I$3:$I$302,E111),""))</f>
        <v/>
      </c>
      <c r="L111" s="23">
        <f>IF(OR(J111&lt;&gt;"要調整",F111=""),"",IFERROR(INDEX(設定!$H$8:$I$27,MATCH(F111,設定!$G$8:$G$27,0),IF($M111=設定!$H$6&amp;"",1,2))-COUNTIFS($M$3:$M$302,M111,$I$3:$I$302,F111),""))</f>
        <v/>
      </c>
      <c r="M111" s="8">
        <f>IF(N111="","",INDEX(児童名簿!$A$2:$A$301,N111)&amp;"")</f>
        <v/>
      </c>
      <c r="N111" s="8">
        <f>IFERROR(MATCH(SMALL(児童名簿!$G$2:$G$301,109),児童名簿!$G$2:$G$301,0),"")</f>
        <v/>
      </c>
      <c r="O111" s="8">
        <f>IF(P111="","",IFERROR(MATCH(P111,希望入力!$K$2:$K$401,0),""))</f>
        <v/>
      </c>
      <c r="P111" s="8">
        <f>IF(N111="","",INDEX(児童名簿!$F$2:$F$301,N111))</f>
        <v/>
      </c>
      <c r="Q111" s="8">
        <f>IF(I111="","",IFERROR(MATCH(I111,設定!$G$8:$G$27,0),""))</f>
        <v/>
      </c>
      <c r="R111" s="8">
        <f>IF(Q111="","",COUNTIF($Q$3:Q111,Q111))</f>
        <v/>
      </c>
      <c r="S111" s="8">
        <f>IF(Q111="","",Q111*1000+R111)</f>
        <v/>
      </c>
    </row>
    <row r="112">
      <c r="A112" s="23">
        <f>IF(N112="","",IFERROR(INDEX(設定!$C$8:$C$23,INT(INDEX(児童名簿!$G$2:$G$301,N112)/1000)),M112&amp;INDEX(児童名簿!$B$2:$B$301,N112)))</f>
        <v/>
      </c>
      <c r="B112" s="23">
        <f>IF(N112="","",INDEX(児童名簿!$C$2:$C$301,N112))</f>
        <v/>
      </c>
      <c r="C112" s="3">
        <f>IF(N112="","",INDEX(児童名簿!$D$2:$D$301,N112))</f>
        <v/>
      </c>
      <c r="D112" s="23">
        <f>IF(O112="","",INDEX(希望入力!$D$2:$D$401,O112)&amp;"")</f>
        <v/>
      </c>
      <c r="E112" s="23">
        <f>IF(O112="","",INDEX(希望入力!$E$2:$E$401,O112)&amp;"")</f>
        <v/>
      </c>
      <c r="F112" s="23">
        <f>IF(O112="","",INDEX(希望入力!$F$2:$F$401,O112)&amp;"")</f>
        <v/>
      </c>
      <c r="G112" s="23">
        <f>IF(O112="","",IF(D112="","要調整",IFERROR(IF(COUNTIFS($M$3:$M$302,M112,$D$3:$D$302,D112)&lt;=INDEX(設定!$H$8:$I$27,MATCH(D112,設定!$G$8:$G$27,0),IF($M112=設定!$H$6&amp;"",1,2)),D112,"要調整"),"要調整")))</f>
        <v/>
      </c>
      <c r="H112" s="15" t="inlineStr">
        <is>
          <t>放送</t>
        </is>
      </c>
      <c r="I112" s="24">
        <f>IF(N112="","",IF(H112&lt;&gt;"",H112,IF(OR(G112="",G112="要調整"),"",G112)))</f>
        <v/>
      </c>
      <c r="J112" s="23">
        <f>IF(N112="","",IF(I112&lt;&gt;"","決定",IF(O112="","未提出","要調整")))</f>
        <v/>
      </c>
      <c r="K112" s="23">
        <f>IF(OR(J112&lt;&gt;"要調整",E112=""),"",IFERROR(INDEX(設定!$H$8:$I$27,MATCH(E112,設定!$G$8:$G$27,0),IF($M112=設定!$H$6&amp;"",1,2))-COUNTIFS($M$3:$M$302,M112,$I$3:$I$302,E112),""))</f>
        <v/>
      </c>
      <c r="L112" s="23">
        <f>IF(OR(J112&lt;&gt;"要調整",F112=""),"",IFERROR(INDEX(設定!$H$8:$I$27,MATCH(F112,設定!$G$8:$G$27,0),IF($M112=設定!$H$6&amp;"",1,2))-COUNTIFS($M$3:$M$302,M112,$I$3:$I$302,F112),""))</f>
        <v/>
      </c>
      <c r="M112" s="8">
        <f>IF(N112="","",INDEX(児童名簿!$A$2:$A$301,N112)&amp;"")</f>
        <v/>
      </c>
      <c r="N112" s="8">
        <f>IFERROR(MATCH(SMALL(児童名簿!$G$2:$G$301,110),児童名簿!$G$2:$G$301,0),"")</f>
        <v/>
      </c>
      <c r="O112" s="8">
        <f>IF(P112="","",IFERROR(MATCH(P112,希望入力!$K$2:$K$401,0),""))</f>
        <v/>
      </c>
      <c r="P112" s="8">
        <f>IF(N112="","",INDEX(児童名簿!$F$2:$F$301,N112))</f>
        <v/>
      </c>
      <c r="Q112" s="8">
        <f>IF(I112="","",IFERROR(MATCH(I112,設定!$G$8:$G$27,0),""))</f>
        <v/>
      </c>
      <c r="R112" s="8">
        <f>IF(Q112="","",COUNTIF($Q$3:Q112,Q112))</f>
        <v/>
      </c>
      <c r="S112" s="8">
        <f>IF(Q112="","",Q112*1000+R112)</f>
        <v/>
      </c>
    </row>
    <row r="113">
      <c r="A113" s="23">
        <f>IF(N113="","",IFERROR(INDEX(設定!$C$8:$C$23,INT(INDEX(児童名簿!$G$2:$G$301,N113)/1000)),M113&amp;INDEX(児童名簿!$B$2:$B$301,N113)))</f>
        <v/>
      </c>
      <c r="B113" s="23">
        <f>IF(N113="","",INDEX(児童名簿!$C$2:$C$301,N113))</f>
        <v/>
      </c>
      <c r="C113" s="3">
        <f>IF(N113="","",INDEX(児童名簿!$D$2:$D$301,N113))</f>
        <v/>
      </c>
      <c r="D113" s="23">
        <f>IF(O113="","",INDEX(希望入力!$D$2:$D$401,O113)&amp;"")</f>
        <v/>
      </c>
      <c r="E113" s="23">
        <f>IF(O113="","",INDEX(希望入力!$E$2:$E$401,O113)&amp;"")</f>
        <v/>
      </c>
      <c r="F113" s="23">
        <f>IF(O113="","",INDEX(希望入力!$F$2:$F$401,O113)&amp;"")</f>
        <v/>
      </c>
      <c r="G113" s="23">
        <f>IF(O113="","",IF(D113="","要調整",IFERROR(IF(COUNTIFS($M$3:$M$302,M113,$D$3:$D$302,D113)&lt;=INDEX(設定!$H$8:$I$27,MATCH(D113,設定!$G$8:$G$27,0),IF($M113=設定!$H$6&amp;"",1,2)),D113,"要調整"),"要調整")))</f>
        <v/>
      </c>
      <c r="H113" s="15" t="n"/>
      <c r="I113" s="24">
        <f>IF(N113="","",IF(H113&lt;&gt;"",H113,IF(OR(G113="",G113="要調整"),"",G113)))</f>
        <v/>
      </c>
      <c r="J113" s="23">
        <f>IF(N113="","",IF(I113&lt;&gt;"","決定",IF(O113="","未提出","要調整")))</f>
        <v/>
      </c>
      <c r="K113" s="23">
        <f>IF(OR(J113&lt;&gt;"要調整",E113=""),"",IFERROR(INDEX(設定!$H$8:$I$27,MATCH(E113,設定!$G$8:$G$27,0),IF($M113=設定!$H$6&amp;"",1,2))-COUNTIFS($M$3:$M$302,M113,$I$3:$I$302,E113),""))</f>
        <v/>
      </c>
      <c r="L113" s="23">
        <f>IF(OR(J113&lt;&gt;"要調整",F113=""),"",IFERROR(INDEX(設定!$H$8:$I$27,MATCH(F113,設定!$G$8:$G$27,0),IF($M113=設定!$H$6&amp;"",1,2))-COUNTIFS($M$3:$M$302,M113,$I$3:$I$302,F113),""))</f>
        <v/>
      </c>
      <c r="M113" s="8">
        <f>IF(N113="","",INDEX(児童名簿!$A$2:$A$301,N113)&amp;"")</f>
        <v/>
      </c>
      <c r="N113" s="8">
        <f>IFERROR(MATCH(SMALL(児童名簿!$G$2:$G$301,111),児童名簿!$G$2:$G$301,0),"")</f>
        <v/>
      </c>
      <c r="O113" s="8">
        <f>IF(P113="","",IFERROR(MATCH(P113,希望入力!$K$2:$K$401,0),""))</f>
        <v/>
      </c>
      <c r="P113" s="8">
        <f>IF(N113="","",INDEX(児童名簿!$F$2:$F$301,N113))</f>
        <v/>
      </c>
      <c r="Q113" s="8">
        <f>IF(I113="","",IFERROR(MATCH(I113,設定!$G$8:$G$27,0),""))</f>
        <v/>
      </c>
      <c r="R113" s="8">
        <f>IF(Q113="","",COUNTIF($Q$3:Q113,Q113))</f>
        <v/>
      </c>
      <c r="S113" s="8">
        <f>IF(Q113="","",Q113*1000+R113)</f>
        <v/>
      </c>
    </row>
    <row r="114">
      <c r="A114" s="23">
        <f>IF(N114="","",IFERROR(INDEX(設定!$C$8:$C$23,INT(INDEX(児童名簿!$G$2:$G$301,N114)/1000)),M114&amp;INDEX(児童名簿!$B$2:$B$301,N114)))</f>
        <v/>
      </c>
      <c r="B114" s="23">
        <f>IF(N114="","",INDEX(児童名簿!$C$2:$C$301,N114))</f>
        <v/>
      </c>
      <c r="C114" s="3">
        <f>IF(N114="","",INDEX(児童名簿!$D$2:$D$301,N114))</f>
        <v/>
      </c>
      <c r="D114" s="23">
        <f>IF(O114="","",INDEX(希望入力!$D$2:$D$401,O114)&amp;"")</f>
        <v/>
      </c>
      <c r="E114" s="23">
        <f>IF(O114="","",INDEX(希望入力!$E$2:$E$401,O114)&amp;"")</f>
        <v/>
      </c>
      <c r="F114" s="23">
        <f>IF(O114="","",INDEX(希望入力!$F$2:$F$401,O114)&amp;"")</f>
        <v/>
      </c>
      <c r="G114" s="23">
        <f>IF(O114="","",IF(D114="","要調整",IFERROR(IF(COUNTIFS($M$3:$M$302,M114,$D$3:$D$302,D114)&lt;=INDEX(設定!$H$8:$I$27,MATCH(D114,設定!$G$8:$G$27,0),IF($M114=設定!$H$6&amp;"",1,2)),D114,"要調整"),"要調整")))</f>
        <v/>
      </c>
      <c r="H114" s="15" t="n"/>
      <c r="I114" s="24">
        <f>IF(N114="","",IF(H114&lt;&gt;"",H114,IF(OR(G114="",G114="要調整"),"",G114)))</f>
        <v/>
      </c>
      <c r="J114" s="23">
        <f>IF(N114="","",IF(I114&lt;&gt;"","決定",IF(O114="","未提出","要調整")))</f>
        <v/>
      </c>
      <c r="K114" s="23">
        <f>IF(OR(J114&lt;&gt;"要調整",E114=""),"",IFERROR(INDEX(設定!$H$8:$I$27,MATCH(E114,設定!$G$8:$G$27,0),IF($M114=設定!$H$6&amp;"",1,2))-COUNTIFS($M$3:$M$302,M114,$I$3:$I$302,E114),""))</f>
        <v/>
      </c>
      <c r="L114" s="23">
        <f>IF(OR(J114&lt;&gt;"要調整",F114=""),"",IFERROR(INDEX(設定!$H$8:$I$27,MATCH(F114,設定!$G$8:$G$27,0),IF($M114=設定!$H$6&amp;"",1,2))-COUNTIFS($M$3:$M$302,M114,$I$3:$I$302,F114),""))</f>
        <v/>
      </c>
      <c r="M114" s="8">
        <f>IF(N114="","",INDEX(児童名簿!$A$2:$A$301,N114)&amp;"")</f>
        <v/>
      </c>
      <c r="N114" s="8">
        <f>IFERROR(MATCH(SMALL(児童名簿!$G$2:$G$301,112),児童名簿!$G$2:$G$301,0),"")</f>
        <v/>
      </c>
      <c r="O114" s="8">
        <f>IF(P114="","",IFERROR(MATCH(P114,希望入力!$K$2:$K$401,0),""))</f>
        <v/>
      </c>
      <c r="P114" s="8">
        <f>IF(N114="","",INDEX(児童名簿!$F$2:$F$301,N114))</f>
        <v/>
      </c>
      <c r="Q114" s="8">
        <f>IF(I114="","",IFERROR(MATCH(I114,設定!$G$8:$G$27,0),""))</f>
        <v/>
      </c>
      <c r="R114" s="8">
        <f>IF(Q114="","",COUNTIF($Q$3:Q114,Q114))</f>
        <v/>
      </c>
      <c r="S114" s="8">
        <f>IF(Q114="","",Q114*1000+R114)</f>
        <v/>
      </c>
    </row>
    <row r="115">
      <c r="A115" s="23">
        <f>IF(N115="","",IFERROR(INDEX(設定!$C$8:$C$23,INT(INDEX(児童名簿!$G$2:$G$301,N115)/1000)),M115&amp;INDEX(児童名簿!$B$2:$B$301,N115)))</f>
        <v/>
      </c>
      <c r="B115" s="23">
        <f>IF(N115="","",INDEX(児童名簿!$C$2:$C$301,N115))</f>
        <v/>
      </c>
      <c r="C115" s="3">
        <f>IF(N115="","",INDEX(児童名簿!$D$2:$D$301,N115))</f>
        <v/>
      </c>
      <c r="D115" s="23">
        <f>IF(O115="","",INDEX(希望入力!$D$2:$D$401,O115)&amp;"")</f>
        <v/>
      </c>
      <c r="E115" s="23">
        <f>IF(O115="","",INDEX(希望入力!$E$2:$E$401,O115)&amp;"")</f>
        <v/>
      </c>
      <c r="F115" s="23">
        <f>IF(O115="","",INDEX(希望入力!$F$2:$F$401,O115)&amp;"")</f>
        <v/>
      </c>
      <c r="G115" s="23">
        <f>IF(O115="","",IF(D115="","要調整",IFERROR(IF(COUNTIFS($M$3:$M$302,M115,$D$3:$D$302,D115)&lt;=INDEX(設定!$H$8:$I$27,MATCH(D115,設定!$G$8:$G$27,0),IF($M115=設定!$H$6&amp;"",1,2)),D115,"要調整"),"要調整")))</f>
        <v/>
      </c>
      <c r="H115" s="15" t="inlineStr">
        <is>
          <t>放送</t>
        </is>
      </c>
      <c r="I115" s="24">
        <f>IF(N115="","",IF(H115&lt;&gt;"",H115,IF(OR(G115="",G115="要調整"),"",G115)))</f>
        <v/>
      </c>
      <c r="J115" s="23">
        <f>IF(N115="","",IF(I115&lt;&gt;"","決定",IF(O115="","未提出","要調整")))</f>
        <v/>
      </c>
      <c r="K115" s="23">
        <f>IF(OR(J115&lt;&gt;"要調整",E115=""),"",IFERROR(INDEX(設定!$H$8:$I$27,MATCH(E115,設定!$G$8:$G$27,0),IF($M115=設定!$H$6&amp;"",1,2))-COUNTIFS($M$3:$M$302,M115,$I$3:$I$302,E115),""))</f>
        <v/>
      </c>
      <c r="L115" s="23">
        <f>IF(OR(J115&lt;&gt;"要調整",F115=""),"",IFERROR(INDEX(設定!$H$8:$I$27,MATCH(F115,設定!$G$8:$G$27,0),IF($M115=設定!$H$6&amp;"",1,2))-COUNTIFS($M$3:$M$302,M115,$I$3:$I$302,F115),""))</f>
        <v/>
      </c>
      <c r="M115" s="8">
        <f>IF(N115="","",INDEX(児童名簿!$A$2:$A$301,N115)&amp;"")</f>
        <v/>
      </c>
      <c r="N115" s="8">
        <f>IFERROR(MATCH(SMALL(児童名簿!$G$2:$G$301,113),児童名簿!$G$2:$G$301,0),"")</f>
        <v/>
      </c>
      <c r="O115" s="8">
        <f>IF(P115="","",IFERROR(MATCH(P115,希望入力!$K$2:$K$401,0),""))</f>
        <v/>
      </c>
      <c r="P115" s="8">
        <f>IF(N115="","",INDEX(児童名簿!$F$2:$F$301,N115))</f>
        <v/>
      </c>
      <c r="Q115" s="8">
        <f>IF(I115="","",IFERROR(MATCH(I115,設定!$G$8:$G$27,0),""))</f>
        <v/>
      </c>
      <c r="R115" s="8">
        <f>IF(Q115="","",COUNTIF($Q$3:Q115,Q115))</f>
        <v/>
      </c>
      <c r="S115" s="8">
        <f>IF(Q115="","",Q115*1000+R115)</f>
        <v/>
      </c>
    </row>
    <row r="116">
      <c r="A116" s="23">
        <f>IF(N116="","",IFERROR(INDEX(設定!$C$8:$C$23,INT(INDEX(児童名簿!$G$2:$G$301,N116)/1000)),M116&amp;INDEX(児童名簿!$B$2:$B$301,N116)))</f>
        <v/>
      </c>
      <c r="B116" s="23">
        <f>IF(N116="","",INDEX(児童名簿!$C$2:$C$301,N116))</f>
        <v/>
      </c>
      <c r="C116" s="3">
        <f>IF(N116="","",INDEX(児童名簿!$D$2:$D$301,N116))</f>
        <v/>
      </c>
      <c r="D116" s="23">
        <f>IF(O116="","",INDEX(希望入力!$D$2:$D$401,O116)&amp;"")</f>
        <v/>
      </c>
      <c r="E116" s="23">
        <f>IF(O116="","",INDEX(希望入力!$E$2:$E$401,O116)&amp;"")</f>
        <v/>
      </c>
      <c r="F116" s="23">
        <f>IF(O116="","",INDEX(希望入力!$F$2:$F$401,O116)&amp;"")</f>
        <v/>
      </c>
      <c r="G116" s="23">
        <f>IF(O116="","",IF(D116="","要調整",IFERROR(IF(COUNTIFS($M$3:$M$302,M116,$D$3:$D$302,D116)&lt;=INDEX(設定!$H$8:$I$27,MATCH(D116,設定!$G$8:$G$27,0),IF($M116=設定!$H$6&amp;"",1,2)),D116,"要調整"),"要調整")))</f>
        <v/>
      </c>
      <c r="H116" s="15" t="n"/>
      <c r="I116" s="24">
        <f>IF(N116="","",IF(H116&lt;&gt;"",H116,IF(OR(G116="",G116="要調整"),"",G116)))</f>
        <v/>
      </c>
      <c r="J116" s="23">
        <f>IF(N116="","",IF(I116&lt;&gt;"","決定",IF(O116="","未提出","要調整")))</f>
        <v/>
      </c>
      <c r="K116" s="23">
        <f>IF(OR(J116&lt;&gt;"要調整",E116=""),"",IFERROR(INDEX(設定!$H$8:$I$27,MATCH(E116,設定!$G$8:$G$27,0),IF($M116=設定!$H$6&amp;"",1,2))-COUNTIFS($M$3:$M$302,M116,$I$3:$I$302,E116),""))</f>
        <v/>
      </c>
      <c r="L116" s="23">
        <f>IF(OR(J116&lt;&gt;"要調整",F116=""),"",IFERROR(INDEX(設定!$H$8:$I$27,MATCH(F116,設定!$G$8:$G$27,0),IF($M116=設定!$H$6&amp;"",1,2))-COUNTIFS($M$3:$M$302,M116,$I$3:$I$302,F116),""))</f>
        <v/>
      </c>
      <c r="M116" s="8">
        <f>IF(N116="","",INDEX(児童名簿!$A$2:$A$301,N116)&amp;"")</f>
        <v/>
      </c>
      <c r="N116" s="8">
        <f>IFERROR(MATCH(SMALL(児童名簿!$G$2:$G$301,114),児童名簿!$G$2:$G$301,0),"")</f>
        <v/>
      </c>
      <c r="O116" s="8">
        <f>IF(P116="","",IFERROR(MATCH(P116,希望入力!$K$2:$K$401,0),""))</f>
        <v/>
      </c>
      <c r="P116" s="8">
        <f>IF(N116="","",INDEX(児童名簿!$F$2:$F$301,N116))</f>
        <v/>
      </c>
      <c r="Q116" s="8">
        <f>IF(I116="","",IFERROR(MATCH(I116,設定!$G$8:$G$27,0),""))</f>
        <v/>
      </c>
      <c r="R116" s="8">
        <f>IF(Q116="","",COUNTIF($Q$3:Q116,Q116))</f>
        <v/>
      </c>
      <c r="S116" s="8">
        <f>IF(Q116="","",Q116*1000+R116)</f>
        <v/>
      </c>
    </row>
    <row r="117">
      <c r="A117" s="23">
        <f>IF(N117="","",IFERROR(INDEX(設定!$C$8:$C$23,INT(INDEX(児童名簿!$G$2:$G$301,N117)/1000)),M117&amp;INDEX(児童名簿!$B$2:$B$301,N117)))</f>
        <v/>
      </c>
      <c r="B117" s="23">
        <f>IF(N117="","",INDEX(児童名簿!$C$2:$C$301,N117))</f>
        <v/>
      </c>
      <c r="C117" s="3">
        <f>IF(N117="","",INDEX(児童名簿!$D$2:$D$301,N117))</f>
        <v/>
      </c>
      <c r="D117" s="23">
        <f>IF(O117="","",INDEX(希望入力!$D$2:$D$401,O117)&amp;"")</f>
        <v/>
      </c>
      <c r="E117" s="23">
        <f>IF(O117="","",INDEX(希望入力!$E$2:$E$401,O117)&amp;"")</f>
        <v/>
      </c>
      <c r="F117" s="23">
        <f>IF(O117="","",INDEX(希望入力!$F$2:$F$401,O117)&amp;"")</f>
        <v/>
      </c>
      <c r="G117" s="23">
        <f>IF(O117="","",IF(D117="","要調整",IFERROR(IF(COUNTIFS($M$3:$M$302,M117,$D$3:$D$302,D117)&lt;=INDEX(設定!$H$8:$I$27,MATCH(D117,設定!$G$8:$G$27,0),IF($M117=設定!$H$6&amp;"",1,2)),D117,"要調整"),"要調整")))</f>
        <v/>
      </c>
      <c r="H117" s="15" t="n"/>
      <c r="I117" s="24">
        <f>IF(N117="","",IF(H117&lt;&gt;"",H117,IF(OR(G117="",G117="要調整"),"",G117)))</f>
        <v/>
      </c>
      <c r="J117" s="23">
        <f>IF(N117="","",IF(I117&lt;&gt;"","決定",IF(O117="","未提出","要調整")))</f>
        <v/>
      </c>
      <c r="K117" s="23">
        <f>IF(OR(J117&lt;&gt;"要調整",E117=""),"",IFERROR(INDEX(設定!$H$8:$I$27,MATCH(E117,設定!$G$8:$G$27,0),IF($M117=設定!$H$6&amp;"",1,2))-COUNTIFS($M$3:$M$302,M117,$I$3:$I$302,E117),""))</f>
        <v/>
      </c>
      <c r="L117" s="23">
        <f>IF(OR(J117&lt;&gt;"要調整",F117=""),"",IFERROR(INDEX(設定!$H$8:$I$27,MATCH(F117,設定!$G$8:$G$27,0),IF($M117=設定!$H$6&amp;"",1,2))-COUNTIFS($M$3:$M$302,M117,$I$3:$I$302,F117),""))</f>
        <v/>
      </c>
      <c r="M117" s="8">
        <f>IF(N117="","",INDEX(児童名簿!$A$2:$A$301,N117)&amp;"")</f>
        <v/>
      </c>
      <c r="N117" s="8">
        <f>IFERROR(MATCH(SMALL(児童名簿!$G$2:$G$301,115),児童名簿!$G$2:$G$301,0),"")</f>
        <v/>
      </c>
      <c r="O117" s="8">
        <f>IF(P117="","",IFERROR(MATCH(P117,希望入力!$K$2:$K$401,0),""))</f>
        <v/>
      </c>
      <c r="P117" s="8">
        <f>IF(N117="","",INDEX(児童名簿!$F$2:$F$301,N117))</f>
        <v/>
      </c>
      <c r="Q117" s="8">
        <f>IF(I117="","",IFERROR(MATCH(I117,設定!$G$8:$G$27,0),""))</f>
        <v/>
      </c>
      <c r="R117" s="8">
        <f>IF(Q117="","",COUNTIF($Q$3:Q117,Q117))</f>
        <v/>
      </c>
      <c r="S117" s="8">
        <f>IF(Q117="","",Q117*1000+R117)</f>
        <v/>
      </c>
    </row>
    <row r="118">
      <c r="A118" s="23">
        <f>IF(N118="","",IFERROR(INDEX(設定!$C$8:$C$23,INT(INDEX(児童名簿!$G$2:$G$301,N118)/1000)),M118&amp;INDEX(児童名簿!$B$2:$B$301,N118)))</f>
        <v/>
      </c>
      <c r="B118" s="23">
        <f>IF(N118="","",INDEX(児童名簿!$C$2:$C$301,N118))</f>
        <v/>
      </c>
      <c r="C118" s="3">
        <f>IF(N118="","",INDEX(児童名簿!$D$2:$D$301,N118))</f>
        <v/>
      </c>
      <c r="D118" s="23">
        <f>IF(O118="","",INDEX(希望入力!$D$2:$D$401,O118)&amp;"")</f>
        <v/>
      </c>
      <c r="E118" s="23">
        <f>IF(O118="","",INDEX(希望入力!$E$2:$E$401,O118)&amp;"")</f>
        <v/>
      </c>
      <c r="F118" s="23">
        <f>IF(O118="","",INDEX(希望入力!$F$2:$F$401,O118)&amp;"")</f>
        <v/>
      </c>
      <c r="G118" s="23">
        <f>IF(O118="","",IF(D118="","要調整",IFERROR(IF(COUNTIFS($M$3:$M$302,M118,$D$3:$D$302,D118)&lt;=INDEX(設定!$H$8:$I$27,MATCH(D118,設定!$G$8:$G$27,0),IF($M118=設定!$H$6&amp;"",1,2)),D118,"要調整"),"要調整")))</f>
        <v/>
      </c>
      <c r="H118" s="15" t="n"/>
      <c r="I118" s="24">
        <f>IF(N118="","",IF(H118&lt;&gt;"",H118,IF(OR(G118="",G118="要調整"),"",G118)))</f>
        <v/>
      </c>
      <c r="J118" s="23">
        <f>IF(N118="","",IF(I118&lt;&gt;"","決定",IF(O118="","未提出","要調整")))</f>
        <v/>
      </c>
      <c r="K118" s="23">
        <f>IF(OR(J118&lt;&gt;"要調整",E118=""),"",IFERROR(INDEX(設定!$H$8:$I$27,MATCH(E118,設定!$G$8:$G$27,0),IF($M118=設定!$H$6&amp;"",1,2))-COUNTIFS($M$3:$M$302,M118,$I$3:$I$302,E118),""))</f>
        <v/>
      </c>
      <c r="L118" s="23">
        <f>IF(OR(J118&lt;&gt;"要調整",F118=""),"",IFERROR(INDEX(設定!$H$8:$I$27,MATCH(F118,設定!$G$8:$G$27,0),IF($M118=設定!$H$6&amp;"",1,2))-COUNTIFS($M$3:$M$302,M118,$I$3:$I$302,F118),""))</f>
        <v/>
      </c>
      <c r="M118" s="8">
        <f>IF(N118="","",INDEX(児童名簿!$A$2:$A$301,N118)&amp;"")</f>
        <v/>
      </c>
      <c r="N118" s="8">
        <f>IFERROR(MATCH(SMALL(児童名簿!$G$2:$G$301,116),児童名簿!$G$2:$G$301,0),"")</f>
        <v/>
      </c>
      <c r="O118" s="8">
        <f>IF(P118="","",IFERROR(MATCH(P118,希望入力!$K$2:$K$401,0),""))</f>
        <v/>
      </c>
      <c r="P118" s="8">
        <f>IF(N118="","",INDEX(児童名簿!$F$2:$F$301,N118))</f>
        <v/>
      </c>
      <c r="Q118" s="8">
        <f>IF(I118="","",IFERROR(MATCH(I118,設定!$G$8:$G$27,0),""))</f>
        <v/>
      </c>
      <c r="R118" s="8">
        <f>IF(Q118="","",COUNTIF($Q$3:Q118,Q118))</f>
        <v/>
      </c>
      <c r="S118" s="8">
        <f>IF(Q118="","",Q118*1000+R118)</f>
        <v/>
      </c>
    </row>
    <row r="119">
      <c r="A119" s="23">
        <f>IF(N119="","",IFERROR(INDEX(設定!$C$8:$C$23,INT(INDEX(児童名簿!$G$2:$G$301,N119)/1000)),M119&amp;INDEX(児童名簿!$B$2:$B$301,N119)))</f>
        <v/>
      </c>
      <c r="B119" s="23">
        <f>IF(N119="","",INDEX(児童名簿!$C$2:$C$301,N119))</f>
        <v/>
      </c>
      <c r="C119" s="3">
        <f>IF(N119="","",INDEX(児童名簿!$D$2:$D$301,N119))</f>
        <v/>
      </c>
      <c r="D119" s="23">
        <f>IF(O119="","",INDEX(希望入力!$D$2:$D$401,O119)&amp;"")</f>
        <v/>
      </c>
      <c r="E119" s="23">
        <f>IF(O119="","",INDEX(希望入力!$E$2:$E$401,O119)&amp;"")</f>
        <v/>
      </c>
      <c r="F119" s="23">
        <f>IF(O119="","",INDEX(希望入力!$F$2:$F$401,O119)&amp;"")</f>
        <v/>
      </c>
      <c r="G119" s="23">
        <f>IF(O119="","",IF(D119="","要調整",IFERROR(IF(COUNTIFS($M$3:$M$302,M119,$D$3:$D$302,D119)&lt;=INDEX(設定!$H$8:$I$27,MATCH(D119,設定!$G$8:$G$27,0),IF($M119=設定!$H$6&amp;"",1,2)),D119,"要調整"),"要調整")))</f>
        <v/>
      </c>
      <c r="H119" s="15" t="n"/>
      <c r="I119" s="24">
        <f>IF(N119="","",IF(H119&lt;&gt;"",H119,IF(OR(G119="",G119="要調整"),"",G119)))</f>
        <v/>
      </c>
      <c r="J119" s="23">
        <f>IF(N119="","",IF(I119&lt;&gt;"","決定",IF(O119="","未提出","要調整")))</f>
        <v/>
      </c>
      <c r="K119" s="23">
        <f>IF(OR(J119&lt;&gt;"要調整",E119=""),"",IFERROR(INDEX(設定!$H$8:$I$27,MATCH(E119,設定!$G$8:$G$27,0),IF($M119=設定!$H$6&amp;"",1,2))-COUNTIFS($M$3:$M$302,M119,$I$3:$I$302,E119),""))</f>
        <v/>
      </c>
      <c r="L119" s="23">
        <f>IF(OR(J119&lt;&gt;"要調整",F119=""),"",IFERROR(INDEX(設定!$H$8:$I$27,MATCH(F119,設定!$G$8:$G$27,0),IF($M119=設定!$H$6&amp;"",1,2))-COUNTIFS($M$3:$M$302,M119,$I$3:$I$302,F119),""))</f>
        <v/>
      </c>
      <c r="M119" s="8">
        <f>IF(N119="","",INDEX(児童名簿!$A$2:$A$301,N119)&amp;"")</f>
        <v/>
      </c>
      <c r="N119" s="8">
        <f>IFERROR(MATCH(SMALL(児童名簿!$G$2:$G$301,117),児童名簿!$G$2:$G$301,0),"")</f>
        <v/>
      </c>
      <c r="O119" s="8">
        <f>IF(P119="","",IFERROR(MATCH(P119,希望入力!$K$2:$K$401,0),""))</f>
        <v/>
      </c>
      <c r="P119" s="8">
        <f>IF(N119="","",INDEX(児童名簿!$F$2:$F$301,N119))</f>
        <v/>
      </c>
      <c r="Q119" s="8">
        <f>IF(I119="","",IFERROR(MATCH(I119,設定!$G$8:$G$27,0),""))</f>
        <v/>
      </c>
      <c r="R119" s="8">
        <f>IF(Q119="","",COUNTIF($Q$3:Q119,Q119))</f>
        <v/>
      </c>
      <c r="S119" s="8">
        <f>IF(Q119="","",Q119*1000+R119)</f>
        <v/>
      </c>
    </row>
    <row r="120">
      <c r="A120" s="23">
        <f>IF(N120="","",IFERROR(INDEX(設定!$C$8:$C$23,INT(INDEX(児童名簿!$G$2:$G$301,N120)/1000)),M120&amp;INDEX(児童名簿!$B$2:$B$301,N120)))</f>
        <v/>
      </c>
      <c r="B120" s="23">
        <f>IF(N120="","",INDEX(児童名簿!$C$2:$C$301,N120))</f>
        <v/>
      </c>
      <c r="C120" s="3">
        <f>IF(N120="","",INDEX(児童名簿!$D$2:$D$301,N120))</f>
        <v/>
      </c>
      <c r="D120" s="23">
        <f>IF(O120="","",INDEX(希望入力!$D$2:$D$401,O120)&amp;"")</f>
        <v/>
      </c>
      <c r="E120" s="23">
        <f>IF(O120="","",INDEX(希望入力!$E$2:$E$401,O120)&amp;"")</f>
        <v/>
      </c>
      <c r="F120" s="23">
        <f>IF(O120="","",INDEX(希望入力!$F$2:$F$401,O120)&amp;"")</f>
        <v/>
      </c>
      <c r="G120" s="23">
        <f>IF(O120="","",IF(D120="","要調整",IFERROR(IF(COUNTIFS($M$3:$M$302,M120,$D$3:$D$302,D120)&lt;=INDEX(設定!$H$8:$I$27,MATCH(D120,設定!$G$8:$G$27,0),IF($M120=設定!$H$6&amp;"",1,2)),D120,"要調整"),"要調整")))</f>
        <v/>
      </c>
      <c r="H120" s="15" t="n"/>
      <c r="I120" s="24">
        <f>IF(N120="","",IF(H120&lt;&gt;"",H120,IF(OR(G120="",G120="要調整"),"",G120)))</f>
        <v/>
      </c>
      <c r="J120" s="23">
        <f>IF(N120="","",IF(I120&lt;&gt;"","決定",IF(O120="","未提出","要調整")))</f>
        <v/>
      </c>
      <c r="K120" s="23">
        <f>IF(OR(J120&lt;&gt;"要調整",E120=""),"",IFERROR(INDEX(設定!$H$8:$I$27,MATCH(E120,設定!$G$8:$G$27,0),IF($M120=設定!$H$6&amp;"",1,2))-COUNTIFS($M$3:$M$302,M120,$I$3:$I$302,E120),""))</f>
        <v/>
      </c>
      <c r="L120" s="23">
        <f>IF(OR(J120&lt;&gt;"要調整",F120=""),"",IFERROR(INDEX(設定!$H$8:$I$27,MATCH(F120,設定!$G$8:$G$27,0),IF($M120=設定!$H$6&amp;"",1,2))-COUNTIFS($M$3:$M$302,M120,$I$3:$I$302,F120),""))</f>
        <v/>
      </c>
      <c r="M120" s="8">
        <f>IF(N120="","",INDEX(児童名簿!$A$2:$A$301,N120)&amp;"")</f>
        <v/>
      </c>
      <c r="N120" s="8">
        <f>IFERROR(MATCH(SMALL(児童名簿!$G$2:$G$301,118),児童名簿!$G$2:$G$301,0),"")</f>
        <v/>
      </c>
      <c r="O120" s="8">
        <f>IF(P120="","",IFERROR(MATCH(P120,希望入力!$K$2:$K$401,0),""))</f>
        <v/>
      </c>
      <c r="P120" s="8">
        <f>IF(N120="","",INDEX(児童名簿!$F$2:$F$301,N120))</f>
        <v/>
      </c>
      <c r="Q120" s="8">
        <f>IF(I120="","",IFERROR(MATCH(I120,設定!$G$8:$G$27,0),""))</f>
        <v/>
      </c>
      <c r="R120" s="8">
        <f>IF(Q120="","",COUNTIF($Q$3:Q120,Q120))</f>
        <v/>
      </c>
      <c r="S120" s="8">
        <f>IF(Q120="","",Q120*1000+R120)</f>
        <v/>
      </c>
    </row>
    <row r="121">
      <c r="A121" s="23">
        <f>IF(N121="","",IFERROR(INDEX(設定!$C$8:$C$23,INT(INDEX(児童名簿!$G$2:$G$301,N121)/1000)),M121&amp;INDEX(児童名簿!$B$2:$B$301,N121)))</f>
        <v/>
      </c>
      <c r="B121" s="23">
        <f>IF(N121="","",INDEX(児童名簿!$C$2:$C$301,N121))</f>
        <v/>
      </c>
      <c r="C121" s="3">
        <f>IF(N121="","",INDEX(児童名簿!$D$2:$D$301,N121))</f>
        <v/>
      </c>
      <c r="D121" s="23">
        <f>IF(O121="","",INDEX(希望入力!$D$2:$D$401,O121)&amp;"")</f>
        <v/>
      </c>
      <c r="E121" s="23">
        <f>IF(O121="","",INDEX(希望入力!$E$2:$E$401,O121)&amp;"")</f>
        <v/>
      </c>
      <c r="F121" s="23">
        <f>IF(O121="","",INDEX(希望入力!$F$2:$F$401,O121)&amp;"")</f>
        <v/>
      </c>
      <c r="G121" s="23">
        <f>IF(O121="","",IF(D121="","要調整",IFERROR(IF(COUNTIFS($M$3:$M$302,M121,$D$3:$D$302,D121)&lt;=INDEX(設定!$H$8:$I$27,MATCH(D121,設定!$G$8:$G$27,0),IF($M121=設定!$H$6&amp;"",1,2)),D121,"要調整"),"要調整")))</f>
        <v/>
      </c>
      <c r="H121" s="15" t="inlineStr">
        <is>
          <t>音楽</t>
        </is>
      </c>
      <c r="I121" s="24">
        <f>IF(N121="","",IF(H121&lt;&gt;"",H121,IF(OR(G121="",G121="要調整"),"",G121)))</f>
        <v/>
      </c>
      <c r="J121" s="23">
        <f>IF(N121="","",IF(I121&lt;&gt;"","決定",IF(O121="","未提出","要調整")))</f>
        <v/>
      </c>
      <c r="K121" s="23">
        <f>IF(OR(J121&lt;&gt;"要調整",E121=""),"",IFERROR(INDEX(設定!$H$8:$I$27,MATCH(E121,設定!$G$8:$G$27,0),IF($M121=設定!$H$6&amp;"",1,2))-COUNTIFS($M$3:$M$302,M121,$I$3:$I$302,E121),""))</f>
        <v/>
      </c>
      <c r="L121" s="23">
        <f>IF(OR(J121&lt;&gt;"要調整",F121=""),"",IFERROR(INDEX(設定!$H$8:$I$27,MATCH(F121,設定!$G$8:$G$27,0),IF($M121=設定!$H$6&amp;"",1,2))-COUNTIFS($M$3:$M$302,M121,$I$3:$I$302,F121),""))</f>
        <v/>
      </c>
      <c r="M121" s="8">
        <f>IF(N121="","",INDEX(児童名簿!$A$2:$A$301,N121)&amp;"")</f>
        <v/>
      </c>
      <c r="N121" s="8">
        <f>IFERROR(MATCH(SMALL(児童名簿!$G$2:$G$301,119),児童名簿!$G$2:$G$301,0),"")</f>
        <v/>
      </c>
      <c r="O121" s="8">
        <f>IF(P121="","",IFERROR(MATCH(P121,希望入力!$K$2:$K$401,0),""))</f>
        <v/>
      </c>
      <c r="P121" s="8">
        <f>IF(N121="","",INDEX(児童名簿!$F$2:$F$301,N121))</f>
        <v/>
      </c>
      <c r="Q121" s="8">
        <f>IF(I121="","",IFERROR(MATCH(I121,設定!$G$8:$G$27,0),""))</f>
        <v/>
      </c>
      <c r="R121" s="8">
        <f>IF(Q121="","",COUNTIF($Q$3:Q121,Q121))</f>
        <v/>
      </c>
      <c r="S121" s="8">
        <f>IF(Q121="","",Q121*1000+R121)</f>
        <v/>
      </c>
    </row>
    <row r="122">
      <c r="A122" s="23">
        <f>IF(N122="","",IFERROR(INDEX(設定!$C$8:$C$23,INT(INDEX(児童名簿!$G$2:$G$301,N122)/1000)),M122&amp;INDEX(児童名簿!$B$2:$B$301,N122)))</f>
        <v/>
      </c>
      <c r="B122" s="23">
        <f>IF(N122="","",INDEX(児童名簿!$C$2:$C$301,N122))</f>
        <v/>
      </c>
      <c r="C122" s="3">
        <f>IF(N122="","",INDEX(児童名簿!$D$2:$D$301,N122))</f>
        <v/>
      </c>
      <c r="D122" s="23">
        <f>IF(O122="","",INDEX(希望入力!$D$2:$D$401,O122)&amp;"")</f>
        <v/>
      </c>
      <c r="E122" s="23">
        <f>IF(O122="","",INDEX(希望入力!$E$2:$E$401,O122)&amp;"")</f>
        <v/>
      </c>
      <c r="F122" s="23">
        <f>IF(O122="","",INDEX(希望入力!$F$2:$F$401,O122)&amp;"")</f>
        <v/>
      </c>
      <c r="G122" s="23">
        <f>IF(O122="","",IF(D122="","要調整",IFERROR(IF(COUNTIFS($M$3:$M$302,M122,$D$3:$D$302,D122)&lt;=INDEX(設定!$H$8:$I$27,MATCH(D122,設定!$G$8:$G$27,0),IF($M122=設定!$H$6&amp;"",1,2)),D122,"要調整"),"要調整")))</f>
        <v/>
      </c>
      <c r="H122" s="15" t="n"/>
      <c r="I122" s="24">
        <f>IF(N122="","",IF(H122&lt;&gt;"",H122,IF(OR(G122="",G122="要調整"),"",G122)))</f>
        <v/>
      </c>
      <c r="J122" s="23">
        <f>IF(N122="","",IF(I122&lt;&gt;"","決定",IF(O122="","未提出","要調整")))</f>
        <v/>
      </c>
      <c r="K122" s="23">
        <f>IF(OR(J122&lt;&gt;"要調整",E122=""),"",IFERROR(INDEX(設定!$H$8:$I$27,MATCH(E122,設定!$G$8:$G$27,0),IF($M122=設定!$H$6&amp;"",1,2))-COUNTIFS($M$3:$M$302,M122,$I$3:$I$302,E122),""))</f>
        <v/>
      </c>
      <c r="L122" s="23">
        <f>IF(OR(J122&lt;&gt;"要調整",F122=""),"",IFERROR(INDEX(設定!$H$8:$I$27,MATCH(F122,設定!$G$8:$G$27,0),IF($M122=設定!$H$6&amp;"",1,2))-COUNTIFS($M$3:$M$302,M122,$I$3:$I$302,F122),""))</f>
        <v/>
      </c>
      <c r="M122" s="8">
        <f>IF(N122="","",INDEX(児童名簿!$A$2:$A$301,N122)&amp;"")</f>
        <v/>
      </c>
      <c r="N122" s="8">
        <f>IFERROR(MATCH(SMALL(児童名簿!$G$2:$G$301,120),児童名簿!$G$2:$G$301,0),"")</f>
        <v/>
      </c>
      <c r="O122" s="8">
        <f>IF(P122="","",IFERROR(MATCH(P122,希望入力!$K$2:$K$401,0),""))</f>
        <v/>
      </c>
      <c r="P122" s="8">
        <f>IF(N122="","",INDEX(児童名簿!$F$2:$F$301,N122))</f>
        <v/>
      </c>
      <c r="Q122" s="8">
        <f>IF(I122="","",IFERROR(MATCH(I122,設定!$G$8:$G$27,0),""))</f>
        <v/>
      </c>
      <c r="R122" s="8">
        <f>IF(Q122="","",COUNTIF($Q$3:Q122,Q122))</f>
        <v/>
      </c>
      <c r="S122" s="8">
        <f>IF(Q122="","",Q122*1000+R122)</f>
        <v/>
      </c>
    </row>
    <row r="123">
      <c r="A123" s="23">
        <f>IF(N123="","",IFERROR(INDEX(設定!$C$8:$C$23,INT(INDEX(児童名簿!$G$2:$G$301,N123)/1000)),M123&amp;INDEX(児童名簿!$B$2:$B$301,N123)))</f>
        <v/>
      </c>
      <c r="B123" s="23">
        <f>IF(N123="","",INDEX(児童名簿!$C$2:$C$301,N123))</f>
        <v/>
      </c>
      <c r="C123" s="3">
        <f>IF(N123="","",INDEX(児童名簿!$D$2:$D$301,N123))</f>
        <v/>
      </c>
      <c r="D123" s="23">
        <f>IF(O123="","",INDEX(希望入力!$D$2:$D$401,O123)&amp;"")</f>
        <v/>
      </c>
      <c r="E123" s="23">
        <f>IF(O123="","",INDEX(希望入力!$E$2:$E$401,O123)&amp;"")</f>
        <v/>
      </c>
      <c r="F123" s="23">
        <f>IF(O123="","",INDEX(希望入力!$F$2:$F$401,O123)&amp;"")</f>
        <v/>
      </c>
      <c r="G123" s="23">
        <f>IF(O123="","",IF(D123="","要調整",IFERROR(IF(COUNTIFS($M$3:$M$302,M123,$D$3:$D$302,D123)&lt;=INDEX(設定!$H$8:$I$27,MATCH(D123,設定!$G$8:$G$27,0),IF($M123=設定!$H$6&amp;"",1,2)),D123,"要調整"),"要調整")))</f>
        <v/>
      </c>
      <c r="H123" s="15" t="n"/>
      <c r="I123" s="24">
        <f>IF(N123="","",IF(H123&lt;&gt;"",H123,IF(OR(G123="",G123="要調整"),"",G123)))</f>
        <v/>
      </c>
      <c r="J123" s="23">
        <f>IF(N123="","",IF(I123&lt;&gt;"","決定",IF(O123="","未提出","要調整")))</f>
        <v/>
      </c>
      <c r="K123" s="23">
        <f>IF(OR(J123&lt;&gt;"要調整",E123=""),"",IFERROR(INDEX(設定!$H$8:$I$27,MATCH(E123,設定!$G$8:$G$27,0),IF($M123=設定!$H$6&amp;"",1,2))-COUNTIFS($M$3:$M$302,M123,$I$3:$I$302,E123),""))</f>
        <v/>
      </c>
      <c r="L123" s="23">
        <f>IF(OR(J123&lt;&gt;"要調整",F123=""),"",IFERROR(INDEX(設定!$H$8:$I$27,MATCH(F123,設定!$G$8:$G$27,0),IF($M123=設定!$H$6&amp;"",1,2))-COUNTIFS($M$3:$M$302,M123,$I$3:$I$302,F123),""))</f>
        <v/>
      </c>
      <c r="M123" s="8">
        <f>IF(N123="","",INDEX(児童名簿!$A$2:$A$301,N123)&amp;"")</f>
        <v/>
      </c>
      <c r="N123" s="8">
        <f>IFERROR(MATCH(SMALL(児童名簿!$G$2:$G$301,121),児童名簿!$G$2:$G$301,0),"")</f>
        <v/>
      </c>
      <c r="O123" s="8">
        <f>IF(P123="","",IFERROR(MATCH(P123,希望入力!$K$2:$K$401,0),""))</f>
        <v/>
      </c>
      <c r="P123" s="8">
        <f>IF(N123="","",INDEX(児童名簿!$F$2:$F$301,N123))</f>
        <v/>
      </c>
      <c r="Q123" s="8">
        <f>IF(I123="","",IFERROR(MATCH(I123,設定!$G$8:$G$27,0),""))</f>
        <v/>
      </c>
      <c r="R123" s="8">
        <f>IF(Q123="","",COUNTIF($Q$3:Q123,Q123))</f>
        <v/>
      </c>
      <c r="S123" s="8">
        <f>IF(Q123="","",Q123*1000+R123)</f>
        <v/>
      </c>
    </row>
    <row r="124">
      <c r="A124" s="23">
        <f>IF(N124="","",IFERROR(INDEX(設定!$C$8:$C$23,INT(INDEX(児童名簿!$G$2:$G$301,N124)/1000)),M124&amp;INDEX(児童名簿!$B$2:$B$301,N124)))</f>
        <v/>
      </c>
      <c r="B124" s="23">
        <f>IF(N124="","",INDEX(児童名簿!$C$2:$C$301,N124))</f>
        <v/>
      </c>
      <c r="C124" s="3">
        <f>IF(N124="","",INDEX(児童名簿!$D$2:$D$301,N124))</f>
        <v/>
      </c>
      <c r="D124" s="23">
        <f>IF(O124="","",INDEX(希望入力!$D$2:$D$401,O124)&amp;"")</f>
        <v/>
      </c>
      <c r="E124" s="23">
        <f>IF(O124="","",INDEX(希望入力!$E$2:$E$401,O124)&amp;"")</f>
        <v/>
      </c>
      <c r="F124" s="23">
        <f>IF(O124="","",INDEX(希望入力!$F$2:$F$401,O124)&amp;"")</f>
        <v/>
      </c>
      <c r="G124" s="23">
        <f>IF(O124="","",IF(D124="","要調整",IFERROR(IF(COUNTIFS($M$3:$M$302,M124,$D$3:$D$302,D124)&lt;=INDEX(設定!$H$8:$I$27,MATCH(D124,設定!$G$8:$G$27,0),IF($M124=設定!$H$6&amp;"",1,2)),D124,"要調整"),"要調整")))</f>
        <v/>
      </c>
      <c r="H124" s="15" t="n"/>
      <c r="I124" s="24">
        <f>IF(N124="","",IF(H124&lt;&gt;"",H124,IF(OR(G124="",G124="要調整"),"",G124)))</f>
        <v/>
      </c>
      <c r="J124" s="23">
        <f>IF(N124="","",IF(I124&lt;&gt;"","決定",IF(O124="","未提出","要調整")))</f>
        <v/>
      </c>
      <c r="K124" s="23">
        <f>IF(OR(J124&lt;&gt;"要調整",E124=""),"",IFERROR(INDEX(設定!$H$8:$I$27,MATCH(E124,設定!$G$8:$G$27,0),IF($M124=設定!$H$6&amp;"",1,2))-COUNTIFS($M$3:$M$302,M124,$I$3:$I$302,E124),""))</f>
        <v/>
      </c>
      <c r="L124" s="23">
        <f>IF(OR(J124&lt;&gt;"要調整",F124=""),"",IFERROR(INDEX(設定!$H$8:$I$27,MATCH(F124,設定!$G$8:$G$27,0),IF($M124=設定!$H$6&amp;"",1,2))-COUNTIFS($M$3:$M$302,M124,$I$3:$I$302,F124),""))</f>
        <v/>
      </c>
      <c r="M124" s="8">
        <f>IF(N124="","",INDEX(児童名簿!$A$2:$A$301,N124)&amp;"")</f>
        <v/>
      </c>
      <c r="N124" s="8">
        <f>IFERROR(MATCH(SMALL(児童名簿!$G$2:$G$301,122),児童名簿!$G$2:$G$301,0),"")</f>
        <v/>
      </c>
      <c r="O124" s="8">
        <f>IF(P124="","",IFERROR(MATCH(P124,希望入力!$K$2:$K$401,0),""))</f>
        <v/>
      </c>
      <c r="P124" s="8">
        <f>IF(N124="","",INDEX(児童名簿!$F$2:$F$301,N124))</f>
        <v/>
      </c>
      <c r="Q124" s="8">
        <f>IF(I124="","",IFERROR(MATCH(I124,設定!$G$8:$G$27,0),""))</f>
        <v/>
      </c>
      <c r="R124" s="8">
        <f>IF(Q124="","",COUNTIF($Q$3:Q124,Q124))</f>
        <v/>
      </c>
      <c r="S124" s="8">
        <f>IF(Q124="","",Q124*1000+R124)</f>
        <v/>
      </c>
    </row>
    <row r="125">
      <c r="A125" s="23">
        <f>IF(N125="","",IFERROR(INDEX(設定!$C$8:$C$23,INT(INDEX(児童名簿!$G$2:$G$301,N125)/1000)),M125&amp;INDEX(児童名簿!$B$2:$B$301,N125)))</f>
        <v/>
      </c>
      <c r="B125" s="23">
        <f>IF(N125="","",INDEX(児童名簿!$C$2:$C$301,N125))</f>
        <v/>
      </c>
      <c r="C125" s="3">
        <f>IF(N125="","",INDEX(児童名簿!$D$2:$D$301,N125))</f>
        <v/>
      </c>
      <c r="D125" s="23">
        <f>IF(O125="","",INDEX(希望入力!$D$2:$D$401,O125)&amp;"")</f>
        <v/>
      </c>
      <c r="E125" s="23">
        <f>IF(O125="","",INDEX(希望入力!$E$2:$E$401,O125)&amp;"")</f>
        <v/>
      </c>
      <c r="F125" s="23">
        <f>IF(O125="","",INDEX(希望入力!$F$2:$F$401,O125)&amp;"")</f>
        <v/>
      </c>
      <c r="G125" s="23">
        <f>IF(O125="","",IF(D125="","要調整",IFERROR(IF(COUNTIFS($M$3:$M$302,M125,$D$3:$D$302,D125)&lt;=INDEX(設定!$H$8:$I$27,MATCH(D125,設定!$G$8:$G$27,0),IF($M125=設定!$H$6&amp;"",1,2)),D125,"要調整"),"要調整")))</f>
        <v/>
      </c>
      <c r="H125" s="15" t="n"/>
      <c r="I125" s="24">
        <f>IF(N125="","",IF(H125&lt;&gt;"",H125,IF(OR(G125="",G125="要調整"),"",G125)))</f>
        <v/>
      </c>
      <c r="J125" s="23">
        <f>IF(N125="","",IF(I125&lt;&gt;"","決定",IF(O125="","未提出","要調整")))</f>
        <v/>
      </c>
      <c r="K125" s="23">
        <f>IF(OR(J125&lt;&gt;"要調整",E125=""),"",IFERROR(INDEX(設定!$H$8:$I$27,MATCH(E125,設定!$G$8:$G$27,0),IF($M125=設定!$H$6&amp;"",1,2))-COUNTIFS($M$3:$M$302,M125,$I$3:$I$302,E125),""))</f>
        <v/>
      </c>
      <c r="L125" s="23">
        <f>IF(OR(J125&lt;&gt;"要調整",F125=""),"",IFERROR(INDEX(設定!$H$8:$I$27,MATCH(F125,設定!$G$8:$G$27,0),IF($M125=設定!$H$6&amp;"",1,2))-COUNTIFS($M$3:$M$302,M125,$I$3:$I$302,F125),""))</f>
        <v/>
      </c>
      <c r="M125" s="8">
        <f>IF(N125="","",INDEX(児童名簿!$A$2:$A$301,N125)&amp;"")</f>
        <v/>
      </c>
      <c r="N125" s="8">
        <f>IFERROR(MATCH(SMALL(児童名簿!$G$2:$G$301,123),児童名簿!$G$2:$G$301,0),"")</f>
        <v/>
      </c>
      <c r="O125" s="8">
        <f>IF(P125="","",IFERROR(MATCH(P125,希望入力!$K$2:$K$401,0),""))</f>
        <v/>
      </c>
      <c r="P125" s="8">
        <f>IF(N125="","",INDEX(児童名簿!$F$2:$F$301,N125))</f>
        <v/>
      </c>
      <c r="Q125" s="8">
        <f>IF(I125="","",IFERROR(MATCH(I125,設定!$G$8:$G$27,0),""))</f>
        <v/>
      </c>
      <c r="R125" s="8">
        <f>IF(Q125="","",COUNTIF($Q$3:Q125,Q125))</f>
        <v/>
      </c>
      <c r="S125" s="8">
        <f>IF(Q125="","",Q125*1000+R125)</f>
        <v/>
      </c>
    </row>
    <row r="126">
      <c r="A126" s="23">
        <f>IF(N126="","",IFERROR(INDEX(設定!$C$8:$C$23,INT(INDEX(児童名簿!$G$2:$G$301,N126)/1000)),M126&amp;INDEX(児童名簿!$B$2:$B$301,N126)))</f>
        <v/>
      </c>
      <c r="B126" s="23">
        <f>IF(N126="","",INDEX(児童名簿!$C$2:$C$301,N126))</f>
        <v/>
      </c>
      <c r="C126" s="3">
        <f>IF(N126="","",INDEX(児童名簿!$D$2:$D$301,N126))</f>
        <v/>
      </c>
      <c r="D126" s="23">
        <f>IF(O126="","",INDEX(希望入力!$D$2:$D$401,O126)&amp;"")</f>
        <v/>
      </c>
      <c r="E126" s="23">
        <f>IF(O126="","",INDEX(希望入力!$E$2:$E$401,O126)&amp;"")</f>
        <v/>
      </c>
      <c r="F126" s="23">
        <f>IF(O126="","",INDEX(希望入力!$F$2:$F$401,O126)&amp;"")</f>
        <v/>
      </c>
      <c r="G126" s="23">
        <f>IF(O126="","",IF(D126="","要調整",IFERROR(IF(COUNTIFS($M$3:$M$302,M126,$D$3:$D$302,D126)&lt;=INDEX(設定!$H$8:$I$27,MATCH(D126,設定!$G$8:$G$27,0),IF($M126=設定!$H$6&amp;"",1,2)),D126,"要調整"),"要調整")))</f>
        <v/>
      </c>
      <c r="H126" s="15" t="n"/>
      <c r="I126" s="24">
        <f>IF(N126="","",IF(H126&lt;&gt;"",H126,IF(OR(G126="",G126="要調整"),"",G126)))</f>
        <v/>
      </c>
      <c r="J126" s="23">
        <f>IF(N126="","",IF(I126&lt;&gt;"","決定",IF(O126="","未提出","要調整")))</f>
        <v/>
      </c>
      <c r="K126" s="23">
        <f>IF(OR(J126&lt;&gt;"要調整",E126=""),"",IFERROR(INDEX(設定!$H$8:$I$27,MATCH(E126,設定!$G$8:$G$27,0),IF($M126=設定!$H$6&amp;"",1,2))-COUNTIFS($M$3:$M$302,M126,$I$3:$I$302,E126),""))</f>
        <v/>
      </c>
      <c r="L126" s="23">
        <f>IF(OR(J126&lt;&gt;"要調整",F126=""),"",IFERROR(INDEX(設定!$H$8:$I$27,MATCH(F126,設定!$G$8:$G$27,0),IF($M126=設定!$H$6&amp;"",1,2))-COUNTIFS($M$3:$M$302,M126,$I$3:$I$302,F126),""))</f>
        <v/>
      </c>
      <c r="M126" s="8">
        <f>IF(N126="","",INDEX(児童名簿!$A$2:$A$301,N126)&amp;"")</f>
        <v/>
      </c>
      <c r="N126" s="8">
        <f>IFERROR(MATCH(SMALL(児童名簿!$G$2:$G$301,124),児童名簿!$G$2:$G$301,0),"")</f>
        <v/>
      </c>
      <c r="O126" s="8">
        <f>IF(P126="","",IFERROR(MATCH(P126,希望入力!$K$2:$K$401,0),""))</f>
        <v/>
      </c>
      <c r="P126" s="8">
        <f>IF(N126="","",INDEX(児童名簿!$F$2:$F$301,N126))</f>
        <v/>
      </c>
      <c r="Q126" s="8">
        <f>IF(I126="","",IFERROR(MATCH(I126,設定!$G$8:$G$27,0),""))</f>
        <v/>
      </c>
      <c r="R126" s="8">
        <f>IF(Q126="","",COUNTIF($Q$3:Q126,Q126))</f>
        <v/>
      </c>
      <c r="S126" s="8">
        <f>IF(Q126="","",Q126*1000+R126)</f>
        <v/>
      </c>
    </row>
    <row r="127">
      <c r="A127" s="23">
        <f>IF(N127="","",IFERROR(INDEX(設定!$C$8:$C$23,INT(INDEX(児童名簿!$G$2:$G$301,N127)/1000)),M127&amp;INDEX(児童名簿!$B$2:$B$301,N127)))</f>
        <v/>
      </c>
      <c r="B127" s="23">
        <f>IF(N127="","",INDEX(児童名簿!$C$2:$C$301,N127))</f>
        <v/>
      </c>
      <c r="C127" s="3">
        <f>IF(N127="","",INDEX(児童名簿!$D$2:$D$301,N127))</f>
        <v/>
      </c>
      <c r="D127" s="23">
        <f>IF(O127="","",INDEX(希望入力!$D$2:$D$401,O127)&amp;"")</f>
        <v/>
      </c>
      <c r="E127" s="23">
        <f>IF(O127="","",INDEX(希望入力!$E$2:$E$401,O127)&amp;"")</f>
        <v/>
      </c>
      <c r="F127" s="23">
        <f>IF(O127="","",INDEX(希望入力!$F$2:$F$401,O127)&amp;"")</f>
        <v/>
      </c>
      <c r="G127" s="23">
        <f>IF(O127="","",IF(D127="","要調整",IFERROR(IF(COUNTIFS($M$3:$M$302,M127,$D$3:$D$302,D127)&lt;=INDEX(設定!$H$8:$I$27,MATCH(D127,設定!$G$8:$G$27,0),IF($M127=設定!$H$6&amp;"",1,2)),D127,"要調整"),"要調整")))</f>
        <v/>
      </c>
      <c r="H127" s="15" t="n"/>
      <c r="I127" s="24">
        <f>IF(N127="","",IF(H127&lt;&gt;"",H127,IF(OR(G127="",G127="要調整"),"",G127)))</f>
        <v/>
      </c>
      <c r="J127" s="23">
        <f>IF(N127="","",IF(I127&lt;&gt;"","決定",IF(O127="","未提出","要調整")))</f>
        <v/>
      </c>
      <c r="K127" s="23">
        <f>IF(OR(J127&lt;&gt;"要調整",E127=""),"",IFERROR(INDEX(設定!$H$8:$I$27,MATCH(E127,設定!$G$8:$G$27,0),IF($M127=設定!$H$6&amp;"",1,2))-COUNTIFS($M$3:$M$302,M127,$I$3:$I$302,E127),""))</f>
        <v/>
      </c>
      <c r="L127" s="23">
        <f>IF(OR(J127&lt;&gt;"要調整",F127=""),"",IFERROR(INDEX(設定!$H$8:$I$27,MATCH(F127,設定!$G$8:$G$27,0),IF($M127=設定!$H$6&amp;"",1,2))-COUNTIFS($M$3:$M$302,M127,$I$3:$I$302,F127),""))</f>
        <v/>
      </c>
      <c r="M127" s="8">
        <f>IF(N127="","",INDEX(児童名簿!$A$2:$A$301,N127)&amp;"")</f>
        <v/>
      </c>
      <c r="N127" s="8">
        <f>IFERROR(MATCH(SMALL(児童名簿!$G$2:$G$301,125),児童名簿!$G$2:$G$301,0),"")</f>
        <v/>
      </c>
      <c r="O127" s="8">
        <f>IF(P127="","",IFERROR(MATCH(P127,希望入力!$K$2:$K$401,0),""))</f>
        <v/>
      </c>
      <c r="P127" s="8">
        <f>IF(N127="","",INDEX(児童名簿!$F$2:$F$301,N127))</f>
        <v/>
      </c>
      <c r="Q127" s="8">
        <f>IF(I127="","",IFERROR(MATCH(I127,設定!$G$8:$G$27,0),""))</f>
        <v/>
      </c>
      <c r="R127" s="8">
        <f>IF(Q127="","",COUNTIF($Q$3:Q127,Q127))</f>
        <v/>
      </c>
      <c r="S127" s="8">
        <f>IF(Q127="","",Q127*1000+R127)</f>
        <v/>
      </c>
    </row>
    <row r="128">
      <c r="A128" s="23">
        <f>IF(N128="","",IFERROR(INDEX(設定!$C$8:$C$23,INT(INDEX(児童名簿!$G$2:$G$301,N128)/1000)),M128&amp;INDEX(児童名簿!$B$2:$B$301,N128)))</f>
        <v/>
      </c>
      <c r="B128" s="23">
        <f>IF(N128="","",INDEX(児童名簿!$C$2:$C$301,N128))</f>
        <v/>
      </c>
      <c r="C128" s="3">
        <f>IF(N128="","",INDEX(児童名簿!$D$2:$D$301,N128))</f>
        <v/>
      </c>
      <c r="D128" s="23">
        <f>IF(O128="","",INDEX(希望入力!$D$2:$D$401,O128)&amp;"")</f>
        <v/>
      </c>
      <c r="E128" s="23">
        <f>IF(O128="","",INDEX(希望入力!$E$2:$E$401,O128)&amp;"")</f>
        <v/>
      </c>
      <c r="F128" s="23">
        <f>IF(O128="","",INDEX(希望入力!$F$2:$F$401,O128)&amp;"")</f>
        <v/>
      </c>
      <c r="G128" s="23">
        <f>IF(O128="","",IF(D128="","要調整",IFERROR(IF(COUNTIFS($M$3:$M$302,M128,$D$3:$D$302,D128)&lt;=INDEX(設定!$H$8:$I$27,MATCH(D128,設定!$G$8:$G$27,0),IF($M128=設定!$H$6&amp;"",1,2)),D128,"要調整"),"要調整")))</f>
        <v/>
      </c>
      <c r="H128" s="15" t="n"/>
      <c r="I128" s="24">
        <f>IF(N128="","",IF(H128&lt;&gt;"",H128,IF(OR(G128="",G128="要調整"),"",G128)))</f>
        <v/>
      </c>
      <c r="J128" s="23">
        <f>IF(N128="","",IF(I128&lt;&gt;"","決定",IF(O128="","未提出","要調整")))</f>
        <v/>
      </c>
      <c r="K128" s="23">
        <f>IF(OR(J128&lt;&gt;"要調整",E128=""),"",IFERROR(INDEX(設定!$H$8:$I$27,MATCH(E128,設定!$G$8:$G$27,0),IF($M128=設定!$H$6&amp;"",1,2))-COUNTIFS($M$3:$M$302,M128,$I$3:$I$302,E128),""))</f>
        <v/>
      </c>
      <c r="L128" s="23">
        <f>IF(OR(J128&lt;&gt;"要調整",F128=""),"",IFERROR(INDEX(設定!$H$8:$I$27,MATCH(F128,設定!$G$8:$G$27,0),IF($M128=設定!$H$6&amp;"",1,2))-COUNTIFS($M$3:$M$302,M128,$I$3:$I$302,F128),""))</f>
        <v/>
      </c>
      <c r="M128" s="8">
        <f>IF(N128="","",INDEX(児童名簿!$A$2:$A$301,N128)&amp;"")</f>
        <v/>
      </c>
      <c r="N128" s="8">
        <f>IFERROR(MATCH(SMALL(児童名簿!$G$2:$G$301,126),児童名簿!$G$2:$G$301,0),"")</f>
        <v/>
      </c>
      <c r="O128" s="8">
        <f>IF(P128="","",IFERROR(MATCH(P128,希望入力!$K$2:$K$401,0),""))</f>
        <v/>
      </c>
      <c r="P128" s="8">
        <f>IF(N128="","",INDEX(児童名簿!$F$2:$F$301,N128))</f>
        <v/>
      </c>
      <c r="Q128" s="8">
        <f>IF(I128="","",IFERROR(MATCH(I128,設定!$G$8:$G$27,0),""))</f>
        <v/>
      </c>
      <c r="R128" s="8">
        <f>IF(Q128="","",COUNTIF($Q$3:Q128,Q128))</f>
        <v/>
      </c>
      <c r="S128" s="8">
        <f>IF(Q128="","",Q128*1000+R128)</f>
        <v/>
      </c>
    </row>
    <row r="129">
      <c r="A129" s="23">
        <f>IF(N129="","",IFERROR(INDEX(設定!$C$8:$C$23,INT(INDEX(児童名簿!$G$2:$G$301,N129)/1000)),M129&amp;INDEX(児童名簿!$B$2:$B$301,N129)))</f>
        <v/>
      </c>
      <c r="B129" s="23">
        <f>IF(N129="","",INDEX(児童名簿!$C$2:$C$301,N129))</f>
        <v/>
      </c>
      <c r="C129" s="3">
        <f>IF(N129="","",INDEX(児童名簿!$D$2:$D$301,N129))</f>
        <v/>
      </c>
      <c r="D129" s="23">
        <f>IF(O129="","",INDEX(希望入力!$D$2:$D$401,O129)&amp;"")</f>
        <v/>
      </c>
      <c r="E129" s="23">
        <f>IF(O129="","",INDEX(希望入力!$E$2:$E$401,O129)&amp;"")</f>
        <v/>
      </c>
      <c r="F129" s="23">
        <f>IF(O129="","",INDEX(希望入力!$F$2:$F$401,O129)&amp;"")</f>
        <v/>
      </c>
      <c r="G129" s="23">
        <f>IF(O129="","",IF(D129="","要調整",IFERROR(IF(COUNTIFS($M$3:$M$302,M129,$D$3:$D$302,D129)&lt;=INDEX(設定!$H$8:$I$27,MATCH(D129,設定!$G$8:$G$27,0),IF($M129=設定!$H$6&amp;"",1,2)),D129,"要調整"),"要調整")))</f>
        <v/>
      </c>
      <c r="H129" s="15" t="n"/>
      <c r="I129" s="24">
        <f>IF(N129="","",IF(H129&lt;&gt;"",H129,IF(OR(G129="",G129="要調整"),"",G129)))</f>
        <v/>
      </c>
      <c r="J129" s="23">
        <f>IF(N129="","",IF(I129&lt;&gt;"","決定",IF(O129="","未提出","要調整")))</f>
        <v/>
      </c>
      <c r="K129" s="23">
        <f>IF(OR(J129&lt;&gt;"要調整",E129=""),"",IFERROR(INDEX(設定!$H$8:$I$27,MATCH(E129,設定!$G$8:$G$27,0),IF($M129=設定!$H$6&amp;"",1,2))-COUNTIFS($M$3:$M$302,M129,$I$3:$I$302,E129),""))</f>
        <v/>
      </c>
      <c r="L129" s="23">
        <f>IF(OR(J129&lt;&gt;"要調整",F129=""),"",IFERROR(INDEX(設定!$H$8:$I$27,MATCH(F129,設定!$G$8:$G$27,0),IF($M129=設定!$H$6&amp;"",1,2))-COUNTIFS($M$3:$M$302,M129,$I$3:$I$302,F129),""))</f>
        <v/>
      </c>
      <c r="M129" s="8">
        <f>IF(N129="","",INDEX(児童名簿!$A$2:$A$301,N129)&amp;"")</f>
        <v/>
      </c>
      <c r="N129" s="8">
        <f>IFERROR(MATCH(SMALL(児童名簿!$G$2:$G$301,127),児童名簿!$G$2:$G$301,0),"")</f>
        <v/>
      </c>
      <c r="O129" s="8">
        <f>IF(P129="","",IFERROR(MATCH(P129,希望入力!$K$2:$K$401,0),""))</f>
        <v/>
      </c>
      <c r="P129" s="8">
        <f>IF(N129="","",INDEX(児童名簿!$F$2:$F$301,N129))</f>
        <v/>
      </c>
      <c r="Q129" s="8">
        <f>IF(I129="","",IFERROR(MATCH(I129,設定!$G$8:$G$27,0),""))</f>
        <v/>
      </c>
      <c r="R129" s="8">
        <f>IF(Q129="","",COUNTIF($Q$3:Q129,Q129))</f>
        <v/>
      </c>
      <c r="S129" s="8">
        <f>IF(Q129="","",Q129*1000+R129)</f>
        <v/>
      </c>
    </row>
    <row r="130">
      <c r="A130" s="23">
        <f>IF(N130="","",IFERROR(INDEX(設定!$C$8:$C$23,INT(INDEX(児童名簿!$G$2:$G$301,N130)/1000)),M130&amp;INDEX(児童名簿!$B$2:$B$301,N130)))</f>
        <v/>
      </c>
      <c r="B130" s="23">
        <f>IF(N130="","",INDEX(児童名簿!$C$2:$C$301,N130))</f>
        <v/>
      </c>
      <c r="C130" s="3">
        <f>IF(N130="","",INDEX(児童名簿!$D$2:$D$301,N130))</f>
        <v/>
      </c>
      <c r="D130" s="23">
        <f>IF(O130="","",INDEX(希望入力!$D$2:$D$401,O130)&amp;"")</f>
        <v/>
      </c>
      <c r="E130" s="23">
        <f>IF(O130="","",INDEX(希望入力!$E$2:$E$401,O130)&amp;"")</f>
        <v/>
      </c>
      <c r="F130" s="23">
        <f>IF(O130="","",INDEX(希望入力!$F$2:$F$401,O130)&amp;"")</f>
        <v/>
      </c>
      <c r="G130" s="23">
        <f>IF(O130="","",IF(D130="","要調整",IFERROR(IF(COUNTIFS($M$3:$M$302,M130,$D$3:$D$302,D130)&lt;=INDEX(設定!$H$8:$I$27,MATCH(D130,設定!$G$8:$G$27,0),IF($M130=設定!$H$6&amp;"",1,2)),D130,"要調整"),"要調整")))</f>
        <v/>
      </c>
      <c r="H130" s="15" t="n"/>
      <c r="I130" s="24">
        <f>IF(N130="","",IF(H130&lt;&gt;"",H130,IF(OR(G130="",G130="要調整"),"",G130)))</f>
        <v/>
      </c>
      <c r="J130" s="23">
        <f>IF(N130="","",IF(I130&lt;&gt;"","決定",IF(O130="","未提出","要調整")))</f>
        <v/>
      </c>
      <c r="K130" s="23">
        <f>IF(OR(J130&lt;&gt;"要調整",E130=""),"",IFERROR(INDEX(設定!$H$8:$I$27,MATCH(E130,設定!$G$8:$G$27,0),IF($M130=設定!$H$6&amp;"",1,2))-COUNTIFS($M$3:$M$302,M130,$I$3:$I$302,E130),""))</f>
        <v/>
      </c>
      <c r="L130" s="23">
        <f>IF(OR(J130&lt;&gt;"要調整",F130=""),"",IFERROR(INDEX(設定!$H$8:$I$27,MATCH(F130,設定!$G$8:$G$27,0),IF($M130=設定!$H$6&amp;"",1,2))-COUNTIFS($M$3:$M$302,M130,$I$3:$I$302,F130),""))</f>
        <v/>
      </c>
      <c r="M130" s="8">
        <f>IF(N130="","",INDEX(児童名簿!$A$2:$A$301,N130)&amp;"")</f>
        <v/>
      </c>
      <c r="N130" s="8">
        <f>IFERROR(MATCH(SMALL(児童名簿!$G$2:$G$301,128),児童名簿!$G$2:$G$301,0),"")</f>
        <v/>
      </c>
      <c r="O130" s="8">
        <f>IF(P130="","",IFERROR(MATCH(P130,希望入力!$K$2:$K$401,0),""))</f>
        <v/>
      </c>
      <c r="P130" s="8">
        <f>IF(N130="","",INDEX(児童名簿!$F$2:$F$301,N130))</f>
        <v/>
      </c>
      <c r="Q130" s="8">
        <f>IF(I130="","",IFERROR(MATCH(I130,設定!$G$8:$G$27,0),""))</f>
        <v/>
      </c>
      <c r="R130" s="8">
        <f>IF(Q130="","",COUNTIF($Q$3:Q130,Q130))</f>
        <v/>
      </c>
      <c r="S130" s="8">
        <f>IF(Q130="","",Q130*1000+R130)</f>
        <v/>
      </c>
    </row>
    <row r="131">
      <c r="A131" s="23">
        <f>IF(N131="","",IFERROR(INDEX(設定!$C$8:$C$23,INT(INDEX(児童名簿!$G$2:$G$301,N131)/1000)),M131&amp;INDEX(児童名簿!$B$2:$B$301,N131)))</f>
        <v/>
      </c>
      <c r="B131" s="23">
        <f>IF(N131="","",INDEX(児童名簿!$C$2:$C$301,N131))</f>
        <v/>
      </c>
      <c r="C131" s="3">
        <f>IF(N131="","",INDEX(児童名簿!$D$2:$D$301,N131))</f>
        <v/>
      </c>
      <c r="D131" s="23">
        <f>IF(O131="","",INDEX(希望入力!$D$2:$D$401,O131)&amp;"")</f>
        <v/>
      </c>
      <c r="E131" s="23">
        <f>IF(O131="","",INDEX(希望入力!$E$2:$E$401,O131)&amp;"")</f>
        <v/>
      </c>
      <c r="F131" s="23">
        <f>IF(O131="","",INDEX(希望入力!$F$2:$F$401,O131)&amp;"")</f>
        <v/>
      </c>
      <c r="G131" s="23">
        <f>IF(O131="","",IF(D131="","要調整",IFERROR(IF(COUNTIFS($M$3:$M$302,M131,$D$3:$D$302,D131)&lt;=INDEX(設定!$H$8:$I$27,MATCH(D131,設定!$G$8:$G$27,0),IF($M131=設定!$H$6&amp;"",1,2)),D131,"要調整"),"要調整")))</f>
        <v/>
      </c>
      <c r="H131" s="15" t="n"/>
      <c r="I131" s="24">
        <f>IF(N131="","",IF(H131&lt;&gt;"",H131,IF(OR(G131="",G131="要調整"),"",G131)))</f>
        <v/>
      </c>
      <c r="J131" s="23">
        <f>IF(N131="","",IF(I131&lt;&gt;"","決定",IF(O131="","未提出","要調整")))</f>
        <v/>
      </c>
      <c r="K131" s="23">
        <f>IF(OR(J131&lt;&gt;"要調整",E131=""),"",IFERROR(INDEX(設定!$H$8:$I$27,MATCH(E131,設定!$G$8:$G$27,0),IF($M131=設定!$H$6&amp;"",1,2))-COUNTIFS($M$3:$M$302,M131,$I$3:$I$302,E131),""))</f>
        <v/>
      </c>
      <c r="L131" s="23">
        <f>IF(OR(J131&lt;&gt;"要調整",F131=""),"",IFERROR(INDEX(設定!$H$8:$I$27,MATCH(F131,設定!$G$8:$G$27,0),IF($M131=設定!$H$6&amp;"",1,2))-COUNTIFS($M$3:$M$302,M131,$I$3:$I$302,F131),""))</f>
        <v/>
      </c>
      <c r="M131" s="8">
        <f>IF(N131="","",INDEX(児童名簿!$A$2:$A$301,N131)&amp;"")</f>
        <v/>
      </c>
      <c r="N131" s="8">
        <f>IFERROR(MATCH(SMALL(児童名簿!$G$2:$G$301,129),児童名簿!$G$2:$G$301,0),"")</f>
        <v/>
      </c>
      <c r="O131" s="8">
        <f>IF(P131="","",IFERROR(MATCH(P131,希望入力!$K$2:$K$401,0),""))</f>
        <v/>
      </c>
      <c r="P131" s="8">
        <f>IF(N131="","",INDEX(児童名簿!$F$2:$F$301,N131))</f>
        <v/>
      </c>
      <c r="Q131" s="8">
        <f>IF(I131="","",IFERROR(MATCH(I131,設定!$G$8:$G$27,0),""))</f>
        <v/>
      </c>
      <c r="R131" s="8">
        <f>IF(Q131="","",COUNTIF($Q$3:Q131,Q131))</f>
        <v/>
      </c>
      <c r="S131" s="8">
        <f>IF(Q131="","",Q131*1000+R131)</f>
        <v/>
      </c>
    </row>
    <row r="132">
      <c r="A132" s="23">
        <f>IF(N132="","",IFERROR(INDEX(設定!$C$8:$C$23,INT(INDEX(児童名簿!$G$2:$G$301,N132)/1000)),M132&amp;INDEX(児童名簿!$B$2:$B$301,N132)))</f>
        <v/>
      </c>
      <c r="B132" s="23">
        <f>IF(N132="","",INDEX(児童名簿!$C$2:$C$301,N132))</f>
        <v/>
      </c>
      <c r="C132" s="3">
        <f>IF(N132="","",INDEX(児童名簿!$D$2:$D$301,N132))</f>
        <v/>
      </c>
      <c r="D132" s="23">
        <f>IF(O132="","",INDEX(希望入力!$D$2:$D$401,O132)&amp;"")</f>
        <v/>
      </c>
      <c r="E132" s="23">
        <f>IF(O132="","",INDEX(希望入力!$E$2:$E$401,O132)&amp;"")</f>
        <v/>
      </c>
      <c r="F132" s="23">
        <f>IF(O132="","",INDEX(希望入力!$F$2:$F$401,O132)&amp;"")</f>
        <v/>
      </c>
      <c r="G132" s="23">
        <f>IF(O132="","",IF(D132="","要調整",IFERROR(IF(COUNTIFS($M$3:$M$302,M132,$D$3:$D$302,D132)&lt;=INDEX(設定!$H$8:$I$27,MATCH(D132,設定!$G$8:$G$27,0),IF($M132=設定!$H$6&amp;"",1,2)),D132,"要調整"),"要調整")))</f>
        <v/>
      </c>
      <c r="H132" s="15" t="n"/>
      <c r="I132" s="24">
        <f>IF(N132="","",IF(H132&lt;&gt;"",H132,IF(OR(G132="",G132="要調整"),"",G132)))</f>
        <v/>
      </c>
      <c r="J132" s="23">
        <f>IF(N132="","",IF(I132&lt;&gt;"","決定",IF(O132="","未提出","要調整")))</f>
        <v/>
      </c>
      <c r="K132" s="23">
        <f>IF(OR(J132&lt;&gt;"要調整",E132=""),"",IFERROR(INDEX(設定!$H$8:$I$27,MATCH(E132,設定!$G$8:$G$27,0),IF($M132=設定!$H$6&amp;"",1,2))-COUNTIFS($M$3:$M$302,M132,$I$3:$I$302,E132),""))</f>
        <v/>
      </c>
      <c r="L132" s="23">
        <f>IF(OR(J132&lt;&gt;"要調整",F132=""),"",IFERROR(INDEX(設定!$H$8:$I$27,MATCH(F132,設定!$G$8:$G$27,0),IF($M132=設定!$H$6&amp;"",1,2))-COUNTIFS($M$3:$M$302,M132,$I$3:$I$302,F132),""))</f>
        <v/>
      </c>
      <c r="M132" s="8">
        <f>IF(N132="","",INDEX(児童名簿!$A$2:$A$301,N132)&amp;"")</f>
        <v/>
      </c>
      <c r="N132" s="8">
        <f>IFERROR(MATCH(SMALL(児童名簿!$G$2:$G$301,130),児童名簿!$G$2:$G$301,0),"")</f>
        <v/>
      </c>
      <c r="O132" s="8">
        <f>IF(P132="","",IFERROR(MATCH(P132,希望入力!$K$2:$K$401,0),""))</f>
        <v/>
      </c>
      <c r="P132" s="8">
        <f>IF(N132="","",INDEX(児童名簿!$F$2:$F$301,N132))</f>
        <v/>
      </c>
      <c r="Q132" s="8">
        <f>IF(I132="","",IFERROR(MATCH(I132,設定!$G$8:$G$27,0),""))</f>
        <v/>
      </c>
      <c r="R132" s="8">
        <f>IF(Q132="","",COUNTIF($Q$3:Q132,Q132))</f>
        <v/>
      </c>
      <c r="S132" s="8">
        <f>IF(Q132="","",Q132*1000+R132)</f>
        <v/>
      </c>
    </row>
    <row r="133">
      <c r="A133" s="23">
        <f>IF(N133="","",IFERROR(INDEX(設定!$C$8:$C$23,INT(INDEX(児童名簿!$G$2:$G$301,N133)/1000)),M133&amp;INDEX(児童名簿!$B$2:$B$301,N133)))</f>
        <v/>
      </c>
      <c r="B133" s="23">
        <f>IF(N133="","",INDEX(児童名簿!$C$2:$C$301,N133))</f>
        <v/>
      </c>
      <c r="C133" s="3">
        <f>IF(N133="","",INDEX(児童名簿!$D$2:$D$301,N133))</f>
        <v/>
      </c>
      <c r="D133" s="23">
        <f>IF(O133="","",INDEX(希望入力!$D$2:$D$401,O133)&amp;"")</f>
        <v/>
      </c>
      <c r="E133" s="23">
        <f>IF(O133="","",INDEX(希望入力!$E$2:$E$401,O133)&amp;"")</f>
        <v/>
      </c>
      <c r="F133" s="23">
        <f>IF(O133="","",INDEX(希望入力!$F$2:$F$401,O133)&amp;"")</f>
        <v/>
      </c>
      <c r="G133" s="23">
        <f>IF(O133="","",IF(D133="","要調整",IFERROR(IF(COUNTIFS($M$3:$M$302,M133,$D$3:$D$302,D133)&lt;=INDEX(設定!$H$8:$I$27,MATCH(D133,設定!$G$8:$G$27,0),IF($M133=設定!$H$6&amp;"",1,2)),D133,"要調整"),"要調整")))</f>
        <v/>
      </c>
      <c r="H133" s="15" t="n"/>
      <c r="I133" s="24">
        <f>IF(N133="","",IF(H133&lt;&gt;"",H133,IF(OR(G133="",G133="要調整"),"",G133)))</f>
        <v/>
      </c>
      <c r="J133" s="23">
        <f>IF(N133="","",IF(I133&lt;&gt;"","決定",IF(O133="","未提出","要調整")))</f>
        <v/>
      </c>
      <c r="K133" s="23">
        <f>IF(OR(J133&lt;&gt;"要調整",E133=""),"",IFERROR(INDEX(設定!$H$8:$I$27,MATCH(E133,設定!$G$8:$G$27,0),IF($M133=設定!$H$6&amp;"",1,2))-COUNTIFS($M$3:$M$302,M133,$I$3:$I$302,E133),""))</f>
        <v/>
      </c>
      <c r="L133" s="23">
        <f>IF(OR(J133&lt;&gt;"要調整",F133=""),"",IFERROR(INDEX(設定!$H$8:$I$27,MATCH(F133,設定!$G$8:$G$27,0),IF($M133=設定!$H$6&amp;"",1,2))-COUNTIFS($M$3:$M$302,M133,$I$3:$I$302,F133),""))</f>
        <v/>
      </c>
      <c r="M133" s="8">
        <f>IF(N133="","",INDEX(児童名簿!$A$2:$A$301,N133)&amp;"")</f>
        <v/>
      </c>
      <c r="N133" s="8">
        <f>IFERROR(MATCH(SMALL(児童名簿!$G$2:$G$301,131),児童名簿!$G$2:$G$301,0),"")</f>
        <v/>
      </c>
      <c r="O133" s="8">
        <f>IF(P133="","",IFERROR(MATCH(P133,希望入力!$K$2:$K$401,0),""))</f>
        <v/>
      </c>
      <c r="P133" s="8">
        <f>IF(N133="","",INDEX(児童名簿!$F$2:$F$301,N133))</f>
        <v/>
      </c>
      <c r="Q133" s="8">
        <f>IF(I133="","",IFERROR(MATCH(I133,設定!$G$8:$G$27,0),""))</f>
        <v/>
      </c>
      <c r="R133" s="8">
        <f>IF(Q133="","",COUNTIF($Q$3:Q133,Q133))</f>
        <v/>
      </c>
      <c r="S133" s="8">
        <f>IF(Q133="","",Q133*1000+R133)</f>
        <v/>
      </c>
    </row>
    <row r="134">
      <c r="A134" s="23">
        <f>IF(N134="","",IFERROR(INDEX(設定!$C$8:$C$23,INT(INDEX(児童名簿!$G$2:$G$301,N134)/1000)),M134&amp;INDEX(児童名簿!$B$2:$B$301,N134)))</f>
        <v/>
      </c>
      <c r="B134" s="23">
        <f>IF(N134="","",INDEX(児童名簿!$C$2:$C$301,N134))</f>
        <v/>
      </c>
      <c r="C134" s="3">
        <f>IF(N134="","",INDEX(児童名簿!$D$2:$D$301,N134))</f>
        <v/>
      </c>
      <c r="D134" s="23">
        <f>IF(O134="","",INDEX(希望入力!$D$2:$D$401,O134)&amp;"")</f>
        <v/>
      </c>
      <c r="E134" s="23">
        <f>IF(O134="","",INDEX(希望入力!$E$2:$E$401,O134)&amp;"")</f>
        <v/>
      </c>
      <c r="F134" s="23">
        <f>IF(O134="","",INDEX(希望入力!$F$2:$F$401,O134)&amp;"")</f>
        <v/>
      </c>
      <c r="G134" s="23">
        <f>IF(O134="","",IF(D134="","要調整",IFERROR(IF(COUNTIFS($M$3:$M$302,M134,$D$3:$D$302,D134)&lt;=INDEX(設定!$H$8:$I$27,MATCH(D134,設定!$G$8:$G$27,0),IF($M134=設定!$H$6&amp;"",1,2)),D134,"要調整"),"要調整")))</f>
        <v/>
      </c>
      <c r="H134" s="15" t="n"/>
      <c r="I134" s="24">
        <f>IF(N134="","",IF(H134&lt;&gt;"",H134,IF(OR(G134="",G134="要調整"),"",G134)))</f>
        <v/>
      </c>
      <c r="J134" s="23">
        <f>IF(N134="","",IF(I134&lt;&gt;"","決定",IF(O134="","未提出","要調整")))</f>
        <v/>
      </c>
      <c r="K134" s="23">
        <f>IF(OR(J134&lt;&gt;"要調整",E134=""),"",IFERROR(INDEX(設定!$H$8:$I$27,MATCH(E134,設定!$G$8:$G$27,0),IF($M134=設定!$H$6&amp;"",1,2))-COUNTIFS($M$3:$M$302,M134,$I$3:$I$302,E134),""))</f>
        <v/>
      </c>
      <c r="L134" s="23">
        <f>IF(OR(J134&lt;&gt;"要調整",F134=""),"",IFERROR(INDEX(設定!$H$8:$I$27,MATCH(F134,設定!$G$8:$G$27,0),IF($M134=設定!$H$6&amp;"",1,2))-COUNTIFS($M$3:$M$302,M134,$I$3:$I$302,F134),""))</f>
        <v/>
      </c>
      <c r="M134" s="8">
        <f>IF(N134="","",INDEX(児童名簿!$A$2:$A$301,N134)&amp;"")</f>
        <v/>
      </c>
      <c r="N134" s="8">
        <f>IFERROR(MATCH(SMALL(児童名簿!$G$2:$G$301,132),児童名簿!$G$2:$G$301,0),"")</f>
        <v/>
      </c>
      <c r="O134" s="8">
        <f>IF(P134="","",IFERROR(MATCH(P134,希望入力!$K$2:$K$401,0),""))</f>
        <v/>
      </c>
      <c r="P134" s="8">
        <f>IF(N134="","",INDEX(児童名簿!$F$2:$F$301,N134))</f>
        <v/>
      </c>
      <c r="Q134" s="8">
        <f>IF(I134="","",IFERROR(MATCH(I134,設定!$G$8:$G$27,0),""))</f>
        <v/>
      </c>
      <c r="R134" s="8">
        <f>IF(Q134="","",COUNTIF($Q$3:Q134,Q134))</f>
        <v/>
      </c>
      <c r="S134" s="8">
        <f>IF(Q134="","",Q134*1000+R134)</f>
        <v/>
      </c>
    </row>
    <row r="135">
      <c r="A135" s="23">
        <f>IF(N135="","",IFERROR(INDEX(設定!$C$8:$C$23,INT(INDEX(児童名簿!$G$2:$G$301,N135)/1000)),M135&amp;INDEX(児童名簿!$B$2:$B$301,N135)))</f>
        <v/>
      </c>
      <c r="B135" s="23">
        <f>IF(N135="","",INDEX(児童名簿!$C$2:$C$301,N135))</f>
        <v/>
      </c>
      <c r="C135" s="3">
        <f>IF(N135="","",INDEX(児童名簿!$D$2:$D$301,N135))</f>
        <v/>
      </c>
      <c r="D135" s="23">
        <f>IF(O135="","",INDEX(希望入力!$D$2:$D$401,O135)&amp;"")</f>
        <v/>
      </c>
      <c r="E135" s="23">
        <f>IF(O135="","",INDEX(希望入力!$E$2:$E$401,O135)&amp;"")</f>
        <v/>
      </c>
      <c r="F135" s="23">
        <f>IF(O135="","",INDEX(希望入力!$F$2:$F$401,O135)&amp;"")</f>
        <v/>
      </c>
      <c r="G135" s="23">
        <f>IF(O135="","",IF(D135="","要調整",IFERROR(IF(COUNTIFS($M$3:$M$302,M135,$D$3:$D$302,D135)&lt;=INDEX(設定!$H$8:$I$27,MATCH(D135,設定!$G$8:$G$27,0),IF($M135=設定!$H$6&amp;"",1,2)),D135,"要調整"),"要調整")))</f>
        <v/>
      </c>
      <c r="H135" s="15" t="n"/>
      <c r="I135" s="24">
        <f>IF(N135="","",IF(H135&lt;&gt;"",H135,IF(OR(G135="",G135="要調整"),"",G135)))</f>
        <v/>
      </c>
      <c r="J135" s="23">
        <f>IF(N135="","",IF(I135&lt;&gt;"","決定",IF(O135="","未提出","要調整")))</f>
        <v/>
      </c>
      <c r="K135" s="23">
        <f>IF(OR(J135&lt;&gt;"要調整",E135=""),"",IFERROR(INDEX(設定!$H$8:$I$27,MATCH(E135,設定!$G$8:$G$27,0),IF($M135=設定!$H$6&amp;"",1,2))-COUNTIFS($M$3:$M$302,M135,$I$3:$I$302,E135),""))</f>
        <v/>
      </c>
      <c r="L135" s="23">
        <f>IF(OR(J135&lt;&gt;"要調整",F135=""),"",IFERROR(INDEX(設定!$H$8:$I$27,MATCH(F135,設定!$G$8:$G$27,0),IF($M135=設定!$H$6&amp;"",1,2))-COUNTIFS($M$3:$M$302,M135,$I$3:$I$302,F135),""))</f>
        <v/>
      </c>
      <c r="M135" s="8">
        <f>IF(N135="","",INDEX(児童名簿!$A$2:$A$301,N135)&amp;"")</f>
        <v/>
      </c>
      <c r="N135" s="8">
        <f>IFERROR(MATCH(SMALL(児童名簿!$G$2:$G$301,133),児童名簿!$G$2:$G$301,0),"")</f>
        <v/>
      </c>
      <c r="O135" s="8">
        <f>IF(P135="","",IFERROR(MATCH(P135,希望入力!$K$2:$K$401,0),""))</f>
        <v/>
      </c>
      <c r="P135" s="8">
        <f>IF(N135="","",INDEX(児童名簿!$F$2:$F$301,N135))</f>
        <v/>
      </c>
      <c r="Q135" s="8">
        <f>IF(I135="","",IFERROR(MATCH(I135,設定!$G$8:$G$27,0),""))</f>
        <v/>
      </c>
      <c r="R135" s="8">
        <f>IF(Q135="","",COUNTIF($Q$3:Q135,Q135))</f>
        <v/>
      </c>
      <c r="S135" s="8">
        <f>IF(Q135="","",Q135*1000+R135)</f>
        <v/>
      </c>
    </row>
    <row r="136">
      <c r="A136" s="23">
        <f>IF(N136="","",IFERROR(INDEX(設定!$C$8:$C$23,INT(INDEX(児童名簿!$G$2:$G$301,N136)/1000)),M136&amp;INDEX(児童名簿!$B$2:$B$301,N136)))</f>
        <v/>
      </c>
      <c r="B136" s="23">
        <f>IF(N136="","",INDEX(児童名簿!$C$2:$C$301,N136))</f>
        <v/>
      </c>
      <c r="C136" s="3">
        <f>IF(N136="","",INDEX(児童名簿!$D$2:$D$301,N136))</f>
        <v/>
      </c>
      <c r="D136" s="23">
        <f>IF(O136="","",INDEX(希望入力!$D$2:$D$401,O136)&amp;"")</f>
        <v/>
      </c>
      <c r="E136" s="23">
        <f>IF(O136="","",INDEX(希望入力!$E$2:$E$401,O136)&amp;"")</f>
        <v/>
      </c>
      <c r="F136" s="23">
        <f>IF(O136="","",INDEX(希望入力!$F$2:$F$401,O136)&amp;"")</f>
        <v/>
      </c>
      <c r="G136" s="23">
        <f>IF(O136="","",IF(D136="","要調整",IFERROR(IF(COUNTIFS($M$3:$M$302,M136,$D$3:$D$302,D136)&lt;=INDEX(設定!$H$8:$I$27,MATCH(D136,設定!$G$8:$G$27,0),IF($M136=設定!$H$6&amp;"",1,2)),D136,"要調整"),"要調整")))</f>
        <v/>
      </c>
      <c r="H136" s="15" t="n"/>
      <c r="I136" s="24">
        <f>IF(N136="","",IF(H136&lt;&gt;"",H136,IF(OR(G136="",G136="要調整"),"",G136)))</f>
        <v/>
      </c>
      <c r="J136" s="23">
        <f>IF(N136="","",IF(I136&lt;&gt;"","決定",IF(O136="","未提出","要調整")))</f>
        <v/>
      </c>
      <c r="K136" s="23">
        <f>IF(OR(J136&lt;&gt;"要調整",E136=""),"",IFERROR(INDEX(設定!$H$8:$I$27,MATCH(E136,設定!$G$8:$G$27,0),IF($M136=設定!$H$6&amp;"",1,2))-COUNTIFS($M$3:$M$302,M136,$I$3:$I$302,E136),""))</f>
        <v/>
      </c>
      <c r="L136" s="23">
        <f>IF(OR(J136&lt;&gt;"要調整",F136=""),"",IFERROR(INDEX(設定!$H$8:$I$27,MATCH(F136,設定!$G$8:$G$27,0),IF($M136=設定!$H$6&amp;"",1,2))-COUNTIFS($M$3:$M$302,M136,$I$3:$I$302,F136),""))</f>
        <v/>
      </c>
      <c r="M136" s="8">
        <f>IF(N136="","",INDEX(児童名簿!$A$2:$A$301,N136)&amp;"")</f>
        <v/>
      </c>
      <c r="N136" s="8">
        <f>IFERROR(MATCH(SMALL(児童名簿!$G$2:$G$301,134),児童名簿!$G$2:$G$301,0),"")</f>
        <v/>
      </c>
      <c r="O136" s="8">
        <f>IF(P136="","",IFERROR(MATCH(P136,希望入力!$K$2:$K$401,0),""))</f>
        <v/>
      </c>
      <c r="P136" s="8">
        <f>IF(N136="","",INDEX(児童名簿!$F$2:$F$301,N136))</f>
        <v/>
      </c>
      <c r="Q136" s="8">
        <f>IF(I136="","",IFERROR(MATCH(I136,設定!$G$8:$G$27,0),""))</f>
        <v/>
      </c>
      <c r="R136" s="8">
        <f>IF(Q136="","",COUNTIF($Q$3:Q136,Q136))</f>
        <v/>
      </c>
      <c r="S136" s="8">
        <f>IF(Q136="","",Q136*1000+R136)</f>
        <v/>
      </c>
    </row>
    <row r="137">
      <c r="A137" s="23">
        <f>IF(N137="","",IFERROR(INDEX(設定!$C$8:$C$23,INT(INDEX(児童名簿!$G$2:$G$301,N137)/1000)),M137&amp;INDEX(児童名簿!$B$2:$B$301,N137)))</f>
        <v/>
      </c>
      <c r="B137" s="23">
        <f>IF(N137="","",INDEX(児童名簿!$C$2:$C$301,N137))</f>
        <v/>
      </c>
      <c r="C137" s="3">
        <f>IF(N137="","",INDEX(児童名簿!$D$2:$D$301,N137))</f>
        <v/>
      </c>
      <c r="D137" s="23">
        <f>IF(O137="","",INDEX(希望入力!$D$2:$D$401,O137)&amp;"")</f>
        <v/>
      </c>
      <c r="E137" s="23">
        <f>IF(O137="","",INDEX(希望入力!$E$2:$E$401,O137)&amp;"")</f>
        <v/>
      </c>
      <c r="F137" s="23">
        <f>IF(O137="","",INDEX(希望入力!$F$2:$F$401,O137)&amp;"")</f>
        <v/>
      </c>
      <c r="G137" s="23">
        <f>IF(O137="","",IF(D137="","要調整",IFERROR(IF(COUNTIFS($M$3:$M$302,M137,$D$3:$D$302,D137)&lt;=INDEX(設定!$H$8:$I$27,MATCH(D137,設定!$G$8:$G$27,0),IF($M137=設定!$H$6&amp;"",1,2)),D137,"要調整"),"要調整")))</f>
        <v/>
      </c>
      <c r="H137" s="15" t="n"/>
      <c r="I137" s="24">
        <f>IF(N137="","",IF(H137&lt;&gt;"",H137,IF(OR(G137="",G137="要調整"),"",G137)))</f>
        <v/>
      </c>
      <c r="J137" s="23">
        <f>IF(N137="","",IF(I137&lt;&gt;"","決定",IF(O137="","未提出","要調整")))</f>
        <v/>
      </c>
      <c r="K137" s="23">
        <f>IF(OR(J137&lt;&gt;"要調整",E137=""),"",IFERROR(INDEX(設定!$H$8:$I$27,MATCH(E137,設定!$G$8:$G$27,0),IF($M137=設定!$H$6&amp;"",1,2))-COUNTIFS($M$3:$M$302,M137,$I$3:$I$302,E137),""))</f>
        <v/>
      </c>
      <c r="L137" s="23">
        <f>IF(OR(J137&lt;&gt;"要調整",F137=""),"",IFERROR(INDEX(設定!$H$8:$I$27,MATCH(F137,設定!$G$8:$G$27,0),IF($M137=設定!$H$6&amp;"",1,2))-COUNTIFS($M$3:$M$302,M137,$I$3:$I$302,F137),""))</f>
        <v/>
      </c>
      <c r="M137" s="8">
        <f>IF(N137="","",INDEX(児童名簿!$A$2:$A$301,N137)&amp;"")</f>
        <v/>
      </c>
      <c r="N137" s="8">
        <f>IFERROR(MATCH(SMALL(児童名簿!$G$2:$G$301,135),児童名簿!$G$2:$G$301,0),"")</f>
        <v/>
      </c>
      <c r="O137" s="8">
        <f>IF(P137="","",IFERROR(MATCH(P137,希望入力!$K$2:$K$401,0),""))</f>
        <v/>
      </c>
      <c r="P137" s="8">
        <f>IF(N137="","",INDEX(児童名簿!$F$2:$F$301,N137))</f>
        <v/>
      </c>
      <c r="Q137" s="8">
        <f>IF(I137="","",IFERROR(MATCH(I137,設定!$G$8:$G$27,0),""))</f>
        <v/>
      </c>
      <c r="R137" s="8">
        <f>IF(Q137="","",COUNTIF($Q$3:Q137,Q137))</f>
        <v/>
      </c>
      <c r="S137" s="8">
        <f>IF(Q137="","",Q137*1000+R137)</f>
        <v/>
      </c>
    </row>
    <row r="138">
      <c r="A138" s="23">
        <f>IF(N138="","",IFERROR(INDEX(設定!$C$8:$C$23,INT(INDEX(児童名簿!$G$2:$G$301,N138)/1000)),M138&amp;INDEX(児童名簿!$B$2:$B$301,N138)))</f>
        <v/>
      </c>
      <c r="B138" s="23">
        <f>IF(N138="","",INDEX(児童名簿!$C$2:$C$301,N138))</f>
        <v/>
      </c>
      <c r="C138" s="3">
        <f>IF(N138="","",INDEX(児童名簿!$D$2:$D$301,N138))</f>
        <v/>
      </c>
      <c r="D138" s="23">
        <f>IF(O138="","",INDEX(希望入力!$D$2:$D$401,O138)&amp;"")</f>
        <v/>
      </c>
      <c r="E138" s="23">
        <f>IF(O138="","",INDEX(希望入力!$E$2:$E$401,O138)&amp;"")</f>
        <v/>
      </c>
      <c r="F138" s="23">
        <f>IF(O138="","",INDEX(希望入力!$F$2:$F$401,O138)&amp;"")</f>
        <v/>
      </c>
      <c r="G138" s="23">
        <f>IF(O138="","",IF(D138="","要調整",IFERROR(IF(COUNTIFS($M$3:$M$302,M138,$D$3:$D$302,D138)&lt;=INDEX(設定!$H$8:$I$27,MATCH(D138,設定!$G$8:$G$27,0),IF($M138=設定!$H$6&amp;"",1,2)),D138,"要調整"),"要調整")))</f>
        <v/>
      </c>
      <c r="H138" s="15" t="n"/>
      <c r="I138" s="24">
        <f>IF(N138="","",IF(H138&lt;&gt;"",H138,IF(OR(G138="",G138="要調整"),"",G138)))</f>
        <v/>
      </c>
      <c r="J138" s="23">
        <f>IF(N138="","",IF(I138&lt;&gt;"","決定",IF(O138="","未提出","要調整")))</f>
        <v/>
      </c>
      <c r="K138" s="23">
        <f>IF(OR(J138&lt;&gt;"要調整",E138=""),"",IFERROR(INDEX(設定!$H$8:$I$27,MATCH(E138,設定!$G$8:$G$27,0),IF($M138=設定!$H$6&amp;"",1,2))-COUNTIFS($M$3:$M$302,M138,$I$3:$I$302,E138),""))</f>
        <v/>
      </c>
      <c r="L138" s="23">
        <f>IF(OR(J138&lt;&gt;"要調整",F138=""),"",IFERROR(INDEX(設定!$H$8:$I$27,MATCH(F138,設定!$G$8:$G$27,0),IF($M138=設定!$H$6&amp;"",1,2))-COUNTIFS($M$3:$M$302,M138,$I$3:$I$302,F138),""))</f>
        <v/>
      </c>
      <c r="M138" s="8">
        <f>IF(N138="","",INDEX(児童名簿!$A$2:$A$301,N138)&amp;"")</f>
        <v/>
      </c>
      <c r="N138" s="8">
        <f>IFERROR(MATCH(SMALL(児童名簿!$G$2:$G$301,136),児童名簿!$G$2:$G$301,0),"")</f>
        <v/>
      </c>
      <c r="O138" s="8">
        <f>IF(P138="","",IFERROR(MATCH(P138,希望入力!$K$2:$K$401,0),""))</f>
        <v/>
      </c>
      <c r="P138" s="8">
        <f>IF(N138="","",INDEX(児童名簿!$F$2:$F$301,N138))</f>
        <v/>
      </c>
      <c r="Q138" s="8">
        <f>IF(I138="","",IFERROR(MATCH(I138,設定!$G$8:$G$27,0),""))</f>
        <v/>
      </c>
      <c r="R138" s="8">
        <f>IF(Q138="","",COUNTIF($Q$3:Q138,Q138))</f>
        <v/>
      </c>
      <c r="S138" s="8">
        <f>IF(Q138="","",Q138*1000+R138)</f>
        <v/>
      </c>
    </row>
    <row r="139">
      <c r="A139" s="23">
        <f>IF(N139="","",IFERROR(INDEX(設定!$C$8:$C$23,INT(INDEX(児童名簿!$G$2:$G$301,N139)/1000)),M139&amp;INDEX(児童名簿!$B$2:$B$301,N139)))</f>
        <v/>
      </c>
      <c r="B139" s="23">
        <f>IF(N139="","",INDEX(児童名簿!$C$2:$C$301,N139))</f>
        <v/>
      </c>
      <c r="C139" s="3">
        <f>IF(N139="","",INDEX(児童名簿!$D$2:$D$301,N139))</f>
        <v/>
      </c>
      <c r="D139" s="23">
        <f>IF(O139="","",INDEX(希望入力!$D$2:$D$401,O139)&amp;"")</f>
        <v/>
      </c>
      <c r="E139" s="23">
        <f>IF(O139="","",INDEX(希望入力!$E$2:$E$401,O139)&amp;"")</f>
        <v/>
      </c>
      <c r="F139" s="23">
        <f>IF(O139="","",INDEX(希望入力!$F$2:$F$401,O139)&amp;"")</f>
        <v/>
      </c>
      <c r="G139" s="23">
        <f>IF(O139="","",IF(D139="","要調整",IFERROR(IF(COUNTIFS($M$3:$M$302,M139,$D$3:$D$302,D139)&lt;=INDEX(設定!$H$8:$I$27,MATCH(D139,設定!$G$8:$G$27,0),IF($M139=設定!$H$6&amp;"",1,2)),D139,"要調整"),"要調整")))</f>
        <v/>
      </c>
      <c r="H139" s="15" t="n"/>
      <c r="I139" s="24">
        <f>IF(N139="","",IF(H139&lt;&gt;"",H139,IF(OR(G139="",G139="要調整"),"",G139)))</f>
        <v/>
      </c>
      <c r="J139" s="23">
        <f>IF(N139="","",IF(I139&lt;&gt;"","決定",IF(O139="","未提出","要調整")))</f>
        <v/>
      </c>
      <c r="K139" s="23">
        <f>IF(OR(J139&lt;&gt;"要調整",E139=""),"",IFERROR(INDEX(設定!$H$8:$I$27,MATCH(E139,設定!$G$8:$G$27,0),IF($M139=設定!$H$6&amp;"",1,2))-COUNTIFS($M$3:$M$302,M139,$I$3:$I$302,E139),""))</f>
        <v/>
      </c>
      <c r="L139" s="23">
        <f>IF(OR(J139&lt;&gt;"要調整",F139=""),"",IFERROR(INDEX(設定!$H$8:$I$27,MATCH(F139,設定!$G$8:$G$27,0),IF($M139=設定!$H$6&amp;"",1,2))-COUNTIFS($M$3:$M$302,M139,$I$3:$I$302,F139),""))</f>
        <v/>
      </c>
      <c r="M139" s="8">
        <f>IF(N139="","",INDEX(児童名簿!$A$2:$A$301,N139)&amp;"")</f>
        <v/>
      </c>
      <c r="N139" s="8">
        <f>IFERROR(MATCH(SMALL(児童名簿!$G$2:$G$301,137),児童名簿!$G$2:$G$301,0),"")</f>
        <v/>
      </c>
      <c r="O139" s="8">
        <f>IF(P139="","",IFERROR(MATCH(P139,希望入力!$K$2:$K$401,0),""))</f>
        <v/>
      </c>
      <c r="P139" s="8">
        <f>IF(N139="","",INDEX(児童名簿!$F$2:$F$301,N139))</f>
        <v/>
      </c>
      <c r="Q139" s="8">
        <f>IF(I139="","",IFERROR(MATCH(I139,設定!$G$8:$G$27,0),""))</f>
        <v/>
      </c>
      <c r="R139" s="8">
        <f>IF(Q139="","",COUNTIF($Q$3:Q139,Q139))</f>
        <v/>
      </c>
      <c r="S139" s="8">
        <f>IF(Q139="","",Q139*1000+R139)</f>
        <v/>
      </c>
    </row>
    <row r="140">
      <c r="A140" s="23">
        <f>IF(N140="","",IFERROR(INDEX(設定!$C$8:$C$23,INT(INDEX(児童名簿!$G$2:$G$301,N140)/1000)),M140&amp;INDEX(児童名簿!$B$2:$B$301,N140)))</f>
        <v/>
      </c>
      <c r="B140" s="23">
        <f>IF(N140="","",INDEX(児童名簿!$C$2:$C$301,N140))</f>
        <v/>
      </c>
      <c r="C140" s="3">
        <f>IF(N140="","",INDEX(児童名簿!$D$2:$D$301,N140))</f>
        <v/>
      </c>
      <c r="D140" s="23">
        <f>IF(O140="","",INDEX(希望入力!$D$2:$D$401,O140)&amp;"")</f>
        <v/>
      </c>
      <c r="E140" s="23">
        <f>IF(O140="","",INDEX(希望入力!$E$2:$E$401,O140)&amp;"")</f>
        <v/>
      </c>
      <c r="F140" s="23">
        <f>IF(O140="","",INDEX(希望入力!$F$2:$F$401,O140)&amp;"")</f>
        <v/>
      </c>
      <c r="G140" s="23">
        <f>IF(O140="","",IF(D140="","要調整",IFERROR(IF(COUNTIFS($M$3:$M$302,M140,$D$3:$D$302,D140)&lt;=INDEX(設定!$H$8:$I$27,MATCH(D140,設定!$G$8:$G$27,0),IF($M140=設定!$H$6&amp;"",1,2)),D140,"要調整"),"要調整")))</f>
        <v/>
      </c>
      <c r="H140" s="15" t="n"/>
      <c r="I140" s="24">
        <f>IF(N140="","",IF(H140&lt;&gt;"",H140,IF(OR(G140="",G140="要調整"),"",G140)))</f>
        <v/>
      </c>
      <c r="J140" s="23">
        <f>IF(N140="","",IF(I140&lt;&gt;"","決定",IF(O140="","未提出","要調整")))</f>
        <v/>
      </c>
      <c r="K140" s="23">
        <f>IF(OR(J140&lt;&gt;"要調整",E140=""),"",IFERROR(INDEX(設定!$H$8:$I$27,MATCH(E140,設定!$G$8:$G$27,0),IF($M140=設定!$H$6&amp;"",1,2))-COUNTIFS($M$3:$M$302,M140,$I$3:$I$302,E140),""))</f>
        <v/>
      </c>
      <c r="L140" s="23">
        <f>IF(OR(J140&lt;&gt;"要調整",F140=""),"",IFERROR(INDEX(設定!$H$8:$I$27,MATCH(F140,設定!$G$8:$G$27,0),IF($M140=設定!$H$6&amp;"",1,2))-COUNTIFS($M$3:$M$302,M140,$I$3:$I$302,F140),""))</f>
        <v/>
      </c>
      <c r="M140" s="8">
        <f>IF(N140="","",INDEX(児童名簿!$A$2:$A$301,N140)&amp;"")</f>
        <v/>
      </c>
      <c r="N140" s="8">
        <f>IFERROR(MATCH(SMALL(児童名簿!$G$2:$G$301,138),児童名簿!$G$2:$G$301,0),"")</f>
        <v/>
      </c>
      <c r="O140" s="8">
        <f>IF(P140="","",IFERROR(MATCH(P140,希望入力!$K$2:$K$401,0),""))</f>
        <v/>
      </c>
      <c r="P140" s="8">
        <f>IF(N140="","",INDEX(児童名簿!$F$2:$F$301,N140))</f>
        <v/>
      </c>
      <c r="Q140" s="8">
        <f>IF(I140="","",IFERROR(MATCH(I140,設定!$G$8:$G$27,0),""))</f>
        <v/>
      </c>
      <c r="R140" s="8">
        <f>IF(Q140="","",COUNTIF($Q$3:Q140,Q140))</f>
        <v/>
      </c>
      <c r="S140" s="8">
        <f>IF(Q140="","",Q140*1000+R140)</f>
        <v/>
      </c>
    </row>
    <row r="141">
      <c r="A141" s="23">
        <f>IF(N141="","",IFERROR(INDEX(設定!$C$8:$C$23,INT(INDEX(児童名簿!$G$2:$G$301,N141)/1000)),M141&amp;INDEX(児童名簿!$B$2:$B$301,N141)))</f>
        <v/>
      </c>
      <c r="B141" s="23">
        <f>IF(N141="","",INDEX(児童名簿!$C$2:$C$301,N141))</f>
        <v/>
      </c>
      <c r="C141" s="3">
        <f>IF(N141="","",INDEX(児童名簿!$D$2:$D$301,N141))</f>
        <v/>
      </c>
      <c r="D141" s="23">
        <f>IF(O141="","",INDEX(希望入力!$D$2:$D$401,O141)&amp;"")</f>
        <v/>
      </c>
      <c r="E141" s="23">
        <f>IF(O141="","",INDEX(希望入力!$E$2:$E$401,O141)&amp;"")</f>
        <v/>
      </c>
      <c r="F141" s="23">
        <f>IF(O141="","",INDEX(希望入力!$F$2:$F$401,O141)&amp;"")</f>
        <v/>
      </c>
      <c r="G141" s="23">
        <f>IF(O141="","",IF(D141="","要調整",IFERROR(IF(COUNTIFS($M$3:$M$302,M141,$D$3:$D$302,D141)&lt;=INDEX(設定!$H$8:$I$27,MATCH(D141,設定!$G$8:$G$27,0),IF($M141=設定!$H$6&amp;"",1,2)),D141,"要調整"),"要調整")))</f>
        <v/>
      </c>
      <c r="H141" s="15" t="n"/>
      <c r="I141" s="24">
        <f>IF(N141="","",IF(H141&lt;&gt;"",H141,IF(OR(G141="",G141="要調整"),"",G141)))</f>
        <v/>
      </c>
      <c r="J141" s="23">
        <f>IF(N141="","",IF(I141&lt;&gt;"","決定",IF(O141="","未提出","要調整")))</f>
        <v/>
      </c>
      <c r="K141" s="23">
        <f>IF(OR(J141&lt;&gt;"要調整",E141=""),"",IFERROR(INDEX(設定!$H$8:$I$27,MATCH(E141,設定!$G$8:$G$27,0),IF($M141=設定!$H$6&amp;"",1,2))-COUNTIFS($M$3:$M$302,M141,$I$3:$I$302,E141),""))</f>
        <v/>
      </c>
      <c r="L141" s="23">
        <f>IF(OR(J141&lt;&gt;"要調整",F141=""),"",IFERROR(INDEX(設定!$H$8:$I$27,MATCH(F141,設定!$G$8:$G$27,0),IF($M141=設定!$H$6&amp;"",1,2))-COUNTIFS($M$3:$M$302,M141,$I$3:$I$302,F141),""))</f>
        <v/>
      </c>
      <c r="M141" s="8">
        <f>IF(N141="","",INDEX(児童名簿!$A$2:$A$301,N141)&amp;"")</f>
        <v/>
      </c>
      <c r="N141" s="8">
        <f>IFERROR(MATCH(SMALL(児童名簿!$G$2:$G$301,139),児童名簿!$G$2:$G$301,0),"")</f>
        <v/>
      </c>
      <c r="O141" s="8">
        <f>IF(P141="","",IFERROR(MATCH(P141,希望入力!$K$2:$K$401,0),""))</f>
        <v/>
      </c>
      <c r="P141" s="8">
        <f>IF(N141="","",INDEX(児童名簿!$F$2:$F$301,N141))</f>
        <v/>
      </c>
      <c r="Q141" s="8">
        <f>IF(I141="","",IFERROR(MATCH(I141,設定!$G$8:$G$27,0),""))</f>
        <v/>
      </c>
      <c r="R141" s="8">
        <f>IF(Q141="","",COUNTIF($Q$3:Q141,Q141))</f>
        <v/>
      </c>
      <c r="S141" s="8">
        <f>IF(Q141="","",Q141*1000+R141)</f>
        <v/>
      </c>
    </row>
    <row r="142">
      <c r="A142" s="23">
        <f>IF(N142="","",IFERROR(INDEX(設定!$C$8:$C$23,INT(INDEX(児童名簿!$G$2:$G$301,N142)/1000)),M142&amp;INDEX(児童名簿!$B$2:$B$301,N142)))</f>
        <v/>
      </c>
      <c r="B142" s="23">
        <f>IF(N142="","",INDEX(児童名簿!$C$2:$C$301,N142))</f>
        <v/>
      </c>
      <c r="C142" s="3">
        <f>IF(N142="","",INDEX(児童名簿!$D$2:$D$301,N142))</f>
        <v/>
      </c>
      <c r="D142" s="23">
        <f>IF(O142="","",INDEX(希望入力!$D$2:$D$401,O142)&amp;"")</f>
        <v/>
      </c>
      <c r="E142" s="23">
        <f>IF(O142="","",INDEX(希望入力!$E$2:$E$401,O142)&amp;"")</f>
        <v/>
      </c>
      <c r="F142" s="23">
        <f>IF(O142="","",INDEX(希望入力!$F$2:$F$401,O142)&amp;"")</f>
        <v/>
      </c>
      <c r="G142" s="23">
        <f>IF(O142="","",IF(D142="","要調整",IFERROR(IF(COUNTIFS($M$3:$M$302,M142,$D$3:$D$302,D142)&lt;=INDEX(設定!$H$8:$I$27,MATCH(D142,設定!$G$8:$G$27,0),IF($M142=設定!$H$6&amp;"",1,2)),D142,"要調整"),"要調整")))</f>
        <v/>
      </c>
      <c r="H142" s="15" t="n"/>
      <c r="I142" s="24">
        <f>IF(N142="","",IF(H142&lt;&gt;"",H142,IF(OR(G142="",G142="要調整"),"",G142)))</f>
        <v/>
      </c>
      <c r="J142" s="23">
        <f>IF(N142="","",IF(I142&lt;&gt;"","決定",IF(O142="","未提出","要調整")))</f>
        <v/>
      </c>
      <c r="K142" s="23">
        <f>IF(OR(J142&lt;&gt;"要調整",E142=""),"",IFERROR(INDEX(設定!$H$8:$I$27,MATCH(E142,設定!$G$8:$G$27,0),IF($M142=設定!$H$6&amp;"",1,2))-COUNTIFS($M$3:$M$302,M142,$I$3:$I$302,E142),""))</f>
        <v/>
      </c>
      <c r="L142" s="23">
        <f>IF(OR(J142&lt;&gt;"要調整",F142=""),"",IFERROR(INDEX(設定!$H$8:$I$27,MATCH(F142,設定!$G$8:$G$27,0),IF($M142=設定!$H$6&amp;"",1,2))-COUNTIFS($M$3:$M$302,M142,$I$3:$I$302,F142),""))</f>
        <v/>
      </c>
      <c r="M142" s="8">
        <f>IF(N142="","",INDEX(児童名簿!$A$2:$A$301,N142)&amp;"")</f>
        <v/>
      </c>
      <c r="N142" s="8">
        <f>IFERROR(MATCH(SMALL(児童名簿!$G$2:$G$301,140),児童名簿!$G$2:$G$301,0),"")</f>
        <v/>
      </c>
      <c r="O142" s="8">
        <f>IF(P142="","",IFERROR(MATCH(P142,希望入力!$K$2:$K$401,0),""))</f>
        <v/>
      </c>
      <c r="P142" s="8">
        <f>IF(N142="","",INDEX(児童名簿!$F$2:$F$301,N142))</f>
        <v/>
      </c>
      <c r="Q142" s="8">
        <f>IF(I142="","",IFERROR(MATCH(I142,設定!$G$8:$G$27,0),""))</f>
        <v/>
      </c>
      <c r="R142" s="8">
        <f>IF(Q142="","",COUNTIF($Q$3:Q142,Q142))</f>
        <v/>
      </c>
      <c r="S142" s="8">
        <f>IF(Q142="","",Q142*1000+R142)</f>
        <v/>
      </c>
    </row>
    <row r="143">
      <c r="A143" s="23">
        <f>IF(N143="","",IFERROR(INDEX(設定!$C$8:$C$23,INT(INDEX(児童名簿!$G$2:$G$301,N143)/1000)),M143&amp;INDEX(児童名簿!$B$2:$B$301,N143)))</f>
        <v/>
      </c>
      <c r="B143" s="23">
        <f>IF(N143="","",INDEX(児童名簿!$C$2:$C$301,N143))</f>
        <v/>
      </c>
      <c r="C143" s="3">
        <f>IF(N143="","",INDEX(児童名簿!$D$2:$D$301,N143))</f>
        <v/>
      </c>
      <c r="D143" s="23">
        <f>IF(O143="","",INDEX(希望入力!$D$2:$D$401,O143)&amp;"")</f>
        <v/>
      </c>
      <c r="E143" s="23">
        <f>IF(O143="","",INDEX(希望入力!$E$2:$E$401,O143)&amp;"")</f>
        <v/>
      </c>
      <c r="F143" s="23">
        <f>IF(O143="","",INDEX(希望入力!$F$2:$F$401,O143)&amp;"")</f>
        <v/>
      </c>
      <c r="G143" s="23">
        <f>IF(O143="","",IF(D143="","要調整",IFERROR(IF(COUNTIFS($M$3:$M$302,M143,$D$3:$D$302,D143)&lt;=INDEX(設定!$H$8:$I$27,MATCH(D143,設定!$G$8:$G$27,0),IF($M143=設定!$H$6&amp;"",1,2)),D143,"要調整"),"要調整")))</f>
        <v/>
      </c>
      <c r="H143" s="15" t="n"/>
      <c r="I143" s="24">
        <f>IF(N143="","",IF(H143&lt;&gt;"",H143,IF(OR(G143="",G143="要調整"),"",G143)))</f>
        <v/>
      </c>
      <c r="J143" s="23">
        <f>IF(N143="","",IF(I143&lt;&gt;"","決定",IF(O143="","未提出","要調整")))</f>
        <v/>
      </c>
      <c r="K143" s="23">
        <f>IF(OR(J143&lt;&gt;"要調整",E143=""),"",IFERROR(INDEX(設定!$H$8:$I$27,MATCH(E143,設定!$G$8:$G$27,0),IF($M143=設定!$H$6&amp;"",1,2))-COUNTIFS($M$3:$M$302,M143,$I$3:$I$302,E143),""))</f>
        <v/>
      </c>
      <c r="L143" s="23">
        <f>IF(OR(J143&lt;&gt;"要調整",F143=""),"",IFERROR(INDEX(設定!$H$8:$I$27,MATCH(F143,設定!$G$8:$G$27,0),IF($M143=設定!$H$6&amp;"",1,2))-COUNTIFS($M$3:$M$302,M143,$I$3:$I$302,F143),""))</f>
        <v/>
      </c>
      <c r="M143" s="8">
        <f>IF(N143="","",INDEX(児童名簿!$A$2:$A$301,N143)&amp;"")</f>
        <v/>
      </c>
      <c r="N143" s="8">
        <f>IFERROR(MATCH(SMALL(児童名簿!$G$2:$G$301,141),児童名簿!$G$2:$G$301,0),"")</f>
        <v/>
      </c>
      <c r="O143" s="8">
        <f>IF(P143="","",IFERROR(MATCH(P143,希望入力!$K$2:$K$401,0),""))</f>
        <v/>
      </c>
      <c r="P143" s="8">
        <f>IF(N143="","",INDEX(児童名簿!$F$2:$F$301,N143))</f>
        <v/>
      </c>
      <c r="Q143" s="8">
        <f>IF(I143="","",IFERROR(MATCH(I143,設定!$G$8:$G$27,0),""))</f>
        <v/>
      </c>
      <c r="R143" s="8">
        <f>IF(Q143="","",COUNTIF($Q$3:Q143,Q143))</f>
        <v/>
      </c>
      <c r="S143" s="8">
        <f>IF(Q143="","",Q143*1000+R143)</f>
        <v/>
      </c>
    </row>
    <row r="144">
      <c r="A144" s="23">
        <f>IF(N144="","",IFERROR(INDEX(設定!$C$8:$C$23,INT(INDEX(児童名簿!$G$2:$G$301,N144)/1000)),M144&amp;INDEX(児童名簿!$B$2:$B$301,N144)))</f>
        <v/>
      </c>
      <c r="B144" s="23">
        <f>IF(N144="","",INDEX(児童名簿!$C$2:$C$301,N144))</f>
        <v/>
      </c>
      <c r="C144" s="3">
        <f>IF(N144="","",INDEX(児童名簿!$D$2:$D$301,N144))</f>
        <v/>
      </c>
      <c r="D144" s="23">
        <f>IF(O144="","",INDEX(希望入力!$D$2:$D$401,O144)&amp;"")</f>
        <v/>
      </c>
      <c r="E144" s="23">
        <f>IF(O144="","",INDEX(希望入力!$E$2:$E$401,O144)&amp;"")</f>
        <v/>
      </c>
      <c r="F144" s="23">
        <f>IF(O144="","",INDEX(希望入力!$F$2:$F$401,O144)&amp;"")</f>
        <v/>
      </c>
      <c r="G144" s="23">
        <f>IF(O144="","",IF(D144="","要調整",IFERROR(IF(COUNTIFS($M$3:$M$302,M144,$D$3:$D$302,D144)&lt;=INDEX(設定!$H$8:$I$27,MATCH(D144,設定!$G$8:$G$27,0),IF($M144=設定!$H$6&amp;"",1,2)),D144,"要調整"),"要調整")))</f>
        <v/>
      </c>
      <c r="H144" s="15" t="n"/>
      <c r="I144" s="24">
        <f>IF(N144="","",IF(H144&lt;&gt;"",H144,IF(OR(G144="",G144="要調整"),"",G144)))</f>
        <v/>
      </c>
      <c r="J144" s="23">
        <f>IF(N144="","",IF(I144&lt;&gt;"","決定",IF(O144="","未提出","要調整")))</f>
        <v/>
      </c>
      <c r="K144" s="23">
        <f>IF(OR(J144&lt;&gt;"要調整",E144=""),"",IFERROR(INDEX(設定!$H$8:$I$27,MATCH(E144,設定!$G$8:$G$27,0),IF($M144=設定!$H$6&amp;"",1,2))-COUNTIFS($M$3:$M$302,M144,$I$3:$I$302,E144),""))</f>
        <v/>
      </c>
      <c r="L144" s="23">
        <f>IF(OR(J144&lt;&gt;"要調整",F144=""),"",IFERROR(INDEX(設定!$H$8:$I$27,MATCH(F144,設定!$G$8:$G$27,0),IF($M144=設定!$H$6&amp;"",1,2))-COUNTIFS($M$3:$M$302,M144,$I$3:$I$302,F144),""))</f>
        <v/>
      </c>
      <c r="M144" s="8">
        <f>IF(N144="","",INDEX(児童名簿!$A$2:$A$301,N144)&amp;"")</f>
        <v/>
      </c>
      <c r="N144" s="8">
        <f>IFERROR(MATCH(SMALL(児童名簿!$G$2:$G$301,142),児童名簿!$G$2:$G$301,0),"")</f>
        <v/>
      </c>
      <c r="O144" s="8">
        <f>IF(P144="","",IFERROR(MATCH(P144,希望入力!$K$2:$K$401,0),""))</f>
        <v/>
      </c>
      <c r="P144" s="8">
        <f>IF(N144="","",INDEX(児童名簿!$F$2:$F$301,N144))</f>
        <v/>
      </c>
      <c r="Q144" s="8">
        <f>IF(I144="","",IFERROR(MATCH(I144,設定!$G$8:$G$27,0),""))</f>
        <v/>
      </c>
      <c r="R144" s="8">
        <f>IF(Q144="","",COUNTIF($Q$3:Q144,Q144))</f>
        <v/>
      </c>
      <c r="S144" s="8">
        <f>IF(Q144="","",Q144*1000+R144)</f>
        <v/>
      </c>
    </row>
    <row r="145">
      <c r="A145" s="23">
        <f>IF(N145="","",IFERROR(INDEX(設定!$C$8:$C$23,INT(INDEX(児童名簿!$G$2:$G$301,N145)/1000)),M145&amp;INDEX(児童名簿!$B$2:$B$301,N145)))</f>
        <v/>
      </c>
      <c r="B145" s="23">
        <f>IF(N145="","",INDEX(児童名簿!$C$2:$C$301,N145))</f>
        <v/>
      </c>
      <c r="C145" s="3">
        <f>IF(N145="","",INDEX(児童名簿!$D$2:$D$301,N145))</f>
        <v/>
      </c>
      <c r="D145" s="23">
        <f>IF(O145="","",INDEX(希望入力!$D$2:$D$401,O145)&amp;"")</f>
        <v/>
      </c>
      <c r="E145" s="23">
        <f>IF(O145="","",INDEX(希望入力!$E$2:$E$401,O145)&amp;"")</f>
        <v/>
      </c>
      <c r="F145" s="23">
        <f>IF(O145="","",INDEX(希望入力!$F$2:$F$401,O145)&amp;"")</f>
        <v/>
      </c>
      <c r="G145" s="23">
        <f>IF(O145="","",IF(D145="","要調整",IFERROR(IF(COUNTIFS($M$3:$M$302,M145,$D$3:$D$302,D145)&lt;=INDEX(設定!$H$8:$I$27,MATCH(D145,設定!$G$8:$G$27,0),IF($M145=設定!$H$6&amp;"",1,2)),D145,"要調整"),"要調整")))</f>
        <v/>
      </c>
      <c r="H145" s="15" t="n"/>
      <c r="I145" s="24">
        <f>IF(N145="","",IF(H145&lt;&gt;"",H145,IF(OR(G145="",G145="要調整"),"",G145)))</f>
        <v/>
      </c>
      <c r="J145" s="23">
        <f>IF(N145="","",IF(I145&lt;&gt;"","決定",IF(O145="","未提出","要調整")))</f>
        <v/>
      </c>
      <c r="K145" s="23">
        <f>IF(OR(J145&lt;&gt;"要調整",E145=""),"",IFERROR(INDEX(設定!$H$8:$I$27,MATCH(E145,設定!$G$8:$G$27,0),IF($M145=設定!$H$6&amp;"",1,2))-COUNTIFS($M$3:$M$302,M145,$I$3:$I$302,E145),""))</f>
        <v/>
      </c>
      <c r="L145" s="23">
        <f>IF(OR(J145&lt;&gt;"要調整",F145=""),"",IFERROR(INDEX(設定!$H$8:$I$27,MATCH(F145,設定!$G$8:$G$27,0),IF($M145=設定!$H$6&amp;"",1,2))-COUNTIFS($M$3:$M$302,M145,$I$3:$I$302,F145),""))</f>
        <v/>
      </c>
      <c r="M145" s="8">
        <f>IF(N145="","",INDEX(児童名簿!$A$2:$A$301,N145)&amp;"")</f>
        <v/>
      </c>
      <c r="N145" s="8">
        <f>IFERROR(MATCH(SMALL(児童名簿!$G$2:$G$301,143),児童名簿!$G$2:$G$301,0),"")</f>
        <v/>
      </c>
      <c r="O145" s="8">
        <f>IF(P145="","",IFERROR(MATCH(P145,希望入力!$K$2:$K$401,0),""))</f>
        <v/>
      </c>
      <c r="P145" s="8">
        <f>IF(N145="","",INDEX(児童名簿!$F$2:$F$301,N145))</f>
        <v/>
      </c>
      <c r="Q145" s="8">
        <f>IF(I145="","",IFERROR(MATCH(I145,設定!$G$8:$G$27,0),""))</f>
        <v/>
      </c>
      <c r="R145" s="8">
        <f>IF(Q145="","",COUNTIF($Q$3:Q145,Q145))</f>
        <v/>
      </c>
      <c r="S145" s="8">
        <f>IF(Q145="","",Q145*1000+R145)</f>
        <v/>
      </c>
    </row>
    <row r="146">
      <c r="A146" s="23">
        <f>IF(N146="","",IFERROR(INDEX(設定!$C$8:$C$23,INT(INDEX(児童名簿!$G$2:$G$301,N146)/1000)),M146&amp;INDEX(児童名簿!$B$2:$B$301,N146)))</f>
        <v/>
      </c>
      <c r="B146" s="23">
        <f>IF(N146="","",INDEX(児童名簿!$C$2:$C$301,N146))</f>
        <v/>
      </c>
      <c r="C146" s="3">
        <f>IF(N146="","",INDEX(児童名簿!$D$2:$D$301,N146))</f>
        <v/>
      </c>
      <c r="D146" s="23">
        <f>IF(O146="","",INDEX(希望入力!$D$2:$D$401,O146)&amp;"")</f>
        <v/>
      </c>
      <c r="E146" s="23">
        <f>IF(O146="","",INDEX(希望入力!$E$2:$E$401,O146)&amp;"")</f>
        <v/>
      </c>
      <c r="F146" s="23">
        <f>IF(O146="","",INDEX(希望入力!$F$2:$F$401,O146)&amp;"")</f>
        <v/>
      </c>
      <c r="G146" s="23">
        <f>IF(O146="","",IF(D146="","要調整",IFERROR(IF(COUNTIFS($M$3:$M$302,M146,$D$3:$D$302,D146)&lt;=INDEX(設定!$H$8:$I$27,MATCH(D146,設定!$G$8:$G$27,0),IF($M146=設定!$H$6&amp;"",1,2)),D146,"要調整"),"要調整")))</f>
        <v/>
      </c>
      <c r="H146" s="15" t="n"/>
      <c r="I146" s="24">
        <f>IF(N146="","",IF(H146&lt;&gt;"",H146,IF(OR(G146="",G146="要調整"),"",G146)))</f>
        <v/>
      </c>
      <c r="J146" s="23">
        <f>IF(N146="","",IF(I146&lt;&gt;"","決定",IF(O146="","未提出","要調整")))</f>
        <v/>
      </c>
      <c r="K146" s="23">
        <f>IF(OR(J146&lt;&gt;"要調整",E146=""),"",IFERROR(INDEX(設定!$H$8:$I$27,MATCH(E146,設定!$G$8:$G$27,0),IF($M146=設定!$H$6&amp;"",1,2))-COUNTIFS($M$3:$M$302,M146,$I$3:$I$302,E146),""))</f>
        <v/>
      </c>
      <c r="L146" s="23">
        <f>IF(OR(J146&lt;&gt;"要調整",F146=""),"",IFERROR(INDEX(設定!$H$8:$I$27,MATCH(F146,設定!$G$8:$G$27,0),IF($M146=設定!$H$6&amp;"",1,2))-COUNTIFS($M$3:$M$302,M146,$I$3:$I$302,F146),""))</f>
        <v/>
      </c>
      <c r="M146" s="8">
        <f>IF(N146="","",INDEX(児童名簿!$A$2:$A$301,N146)&amp;"")</f>
        <v/>
      </c>
      <c r="N146" s="8">
        <f>IFERROR(MATCH(SMALL(児童名簿!$G$2:$G$301,144),児童名簿!$G$2:$G$301,0),"")</f>
        <v/>
      </c>
      <c r="O146" s="8">
        <f>IF(P146="","",IFERROR(MATCH(P146,希望入力!$K$2:$K$401,0),""))</f>
        <v/>
      </c>
      <c r="P146" s="8">
        <f>IF(N146="","",INDEX(児童名簿!$F$2:$F$301,N146))</f>
        <v/>
      </c>
      <c r="Q146" s="8">
        <f>IF(I146="","",IFERROR(MATCH(I146,設定!$G$8:$G$27,0),""))</f>
        <v/>
      </c>
      <c r="R146" s="8">
        <f>IF(Q146="","",COUNTIF($Q$3:Q146,Q146))</f>
        <v/>
      </c>
      <c r="S146" s="8">
        <f>IF(Q146="","",Q146*1000+R146)</f>
        <v/>
      </c>
    </row>
    <row r="147">
      <c r="A147" s="23">
        <f>IF(N147="","",IFERROR(INDEX(設定!$C$8:$C$23,INT(INDEX(児童名簿!$G$2:$G$301,N147)/1000)),M147&amp;INDEX(児童名簿!$B$2:$B$301,N147)))</f>
        <v/>
      </c>
      <c r="B147" s="23">
        <f>IF(N147="","",INDEX(児童名簿!$C$2:$C$301,N147))</f>
        <v/>
      </c>
      <c r="C147" s="3">
        <f>IF(N147="","",INDEX(児童名簿!$D$2:$D$301,N147))</f>
        <v/>
      </c>
      <c r="D147" s="23">
        <f>IF(O147="","",INDEX(希望入力!$D$2:$D$401,O147)&amp;"")</f>
        <v/>
      </c>
      <c r="E147" s="23">
        <f>IF(O147="","",INDEX(希望入力!$E$2:$E$401,O147)&amp;"")</f>
        <v/>
      </c>
      <c r="F147" s="23">
        <f>IF(O147="","",INDEX(希望入力!$F$2:$F$401,O147)&amp;"")</f>
        <v/>
      </c>
      <c r="G147" s="23">
        <f>IF(O147="","",IF(D147="","要調整",IFERROR(IF(COUNTIFS($M$3:$M$302,M147,$D$3:$D$302,D147)&lt;=INDEX(設定!$H$8:$I$27,MATCH(D147,設定!$G$8:$G$27,0),IF($M147=設定!$H$6&amp;"",1,2)),D147,"要調整"),"要調整")))</f>
        <v/>
      </c>
      <c r="H147" s="15" t="n"/>
      <c r="I147" s="24">
        <f>IF(N147="","",IF(H147&lt;&gt;"",H147,IF(OR(G147="",G147="要調整"),"",G147)))</f>
        <v/>
      </c>
      <c r="J147" s="23">
        <f>IF(N147="","",IF(I147&lt;&gt;"","決定",IF(O147="","未提出","要調整")))</f>
        <v/>
      </c>
      <c r="K147" s="23">
        <f>IF(OR(J147&lt;&gt;"要調整",E147=""),"",IFERROR(INDEX(設定!$H$8:$I$27,MATCH(E147,設定!$G$8:$G$27,0),IF($M147=設定!$H$6&amp;"",1,2))-COUNTIFS($M$3:$M$302,M147,$I$3:$I$302,E147),""))</f>
        <v/>
      </c>
      <c r="L147" s="23">
        <f>IF(OR(J147&lt;&gt;"要調整",F147=""),"",IFERROR(INDEX(設定!$H$8:$I$27,MATCH(F147,設定!$G$8:$G$27,0),IF($M147=設定!$H$6&amp;"",1,2))-COUNTIFS($M$3:$M$302,M147,$I$3:$I$302,F147),""))</f>
        <v/>
      </c>
      <c r="M147" s="8">
        <f>IF(N147="","",INDEX(児童名簿!$A$2:$A$301,N147)&amp;"")</f>
        <v/>
      </c>
      <c r="N147" s="8">
        <f>IFERROR(MATCH(SMALL(児童名簿!$G$2:$G$301,145),児童名簿!$G$2:$G$301,0),"")</f>
        <v/>
      </c>
      <c r="O147" s="8">
        <f>IF(P147="","",IFERROR(MATCH(P147,希望入力!$K$2:$K$401,0),""))</f>
        <v/>
      </c>
      <c r="P147" s="8">
        <f>IF(N147="","",INDEX(児童名簿!$F$2:$F$301,N147))</f>
        <v/>
      </c>
      <c r="Q147" s="8">
        <f>IF(I147="","",IFERROR(MATCH(I147,設定!$G$8:$G$27,0),""))</f>
        <v/>
      </c>
      <c r="R147" s="8">
        <f>IF(Q147="","",COUNTIF($Q$3:Q147,Q147))</f>
        <v/>
      </c>
      <c r="S147" s="8">
        <f>IF(Q147="","",Q147*1000+R147)</f>
        <v/>
      </c>
    </row>
    <row r="148">
      <c r="A148" s="23">
        <f>IF(N148="","",IFERROR(INDEX(設定!$C$8:$C$23,INT(INDEX(児童名簿!$G$2:$G$301,N148)/1000)),M148&amp;INDEX(児童名簿!$B$2:$B$301,N148)))</f>
        <v/>
      </c>
      <c r="B148" s="23">
        <f>IF(N148="","",INDEX(児童名簿!$C$2:$C$301,N148))</f>
        <v/>
      </c>
      <c r="C148" s="3">
        <f>IF(N148="","",INDEX(児童名簿!$D$2:$D$301,N148))</f>
        <v/>
      </c>
      <c r="D148" s="23">
        <f>IF(O148="","",INDEX(希望入力!$D$2:$D$401,O148)&amp;"")</f>
        <v/>
      </c>
      <c r="E148" s="23">
        <f>IF(O148="","",INDEX(希望入力!$E$2:$E$401,O148)&amp;"")</f>
        <v/>
      </c>
      <c r="F148" s="23">
        <f>IF(O148="","",INDEX(希望入力!$F$2:$F$401,O148)&amp;"")</f>
        <v/>
      </c>
      <c r="G148" s="23">
        <f>IF(O148="","",IF(D148="","要調整",IFERROR(IF(COUNTIFS($M$3:$M$302,M148,$D$3:$D$302,D148)&lt;=INDEX(設定!$H$8:$I$27,MATCH(D148,設定!$G$8:$G$27,0),IF($M148=設定!$H$6&amp;"",1,2)),D148,"要調整"),"要調整")))</f>
        <v/>
      </c>
      <c r="H148" s="15" t="n"/>
      <c r="I148" s="24">
        <f>IF(N148="","",IF(H148&lt;&gt;"",H148,IF(OR(G148="",G148="要調整"),"",G148)))</f>
        <v/>
      </c>
      <c r="J148" s="23">
        <f>IF(N148="","",IF(I148&lt;&gt;"","決定",IF(O148="","未提出","要調整")))</f>
        <v/>
      </c>
      <c r="K148" s="23">
        <f>IF(OR(J148&lt;&gt;"要調整",E148=""),"",IFERROR(INDEX(設定!$H$8:$I$27,MATCH(E148,設定!$G$8:$G$27,0),IF($M148=設定!$H$6&amp;"",1,2))-COUNTIFS($M$3:$M$302,M148,$I$3:$I$302,E148),""))</f>
        <v/>
      </c>
      <c r="L148" s="23">
        <f>IF(OR(J148&lt;&gt;"要調整",F148=""),"",IFERROR(INDEX(設定!$H$8:$I$27,MATCH(F148,設定!$G$8:$G$27,0),IF($M148=設定!$H$6&amp;"",1,2))-COUNTIFS($M$3:$M$302,M148,$I$3:$I$302,F148),""))</f>
        <v/>
      </c>
      <c r="M148" s="8">
        <f>IF(N148="","",INDEX(児童名簿!$A$2:$A$301,N148)&amp;"")</f>
        <v/>
      </c>
      <c r="N148" s="8">
        <f>IFERROR(MATCH(SMALL(児童名簿!$G$2:$G$301,146),児童名簿!$G$2:$G$301,0),"")</f>
        <v/>
      </c>
      <c r="O148" s="8">
        <f>IF(P148="","",IFERROR(MATCH(P148,希望入力!$K$2:$K$401,0),""))</f>
        <v/>
      </c>
      <c r="P148" s="8">
        <f>IF(N148="","",INDEX(児童名簿!$F$2:$F$301,N148))</f>
        <v/>
      </c>
      <c r="Q148" s="8">
        <f>IF(I148="","",IFERROR(MATCH(I148,設定!$G$8:$G$27,0),""))</f>
        <v/>
      </c>
      <c r="R148" s="8">
        <f>IF(Q148="","",COUNTIF($Q$3:Q148,Q148))</f>
        <v/>
      </c>
      <c r="S148" s="8">
        <f>IF(Q148="","",Q148*1000+R148)</f>
        <v/>
      </c>
    </row>
    <row r="149">
      <c r="A149" s="23">
        <f>IF(N149="","",IFERROR(INDEX(設定!$C$8:$C$23,INT(INDEX(児童名簿!$G$2:$G$301,N149)/1000)),M149&amp;INDEX(児童名簿!$B$2:$B$301,N149)))</f>
        <v/>
      </c>
      <c r="B149" s="23">
        <f>IF(N149="","",INDEX(児童名簿!$C$2:$C$301,N149))</f>
        <v/>
      </c>
      <c r="C149" s="3">
        <f>IF(N149="","",INDEX(児童名簿!$D$2:$D$301,N149))</f>
        <v/>
      </c>
      <c r="D149" s="23">
        <f>IF(O149="","",INDEX(希望入力!$D$2:$D$401,O149)&amp;"")</f>
        <v/>
      </c>
      <c r="E149" s="23">
        <f>IF(O149="","",INDEX(希望入力!$E$2:$E$401,O149)&amp;"")</f>
        <v/>
      </c>
      <c r="F149" s="23">
        <f>IF(O149="","",INDEX(希望入力!$F$2:$F$401,O149)&amp;"")</f>
        <v/>
      </c>
      <c r="G149" s="23">
        <f>IF(O149="","",IF(D149="","要調整",IFERROR(IF(COUNTIFS($M$3:$M$302,M149,$D$3:$D$302,D149)&lt;=INDEX(設定!$H$8:$I$27,MATCH(D149,設定!$G$8:$G$27,0),IF($M149=設定!$H$6&amp;"",1,2)),D149,"要調整"),"要調整")))</f>
        <v/>
      </c>
      <c r="H149" s="15" t="n"/>
      <c r="I149" s="24">
        <f>IF(N149="","",IF(H149&lt;&gt;"",H149,IF(OR(G149="",G149="要調整"),"",G149)))</f>
        <v/>
      </c>
      <c r="J149" s="23">
        <f>IF(N149="","",IF(I149&lt;&gt;"","決定",IF(O149="","未提出","要調整")))</f>
        <v/>
      </c>
      <c r="K149" s="23">
        <f>IF(OR(J149&lt;&gt;"要調整",E149=""),"",IFERROR(INDEX(設定!$H$8:$I$27,MATCH(E149,設定!$G$8:$G$27,0),IF($M149=設定!$H$6&amp;"",1,2))-COUNTIFS($M$3:$M$302,M149,$I$3:$I$302,E149),""))</f>
        <v/>
      </c>
      <c r="L149" s="23">
        <f>IF(OR(J149&lt;&gt;"要調整",F149=""),"",IFERROR(INDEX(設定!$H$8:$I$27,MATCH(F149,設定!$G$8:$G$27,0),IF($M149=設定!$H$6&amp;"",1,2))-COUNTIFS($M$3:$M$302,M149,$I$3:$I$302,F149),""))</f>
        <v/>
      </c>
      <c r="M149" s="8">
        <f>IF(N149="","",INDEX(児童名簿!$A$2:$A$301,N149)&amp;"")</f>
        <v/>
      </c>
      <c r="N149" s="8">
        <f>IFERROR(MATCH(SMALL(児童名簿!$G$2:$G$301,147),児童名簿!$G$2:$G$301,0),"")</f>
        <v/>
      </c>
      <c r="O149" s="8">
        <f>IF(P149="","",IFERROR(MATCH(P149,希望入力!$K$2:$K$401,0),""))</f>
        <v/>
      </c>
      <c r="P149" s="8">
        <f>IF(N149="","",INDEX(児童名簿!$F$2:$F$301,N149))</f>
        <v/>
      </c>
      <c r="Q149" s="8">
        <f>IF(I149="","",IFERROR(MATCH(I149,設定!$G$8:$G$27,0),""))</f>
        <v/>
      </c>
      <c r="R149" s="8">
        <f>IF(Q149="","",COUNTIF($Q$3:Q149,Q149))</f>
        <v/>
      </c>
      <c r="S149" s="8">
        <f>IF(Q149="","",Q149*1000+R149)</f>
        <v/>
      </c>
    </row>
    <row r="150">
      <c r="A150" s="23">
        <f>IF(N150="","",IFERROR(INDEX(設定!$C$8:$C$23,INT(INDEX(児童名簿!$G$2:$G$301,N150)/1000)),M150&amp;INDEX(児童名簿!$B$2:$B$301,N150)))</f>
        <v/>
      </c>
      <c r="B150" s="23">
        <f>IF(N150="","",INDEX(児童名簿!$C$2:$C$301,N150))</f>
        <v/>
      </c>
      <c r="C150" s="3">
        <f>IF(N150="","",INDEX(児童名簿!$D$2:$D$301,N150))</f>
        <v/>
      </c>
      <c r="D150" s="23">
        <f>IF(O150="","",INDEX(希望入力!$D$2:$D$401,O150)&amp;"")</f>
        <v/>
      </c>
      <c r="E150" s="23">
        <f>IF(O150="","",INDEX(希望入力!$E$2:$E$401,O150)&amp;"")</f>
        <v/>
      </c>
      <c r="F150" s="23">
        <f>IF(O150="","",INDEX(希望入力!$F$2:$F$401,O150)&amp;"")</f>
        <v/>
      </c>
      <c r="G150" s="23">
        <f>IF(O150="","",IF(D150="","要調整",IFERROR(IF(COUNTIFS($M$3:$M$302,M150,$D$3:$D$302,D150)&lt;=INDEX(設定!$H$8:$I$27,MATCH(D150,設定!$G$8:$G$27,0),IF($M150=設定!$H$6&amp;"",1,2)),D150,"要調整"),"要調整")))</f>
        <v/>
      </c>
      <c r="H150" s="15" t="n"/>
      <c r="I150" s="24">
        <f>IF(N150="","",IF(H150&lt;&gt;"",H150,IF(OR(G150="",G150="要調整"),"",G150)))</f>
        <v/>
      </c>
      <c r="J150" s="23">
        <f>IF(N150="","",IF(I150&lt;&gt;"","決定",IF(O150="","未提出","要調整")))</f>
        <v/>
      </c>
      <c r="K150" s="23">
        <f>IF(OR(J150&lt;&gt;"要調整",E150=""),"",IFERROR(INDEX(設定!$H$8:$I$27,MATCH(E150,設定!$G$8:$G$27,0),IF($M150=設定!$H$6&amp;"",1,2))-COUNTIFS($M$3:$M$302,M150,$I$3:$I$302,E150),""))</f>
        <v/>
      </c>
      <c r="L150" s="23">
        <f>IF(OR(J150&lt;&gt;"要調整",F150=""),"",IFERROR(INDEX(設定!$H$8:$I$27,MATCH(F150,設定!$G$8:$G$27,0),IF($M150=設定!$H$6&amp;"",1,2))-COUNTIFS($M$3:$M$302,M150,$I$3:$I$302,F150),""))</f>
        <v/>
      </c>
      <c r="M150" s="8">
        <f>IF(N150="","",INDEX(児童名簿!$A$2:$A$301,N150)&amp;"")</f>
        <v/>
      </c>
      <c r="N150" s="8">
        <f>IFERROR(MATCH(SMALL(児童名簿!$G$2:$G$301,148),児童名簿!$G$2:$G$301,0),"")</f>
        <v/>
      </c>
      <c r="O150" s="8">
        <f>IF(P150="","",IFERROR(MATCH(P150,希望入力!$K$2:$K$401,0),""))</f>
        <v/>
      </c>
      <c r="P150" s="8">
        <f>IF(N150="","",INDEX(児童名簿!$F$2:$F$301,N150))</f>
        <v/>
      </c>
      <c r="Q150" s="8">
        <f>IF(I150="","",IFERROR(MATCH(I150,設定!$G$8:$G$27,0),""))</f>
        <v/>
      </c>
      <c r="R150" s="8">
        <f>IF(Q150="","",COUNTIF($Q$3:Q150,Q150))</f>
        <v/>
      </c>
      <c r="S150" s="8">
        <f>IF(Q150="","",Q150*1000+R150)</f>
        <v/>
      </c>
    </row>
    <row r="151">
      <c r="A151" s="23">
        <f>IF(N151="","",IFERROR(INDEX(設定!$C$8:$C$23,INT(INDEX(児童名簿!$G$2:$G$301,N151)/1000)),M151&amp;INDEX(児童名簿!$B$2:$B$301,N151)))</f>
        <v/>
      </c>
      <c r="B151" s="23">
        <f>IF(N151="","",INDEX(児童名簿!$C$2:$C$301,N151))</f>
        <v/>
      </c>
      <c r="C151" s="3">
        <f>IF(N151="","",INDEX(児童名簿!$D$2:$D$301,N151))</f>
        <v/>
      </c>
      <c r="D151" s="23">
        <f>IF(O151="","",INDEX(希望入力!$D$2:$D$401,O151)&amp;"")</f>
        <v/>
      </c>
      <c r="E151" s="23">
        <f>IF(O151="","",INDEX(希望入力!$E$2:$E$401,O151)&amp;"")</f>
        <v/>
      </c>
      <c r="F151" s="23">
        <f>IF(O151="","",INDEX(希望入力!$F$2:$F$401,O151)&amp;"")</f>
        <v/>
      </c>
      <c r="G151" s="23">
        <f>IF(O151="","",IF(D151="","要調整",IFERROR(IF(COUNTIFS($M$3:$M$302,M151,$D$3:$D$302,D151)&lt;=INDEX(設定!$H$8:$I$27,MATCH(D151,設定!$G$8:$G$27,0),IF($M151=設定!$H$6&amp;"",1,2)),D151,"要調整"),"要調整")))</f>
        <v/>
      </c>
      <c r="H151" s="15" t="n"/>
      <c r="I151" s="24">
        <f>IF(N151="","",IF(H151&lt;&gt;"",H151,IF(OR(G151="",G151="要調整"),"",G151)))</f>
        <v/>
      </c>
      <c r="J151" s="23">
        <f>IF(N151="","",IF(I151&lt;&gt;"","決定",IF(O151="","未提出","要調整")))</f>
        <v/>
      </c>
      <c r="K151" s="23">
        <f>IF(OR(J151&lt;&gt;"要調整",E151=""),"",IFERROR(INDEX(設定!$H$8:$I$27,MATCH(E151,設定!$G$8:$G$27,0),IF($M151=設定!$H$6&amp;"",1,2))-COUNTIFS($M$3:$M$302,M151,$I$3:$I$302,E151),""))</f>
        <v/>
      </c>
      <c r="L151" s="23">
        <f>IF(OR(J151&lt;&gt;"要調整",F151=""),"",IFERROR(INDEX(設定!$H$8:$I$27,MATCH(F151,設定!$G$8:$G$27,0),IF($M151=設定!$H$6&amp;"",1,2))-COUNTIFS($M$3:$M$302,M151,$I$3:$I$302,F151),""))</f>
        <v/>
      </c>
      <c r="M151" s="8">
        <f>IF(N151="","",INDEX(児童名簿!$A$2:$A$301,N151)&amp;"")</f>
        <v/>
      </c>
      <c r="N151" s="8">
        <f>IFERROR(MATCH(SMALL(児童名簿!$G$2:$G$301,149),児童名簿!$G$2:$G$301,0),"")</f>
        <v/>
      </c>
      <c r="O151" s="8">
        <f>IF(P151="","",IFERROR(MATCH(P151,希望入力!$K$2:$K$401,0),""))</f>
        <v/>
      </c>
      <c r="P151" s="8">
        <f>IF(N151="","",INDEX(児童名簿!$F$2:$F$301,N151))</f>
        <v/>
      </c>
      <c r="Q151" s="8">
        <f>IF(I151="","",IFERROR(MATCH(I151,設定!$G$8:$G$27,0),""))</f>
        <v/>
      </c>
      <c r="R151" s="8">
        <f>IF(Q151="","",COUNTIF($Q$3:Q151,Q151))</f>
        <v/>
      </c>
      <c r="S151" s="8">
        <f>IF(Q151="","",Q151*1000+R151)</f>
        <v/>
      </c>
    </row>
    <row r="152">
      <c r="A152" s="23">
        <f>IF(N152="","",IFERROR(INDEX(設定!$C$8:$C$23,INT(INDEX(児童名簿!$G$2:$G$301,N152)/1000)),M152&amp;INDEX(児童名簿!$B$2:$B$301,N152)))</f>
        <v/>
      </c>
      <c r="B152" s="23">
        <f>IF(N152="","",INDEX(児童名簿!$C$2:$C$301,N152))</f>
        <v/>
      </c>
      <c r="C152" s="3">
        <f>IF(N152="","",INDEX(児童名簿!$D$2:$D$301,N152))</f>
        <v/>
      </c>
      <c r="D152" s="23">
        <f>IF(O152="","",INDEX(希望入力!$D$2:$D$401,O152)&amp;"")</f>
        <v/>
      </c>
      <c r="E152" s="23">
        <f>IF(O152="","",INDEX(希望入力!$E$2:$E$401,O152)&amp;"")</f>
        <v/>
      </c>
      <c r="F152" s="23">
        <f>IF(O152="","",INDEX(希望入力!$F$2:$F$401,O152)&amp;"")</f>
        <v/>
      </c>
      <c r="G152" s="23">
        <f>IF(O152="","",IF(D152="","要調整",IFERROR(IF(COUNTIFS($M$3:$M$302,M152,$D$3:$D$302,D152)&lt;=INDEX(設定!$H$8:$I$27,MATCH(D152,設定!$G$8:$G$27,0),IF($M152=設定!$H$6&amp;"",1,2)),D152,"要調整"),"要調整")))</f>
        <v/>
      </c>
      <c r="H152" s="15" t="n"/>
      <c r="I152" s="24">
        <f>IF(N152="","",IF(H152&lt;&gt;"",H152,IF(OR(G152="",G152="要調整"),"",G152)))</f>
        <v/>
      </c>
      <c r="J152" s="23">
        <f>IF(N152="","",IF(I152&lt;&gt;"","決定",IF(O152="","未提出","要調整")))</f>
        <v/>
      </c>
      <c r="K152" s="23">
        <f>IF(OR(J152&lt;&gt;"要調整",E152=""),"",IFERROR(INDEX(設定!$H$8:$I$27,MATCH(E152,設定!$G$8:$G$27,0),IF($M152=設定!$H$6&amp;"",1,2))-COUNTIFS($M$3:$M$302,M152,$I$3:$I$302,E152),""))</f>
        <v/>
      </c>
      <c r="L152" s="23">
        <f>IF(OR(J152&lt;&gt;"要調整",F152=""),"",IFERROR(INDEX(設定!$H$8:$I$27,MATCH(F152,設定!$G$8:$G$27,0),IF($M152=設定!$H$6&amp;"",1,2))-COUNTIFS($M$3:$M$302,M152,$I$3:$I$302,F152),""))</f>
        <v/>
      </c>
      <c r="M152" s="8">
        <f>IF(N152="","",INDEX(児童名簿!$A$2:$A$301,N152)&amp;"")</f>
        <v/>
      </c>
      <c r="N152" s="8">
        <f>IFERROR(MATCH(SMALL(児童名簿!$G$2:$G$301,150),児童名簿!$G$2:$G$301,0),"")</f>
        <v/>
      </c>
      <c r="O152" s="8">
        <f>IF(P152="","",IFERROR(MATCH(P152,希望入力!$K$2:$K$401,0),""))</f>
        <v/>
      </c>
      <c r="P152" s="8">
        <f>IF(N152="","",INDEX(児童名簿!$F$2:$F$301,N152))</f>
        <v/>
      </c>
      <c r="Q152" s="8">
        <f>IF(I152="","",IFERROR(MATCH(I152,設定!$G$8:$G$27,0),""))</f>
        <v/>
      </c>
      <c r="R152" s="8">
        <f>IF(Q152="","",COUNTIF($Q$3:Q152,Q152))</f>
        <v/>
      </c>
      <c r="S152" s="8">
        <f>IF(Q152="","",Q152*1000+R152)</f>
        <v/>
      </c>
    </row>
    <row r="153">
      <c r="A153" s="23">
        <f>IF(N153="","",IFERROR(INDEX(設定!$C$8:$C$23,INT(INDEX(児童名簿!$G$2:$G$301,N153)/1000)),M153&amp;INDEX(児童名簿!$B$2:$B$301,N153)))</f>
        <v/>
      </c>
      <c r="B153" s="23">
        <f>IF(N153="","",INDEX(児童名簿!$C$2:$C$301,N153))</f>
        <v/>
      </c>
      <c r="C153" s="3">
        <f>IF(N153="","",INDEX(児童名簿!$D$2:$D$301,N153))</f>
        <v/>
      </c>
      <c r="D153" s="23">
        <f>IF(O153="","",INDEX(希望入力!$D$2:$D$401,O153)&amp;"")</f>
        <v/>
      </c>
      <c r="E153" s="23">
        <f>IF(O153="","",INDEX(希望入力!$E$2:$E$401,O153)&amp;"")</f>
        <v/>
      </c>
      <c r="F153" s="23">
        <f>IF(O153="","",INDEX(希望入力!$F$2:$F$401,O153)&amp;"")</f>
        <v/>
      </c>
      <c r="G153" s="23">
        <f>IF(O153="","",IF(D153="","要調整",IFERROR(IF(COUNTIFS($M$3:$M$302,M153,$D$3:$D$302,D153)&lt;=INDEX(設定!$H$8:$I$27,MATCH(D153,設定!$G$8:$G$27,0),IF($M153=設定!$H$6&amp;"",1,2)),D153,"要調整"),"要調整")))</f>
        <v/>
      </c>
      <c r="H153" s="15" t="n"/>
      <c r="I153" s="24">
        <f>IF(N153="","",IF(H153&lt;&gt;"",H153,IF(OR(G153="",G153="要調整"),"",G153)))</f>
        <v/>
      </c>
      <c r="J153" s="23">
        <f>IF(N153="","",IF(I153&lt;&gt;"","決定",IF(O153="","未提出","要調整")))</f>
        <v/>
      </c>
      <c r="K153" s="23">
        <f>IF(OR(J153&lt;&gt;"要調整",E153=""),"",IFERROR(INDEX(設定!$H$8:$I$27,MATCH(E153,設定!$G$8:$G$27,0),IF($M153=設定!$H$6&amp;"",1,2))-COUNTIFS($M$3:$M$302,M153,$I$3:$I$302,E153),""))</f>
        <v/>
      </c>
      <c r="L153" s="23">
        <f>IF(OR(J153&lt;&gt;"要調整",F153=""),"",IFERROR(INDEX(設定!$H$8:$I$27,MATCH(F153,設定!$G$8:$G$27,0),IF($M153=設定!$H$6&amp;"",1,2))-COUNTIFS($M$3:$M$302,M153,$I$3:$I$302,F153),""))</f>
        <v/>
      </c>
      <c r="M153" s="8">
        <f>IF(N153="","",INDEX(児童名簿!$A$2:$A$301,N153)&amp;"")</f>
        <v/>
      </c>
      <c r="N153" s="8">
        <f>IFERROR(MATCH(SMALL(児童名簿!$G$2:$G$301,151),児童名簿!$G$2:$G$301,0),"")</f>
        <v/>
      </c>
      <c r="O153" s="8">
        <f>IF(P153="","",IFERROR(MATCH(P153,希望入力!$K$2:$K$401,0),""))</f>
        <v/>
      </c>
      <c r="P153" s="8">
        <f>IF(N153="","",INDEX(児童名簿!$F$2:$F$301,N153))</f>
        <v/>
      </c>
      <c r="Q153" s="8">
        <f>IF(I153="","",IFERROR(MATCH(I153,設定!$G$8:$G$27,0),""))</f>
        <v/>
      </c>
      <c r="R153" s="8">
        <f>IF(Q153="","",COUNTIF($Q$3:Q153,Q153))</f>
        <v/>
      </c>
      <c r="S153" s="8">
        <f>IF(Q153="","",Q153*1000+R153)</f>
        <v/>
      </c>
    </row>
    <row r="154">
      <c r="A154" s="23">
        <f>IF(N154="","",IFERROR(INDEX(設定!$C$8:$C$23,INT(INDEX(児童名簿!$G$2:$G$301,N154)/1000)),M154&amp;INDEX(児童名簿!$B$2:$B$301,N154)))</f>
        <v/>
      </c>
      <c r="B154" s="23">
        <f>IF(N154="","",INDEX(児童名簿!$C$2:$C$301,N154))</f>
        <v/>
      </c>
      <c r="C154" s="3">
        <f>IF(N154="","",INDEX(児童名簿!$D$2:$D$301,N154))</f>
        <v/>
      </c>
      <c r="D154" s="23">
        <f>IF(O154="","",INDEX(希望入力!$D$2:$D$401,O154)&amp;"")</f>
        <v/>
      </c>
      <c r="E154" s="23">
        <f>IF(O154="","",INDEX(希望入力!$E$2:$E$401,O154)&amp;"")</f>
        <v/>
      </c>
      <c r="F154" s="23">
        <f>IF(O154="","",INDEX(希望入力!$F$2:$F$401,O154)&amp;"")</f>
        <v/>
      </c>
      <c r="G154" s="23">
        <f>IF(O154="","",IF(D154="","要調整",IFERROR(IF(COUNTIFS($M$3:$M$302,M154,$D$3:$D$302,D154)&lt;=INDEX(設定!$H$8:$I$27,MATCH(D154,設定!$G$8:$G$27,0),IF($M154=設定!$H$6&amp;"",1,2)),D154,"要調整"),"要調整")))</f>
        <v/>
      </c>
      <c r="H154" s="15" t="n"/>
      <c r="I154" s="24">
        <f>IF(N154="","",IF(H154&lt;&gt;"",H154,IF(OR(G154="",G154="要調整"),"",G154)))</f>
        <v/>
      </c>
      <c r="J154" s="23">
        <f>IF(N154="","",IF(I154&lt;&gt;"","決定",IF(O154="","未提出","要調整")))</f>
        <v/>
      </c>
      <c r="K154" s="23">
        <f>IF(OR(J154&lt;&gt;"要調整",E154=""),"",IFERROR(INDEX(設定!$H$8:$I$27,MATCH(E154,設定!$G$8:$G$27,0),IF($M154=設定!$H$6&amp;"",1,2))-COUNTIFS($M$3:$M$302,M154,$I$3:$I$302,E154),""))</f>
        <v/>
      </c>
      <c r="L154" s="23">
        <f>IF(OR(J154&lt;&gt;"要調整",F154=""),"",IFERROR(INDEX(設定!$H$8:$I$27,MATCH(F154,設定!$G$8:$G$27,0),IF($M154=設定!$H$6&amp;"",1,2))-COUNTIFS($M$3:$M$302,M154,$I$3:$I$302,F154),""))</f>
        <v/>
      </c>
      <c r="M154" s="8">
        <f>IF(N154="","",INDEX(児童名簿!$A$2:$A$301,N154)&amp;"")</f>
        <v/>
      </c>
      <c r="N154" s="8">
        <f>IFERROR(MATCH(SMALL(児童名簿!$G$2:$G$301,152),児童名簿!$G$2:$G$301,0),"")</f>
        <v/>
      </c>
      <c r="O154" s="8">
        <f>IF(P154="","",IFERROR(MATCH(P154,希望入力!$K$2:$K$401,0),""))</f>
        <v/>
      </c>
      <c r="P154" s="8">
        <f>IF(N154="","",INDEX(児童名簿!$F$2:$F$301,N154))</f>
        <v/>
      </c>
      <c r="Q154" s="8">
        <f>IF(I154="","",IFERROR(MATCH(I154,設定!$G$8:$G$27,0),""))</f>
        <v/>
      </c>
      <c r="R154" s="8">
        <f>IF(Q154="","",COUNTIF($Q$3:Q154,Q154))</f>
        <v/>
      </c>
      <c r="S154" s="8">
        <f>IF(Q154="","",Q154*1000+R154)</f>
        <v/>
      </c>
    </row>
    <row r="155">
      <c r="A155" s="23">
        <f>IF(N155="","",IFERROR(INDEX(設定!$C$8:$C$23,INT(INDEX(児童名簿!$G$2:$G$301,N155)/1000)),M155&amp;INDEX(児童名簿!$B$2:$B$301,N155)))</f>
        <v/>
      </c>
      <c r="B155" s="23">
        <f>IF(N155="","",INDEX(児童名簿!$C$2:$C$301,N155))</f>
        <v/>
      </c>
      <c r="C155" s="3">
        <f>IF(N155="","",INDEX(児童名簿!$D$2:$D$301,N155))</f>
        <v/>
      </c>
      <c r="D155" s="23">
        <f>IF(O155="","",INDEX(希望入力!$D$2:$D$401,O155)&amp;"")</f>
        <v/>
      </c>
      <c r="E155" s="23">
        <f>IF(O155="","",INDEX(希望入力!$E$2:$E$401,O155)&amp;"")</f>
        <v/>
      </c>
      <c r="F155" s="23">
        <f>IF(O155="","",INDEX(希望入力!$F$2:$F$401,O155)&amp;"")</f>
        <v/>
      </c>
      <c r="G155" s="23">
        <f>IF(O155="","",IF(D155="","要調整",IFERROR(IF(COUNTIFS($M$3:$M$302,M155,$D$3:$D$302,D155)&lt;=INDEX(設定!$H$8:$I$27,MATCH(D155,設定!$G$8:$G$27,0),IF($M155=設定!$H$6&amp;"",1,2)),D155,"要調整"),"要調整")))</f>
        <v/>
      </c>
      <c r="H155" s="15" t="n"/>
      <c r="I155" s="24">
        <f>IF(N155="","",IF(H155&lt;&gt;"",H155,IF(OR(G155="",G155="要調整"),"",G155)))</f>
        <v/>
      </c>
      <c r="J155" s="23">
        <f>IF(N155="","",IF(I155&lt;&gt;"","決定",IF(O155="","未提出","要調整")))</f>
        <v/>
      </c>
      <c r="K155" s="23">
        <f>IF(OR(J155&lt;&gt;"要調整",E155=""),"",IFERROR(INDEX(設定!$H$8:$I$27,MATCH(E155,設定!$G$8:$G$27,0),IF($M155=設定!$H$6&amp;"",1,2))-COUNTIFS($M$3:$M$302,M155,$I$3:$I$302,E155),""))</f>
        <v/>
      </c>
      <c r="L155" s="23">
        <f>IF(OR(J155&lt;&gt;"要調整",F155=""),"",IFERROR(INDEX(設定!$H$8:$I$27,MATCH(F155,設定!$G$8:$G$27,0),IF($M155=設定!$H$6&amp;"",1,2))-COUNTIFS($M$3:$M$302,M155,$I$3:$I$302,F155),""))</f>
        <v/>
      </c>
      <c r="M155" s="8">
        <f>IF(N155="","",INDEX(児童名簿!$A$2:$A$301,N155)&amp;"")</f>
        <v/>
      </c>
      <c r="N155" s="8">
        <f>IFERROR(MATCH(SMALL(児童名簿!$G$2:$G$301,153),児童名簿!$G$2:$G$301,0),"")</f>
        <v/>
      </c>
      <c r="O155" s="8">
        <f>IF(P155="","",IFERROR(MATCH(P155,希望入力!$K$2:$K$401,0),""))</f>
        <v/>
      </c>
      <c r="P155" s="8">
        <f>IF(N155="","",INDEX(児童名簿!$F$2:$F$301,N155))</f>
        <v/>
      </c>
      <c r="Q155" s="8">
        <f>IF(I155="","",IFERROR(MATCH(I155,設定!$G$8:$G$27,0),""))</f>
        <v/>
      </c>
      <c r="R155" s="8">
        <f>IF(Q155="","",COUNTIF($Q$3:Q155,Q155))</f>
        <v/>
      </c>
      <c r="S155" s="8">
        <f>IF(Q155="","",Q155*1000+R155)</f>
        <v/>
      </c>
    </row>
    <row r="156">
      <c r="A156" s="23">
        <f>IF(N156="","",IFERROR(INDEX(設定!$C$8:$C$23,INT(INDEX(児童名簿!$G$2:$G$301,N156)/1000)),M156&amp;INDEX(児童名簿!$B$2:$B$301,N156)))</f>
        <v/>
      </c>
      <c r="B156" s="23">
        <f>IF(N156="","",INDEX(児童名簿!$C$2:$C$301,N156))</f>
        <v/>
      </c>
      <c r="C156" s="3">
        <f>IF(N156="","",INDEX(児童名簿!$D$2:$D$301,N156))</f>
        <v/>
      </c>
      <c r="D156" s="23">
        <f>IF(O156="","",INDEX(希望入力!$D$2:$D$401,O156)&amp;"")</f>
        <v/>
      </c>
      <c r="E156" s="23">
        <f>IF(O156="","",INDEX(希望入力!$E$2:$E$401,O156)&amp;"")</f>
        <v/>
      </c>
      <c r="F156" s="23">
        <f>IF(O156="","",INDEX(希望入力!$F$2:$F$401,O156)&amp;"")</f>
        <v/>
      </c>
      <c r="G156" s="23">
        <f>IF(O156="","",IF(D156="","要調整",IFERROR(IF(COUNTIFS($M$3:$M$302,M156,$D$3:$D$302,D156)&lt;=INDEX(設定!$H$8:$I$27,MATCH(D156,設定!$G$8:$G$27,0),IF($M156=設定!$H$6&amp;"",1,2)),D156,"要調整"),"要調整")))</f>
        <v/>
      </c>
      <c r="H156" s="15" t="n"/>
      <c r="I156" s="24">
        <f>IF(N156="","",IF(H156&lt;&gt;"",H156,IF(OR(G156="",G156="要調整"),"",G156)))</f>
        <v/>
      </c>
      <c r="J156" s="23">
        <f>IF(N156="","",IF(I156&lt;&gt;"","決定",IF(O156="","未提出","要調整")))</f>
        <v/>
      </c>
      <c r="K156" s="23">
        <f>IF(OR(J156&lt;&gt;"要調整",E156=""),"",IFERROR(INDEX(設定!$H$8:$I$27,MATCH(E156,設定!$G$8:$G$27,0),IF($M156=設定!$H$6&amp;"",1,2))-COUNTIFS($M$3:$M$302,M156,$I$3:$I$302,E156),""))</f>
        <v/>
      </c>
      <c r="L156" s="23">
        <f>IF(OR(J156&lt;&gt;"要調整",F156=""),"",IFERROR(INDEX(設定!$H$8:$I$27,MATCH(F156,設定!$G$8:$G$27,0),IF($M156=設定!$H$6&amp;"",1,2))-COUNTIFS($M$3:$M$302,M156,$I$3:$I$302,F156),""))</f>
        <v/>
      </c>
      <c r="M156" s="8">
        <f>IF(N156="","",INDEX(児童名簿!$A$2:$A$301,N156)&amp;"")</f>
        <v/>
      </c>
      <c r="N156" s="8">
        <f>IFERROR(MATCH(SMALL(児童名簿!$G$2:$G$301,154),児童名簿!$G$2:$G$301,0),"")</f>
        <v/>
      </c>
      <c r="O156" s="8">
        <f>IF(P156="","",IFERROR(MATCH(P156,希望入力!$K$2:$K$401,0),""))</f>
        <v/>
      </c>
      <c r="P156" s="8">
        <f>IF(N156="","",INDEX(児童名簿!$F$2:$F$301,N156))</f>
        <v/>
      </c>
      <c r="Q156" s="8">
        <f>IF(I156="","",IFERROR(MATCH(I156,設定!$G$8:$G$27,0),""))</f>
        <v/>
      </c>
      <c r="R156" s="8">
        <f>IF(Q156="","",COUNTIF($Q$3:Q156,Q156))</f>
        <v/>
      </c>
      <c r="S156" s="8">
        <f>IF(Q156="","",Q156*1000+R156)</f>
        <v/>
      </c>
    </row>
    <row r="157">
      <c r="A157" s="23">
        <f>IF(N157="","",IFERROR(INDEX(設定!$C$8:$C$23,INT(INDEX(児童名簿!$G$2:$G$301,N157)/1000)),M157&amp;INDEX(児童名簿!$B$2:$B$301,N157)))</f>
        <v/>
      </c>
      <c r="B157" s="23">
        <f>IF(N157="","",INDEX(児童名簿!$C$2:$C$301,N157))</f>
        <v/>
      </c>
      <c r="C157" s="3">
        <f>IF(N157="","",INDEX(児童名簿!$D$2:$D$301,N157))</f>
        <v/>
      </c>
      <c r="D157" s="23">
        <f>IF(O157="","",INDEX(希望入力!$D$2:$D$401,O157)&amp;"")</f>
        <v/>
      </c>
      <c r="E157" s="23">
        <f>IF(O157="","",INDEX(希望入力!$E$2:$E$401,O157)&amp;"")</f>
        <v/>
      </c>
      <c r="F157" s="23">
        <f>IF(O157="","",INDEX(希望入力!$F$2:$F$401,O157)&amp;"")</f>
        <v/>
      </c>
      <c r="G157" s="23">
        <f>IF(O157="","",IF(D157="","要調整",IFERROR(IF(COUNTIFS($M$3:$M$302,M157,$D$3:$D$302,D157)&lt;=INDEX(設定!$H$8:$I$27,MATCH(D157,設定!$G$8:$G$27,0),IF($M157=設定!$H$6&amp;"",1,2)),D157,"要調整"),"要調整")))</f>
        <v/>
      </c>
      <c r="H157" s="15" t="n"/>
      <c r="I157" s="24">
        <f>IF(N157="","",IF(H157&lt;&gt;"",H157,IF(OR(G157="",G157="要調整"),"",G157)))</f>
        <v/>
      </c>
      <c r="J157" s="23">
        <f>IF(N157="","",IF(I157&lt;&gt;"","決定",IF(O157="","未提出","要調整")))</f>
        <v/>
      </c>
      <c r="K157" s="23">
        <f>IF(OR(J157&lt;&gt;"要調整",E157=""),"",IFERROR(INDEX(設定!$H$8:$I$27,MATCH(E157,設定!$G$8:$G$27,0),IF($M157=設定!$H$6&amp;"",1,2))-COUNTIFS($M$3:$M$302,M157,$I$3:$I$302,E157),""))</f>
        <v/>
      </c>
      <c r="L157" s="23">
        <f>IF(OR(J157&lt;&gt;"要調整",F157=""),"",IFERROR(INDEX(設定!$H$8:$I$27,MATCH(F157,設定!$G$8:$G$27,0),IF($M157=設定!$H$6&amp;"",1,2))-COUNTIFS($M$3:$M$302,M157,$I$3:$I$302,F157),""))</f>
        <v/>
      </c>
      <c r="M157" s="8">
        <f>IF(N157="","",INDEX(児童名簿!$A$2:$A$301,N157)&amp;"")</f>
        <v/>
      </c>
      <c r="N157" s="8">
        <f>IFERROR(MATCH(SMALL(児童名簿!$G$2:$G$301,155),児童名簿!$G$2:$G$301,0),"")</f>
        <v/>
      </c>
      <c r="O157" s="8">
        <f>IF(P157="","",IFERROR(MATCH(P157,希望入力!$K$2:$K$401,0),""))</f>
        <v/>
      </c>
      <c r="P157" s="8">
        <f>IF(N157="","",INDEX(児童名簿!$F$2:$F$301,N157))</f>
        <v/>
      </c>
      <c r="Q157" s="8">
        <f>IF(I157="","",IFERROR(MATCH(I157,設定!$G$8:$G$27,0),""))</f>
        <v/>
      </c>
      <c r="R157" s="8">
        <f>IF(Q157="","",COUNTIF($Q$3:Q157,Q157))</f>
        <v/>
      </c>
      <c r="S157" s="8">
        <f>IF(Q157="","",Q157*1000+R157)</f>
        <v/>
      </c>
    </row>
    <row r="158">
      <c r="A158" s="23">
        <f>IF(N158="","",IFERROR(INDEX(設定!$C$8:$C$23,INT(INDEX(児童名簿!$G$2:$G$301,N158)/1000)),M158&amp;INDEX(児童名簿!$B$2:$B$301,N158)))</f>
        <v/>
      </c>
      <c r="B158" s="23">
        <f>IF(N158="","",INDEX(児童名簿!$C$2:$C$301,N158))</f>
        <v/>
      </c>
      <c r="C158" s="3">
        <f>IF(N158="","",INDEX(児童名簿!$D$2:$D$301,N158))</f>
        <v/>
      </c>
      <c r="D158" s="23">
        <f>IF(O158="","",INDEX(希望入力!$D$2:$D$401,O158)&amp;"")</f>
        <v/>
      </c>
      <c r="E158" s="23">
        <f>IF(O158="","",INDEX(希望入力!$E$2:$E$401,O158)&amp;"")</f>
        <v/>
      </c>
      <c r="F158" s="23">
        <f>IF(O158="","",INDEX(希望入力!$F$2:$F$401,O158)&amp;"")</f>
        <v/>
      </c>
      <c r="G158" s="23">
        <f>IF(O158="","",IF(D158="","要調整",IFERROR(IF(COUNTIFS($M$3:$M$302,M158,$D$3:$D$302,D158)&lt;=INDEX(設定!$H$8:$I$27,MATCH(D158,設定!$G$8:$G$27,0),IF($M158=設定!$H$6&amp;"",1,2)),D158,"要調整"),"要調整")))</f>
        <v/>
      </c>
      <c r="H158" s="15" t="n"/>
      <c r="I158" s="24">
        <f>IF(N158="","",IF(H158&lt;&gt;"",H158,IF(OR(G158="",G158="要調整"),"",G158)))</f>
        <v/>
      </c>
      <c r="J158" s="23">
        <f>IF(N158="","",IF(I158&lt;&gt;"","決定",IF(O158="","未提出","要調整")))</f>
        <v/>
      </c>
      <c r="K158" s="23">
        <f>IF(OR(J158&lt;&gt;"要調整",E158=""),"",IFERROR(INDEX(設定!$H$8:$I$27,MATCH(E158,設定!$G$8:$G$27,0),IF($M158=設定!$H$6&amp;"",1,2))-COUNTIFS($M$3:$M$302,M158,$I$3:$I$302,E158),""))</f>
        <v/>
      </c>
      <c r="L158" s="23">
        <f>IF(OR(J158&lt;&gt;"要調整",F158=""),"",IFERROR(INDEX(設定!$H$8:$I$27,MATCH(F158,設定!$G$8:$G$27,0),IF($M158=設定!$H$6&amp;"",1,2))-COUNTIFS($M$3:$M$302,M158,$I$3:$I$302,F158),""))</f>
        <v/>
      </c>
      <c r="M158" s="8">
        <f>IF(N158="","",INDEX(児童名簿!$A$2:$A$301,N158)&amp;"")</f>
        <v/>
      </c>
      <c r="N158" s="8">
        <f>IFERROR(MATCH(SMALL(児童名簿!$G$2:$G$301,156),児童名簿!$G$2:$G$301,0),"")</f>
        <v/>
      </c>
      <c r="O158" s="8">
        <f>IF(P158="","",IFERROR(MATCH(P158,希望入力!$K$2:$K$401,0),""))</f>
        <v/>
      </c>
      <c r="P158" s="8">
        <f>IF(N158="","",INDEX(児童名簿!$F$2:$F$301,N158))</f>
        <v/>
      </c>
      <c r="Q158" s="8">
        <f>IF(I158="","",IFERROR(MATCH(I158,設定!$G$8:$G$27,0),""))</f>
        <v/>
      </c>
      <c r="R158" s="8">
        <f>IF(Q158="","",COUNTIF($Q$3:Q158,Q158))</f>
        <v/>
      </c>
      <c r="S158" s="8">
        <f>IF(Q158="","",Q158*1000+R158)</f>
        <v/>
      </c>
    </row>
    <row r="159">
      <c r="A159" s="23">
        <f>IF(N159="","",IFERROR(INDEX(設定!$C$8:$C$23,INT(INDEX(児童名簿!$G$2:$G$301,N159)/1000)),M159&amp;INDEX(児童名簿!$B$2:$B$301,N159)))</f>
        <v/>
      </c>
      <c r="B159" s="23">
        <f>IF(N159="","",INDEX(児童名簿!$C$2:$C$301,N159))</f>
        <v/>
      </c>
      <c r="C159" s="3">
        <f>IF(N159="","",INDEX(児童名簿!$D$2:$D$301,N159))</f>
        <v/>
      </c>
      <c r="D159" s="23">
        <f>IF(O159="","",INDEX(希望入力!$D$2:$D$401,O159)&amp;"")</f>
        <v/>
      </c>
      <c r="E159" s="23">
        <f>IF(O159="","",INDEX(希望入力!$E$2:$E$401,O159)&amp;"")</f>
        <v/>
      </c>
      <c r="F159" s="23">
        <f>IF(O159="","",INDEX(希望入力!$F$2:$F$401,O159)&amp;"")</f>
        <v/>
      </c>
      <c r="G159" s="23">
        <f>IF(O159="","",IF(D159="","要調整",IFERROR(IF(COUNTIFS($M$3:$M$302,M159,$D$3:$D$302,D159)&lt;=INDEX(設定!$H$8:$I$27,MATCH(D159,設定!$G$8:$G$27,0),IF($M159=設定!$H$6&amp;"",1,2)),D159,"要調整"),"要調整")))</f>
        <v/>
      </c>
      <c r="H159" s="15" t="n"/>
      <c r="I159" s="24">
        <f>IF(N159="","",IF(H159&lt;&gt;"",H159,IF(OR(G159="",G159="要調整"),"",G159)))</f>
        <v/>
      </c>
      <c r="J159" s="23">
        <f>IF(N159="","",IF(I159&lt;&gt;"","決定",IF(O159="","未提出","要調整")))</f>
        <v/>
      </c>
      <c r="K159" s="23">
        <f>IF(OR(J159&lt;&gt;"要調整",E159=""),"",IFERROR(INDEX(設定!$H$8:$I$27,MATCH(E159,設定!$G$8:$G$27,0),IF($M159=設定!$H$6&amp;"",1,2))-COUNTIFS($M$3:$M$302,M159,$I$3:$I$302,E159),""))</f>
        <v/>
      </c>
      <c r="L159" s="23">
        <f>IF(OR(J159&lt;&gt;"要調整",F159=""),"",IFERROR(INDEX(設定!$H$8:$I$27,MATCH(F159,設定!$G$8:$G$27,0),IF($M159=設定!$H$6&amp;"",1,2))-COUNTIFS($M$3:$M$302,M159,$I$3:$I$302,F159),""))</f>
        <v/>
      </c>
      <c r="M159" s="8">
        <f>IF(N159="","",INDEX(児童名簿!$A$2:$A$301,N159)&amp;"")</f>
        <v/>
      </c>
      <c r="N159" s="8">
        <f>IFERROR(MATCH(SMALL(児童名簿!$G$2:$G$301,157),児童名簿!$G$2:$G$301,0),"")</f>
        <v/>
      </c>
      <c r="O159" s="8">
        <f>IF(P159="","",IFERROR(MATCH(P159,希望入力!$K$2:$K$401,0),""))</f>
        <v/>
      </c>
      <c r="P159" s="8">
        <f>IF(N159="","",INDEX(児童名簿!$F$2:$F$301,N159))</f>
        <v/>
      </c>
      <c r="Q159" s="8">
        <f>IF(I159="","",IFERROR(MATCH(I159,設定!$G$8:$G$27,0),""))</f>
        <v/>
      </c>
      <c r="R159" s="8">
        <f>IF(Q159="","",COUNTIF($Q$3:Q159,Q159))</f>
        <v/>
      </c>
      <c r="S159" s="8">
        <f>IF(Q159="","",Q159*1000+R159)</f>
        <v/>
      </c>
    </row>
    <row r="160">
      <c r="A160" s="23">
        <f>IF(N160="","",IFERROR(INDEX(設定!$C$8:$C$23,INT(INDEX(児童名簿!$G$2:$G$301,N160)/1000)),M160&amp;INDEX(児童名簿!$B$2:$B$301,N160)))</f>
        <v/>
      </c>
      <c r="B160" s="23">
        <f>IF(N160="","",INDEX(児童名簿!$C$2:$C$301,N160))</f>
        <v/>
      </c>
      <c r="C160" s="3">
        <f>IF(N160="","",INDEX(児童名簿!$D$2:$D$301,N160))</f>
        <v/>
      </c>
      <c r="D160" s="23">
        <f>IF(O160="","",INDEX(希望入力!$D$2:$D$401,O160)&amp;"")</f>
        <v/>
      </c>
      <c r="E160" s="23">
        <f>IF(O160="","",INDEX(希望入力!$E$2:$E$401,O160)&amp;"")</f>
        <v/>
      </c>
      <c r="F160" s="23">
        <f>IF(O160="","",INDEX(希望入力!$F$2:$F$401,O160)&amp;"")</f>
        <v/>
      </c>
      <c r="G160" s="23">
        <f>IF(O160="","",IF(D160="","要調整",IFERROR(IF(COUNTIFS($M$3:$M$302,M160,$D$3:$D$302,D160)&lt;=INDEX(設定!$H$8:$I$27,MATCH(D160,設定!$G$8:$G$27,0),IF($M160=設定!$H$6&amp;"",1,2)),D160,"要調整"),"要調整")))</f>
        <v/>
      </c>
      <c r="H160" s="15" t="n"/>
      <c r="I160" s="24">
        <f>IF(N160="","",IF(H160&lt;&gt;"",H160,IF(OR(G160="",G160="要調整"),"",G160)))</f>
        <v/>
      </c>
      <c r="J160" s="23">
        <f>IF(N160="","",IF(I160&lt;&gt;"","決定",IF(O160="","未提出","要調整")))</f>
        <v/>
      </c>
      <c r="K160" s="23">
        <f>IF(OR(J160&lt;&gt;"要調整",E160=""),"",IFERROR(INDEX(設定!$H$8:$I$27,MATCH(E160,設定!$G$8:$G$27,0),IF($M160=設定!$H$6&amp;"",1,2))-COUNTIFS($M$3:$M$302,M160,$I$3:$I$302,E160),""))</f>
        <v/>
      </c>
      <c r="L160" s="23">
        <f>IF(OR(J160&lt;&gt;"要調整",F160=""),"",IFERROR(INDEX(設定!$H$8:$I$27,MATCH(F160,設定!$G$8:$G$27,0),IF($M160=設定!$H$6&amp;"",1,2))-COUNTIFS($M$3:$M$302,M160,$I$3:$I$302,F160),""))</f>
        <v/>
      </c>
      <c r="M160" s="8">
        <f>IF(N160="","",INDEX(児童名簿!$A$2:$A$301,N160)&amp;"")</f>
        <v/>
      </c>
      <c r="N160" s="8">
        <f>IFERROR(MATCH(SMALL(児童名簿!$G$2:$G$301,158),児童名簿!$G$2:$G$301,0),"")</f>
        <v/>
      </c>
      <c r="O160" s="8">
        <f>IF(P160="","",IFERROR(MATCH(P160,希望入力!$K$2:$K$401,0),""))</f>
        <v/>
      </c>
      <c r="P160" s="8">
        <f>IF(N160="","",INDEX(児童名簿!$F$2:$F$301,N160))</f>
        <v/>
      </c>
      <c r="Q160" s="8">
        <f>IF(I160="","",IFERROR(MATCH(I160,設定!$G$8:$G$27,0),""))</f>
        <v/>
      </c>
      <c r="R160" s="8">
        <f>IF(Q160="","",COUNTIF($Q$3:Q160,Q160))</f>
        <v/>
      </c>
      <c r="S160" s="8">
        <f>IF(Q160="","",Q160*1000+R160)</f>
        <v/>
      </c>
    </row>
    <row r="161">
      <c r="A161" s="23">
        <f>IF(N161="","",IFERROR(INDEX(設定!$C$8:$C$23,INT(INDEX(児童名簿!$G$2:$G$301,N161)/1000)),M161&amp;INDEX(児童名簿!$B$2:$B$301,N161)))</f>
        <v/>
      </c>
      <c r="B161" s="23">
        <f>IF(N161="","",INDEX(児童名簿!$C$2:$C$301,N161))</f>
        <v/>
      </c>
      <c r="C161" s="3">
        <f>IF(N161="","",INDEX(児童名簿!$D$2:$D$301,N161))</f>
        <v/>
      </c>
      <c r="D161" s="23">
        <f>IF(O161="","",INDEX(希望入力!$D$2:$D$401,O161)&amp;"")</f>
        <v/>
      </c>
      <c r="E161" s="23">
        <f>IF(O161="","",INDEX(希望入力!$E$2:$E$401,O161)&amp;"")</f>
        <v/>
      </c>
      <c r="F161" s="23">
        <f>IF(O161="","",INDEX(希望入力!$F$2:$F$401,O161)&amp;"")</f>
        <v/>
      </c>
      <c r="G161" s="23">
        <f>IF(O161="","",IF(D161="","要調整",IFERROR(IF(COUNTIFS($M$3:$M$302,M161,$D$3:$D$302,D161)&lt;=INDEX(設定!$H$8:$I$27,MATCH(D161,設定!$G$8:$G$27,0),IF($M161=設定!$H$6&amp;"",1,2)),D161,"要調整"),"要調整")))</f>
        <v/>
      </c>
      <c r="H161" s="15" t="n"/>
      <c r="I161" s="24">
        <f>IF(N161="","",IF(H161&lt;&gt;"",H161,IF(OR(G161="",G161="要調整"),"",G161)))</f>
        <v/>
      </c>
      <c r="J161" s="23">
        <f>IF(N161="","",IF(I161&lt;&gt;"","決定",IF(O161="","未提出","要調整")))</f>
        <v/>
      </c>
      <c r="K161" s="23">
        <f>IF(OR(J161&lt;&gt;"要調整",E161=""),"",IFERROR(INDEX(設定!$H$8:$I$27,MATCH(E161,設定!$G$8:$G$27,0),IF($M161=設定!$H$6&amp;"",1,2))-COUNTIFS($M$3:$M$302,M161,$I$3:$I$302,E161),""))</f>
        <v/>
      </c>
      <c r="L161" s="23">
        <f>IF(OR(J161&lt;&gt;"要調整",F161=""),"",IFERROR(INDEX(設定!$H$8:$I$27,MATCH(F161,設定!$G$8:$G$27,0),IF($M161=設定!$H$6&amp;"",1,2))-COUNTIFS($M$3:$M$302,M161,$I$3:$I$302,F161),""))</f>
        <v/>
      </c>
      <c r="M161" s="8">
        <f>IF(N161="","",INDEX(児童名簿!$A$2:$A$301,N161)&amp;"")</f>
        <v/>
      </c>
      <c r="N161" s="8">
        <f>IFERROR(MATCH(SMALL(児童名簿!$G$2:$G$301,159),児童名簿!$G$2:$G$301,0),"")</f>
        <v/>
      </c>
      <c r="O161" s="8">
        <f>IF(P161="","",IFERROR(MATCH(P161,希望入力!$K$2:$K$401,0),""))</f>
        <v/>
      </c>
      <c r="P161" s="8">
        <f>IF(N161="","",INDEX(児童名簿!$F$2:$F$301,N161))</f>
        <v/>
      </c>
      <c r="Q161" s="8">
        <f>IF(I161="","",IFERROR(MATCH(I161,設定!$G$8:$G$27,0),""))</f>
        <v/>
      </c>
      <c r="R161" s="8">
        <f>IF(Q161="","",COUNTIF($Q$3:Q161,Q161))</f>
        <v/>
      </c>
      <c r="S161" s="8">
        <f>IF(Q161="","",Q161*1000+R161)</f>
        <v/>
      </c>
    </row>
    <row r="162">
      <c r="A162" s="23">
        <f>IF(N162="","",IFERROR(INDEX(設定!$C$8:$C$23,INT(INDEX(児童名簿!$G$2:$G$301,N162)/1000)),M162&amp;INDEX(児童名簿!$B$2:$B$301,N162)))</f>
        <v/>
      </c>
      <c r="B162" s="23">
        <f>IF(N162="","",INDEX(児童名簿!$C$2:$C$301,N162))</f>
        <v/>
      </c>
      <c r="C162" s="3">
        <f>IF(N162="","",INDEX(児童名簿!$D$2:$D$301,N162))</f>
        <v/>
      </c>
      <c r="D162" s="23">
        <f>IF(O162="","",INDEX(希望入力!$D$2:$D$401,O162)&amp;"")</f>
        <v/>
      </c>
      <c r="E162" s="23">
        <f>IF(O162="","",INDEX(希望入力!$E$2:$E$401,O162)&amp;"")</f>
        <v/>
      </c>
      <c r="F162" s="23">
        <f>IF(O162="","",INDEX(希望入力!$F$2:$F$401,O162)&amp;"")</f>
        <v/>
      </c>
      <c r="G162" s="23">
        <f>IF(O162="","",IF(D162="","要調整",IFERROR(IF(COUNTIFS($M$3:$M$302,M162,$D$3:$D$302,D162)&lt;=INDEX(設定!$H$8:$I$27,MATCH(D162,設定!$G$8:$G$27,0),IF($M162=設定!$H$6&amp;"",1,2)),D162,"要調整"),"要調整")))</f>
        <v/>
      </c>
      <c r="H162" s="15" t="n"/>
      <c r="I162" s="24">
        <f>IF(N162="","",IF(H162&lt;&gt;"",H162,IF(OR(G162="",G162="要調整"),"",G162)))</f>
        <v/>
      </c>
      <c r="J162" s="23">
        <f>IF(N162="","",IF(I162&lt;&gt;"","決定",IF(O162="","未提出","要調整")))</f>
        <v/>
      </c>
      <c r="K162" s="23">
        <f>IF(OR(J162&lt;&gt;"要調整",E162=""),"",IFERROR(INDEX(設定!$H$8:$I$27,MATCH(E162,設定!$G$8:$G$27,0),IF($M162=設定!$H$6&amp;"",1,2))-COUNTIFS($M$3:$M$302,M162,$I$3:$I$302,E162),""))</f>
        <v/>
      </c>
      <c r="L162" s="23">
        <f>IF(OR(J162&lt;&gt;"要調整",F162=""),"",IFERROR(INDEX(設定!$H$8:$I$27,MATCH(F162,設定!$G$8:$G$27,0),IF($M162=設定!$H$6&amp;"",1,2))-COUNTIFS($M$3:$M$302,M162,$I$3:$I$302,F162),""))</f>
        <v/>
      </c>
      <c r="M162" s="8">
        <f>IF(N162="","",INDEX(児童名簿!$A$2:$A$301,N162)&amp;"")</f>
        <v/>
      </c>
      <c r="N162" s="8">
        <f>IFERROR(MATCH(SMALL(児童名簿!$G$2:$G$301,160),児童名簿!$G$2:$G$301,0),"")</f>
        <v/>
      </c>
      <c r="O162" s="8">
        <f>IF(P162="","",IFERROR(MATCH(P162,希望入力!$K$2:$K$401,0),""))</f>
        <v/>
      </c>
      <c r="P162" s="8">
        <f>IF(N162="","",INDEX(児童名簿!$F$2:$F$301,N162))</f>
        <v/>
      </c>
      <c r="Q162" s="8">
        <f>IF(I162="","",IFERROR(MATCH(I162,設定!$G$8:$G$27,0),""))</f>
        <v/>
      </c>
      <c r="R162" s="8">
        <f>IF(Q162="","",COUNTIF($Q$3:Q162,Q162))</f>
        <v/>
      </c>
      <c r="S162" s="8">
        <f>IF(Q162="","",Q162*1000+R162)</f>
        <v/>
      </c>
    </row>
    <row r="163">
      <c r="A163" s="23">
        <f>IF(N163="","",IFERROR(INDEX(設定!$C$8:$C$23,INT(INDEX(児童名簿!$G$2:$G$301,N163)/1000)),M163&amp;INDEX(児童名簿!$B$2:$B$301,N163)))</f>
        <v/>
      </c>
      <c r="B163" s="23">
        <f>IF(N163="","",INDEX(児童名簿!$C$2:$C$301,N163))</f>
        <v/>
      </c>
      <c r="C163" s="3">
        <f>IF(N163="","",INDEX(児童名簿!$D$2:$D$301,N163))</f>
        <v/>
      </c>
      <c r="D163" s="23">
        <f>IF(O163="","",INDEX(希望入力!$D$2:$D$401,O163)&amp;"")</f>
        <v/>
      </c>
      <c r="E163" s="23">
        <f>IF(O163="","",INDEX(希望入力!$E$2:$E$401,O163)&amp;"")</f>
        <v/>
      </c>
      <c r="F163" s="23">
        <f>IF(O163="","",INDEX(希望入力!$F$2:$F$401,O163)&amp;"")</f>
        <v/>
      </c>
      <c r="G163" s="23">
        <f>IF(O163="","",IF(D163="","要調整",IFERROR(IF(COUNTIFS($M$3:$M$302,M163,$D$3:$D$302,D163)&lt;=INDEX(設定!$H$8:$I$27,MATCH(D163,設定!$G$8:$G$27,0),IF($M163=設定!$H$6&amp;"",1,2)),D163,"要調整"),"要調整")))</f>
        <v/>
      </c>
      <c r="H163" s="15" t="n"/>
      <c r="I163" s="24">
        <f>IF(N163="","",IF(H163&lt;&gt;"",H163,IF(OR(G163="",G163="要調整"),"",G163)))</f>
        <v/>
      </c>
      <c r="J163" s="23">
        <f>IF(N163="","",IF(I163&lt;&gt;"","決定",IF(O163="","未提出","要調整")))</f>
        <v/>
      </c>
      <c r="K163" s="23">
        <f>IF(OR(J163&lt;&gt;"要調整",E163=""),"",IFERROR(INDEX(設定!$H$8:$I$27,MATCH(E163,設定!$G$8:$G$27,0),IF($M163=設定!$H$6&amp;"",1,2))-COUNTIFS($M$3:$M$302,M163,$I$3:$I$302,E163),""))</f>
        <v/>
      </c>
      <c r="L163" s="23">
        <f>IF(OR(J163&lt;&gt;"要調整",F163=""),"",IFERROR(INDEX(設定!$H$8:$I$27,MATCH(F163,設定!$G$8:$G$27,0),IF($M163=設定!$H$6&amp;"",1,2))-COUNTIFS($M$3:$M$302,M163,$I$3:$I$302,F163),""))</f>
        <v/>
      </c>
      <c r="M163" s="8">
        <f>IF(N163="","",INDEX(児童名簿!$A$2:$A$301,N163)&amp;"")</f>
        <v/>
      </c>
      <c r="N163" s="8">
        <f>IFERROR(MATCH(SMALL(児童名簿!$G$2:$G$301,161),児童名簿!$G$2:$G$301,0),"")</f>
        <v/>
      </c>
      <c r="O163" s="8">
        <f>IF(P163="","",IFERROR(MATCH(P163,希望入力!$K$2:$K$401,0),""))</f>
        <v/>
      </c>
      <c r="P163" s="8">
        <f>IF(N163="","",INDEX(児童名簿!$F$2:$F$301,N163))</f>
        <v/>
      </c>
      <c r="Q163" s="8">
        <f>IF(I163="","",IFERROR(MATCH(I163,設定!$G$8:$G$27,0),""))</f>
        <v/>
      </c>
      <c r="R163" s="8">
        <f>IF(Q163="","",COUNTIF($Q$3:Q163,Q163))</f>
        <v/>
      </c>
      <c r="S163" s="8">
        <f>IF(Q163="","",Q163*1000+R163)</f>
        <v/>
      </c>
    </row>
    <row r="164">
      <c r="A164" s="23">
        <f>IF(N164="","",IFERROR(INDEX(設定!$C$8:$C$23,INT(INDEX(児童名簿!$G$2:$G$301,N164)/1000)),M164&amp;INDEX(児童名簿!$B$2:$B$301,N164)))</f>
        <v/>
      </c>
      <c r="B164" s="23">
        <f>IF(N164="","",INDEX(児童名簿!$C$2:$C$301,N164))</f>
        <v/>
      </c>
      <c r="C164" s="3">
        <f>IF(N164="","",INDEX(児童名簿!$D$2:$D$301,N164))</f>
        <v/>
      </c>
      <c r="D164" s="23">
        <f>IF(O164="","",INDEX(希望入力!$D$2:$D$401,O164)&amp;"")</f>
        <v/>
      </c>
      <c r="E164" s="23">
        <f>IF(O164="","",INDEX(希望入力!$E$2:$E$401,O164)&amp;"")</f>
        <v/>
      </c>
      <c r="F164" s="23">
        <f>IF(O164="","",INDEX(希望入力!$F$2:$F$401,O164)&amp;"")</f>
        <v/>
      </c>
      <c r="G164" s="23">
        <f>IF(O164="","",IF(D164="","要調整",IFERROR(IF(COUNTIFS($M$3:$M$302,M164,$D$3:$D$302,D164)&lt;=INDEX(設定!$H$8:$I$27,MATCH(D164,設定!$G$8:$G$27,0),IF($M164=設定!$H$6&amp;"",1,2)),D164,"要調整"),"要調整")))</f>
        <v/>
      </c>
      <c r="H164" s="15" t="n"/>
      <c r="I164" s="24">
        <f>IF(N164="","",IF(H164&lt;&gt;"",H164,IF(OR(G164="",G164="要調整"),"",G164)))</f>
        <v/>
      </c>
      <c r="J164" s="23">
        <f>IF(N164="","",IF(I164&lt;&gt;"","決定",IF(O164="","未提出","要調整")))</f>
        <v/>
      </c>
      <c r="K164" s="23">
        <f>IF(OR(J164&lt;&gt;"要調整",E164=""),"",IFERROR(INDEX(設定!$H$8:$I$27,MATCH(E164,設定!$G$8:$G$27,0),IF($M164=設定!$H$6&amp;"",1,2))-COUNTIFS($M$3:$M$302,M164,$I$3:$I$302,E164),""))</f>
        <v/>
      </c>
      <c r="L164" s="23">
        <f>IF(OR(J164&lt;&gt;"要調整",F164=""),"",IFERROR(INDEX(設定!$H$8:$I$27,MATCH(F164,設定!$G$8:$G$27,0),IF($M164=設定!$H$6&amp;"",1,2))-COUNTIFS($M$3:$M$302,M164,$I$3:$I$302,F164),""))</f>
        <v/>
      </c>
      <c r="M164" s="8">
        <f>IF(N164="","",INDEX(児童名簿!$A$2:$A$301,N164)&amp;"")</f>
        <v/>
      </c>
      <c r="N164" s="8">
        <f>IFERROR(MATCH(SMALL(児童名簿!$G$2:$G$301,162),児童名簿!$G$2:$G$301,0),"")</f>
        <v/>
      </c>
      <c r="O164" s="8">
        <f>IF(P164="","",IFERROR(MATCH(P164,希望入力!$K$2:$K$401,0),""))</f>
        <v/>
      </c>
      <c r="P164" s="8">
        <f>IF(N164="","",INDEX(児童名簿!$F$2:$F$301,N164))</f>
        <v/>
      </c>
      <c r="Q164" s="8">
        <f>IF(I164="","",IFERROR(MATCH(I164,設定!$G$8:$G$27,0),""))</f>
        <v/>
      </c>
      <c r="R164" s="8">
        <f>IF(Q164="","",COUNTIF($Q$3:Q164,Q164))</f>
        <v/>
      </c>
      <c r="S164" s="8">
        <f>IF(Q164="","",Q164*1000+R164)</f>
        <v/>
      </c>
    </row>
    <row r="165">
      <c r="A165" s="23">
        <f>IF(N165="","",IFERROR(INDEX(設定!$C$8:$C$23,INT(INDEX(児童名簿!$G$2:$G$301,N165)/1000)),M165&amp;INDEX(児童名簿!$B$2:$B$301,N165)))</f>
        <v/>
      </c>
      <c r="B165" s="23">
        <f>IF(N165="","",INDEX(児童名簿!$C$2:$C$301,N165))</f>
        <v/>
      </c>
      <c r="C165" s="3">
        <f>IF(N165="","",INDEX(児童名簿!$D$2:$D$301,N165))</f>
        <v/>
      </c>
      <c r="D165" s="23">
        <f>IF(O165="","",INDEX(希望入力!$D$2:$D$401,O165)&amp;"")</f>
        <v/>
      </c>
      <c r="E165" s="23">
        <f>IF(O165="","",INDEX(希望入力!$E$2:$E$401,O165)&amp;"")</f>
        <v/>
      </c>
      <c r="F165" s="23">
        <f>IF(O165="","",INDEX(希望入力!$F$2:$F$401,O165)&amp;"")</f>
        <v/>
      </c>
      <c r="G165" s="23">
        <f>IF(O165="","",IF(D165="","要調整",IFERROR(IF(COUNTIFS($M$3:$M$302,M165,$D$3:$D$302,D165)&lt;=INDEX(設定!$H$8:$I$27,MATCH(D165,設定!$G$8:$G$27,0),IF($M165=設定!$H$6&amp;"",1,2)),D165,"要調整"),"要調整")))</f>
        <v/>
      </c>
      <c r="H165" s="15" t="n"/>
      <c r="I165" s="24">
        <f>IF(N165="","",IF(H165&lt;&gt;"",H165,IF(OR(G165="",G165="要調整"),"",G165)))</f>
        <v/>
      </c>
      <c r="J165" s="23">
        <f>IF(N165="","",IF(I165&lt;&gt;"","決定",IF(O165="","未提出","要調整")))</f>
        <v/>
      </c>
      <c r="K165" s="23">
        <f>IF(OR(J165&lt;&gt;"要調整",E165=""),"",IFERROR(INDEX(設定!$H$8:$I$27,MATCH(E165,設定!$G$8:$G$27,0),IF($M165=設定!$H$6&amp;"",1,2))-COUNTIFS($M$3:$M$302,M165,$I$3:$I$302,E165),""))</f>
        <v/>
      </c>
      <c r="L165" s="23">
        <f>IF(OR(J165&lt;&gt;"要調整",F165=""),"",IFERROR(INDEX(設定!$H$8:$I$27,MATCH(F165,設定!$G$8:$G$27,0),IF($M165=設定!$H$6&amp;"",1,2))-COUNTIFS($M$3:$M$302,M165,$I$3:$I$302,F165),""))</f>
        <v/>
      </c>
      <c r="M165" s="8">
        <f>IF(N165="","",INDEX(児童名簿!$A$2:$A$301,N165)&amp;"")</f>
        <v/>
      </c>
      <c r="N165" s="8">
        <f>IFERROR(MATCH(SMALL(児童名簿!$G$2:$G$301,163),児童名簿!$G$2:$G$301,0),"")</f>
        <v/>
      </c>
      <c r="O165" s="8">
        <f>IF(P165="","",IFERROR(MATCH(P165,希望入力!$K$2:$K$401,0),""))</f>
        <v/>
      </c>
      <c r="P165" s="8">
        <f>IF(N165="","",INDEX(児童名簿!$F$2:$F$301,N165))</f>
        <v/>
      </c>
      <c r="Q165" s="8">
        <f>IF(I165="","",IFERROR(MATCH(I165,設定!$G$8:$G$27,0),""))</f>
        <v/>
      </c>
      <c r="R165" s="8">
        <f>IF(Q165="","",COUNTIF($Q$3:Q165,Q165))</f>
        <v/>
      </c>
      <c r="S165" s="8">
        <f>IF(Q165="","",Q165*1000+R165)</f>
        <v/>
      </c>
    </row>
    <row r="166">
      <c r="A166" s="23">
        <f>IF(N166="","",IFERROR(INDEX(設定!$C$8:$C$23,INT(INDEX(児童名簿!$G$2:$G$301,N166)/1000)),M166&amp;INDEX(児童名簿!$B$2:$B$301,N166)))</f>
        <v/>
      </c>
      <c r="B166" s="23">
        <f>IF(N166="","",INDEX(児童名簿!$C$2:$C$301,N166))</f>
        <v/>
      </c>
      <c r="C166" s="3">
        <f>IF(N166="","",INDEX(児童名簿!$D$2:$D$301,N166))</f>
        <v/>
      </c>
      <c r="D166" s="23">
        <f>IF(O166="","",INDEX(希望入力!$D$2:$D$401,O166)&amp;"")</f>
        <v/>
      </c>
      <c r="E166" s="23">
        <f>IF(O166="","",INDEX(希望入力!$E$2:$E$401,O166)&amp;"")</f>
        <v/>
      </c>
      <c r="F166" s="23">
        <f>IF(O166="","",INDEX(希望入力!$F$2:$F$401,O166)&amp;"")</f>
        <v/>
      </c>
      <c r="G166" s="23">
        <f>IF(O166="","",IF(D166="","要調整",IFERROR(IF(COUNTIFS($M$3:$M$302,M166,$D$3:$D$302,D166)&lt;=INDEX(設定!$H$8:$I$27,MATCH(D166,設定!$G$8:$G$27,0),IF($M166=設定!$H$6&amp;"",1,2)),D166,"要調整"),"要調整")))</f>
        <v/>
      </c>
      <c r="H166" s="15" t="n"/>
      <c r="I166" s="24">
        <f>IF(N166="","",IF(H166&lt;&gt;"",H166,IF(OR(G166="",G166="要調整"),"",G166)))</f>
        <v/>
      </c>
      <c r="J166" s="23">
        <f>IF(N166="","",IF(I166&lt;&gt;"","決定",IF(O166="","未提出","要調整")))</f>
        <v/>
      </c>
      <c r="K166" s="23">
        <f>IF(OR(J166&lt;&gt;"要調整",E166=""),"",IFERROR(INDEX(設定!$H$8:$I$27,MATCH(E166,設定!$G$8:$G$27,0),IF($M166=設定!$H$6&amp;"",1,2))-COUNTIFS($M$3:$M$302,M166,$I$3:$I$302,E166),""))</f>
        <v/>
      </c>
      <c r="L166" s="23">
        <f>IF(OR(J166&lt;&gt;"要調整",F166=""),"",IFERROR(INDEX(設定!$H$8:$I$27,MATCH(F166,設定!$G$8:$G$27,0),IF($M166=設定!$H$6&amp;"",1,2))-COUNTIFS($M$3:$M$302,M166,$I$3:$I$302,F166),""))</f>
        <v/>
      </c>
      <c r="M166" s="8">
        <f>IF(N166="","",INDEX(児童名簿!$A$2:$A$301,N166)&amp;"")</f>
        <v/>
      </c>
      <c r="N166" s="8">
        <f>IFERROR(MATCH(SMALL(児童名簿!$G$2:$G$301,164),児童名簿!$G$2:$G$301,0),"")</f>
        <v/>
      </c>
      <c r="O166" s="8">
        <f>IF(P166="","",IFERROR(MATCH(P166,希望入力!$K$2:$K$401,0),""))</f>
        <v/>
      </c>
      <c r="P166" s="8">
        <f>IF(N166="","",INDEX(児童名簿!$F$2:$F$301,N166))</f>
        <v/>
      </c>
      <c r="Q166" s="8">
        <f>IF(I166="","",IFERROR(MATCH(I166,設定!$G$8:$G$27,0),""))</f>
        <v/>
      </c>
      <c r="R166" s="8">
        <f>IF(Q166="","",COUNTIF($Q$3:Q166,Q166))</f>
        <v/>
      </c>
      <c r="S166" s="8">
        <f>IF(Q166="","",Q166*1000+R166)</f>
        <v/>
      </c>
    </row>
    <row r="167">
      <c r="A167" s="23">
        <f>IF(N167="","",IFERROR(INDEX(設定!$C$8:$C$23,INT(INDEX(児童名簿!$G$2:$G$301,N167)/1000)),M167&amp;INDEX(児童名簿!$B$2:$B$301,N167)))</f>
        <v/>
      </c>
      <c r="B167" s="23">
        <f>IF(N167="","",INDEX(児童名簿!$C$2:$C$301,N167))</f>
        <v/>
      </c>
      <c r="C167" s="3">
        <f>IF(N167="","",INDEX(児童名簿!$D$2:$D$301,N167))</f>
        <v/>
      </c>
      <c r="D167" s="23">
        <f>IF(O167="","",INDEX(希望入力!$D$2:$D$401,O167)&amp;"")</f>
        <v/>
      </c>
      <c r="E167" s="23">
        <f>IF(O167="","",INDEX(希望入力!$E$2:$E$401,O167)&amp;"")</f>
        <v/>
      </c>
      <c r="F167" s="23">
        <f>IF(O167="","",INDEX(希望入力!$F$2:$F$401,O167)&amp;"")</f>
        <v/>
      </c>
      <c r="G167" s="23">
        <f>IF(O167="","",IF(D167="","要調整",IFERROR(IF(COUNTIFS($M$3:$M$302,M167,$D$3:$D$302,D167)&lt;=INDEX(設定!$H$8:$I$27,MATCH(D167,設定!$G$8:$G$27,0),IF($M167=設定!$H$6&amp;"",1,2)),D167,"要調整"),"要調整")))</f>
        <v/>
      </c>
      <c r="H167" s="15" t="n"/>
      <c r="I167" s="24">
        <f>IF(N167="","",IF(H167&lt;&gt;"",H167,IF(OR(G167="",G167="要調整"),"",G167)))</f>
        <v/>
      </c>
      <c r="J167" s="23">
        <f>IF(N167="","",IF(I167&lt;&gt;"","決定",IF(O167="","未提出","要調整")))</f>
        <v/>
      </c>
      <c r="K167" s="23">
        <f>IF(OR(J167&lt;&gt;"要調整",E167=""),"",IFERROR(INDEX(設定!$H$8:$I$27,MATCH(E167,設定!$G$8:$G$27,0),IF($M167=設定!$H$6&amp;"",1,2))-COUNTIFS($M$3:$M$302,M167,$I$3:$I$302,E167),""))</f>
        <v/>
      </c>
      <c r="L167" s="23">
        <f>IF(OR(J167&lt;&gt;"要調整",F167=""),"",IFERROR(INDEX(設定!$H$8:$I$27,MATCH(F167,設定!$G$8:$G$27,0),IF($M167=設定!$H$6&amp;"",1,2))-COUNTIFS($M$3:$M$302,M167,$I$3:$I$302,F167),""))</f>
        <v/>
      </c>
      <c r="M167" s="8">
        <f>IF(N167="","",INDEX(児童名簿!$A$2:$A$301,N167)&amp;"")</f>
        <v/>
      </c>
      <c r="N167" s="8">
        <f>IFERROR(MATCH(SMALL(児童名簿!$G$2:$G$301,165),児童名簿!$G$2:$G$301,0),"")</f>
        <v/>
      </c>
      <c r="O167" s="8">
        <f>IF(P167="","",IFERROR(MATCH(P167,希望入力!$K$2:$K$401,0),""))</f>
        <v/>
      </c>
      <c r="P167" s="8">
        <f>IF(N167="","",INDEX(児童名簿!$F$2:$F$301,N167))</f>
        <v/>
      </c>
      <c r="Q167" s="8">
        <f>IF(I167="","",IFERROR(MATCH(I167,設定!$G$8:$G$27,0),""))</f>
        <v/>
      </c>
      <c r="R167" s="8">
        <f>IF(Q167="","",COUNTIF($Q$3:Q167,Q167))</f>
        <v/>
      </c>
      <c r="S167" s="8">
        <f>IF(Q167="","",Q167*1000+R167)</f>
        <v/>
      </c>
    </row>
    <row r="168">
      <c r="A168" s="23">
        <f>IF(N168="","",IFERROR(INDEX(設定!$C$8:$C$23,INT(INDEX(児童名簿!$G$2:$G$301,N168)/1000)),M168&amp;INDEX(児童名簿!$B$2:$B$301,N168)))</f>
        <v/>
      </c>
      <c r="B168" s="23">
        <f>IF(N168="","",INDEX(児童名簿!$C$2:$C$301,N168))</f>
        <v/>
      </c>
      <c r="C168" s="3">
        <f>IF(N168="","",INDEX(児童名簿!$D$2:$D$301,N168))</f>
        <v/>
      </c>
      <c r="D168" s="23">
        <f>IF(O168="","",INDEX(希望入力!$D$2:$D$401,O168)&amp;"")</f>
        <v/>
      </c>
      <c r="E168" s="23">
        <f>IF(O168="","",INDEX(希望入力!$E$2:$E$401,O168)&amp;"")</f>
        <v/>
      </c>
      <c r="F168" s="23">
        <f>IF(O168="","",INDEX(希望入力!$F$2:$F$401,O168)&amp;"")</f>
        <v/>
      </c>
      <c r="G168" s="23">
        <f>IF(O168="","",IF(D168="","要調整",IFERROR(IF(COUNTIFS($M$3:$M$302,M168,$D$3:$D$302,D168)&lt;=INDEX(設定!$H$8:$I$27,MATCH(D168,設定!$G$8:$G$27,0),IF($M168=設定!$H$6&amp;"",1,2)),D168,"要調整"),"要調整")))</f>
        <v/>
      </c>
      <c r="H168" s="15" t="n"/>
      <c r="I168" s="24">
        <f>IF(N168="","",IF(H168&lt;&gt;"",H168,IF(OR(G168="",G168="要調整"),"",G168)))</f>
        <v/>
      </c>
      <c r="J168" s="23">
        <f>IF(N168="","",IF(I168&lt;&gt;"","決定",IF(O168="","未提出","要調整")))</f>
        <v/>
      </c>
      <c r="K168" s="23">
        <f>IF(OR(J168&lt;&gt;"要調整",E168=""),"",IFERROR(INDEX(設定!$H$8:$I$27,MATCH(E168,設定!$G$8:$G$27,0),IF($M168=設定!$H$6&amp;"",1,2))-COUNTIFS($M$3:$M$302,M168,$I$3:$I$302,E168),""))</f>
        <v/>
      </c>
      <c r="L168" s="23">
        <f>IF(OR(J168&lt;&gt;"要調整",F168=""),"",IFERROR(INDEX(設定!$H$8:$I$27,MATCH(F168,設定!$G$8:$G$27,0),IF($M168=設定!$H$6&amp;"",1,2))-COUNTIFS($M$3:$M$302,M168,$I$3:$I$302,F168),""))</f>
        <v/>
      </c>
      <c r="M168" s="8">
        <f>IF(N168="","",INDEX(児童名簿!$A$2:$A$301,N168)&amp;"")</f>
        <v/>
      </c>
      <c r="N168" s="8">
        <f>IFERROR(MATCH(SMALL(児童名簿!$G$2:$G$301,166),児童名簿!$G$2:$G$301,0),"")</f>
        <v/>
      </c>
      <c r="O168" s="8">
        <f>IF(P168="","",IFERROR(MATCH(P168,希望入力!$K$2:$K$401,0),""))</f>
        <v/>
      </c>
      <c r="P168" s="8">
        <f>IF(N168="","",INDEX(児童名簿!$F$2:$F$301,N168))</f>
        <v/>
      </c>
      <c r="Q168" s="8">
        <f>IF(I168="","",IFERROR(MATCH(I168,設定!$G$8:$G$27,0),""))</f>
        <v/>
      </c>
      <c r="R168" s="8">
        <f>IF(Q168="","",COUNTIF($Q$3:Q168,Q168))</f>
        <v/>
      </c>
      <c r="S168" s="8">
        <f>IF(Q168="","",Q168*1000+R168)</f>
        <v/>
      </c>
    </row>
    <row r="169">
      <c r="A169" s="23">
        <f>IF(N169="","",IFERROR(INDEX(設定!$C$8:$C$23,INT(INDEX(児童名簿!$G$2:$G$301,N169)/1000)),M169&amp;INDEX(児童名簿!$B$2:$B$301,N169)))</f>
        <v/>
      </c>
      <c r="B169" s="23">
        <f>IF(N169="","",INDEX(児童名簿!$C$2:$C$301,N169))</f>
        <v/>
      </c>
      <c r="C169" s="3">
        <f>IF(N169="","",INDEX(児童名簿!$D$2:$D$301,N169))</f>
        <v/>
      </c>
      <c r="D169" s="23">
        <f>IF(O169="","",INDEX(希望入力!$D$2:$D$401,O169)&amp;"")</f>
        <v/>
      </c>
      <c r="E169" s="23">
        <f>IF(O169="","",INDEX(希望入力!$E$2:$E$401,O169)&amp;"")</f>
        <v/>
      </c>
      <c r="F169" s="23">
        <f>IF(O169="","",INDEX(希望入力!$F$2:$F$401,O169)&amp;"")</f>
        <v/>
      </c>
      <c r="G169" s="23">
        <f>IF(O169="","",IF(D169="","要調整",IFERROR(IF(COUNTIFS($M$3:$M$302,M169,$D$3:$D$302,D169)&lt;=INDEX(設定!$H$8:$I$27,MATCH(D169,設定!$G$8:$G$27,0),IF($M169=設定!$H$6&amp;"",1,2)),D169,"要調整"),"要調整")))</f>
        <v/>
      </c>
      <c r="H169" s="15" t="n"/>
      <c r="I169" s="24">
        <f>IF(N169="","",IF(H169&lt;&gt;"",H169,IF(OR(G169="",G169="要調整"),"",G169)))</f>
        <v/>
      </c>
      <c r="J169" s="23">
        <f>IF(N169="","",IF(I169&lt;&gt;"","決定",IF(O169="","未提出","要調整")))</f>
        <v/>
      </c>
      <c r="K169" s="23">
        <f>IF(OR(J169&lt;&gt;"要調整",E169=""),"",IFERROR(INDEX(設定!$H$8:$I$27,MATCH(E169,設定!$G$8:$G$27,0),IF($M169=設定!$H$6&amp;"",1,2))-COUNTIFS($M$3:$M$302,M169,$I$3:$I$302,E169),""))</f>
        <v/>
      </c>
      <c r="L169" s="23">
        <f>IF(OR(J169&lt;&gt;"要調整",F169=""),"",IFERROR(INDEX(設定!$H$8:$I$27,MATCH(F169,設定!$G$8:$G$27,0),IF($M169=設定!$H$6&amp;"",1,2))-COUNTIFS($M$3:$M$302,M169,$I$3:$I$302,F169),""))</f>
        <v/>
      </c>
      <c r="M169" s="8">
        <f>IF(N169="","",INDEX(児童名簿!$A$2:$A$301,N169)&amp;"")</f>
        <v/>
      </c>
      <c r="N169" s="8">
        <f>IFERROR(MATCH(SMALL(児童名簿!$G$2:$G$301,167),児童名簿!$G$2:$G$301,0),"")</f>
        <v/>
      </c>
      <c r="O169" s="8">
        <f>IF(P169="","",IFERROR(MATCH(P169,希望入力!$K$2:$K$401,0),""))</f>
        <v/>
      </c>
      <c r="P169" s="8">
        <f>IF(N169="","",INDEX(児童名簿!$F$2:$F$301,N169))</f>
        <v/>
      </c>
      <c r="Q169" s="8">
        <f>IF(I169="","",IFERROR(MATCH(I169,設定!$G$8:$G$27,0),""))</f>
        <v/>
      </c>
      <c r="R169" s="8">
        <f>IF(Q169="","",COUNTIF($Q$3:Q169,Q169))</f>
        <v/>
      </c>
      <c r="S169" s="8">
        <f>IF(Q169="","",Q169*1000+R169)</f>
        <v/>
      </c>
    </row>
    <row r="170">
      <c r="A170" s="23">
        <f>IF(N170="","",IFERROR(INDEX(設定!$C$8:$C$23,INT(INDEX(児童名簿!$G$2:$G$301,N170)/1000)),M170&amp;INDEX(児童名簿!$B$2:$B$301,N170)))</f>
        <v/>
      </c>
      <c r="B170" s="23">
        <f>IF(N170="","",INDEX(児童名簿!$C$2:$C$301,N170))</f>
        <v/>
      </c>
      <c r="C170" s="3">
        <f>IF(N170="","",INDEX(児童名簿!$D$2:$D$301,N170))</f>
        <v/>
      </c>
      <c r="D170" s="23">
        <f>IF(O170="","",INDEX(希望入力!$D$2:$D$401,O170)&amp;"")</f>
        <v/>
      </c>
      <c r="E170" s="23">
        <f>IF(O170="","",INDEX(希望入力!$E$2:$E$401,O170)&amp;"")</f>
        <v/>
      </c>
      <c r="F170" s="23">
        <f>IF(O170="","",INDEX(希望入力!$F$2:$F$401,O170)&amp;"")</f>
        <v/>
      </c>
      <c r="G170" s="23">
        <f>IF(O170="","",IF(D170="","要調整",IFERROR(IF(COUNTIFS($M$3:$M$302,M170,$D$3:$D$302,D170)&lt;=INDEX(設定!$H$8:$I$27,MATCH(D170,設定!$G$8:$G$27,0),IF($M170=設定!$H$6&amp;"",1,2)),D170,"要調整"),"要調整")))</f>
        <v/>
      </c>
      <c r="H170" s="15" t="n"/>
      <c r="I170" s="24">
        <f>IF(N170="","",IF(H170&lt;&gt;"",H170,IF(OR(G170="",G170="要調整"),"",G170)))</f>
        <v/>
      </c>
      <c r="J170" s="23">
        <f>IF(N170="","",IF(I170&lt;&gt;"","決定",IF(O170="","未提出","要調整")))</f>
        <v/>
      </c>
      <c r="K170" s="23">
        <f>IF(OR(J170&lt;&gt;"要調整",E170=""),"",IFERROR(INDEX(設定!$H$8:$I$27,MATCH(E170,設定!$G$8:$G$27,0),IF($M170=設定!$H$6&amp;"",1,2))-COUNTIFS($M$3:$M$302,M170,$I$3:$I$302,E170),""))</f>
        <v/>
      </c>
      <c r="L170" s="23">
        <f>IF(OR(J170&lt;&gt;"要調整",F170=""),"",IFERROR(INDEX(設定!$H$8:$I$27,MATCH(F170,設定!$G$8:$G$27,0),IF($M170=設定!$H$6&amp;"",1,2))-COUNTIFS($M$3:$M$302,M170,$I$3:$I$302,F170),""))</f>
        <v/>
      </c>
      <c r="M170" s="8">
        <f>IF(N170="","",INDEX(児童名簿!$A$2:$A$301,N170)&amp;"")</f>
        <v/>
      </c>
      <c r="N170" s="8">
        <f>IFERROR(MATCH(SMALL(児童名簿!$G$2:$G$301,168),児童名簿!$G$2:$G$301,0),"")</f>
        <v/>
      </c>
      <c r="O170" s="8">
        <f>IF(P170="","",IFERROR(MATCH(P170,希望入力!$K$2:$K$401,0),""))</f>
        <v/>
      </c>
      <c r="P170" s="8">
        <f>IF(N170="","",INDEX(児童名簿!$F$2:$F$301,N170))</f>
        <v/>
      </c>
      <c r="Q170" s="8">
        <f>IF(I170="","",IFERROR(MATCH(I170,設定!$G$8:$G$27,0),""))</f>
        <v/>
      </c>
      <c r="R170" s="8">
        <f>IF(Q170="","",COUNTIF($Q$3:Q170,Q170))</f>
        <v/>
      </c>
      <c r="S170" s="8">
        <f>IF(Q170="","",Q170*1000+R170)</f>
        <v/>
      </c>
    </row>
    <row r="171">
      <c r="A171" s="23">
        <f>IF(N171="","",IFERROR(INDEX(設定!$C$8:$C$23,INT(INDEX(児童名簿!$G$2:$G$301,N171)/1000)),M171&amp;INDEX(児童名簿!$B$2:$B$301,N171)))</f>
        <v/>
      </c>
      <c r="B171" s="23">
        <f>IF(N171="","",INDEX(児童名簿!$C$2:$C$301,N171))</f>
        <v/>
      </c>
      <c r="C171" s="3">
        <f>IF(N171="","",INDEX(児童名簿!$D$2:$D$301,N171))</f>
        <v/>
      </c>
      <c r="D171" s="23">
        <f>IF(O171="","",INDEX(希望入力!$D$2:$D$401,O171)&amp;"")</f>
        <v/>
      </c>
      <c r="E171" s="23">
        <f>IF(O171="","",INDEX(希望入力!$E$2:$E$401,O171)&amp;"")</f>
        <v/>
      </c>
      <c r="F171" s="23">
        <f>IF(O171="","",INDEX(希望入力!$F$2:$F$401,O171)&amp;"")</f>
        <v/>
      </c>
      <c r="G171" s="23">
        <f>IF(O171="","",IF(D171="","要調整",IFERROR(IF(COUNTIFS($M$3:$M$302,M171,$D$3:$D$302,D171)&lt;=INDEX(設定!$H$8:$I$27,MATCH(D171,設定!$G$8:$G$27,0),IF($M171=設定!$H$6&amp;"",1,2)),D171,"要調整"),"要調整")))</f>
        <v/>
      </c>
      <c r="H171" s="15" t="n"/>
      <c r="I171" s="24">
        <f>IF(N171="","",IF(H171&lt;&gt;"",H171,IF(OR(G171="",G171="要調整"),"",G171)))</f>
        <v/>
      </c>
      <c r="J171" s="23">
        <f>IF(N171="","",IF(I171&lt;&gt;"","決定",IF(O171="","未提出","要調整")))</f>
        <v/>
      </c>
      <c r="K171" s="23">
        <f>IF(OR(J171&lt;&gt;"要調整",E171=""),"",IFERROR(INDEX(設定!$H$8:$I$27,MATCH(E171,設定!$G$8:$G$27,0),IF($M171=設定!$H$6&amp;"",1,2))-COUNTIFS($M$3:$M$302,M171,$I$3:$I$302,E171),""))</f>
        <v/>
      </c>
      <c r="L171" s="23">
        <f>IF(OR(J171&lt;&gt;"要調整",F171=""),"",IFERROR(INDEX(設定!$H$8:$I$27,MATCH(F171,設定!$G$8:$G$27,0),IF($M171=設定!$H$6&amp;"",1,2))-COUNTIFS($M$3:$M$302,M171,$I$3:$I$302,F171),""))</f>
        <v/>
      </c>
      <c r="M171" s="8">
        <f>IF(N171="","",INDEX(児童名簿!$A$2:$A$301,N171)&amp;"")</f>
        <v/>
      </c>
      <c r="N171" s="8">
        <f>IFERROR(MATCH(SMALL(児童名簿!$G$2:$G$301,169),児童名簿!$G$2:$G$301,0),"")</f>
        <v/>
      </c>
      <c r="O171" s="8">
        <f>IF(P171="","",IFERROR(MATCH(P171,希望入力!$K$2:$K$401,0),""))</f>
        <v/>
      </c>
      <c r="P171" s="8">
        <f>IF(N171="","",INDEX(児童名簿!$F$2:$F$301,N171))</f>
        <v/>
      </c>
      <c r="Q171" s="8">
        <f>IF(I171="","",IFERROR(MATCH(I171,設定!$G$8:$G$27,0),""))</f>
        <v/>
      </c>
      <c r="R171" s="8">
        <f>IF(Q171="","",COUNTIF($Q$3:Q171,Q171))</f>
        <v/>
      </c>
      <c r="S171" s="8">
        <f>IF(Q171="","",Q171*1000+R171)</f>
        <v/>
      </c>
    </row>
    <row r="172">
      <c r="A172" s="23">
        <f>IF(N172="","",IFERROR(INDEX(設定!$C$8:$C$23,INT(INDEX(児童名簿!$G$2:$G$301,N172)/1000)),M172&amp;INDEX(児童名簿!$B$2:$B$301,N172)))</f>
        <v/>
      </c>
      <c r="B172" s="23">
        <f>IF(N172="","",INDEX(児童名簿!$C$2:$C$301,N172))</f>
        <v/>
      </c>
      <c r="C172" s="3">
        <f>IF(N172="","",INDEX(児童名簿!$D$2:$D$301,N172))</f>
        <v/>
      </c>
      <c r="D172" s="23">
        <f>IF(O172="","",INDEX(希望入力!$D$2:$D$401,O172)&amp;"")</f>
        <v/>
      </c>
      <c r="E172" s="23">
        <f>IF(O172="","",INDEX(希望入力!$E$2:$E$401,O172)&amp;"")</f>
        <v/>
      </c>
      <c r="F172" s="23">
        <f>IF(O172="","",INDEX(希望入力!$F$2:$F$401,O172)&amp;"")</f>
        <v/>
      </c>
      <c r="G172" s="23">
        <f>IF(O172="","",IF(D172="","要調整",IFERROR(IF(COUNTIFS($M$3:$M$302,M172,$D$3:$D$302,D172)&lt;=INDEX(設定!$H$8:$I$27,MATCH(D172,設定!$G$8:$G$27,0),IF($M172=設定!$H$6&amp;"",1,2)),D172,"要調整"),"要調整")))</f>
        <v/>
      </c>
      <c r="H172" s="15" t="n"/>
      <c r="I172" s="24">
        <f>IF(N172="","",IF(H172&lt;&gt;"",H172,IF(OR(G172="",G172="要調整"),"",G172)))</f>
        <v/>
      </c>
      <c r="J172" s="23">
        <f>IF(N172="","",IF(I172&lt;&gt;"","決定",IF(O172="","未提出","要調整")))</f>
        <v/>
      </c>
      <c r="K172" s="23">
        <f>IF(OR(J172&lt;&gt;"要調整",E172=""),"",IFERROR(INDEX(設定!$H$8:$I$27,MATCH(E172,設定!$G$8:$G$27,0),IF($M172=設定!$H$6&amp;"",1,2))-COUNTIFS($M$3:$M$302,M172,$I$3:$I$302,E172),""))</f>
        <v/>
      </c>
      <c r="L172" s="23">
        <f>IF(OR(J172&lt;&gt;"要調整",F172=""),"",IFERROR(INDEX(設定!$H$8:$I$27,MATCH(F172,設定!$G$8:$G$27,0),IF($M172=設定!$H$6&amp;"",1,2))-COUNTIFS($M$3:$M$302,M172,$I$3:$I$302,F172),""))</f>
        <v/>
      </c>
      <c r="M172" s="8">
        <f>IF(N172="","",INDEX(児童名簿!$A$2:$A$301,N172)&amp;"")</f>
        <v/>
      </c>
      <c r="N172" s="8">
        <f>IFERROR(MATCH(SMALL(児童名簿!$G$2:$G$301,170),児童名簿!$G$2:$G$301,0),"")</f>
        <v/>
      </c>
      <c r="O172" s="8">
        <f>IF(P172="","",IFERROR(MATCH(P172,希望入力!$K$2:$K$401,0),""))</f>
        <v/>
      </c>
      <c r="P172" s="8">
        <f>IF(N172="","",INDEX(児童名簿!$F$2:$F$301,N172))</f>
        <v/>
      </c>
      <c r="Q172" s="8">
        <f>IF(I172="","",IFERROR(MATCH(I172,設定!$G$8:$G$27,0),""))</f>
        <v/>
      </c>
      <c r="R172" s="8">
        <f>IF(Q172="","",COUNTIF($Q$3:Q172,Q172))</f>
        <v/>
      </c>
      <c r="S172" s="8">
        <f>IF(Q172="","",Q172*1000+R172)</f>
        <v/>
      </c>
    </row>
    <row r="173">
      <c r="A173" s="23">
        <f>IF(N173="","",IFERROR(INDEX(設定!$C$8:$C$23,INT(INDEX(児童名簿!$G$2:$G$301,N173)/1000)),M173&amp;INDEX(児童名簿!$B$2:$B$301,N173)))</f>
        <v/>
      </c>
      <c r="B173" s="23">
        <f>IF(N173="","",INDEX(児童名簿!$C$2:$C$301,N173))</f>
        <v/>
      </c>
      <c r="C173" s="3">
        <f>IF(N173="","",INDEX(児童名簿!$D$2:$D$301,N173))</f>
        <v/>
      </c>
      <c r="D173" s="23">
        <f>IF(O173="","",INDEX(希望入力!$D$2:$D$401,O173)&amp;"")</f>
        <v/>
      </c>
      <c r="E173" s="23">
        <f>IF(O173="","",INDEX(希望入力!$E$2:$E$401,O173)&amp;"")</f>
        <v/>
      </c>
      <c r="F173" s="23">
        <f>IF(O173="","",INDEX(希望入力!$F$2:$F$401,O173)&amp;"")</f>
        <v/>
      </c>
      <c r="G173" s="23">
        <f>IF(O173="","",IF(D173="","要調整",IFERROR(IF(COUNTIFS($M$3:$M$302,M173,$D$3:$D$302,D173)&lt;=INDEX(設定!$H$8:$I$27,MATCH(D173,設定!$G$8:$G$27,0),IF($M173=設定!$H$6&amp;"",1,2)),D173,"要調整"),"要調整")))</f>
        <v/>
      </c>
      <c r="H173" s="15" t="n"/>
      <c r="I173" s="24">
        <f>IF(N173="","",IF(H173&lt;&gt;"",H173,IF(OR(G173="",G173="要調整"),"",G173)))</f>
        <v/>
      </c>
      <c r="J173" s="23">
        <f>IF(N173="","",IF(I173&lt;&gt;"","決定",IF(O173="","未提出","要調整")))</f>
        <v/>
      </c>
      <c r="K173" s="23">
        <f>IF(OR(J173&lt;&gt;"要調整",E173=""),"",IFERROR(INDEX(設定!$H$8:$I$27,MATCH(E173,設定!$G$8:$G$27,0),IF($M173=設定!$H$6&amp;"",1,2))-COUNTIFS($M$3:$M$302,M173,$I$3:$I$302,E173),""))</f>
        <v/>
      </c>
      <c r="L173" s="23">
        <f>IF(OR(J173&lt;&gt;"要調整",F173=""),"",IFERROR(INDEX(設定!$H$8:$I$27,MATCH(F173,設定!$G$8:$G$27,0),IF($M173=設定!$H$6&amp;"",1,2))-COUNTIFS($M$3:$M$302,M173,$I$3:$I$302,F173),""))</f>
        <v/>
      </c>
      <c r="M173" s="8">
        <f>IF(N173="","",INDEX(児童名簿!$A$2:$A$301,N173)&amp;"")</f>
        <v/>
      </c>
      <c r="N173" s="8">
        <f>IFERROR(MATCH(SMALL(児童名簿!$G$2:$G$301,171),児童名簿!$G$2:$G$301,0),"")</f>
        <v/>
      </c>
      <c r="O173" s="8">
        <f>IF(P173="","",IFERROR(MATCH(P173,希望入力!$K$2:$K$401,0),""))</f>
        <v/>
      </c>
      <c r="P173" s="8">
        <f>IF(N173="","",INDEX(児童名簿!$F$2:$F$301,N173))</f>
        <v/>
      </c>
      <c r="Q173" s="8">
        <f>IF(I173="","",IFERROR(MATCH(I173,設定!$G$8:$G$27,0),""))</f>
        <v/>
      </c>
      <c r="R173" s="8">
        <f>IF(Q173="","",COUNTIF($Q$3:Q173,Q173))</f>
        <v/>
      </c>
      <c r="S173" s="8">
        <f>IF(Q173="","",Q173*1000+R173)</f>
        <v/>
      </c>
    </row>
    <row r="174">
      <c r="A174" s="23">
        <f>IF(N174="","",IFERROR(INDEX(設定!$C$8:$C$23,INT(INDEX(児童名簿!$G$2:$G$301,N174)/1000)),M174&amp;INDEX(児童名簿!$B$2:$B$301,N174)))</f>
        <v/>
      </c>
      <c r="B174" s="23">
        <f>IF(N174="","",INDEX(児童名簿!$C$2:$C$301,N174))</f>
        <v/>
      </c>
      <c r="C174" s="3">
        <f>IF(N174="","",INDEX(児童名簿!$D$2:$D$301,N174))</f>
        <v/>
      </c>
      <c r="D174" s="23">
        <f>IF(O174="","",INDEX(希望入力!$D$2:$D$401,O174)&amp;"")</f>
        <v/>
      </c>
      <c r="E174" s="23">
        <f>IF(O174="","",INDEX(希望入力!$E$2:$E$401,O174)&amp;"")</f>
        <v/>
      </c>
      <c r="F174" s="23">
        <f>IF(O174="","",INDEX(希望入力!$F$2:$F$401,O174)&amp;"")</f>
        <v/>
      </c>
      <c r="G174" s="23">
        <f>IF(O174="","",IF(D174="","要調整",IFERROR(IF(COUNTIFS($M$3:$M$302,M174,$D$3:$D$302,D174)&lt;=INDEX(設定!$H$8:$I$27,MATCH(D174,設定!$G$8:$G$27,0),IF($M174=設定!$H$6&amp;"",1,2)),D174,"要調整"),"要調整")))</f>
        <v/>
      </c>
      <c r="H174" s="15" t="n"/>
      <c r="I174" s="24">
        <f>IF(N174="","",IF(H174&lt;&gt;"",H174,IF(OR(G174="",G174="要調整"),"",G174)))</f>
        <v/>
      </c>
      <c r="J174" s="23">
        <f>IF(N174="","",IF(I174&lt;&gt;"","決定",IF(O174="","未提出","要調整")))</f>
        <v/>
      </c>
      <c r="K174" s="23">
        <f>IF(OR(J174&lt;&gt;"要調整",E174=""),"",IFERROR(INDEX(設定!$H$8:$I$27,MATCH(E174,設定!$G$8:$G$27,0),IF($M174=設定!$H$6&amp;"",1,2))-COUNTIFS($M$3:$M$302,M174,$I$3:$I$302,E174),""))</f>
        <v/>
      </c>
      <c r="L174" s="23">
        <f>IF(OR(J174&lt;&gt;"要調整",F174=""),"",IFERROR(INDEX(設定!$H$8:$I$27,MATCH(F174,設定!$G$8:$G$27,0),IF($M174=設定!$H$6&amp;"",1,2))-COUNTIFS($M$3:$M$302,M174,$I$3:$I$302,F174),""))</f>
        <v/>
      </c>
      <c r="M174" s="8">
        <f>IF(N174="","",INDEX(児童名簿!$A$2:$A$301,N174)&amp;"")</f>
        <v/>
      </c>
      <c r="N174" s="8">
        <f>IFERROR(MATCH(SMALL(児童名簿!$G$2:$G$301,172),児童名簿!$G$2:$G$301,0),"")</f>
        <v/>
      </c>
      <c r="O174" s="8">
        <f>IF(P174="","",IFERROR(MATCH(P174,希望入力!$K$2:$K$401,0),""))</f>
        <v/>
      </c>
      <c r="P174" s="8">
        <f>IF(N174="","",INDEX(児童名簿!$F$2:$F$301,N174))</f>
        <v/>
      </c>
      <c r="Q174" s="8">
        <f>IF(I174="","",IFERROR(MATCH(I174,設定!$G$8:$G$27,0),""))</f>
        <v/>
      </c>
      <c r="R174" s="8">
        <f>IF(Q174="","",COUNTIF($Q$3:Q174,Q174))</f>
        <v/>
      </c>
      <c r="S174" s="8">
        <f>IF(Q174="","",Q174*1000+R174)</f>
        <v/>
      </c>
    </row>
    <row r="175">
      <c r="A175" s="23">
        <f>IF(N175="","",IFERROR(INDEX(設定!$C$8:$C$23,INT(INDEX(児童名簿!$G$2:$G$301,N175)/1000)),M175&amp;INDEX(児童名簿!$B$2:$B$301,N175)))</f>
        <v/>
      </c>
      <c r="B175" s="23">
        <f>IF(N175="","",INDEX(児童名簿!$C$2:$C$301,N175))</f>
        <v/>
      </c>
      <c r="C175" s="3">
        <f>IF(N175="","",INDEX(児童名簿!$D$2:$D$301,N175))</f>
        <v/>
      </c>
      <c r="D175" s="23">
        <f>IF(O175="","",INDEX(希望入力!$D$2:$D$401,O175)&amp;"")</f>
        <v/>
      </c>
      <c r="E175" s="23">
        <f>IF(O175="","",INDEX(希望入力!$E$2:$E$401,O175)&amp;"")</f>
        <v/>
      </c>
      <c r="F175" s="23">
        <f>IF(O175="","",INDEX(希望入力!$F$2:$F$401,O175)&amp;"")</f>
        <v/>
      </c>
      <c r="G175" s="23">
        <f>IF(O175="","",IF(D175="","要調整",IFERROR(IF(COUNTIFS($M$3:$M$302,M175,$D$3:$D$302,D175)&lt;=INDEX(設定!$H$8:$I$27,MATCH(D175,設定!$G$8:$G$27,0),IF($M175=設定!$H$6&amp;"",1,2)),D175,"要調整"),"要調整")))</f>
        <v/>
      </c>
      <c r="H175" s="15" t="n"/>
      <c r="I175" s="24">
        <f>IF(N175="","",IF(H175&lt;&gt;"",H175,IF(OR(G175="",G175="要調整"),"",G175)))</f>
        <v/>
      </c>
      <c r="J175" s="23">
        <f>IF(N175="","",IF(I175&lt;&gt;"","決定",IF(O175="","未提出","要調整")))</f>
        <v/>
      </c>
      <c r="K175" s="23">
        <f>IF(OR(J175&lt;&gt;"要調整",E175=""),"",IFERROR(INDEX(設定!$H$8:$I$27,MATCH(E175,設定!$G$8:$G$27,0),IF($M175=設定!$H$6&amp;"",1,2))-COUNTIFS($M$3:$M$302,M175,$I$3:$I$302,E175),""))</f>
        <v/>
      </c>
      <c r="L175" s="23">
        <f>IF(OR(J175&lt;&gt;"要調整",F175=""),"",IFERROR(INDEX(設定!$H$8:$I$27,MATCH(F175,設定!$G$8:$G$27,0),IF($M175=設定!$H$6&amp;"",1,2))-COUNTIFS($M$3:$M$302,M175,$I$3:$I$302,F175),""))</f>
        <v/>
      </c>
      <c r="M175" s="8">
        <f>IF(N175="","",INDEX(児童名簿!$A$2:$A$301,N175)&amp;"")</f>
        <v/>
      </c>
      <c r="N175" s="8">
        <f>IFERROR(MATCH(SMALL(児童名簿!$G$2:$G$301,173),児童名簿!$G$2:$G$301,0),"")</f>
        <v/>
      </c>
      <c r="O175" s="8">
        <f>IF(P175="","",IFERROR(MATCH(P175,希望入力!$K$2:$K$401,0),""))</f>
        <v/>
      </c>
      <c r="P175" s="8">
        <f>IF(N175="","",INDEX(児童名簿!$F$2:$F$301,N175))</f>
        <v/>
      </c>
      <c r="Q175" s="8">
        <f>IF(I175="","",IFERROR(MATCH(I175,設定!$G$8:$G$27,0),""))</f>
        <v/>
      </c>
      <c r="R175" s="8">
        <f>IF(Q175="","",COUNTIF($Q$3:Q175,Q175))</f>
        <v/>
      </c>
      <c r="S175" s="8">
        <f>IF(Q175="","",Q175*1000+R175)</f>
        <v/>
      </c>
    </row>
    <row r="176">
      <c r="A176" s="23">
        <f>IF(N176="","",IFERROR(INDEX(設定!$C$8:$C$23,INT(INDEX(児童名簿!$G$2:$G$301,N176)/1000)),M176&amp;INDEX(児童名簿!$B$2:$B$301,N176)))</f>
        <v/>
      </c>
      <c r="B176" s="23">
        <f>IF(N176="","",INDEX(児童名簿!$C$2:$C$301,N176))</f>
        <v/>
      </c>
      <c r="C176" s="3">
        <f>IF(N176="","",INDEX(児童名簿!$D$2:$D$301,N176))</f>
        <v/>
      </c>
      <c r="D176" s="23">
        <f>IF(O176="","",INDEX(希望入力!$D$2:$D$401,O176)&amp;"")</f>
        <v/>
      </c>
      <c r="E176" s="23">
        <f>IF(O176="","",INDEX(希望入力!$E$2:$E$401,O176)&amp;"")</f>
        <v/>
      </c>
      <c r="F176" s="23">
        <f>IF(O176="","",INDEX(希望入力!$F$2:$F$401,O176)&amp;"")</f>
        <v/>
      </c>
      <c r="G176" s="23">
        <f>IF(O176="","",IF(D176="","要調整",IFERROR(IF(COUNTIFS($M$3:$M$302,M176,$D$3:$D$302,D176)&lt;=INDEX(設定!$H$8:$I$27,MATCH(D176,設定!$G$8:$G$27,0),IF($M176=設定!$H$6&amp;"",1,2)),D176,"要調整"),"要調整")))</f>
        <v/>
      </c>
      <c r="H176" s="15" t="n"/>
      <c r="I176" s="24">
        <f>IF(N176="","",IF(H176&lt;&gt;"",H176,IF(OR(G176="",G176="要調整"),"",G176)))</f>
        <v/>
      </c>
      <c r="J176" s="23">
        <f>IF(N176="","",IF(I176&lt;&gt;"","決定",IF(O176="","未提出","要調整")))</f>
        <v/>
      </c>
      <c r="K176" s="23">
        <f>IF(OR(J176&lt;&gt;"要調整",E176=""),"",IFERROR(INDEX(設定!$H$8:$I$27,MATCH(E176,設定!$G$8:$G$27,0),IF($M176=設定!$H$6&amp;"",1,2))-COUNTIFS($M$3:$M$302,M176,$I$3:$I$302,E176),""))</f>
        <v/>
      </c>
      <c r="L176" s="23">
        <f>IF(OR(J176&lt;&gt;"要調整",F176=""),"",IFERROR(INDEX(設定!$H$8:$I$27,MATCH(F176,設定!$G$8:$G$27,0),IF($M176=設定!$H$6&amp;"",1,2))-COUNTIFS($M$3:$M$302,M176,$I$3:$I$302,F176),""))</f>
        <v/>
      </c>
      <c r="M176" s="8">
        <f>IF(N176="","",INDEX(児童名簿!$A$2:$A$301,N176)&amp;"")</f>
        <v/>
      </c>
      <c r="N176" s="8">
        <f>IFERROR(MATCH(SMALL(児童名簿!$G$2:$G$301,174),児童名簿!$G$2:$G$301,0),"")</f>
        <v/>
      </c>
      <c r="O176" s="8">
        <f>IF(P176="","",IFERROR(MATCH(P176,希望入力!$K$2:$K$401,0),""))</f>
        <v/>
      </c>
      <c r="P176" s="8">
        <f>IF(N176="","",INDEX(児童名簿!$F$2:$F$301,N176))</f>
        <v/>
      </c>
      <c r="Q176" s="8">
        <f>IF(I176="","",IFERROR(MATCH(I176,設定!$G$8:$G$27,0),""))</f>
        <v/>
      </c>
      <c r="R176" s="8">
        <f>IF(Q176="","",COUNTIF($Q$3:Q176,Q176))</f>
        <v/>
      </c>
      <c r="S176" s="8">
        <f>IF(Q176="","",Q176*1000+R176)</f>
        <v/>
      </c>
    </row>
    <row r="177">
      <c r="A177" s="23">
        <f>IF(N177="","",IFERROR(INDEX(設定!$C$8:$C$23,INT(INDEX(児童名簿!$G$2:$G$301,N177)/1000)),M177&amp;INDEX(児童名簿!$B$2:$B$301,N177)))</f>
        <v/>
      </c>
      <c r="B177" s="23">
        <f>IF(N177="","",INDEX(児童名簿!$C$2:$C$301,N177))</f>
        <v/>
      </c>
      <c r="C177" s="3">
        <f>IF(N177="","",INDEX(児童名簿!$D$2:$D$301,N177))</f>
        <v/>
      </c>
      <c r="D177" s="23">
        <f>IF(O177="","",INDEX(希望入力!$D$2:$D$401,O177)&amp;"")</f>
        <v/>
      </c>
      <c r="E177" s="23">
        <f>IF(O177="","",INDEX(希望入力!$E$2:$E$401,O177)&amp;"")</f>
        <v/>
      </c>
      <c r="F177" s="23">
        <f>IF(O177="","",INDEX(希望入力!$F$2:$F$401,O177)&amp;"")</f>
        <v/>
      </c>
      <c r="G177" s="23">
        <f>IF(O177="","",IF(D177="","要調整",IFERROR(IF(COUNTIFS($M$3:$M$302,M177,$D$3:$D$302,D177)&lt;=INDEX(設定!$H$8:$I$27,MATCH(D177,設定!$G$8:$G$27,0),IF($M177=設定!$H$6&amp;"",1,2)),D177,"要調整"),"要調整")))</f>
        <v/>
      </c>
      <c r="H177" s="15" t="n"/>
      <c r="I177" s="24">
        <f>IF(N177="","",IF(H177&lt;&gt;"",H177,IF(OR(G177="",G177="要調整"),"",G177)))</f>
        <v/>
      </c>
      <c r="J177" s="23">
        <f>IF(N177="","",IF(I177&lt;&gt;"","決定",IF(O177="","未提出","要調整")))</f>
        <v/>
      </c>
      <c r="K177" s="23">
        <f>IF(OR(J177&lt;&gt;"要調整",E177=""),"",IFERROR(INDEX(設定!$H$8:$I$27,MATCH(E177,設定!$G$8:$G$27,0),IF($M177=設定!$H$6&amp;"",1,2))-COUNTIFS($M$3:$M$302,M177,$I$3:$I$302,E177),""))</f>
        <v/>
      </c>
      <c r="L177" s="23">
        <f>IF(OR(J177&lt;&gt;"要調整",F177=""),"",IFERROR(INDEX(設定!$H$8:$I$27,MATCH(F177,設定!$G$8:$G$27,0),IF($M177=設定!$H$6&amp;"",1,2))-COUNTIFS($M$3:$M$302,M177,$I$3:$I$302,F177),""))</f>
        <v/>
      </c>
      <c r="M177" s="8">
        <f>IF(N177="","",INDEX(児童名簿!$A$2:$A$301,N177)&amp;"")</f>
        <v/>
      </c>
      <c r="N177" s="8">
        <f>IFERROR(MATCH(SMALL(児童名簿!$G$2:$G$301,175),児童名簿!$G$2:$G$301,0),"")</f>
        <v/>
      </c>
      <c r="O177" s="8">
        <f>IF(P177="","",IFERROR(MATCH(P177,希望入力!$K$2:$K$401,0),""))</f>
        <v/>
      </c>
      <c r="P177" s="8">
        <f>IF(N177="","",INDEX(児童名簿!$F$2:$F$301,N177))</f>
        <v/>
      </c>
      <c r="Q177" s="8">
        <f>IF(I177="","",IFERROR(MATCH(I177,設定!$G$8:$G$27,0),""))</f>
        <v/>
      </c>
      <c r="R177" s="8">
        <f>IF(Q177="","",COUNTIF($Q$3:Q177,Q177))</f>
        <v/>
      </c>
      <c r="S177" s="8">
        <f>IF(Q177="","",Q177*1000+R177)</f>
        <v/>
      </c>
    </row>
    <row r="178">
      <c r="A178" s="23">
        <f>IF(N178="","",IFERROR(INDEX(設定!$C$8:$C$23,INT(INDEX(児童名簿!$G$2:$G$301,N178)/1000)),M178&amp;INDEX(児童名簿!$B$2:$B$301,N178)))</f>
        <v/>
      </c>
      <c r="B178" s="23">
        <f>IF(N178="","",INDEX(児童名簿!$C$2:$C$301,N178))</f>
        <v/>
      </c>
      <c r="C178" s="3">
        <f>IF(N178="","",INDEX(児童名簿!$D$2:$D$301,N178))</f>
        <v/>
      </c>
      <c r="D178" s="23">
        <f>IF(O178="","",INDEX(希望入力!$D$2:$D$401,O178)&amp;"")</f>
        <v/>
      </c>
      <c r="E178" s="23">
        <f>IF(O178="","",INDEX(希望入力!$E$2:$E$401,O178)&amp;"")</f>
        <v/>
      </c>
      <c r="F178" s="23">
        <f>IF(O178="","",INDEX(希望入力!$F$2:$F$401,O178)&amp;"")</f>
        <v/>
      </c>
      <c r="G178" s="23">
        <f>IF(O178="","",IF(D178="","要調整",IFERROR(IF(COUNTIFS($M$3:$M$302,M178,$D$3:$D$302,D178)&lt;=INDEX(設定!$H$8:$I$27,MATCH(D178,設定!$G$8:$G$27,0),IF($M178=設定!$H$6&amp;"",1,2)),D178,"要調整"),"要調整")))</f>
        <v/>
      </c>
      <c r="H178" s="15" t="n"/>
      <c r="I178" s="24">
        <f>IF(N178="","",IF(H178&lt;&gt;"",H178,IF(OR(G178="",G178="要調整"),"",G178)))</f>
        <v/>
      </c>
      <c r="J178" s="23">
        <f>IF(N178="","",IF(I178&lt;&gt;"","決定",IF(O178="","未提出","要調整")))</f>
        <v/>
      </c>
      <c r="K178" s="23">
        <f>IF(OR(J178&lt;&gt;"要調整",E178=""),"",IFERROR(INDEX(設定!$H$8:$I$27,MATCH(E178,設定!$G$8:$G$27,0),IF($M178=設定!$H$6&amp;"",1,2))-COUNTIFS($M$3:$M$302,M178,$I$3:$I$302,E178),""))</f>
        <v/>
      </c>
      <c r="L178" s="23">
        <f>IF(OR(J178&lt;&gt;"要調整",F178=""),"",IFERROR(INDEX(設定!$H$8:$I$27,MATCH(F178,設定!$G$8:$G$27,0),IF($M178=設定!$H$6&amp;"",1,2))-COUNTIFS($M$3:$M$302,M178,$I$3:$I$302,F178),""))</f>
        <v/>
      </c>
      <c r="M178" s="8">
        <f>IF(N178="","",INDEX(児童名簿!$A$2:$A$301,N178)&amp;"")</f>
        <v/>
      </c>
      <c r="N178" s="8">
        <f>IFERROR(MATCH(SMALL(児童名簿!$G$2:$G$301,176),児童名簿!$G$2:$G$301,0),"")</f>
        <v/>
      </c>
      <c r="O178" s="8">
        <f>IF(P178="","",IFERROR(MATCH(P178,希望入力!$K$2:$K$401,0),""))</f>
        <v/>
      </c>
      <c r="P178" s="8">
        <f>IF(N178="","",INDEX(児童名簿!$F$2:$F$301,N178))</f>
        <v/>
      </c>
      <c r="Q178" s="8">
        <f>IF(I178="","",IFERROR(MATCH(I178,設定!$G$8:$G$27,0),""))</f>
        <v/>
      </c>
      <c r="R178" s="8">
        <f>IF(Q178="","",COUNTIF($Q$3:Q178,Q178))</f>
        <v/>
      </c>
      <c r="S178" s="8">
        <f>IF(Q178="","",Q178*1000+R178)</f>
        <v/>
      </c>
    </row>
    <row r="179">
      <c r="A179" s="23">
        <f>IF(N179="","",IFERROR(INDEX(設定!$C$8:$C$23,INT(INDEX(児童名簿!$G$2:$G$301,N179)/1000)),M179&amp;INDEX(児童名簿!$B$2:$B$301,N179)))</f>
        <v/>
      </c>
      <c r="B179" s="23">
        <f>IF(N179="","",INDEX(児童名簿!$C$2:$C$301,N179))</f>
        <v/>
      </c>
      <c r="C179" s="3">
        <f>IF(N179="","",INDEX(児童名簿!$D$2:$D$301,N179))</f>
        <v/>
      </c>
      <c r="D179" s="23">
        <f>IF(O179="","",INDEX(希望入力!$D$2:$D$401,O179)&amp;"")</f>
        <v/>
      </c>
      <c r="E179" s="23">
        <f>IF(O179="","",INDEX(希望入力!$E$2:$E$401,O179)&amp;"")</f>
        <v/>
      </c>
      <c r="F179" s="23">
        <f>IF(O179="","",INDEX(希望入力!$F$2:$F$401,O179)&amp;"")</f>
        <v/>
      </c>
      <c r="G179" s="23">
        <f>IF(O179="","",IF(D179="","要調整",IFERROR(IF(COUNTIFS($M$3:$M$302,M179,$D$3:$D$302,D179)&lt;=INDEX(設定!$H$8:$I$27,MATCH(D179,設定!$G$8:$G$27,0),IF($M179=設定!$H$6&amp;"",1,2)),D179,"要調整"),"要調整")))</f>
        <v/>
      </c>
      <c r="H179" s="15" t="n"/>
      <c r="I179" s="24">
        <f>IF(N179="","",IF(H179&lt;&gt;"",H179,IF(OR(G179="",G179="要調整"),"",G179)))</f>
        <v/>
      </c>
      <c r="J179" s="23">
        <f>IF(N179="","",IF(I179&lt;&gt;"","決定",IF(O179="","未提出","要調整")))</f>
        <v/>
      </c>
      <c r="K179" s="23">
        <f>IF(OR(J179&lt;&gt;"要調整",E179=""),"",IFERROR(INDEX(設定!$H$8:$I$27,MATCH(E179,設定!$G$8:$G$27,0),IF($M179=設定!$H$6&amp;"",1,2))-COUNTIFS($M$3:$M$302,M179,$I$3:$I$302,E179),""))</f>
        <v/>
      </c>
      <c r="L179" s="23">
        <f>IF(OR(J179&lt;&gt;"要調整",F179=""),"",IFERROR(INDEX(設定!$H$8:$I$27,MATCH(F179,設定!$G$8:$G$27,0),IF($M179=設定!$H$6&amp;"",1,2))-COUNTIFS($M$3:$M$302,M179,$I$3:$I$302,F179),""))</f>
        <v/>
      </c>
      <c r="M179" s="8">
        <f>IF(N179="","",INDEX(児童名簿!$A$2:$A$301,N179)&amp;"")</f>
        <v/>
      </c>
      <c r="N179" s="8">
        <f>IFERROR(MATCH(SMALL(児童名簿!$G$2:$G$301,177),児童名簿!$G$2:$G$301,0),"")</f>
        <v/>
      </c>
      <c r="O179" s="8">
        <f>IF(P179="","",IFERROR(MATCH(P179,希望入力!$K$2:$K$401,0),""))</f>
        <v/>
      </c>
      <c r="P179" s="8">
        <f>IF(N179="","",INDEX(児童名簿!$F$2:$F$301,N179))</f>
        <v/>
      </c>
      <c r="Q179" s="8">
        <f>IF(I179="","",IFERROR(MATCH(I179,設定!$G$8:$G$27,0),""))</f>
        <v/>
      </c>
      <c r="R179" s="8">
        <f>IF(Q179="","",COUNTIF($Q$3:Q179,Q179))</f>
        <v/>
      </c>
      <c r="S179" s="8">
        <f>IF(Q179="","",Q179*1000+R179)</f>
        <v/>
      </c>
    </row>
    <row r="180">
      <c r="A180" s="23">
        <f>IF(N180="","",IFERROR(INDEX(設定!$C$8:$C$23,INT(INDEX(児童名簿!$G$2:$G$301,N180)/1000)),M180&amp;INDEX(児童名簿!$B$2:$B$301,N180)))</f>
        <v/>
      </c>
      <c r="B180" s="23">
        <f>IF(N180="","",INDEX(児童名簿!$C$2:$C$301,N180))</f>
        <v/>
      </c>
      <c r="C180" s="3">
        <f>IF(N180="","",INDEX(児童名簿!$D$2:$D$301,N180))</f>
        <v/>
      </c>
      <c r="D180" s="23">
        <f>IF(O180="","",INDEX(希望入力!$D$2:$D$401,O180)&amp;"")</f>
        <v/>
      </c>
      <c r="E180" s="23">
        <f>IF(O180="","",INDEX(希望入力!$E$2:$E$401,O180)&amp;"")</f>
        <v/>
      </c>
      <c r="F180" s="23">
        <f>IF(O180="","",INDEX(希望入力!$F$2:$F$401,O180)&amp;"")</f>
        <v/>
      </c>
      <c r="G180" s="23">
        <f>IF(O180="","",IF(D180="","要調整",IFERROR(IF(COUNTIFS($M$3:$M$302,M180,$D$3:$D$302,D180)&lt;=INDEX(設定!$H$8:$I$27,MATCH(D180,設定!$G$8:$G$27,0),IF($M180=設定!$H$6&amp;"",1,2)),D180,"要調整"),"要調整")))</f>
        <v/>
      </c>
      <c r="H180" s="15" t="n"/>
      <c r="I180" s="24">
        <f>IF(N180="","",IF(H180&lt;&gt;"",H180,IF(OR(G180="",G180="要調整"),"",G180)))</f>
        <v/>
      </c>
      <c r="J180" s="23">
        <f>IF(N180="","",IF(I180&lt;&gt;"","決定",IF(O180="","未提出","要調整")))</f>
        <v/>
      </c>
      <c r="K180" s="23">
        <f>IF(OR(J180&lt;&gt;"要調整",E180=""),"",IFERROR(INDEX(設定!$H$8:$I$27,MATCH(E180,設定!$G$8:$G$27,0),IF($M180=設定!$H$6&amp;"",1,2))-COUNTIFS($M$3:$M$302,M180,$I$3:$I$302,E180),""))</f>
        <v/>
      </c>
      <c r="L180" s="23">
        <f>IF(OR(J180&lt;&gt;"要調整",F180=""),"",IFERROR(INDEX(設定!$H$8:$I$27,MATCH(F180,設定!$G$8:$G$27,0),IF($M180=設定!$H$6&amp;"",1,2))-COUNTIFS($M$3:$M$302,M180,$I$3:$I$302,F180),""))</f>
        <v/>
      </c>
      <c r="M180" s="8">
        <f>IF(N180="","",INDEX(児童名簿!$A$2:$A$301,N180)&amp;"")</f>
        <v/>
      </c>
      <c r="N180" s="8">
        <f>IFERROR(MATCH(SMALL(児童名簿!$G$2:$G$301,178),児童名簿!$G$2:$G$301,0),"")</f>
        <v/>
      </c>
      <c r="O180" s="8">
        <f>IF(P180="","",IFERROR(MATCH(P180,希望入力!$K$2:$K$401,0),""))</f>
        <v/>
      </c>
      <c r="P180" s="8">
        <f>IF(N180="","",INDEX(児童名簿!$F$2:$F$301,N180))</f>
        <v/>
      </c>
      <c r="Q180" s="8">
        <f>IF(I180="","",IFERROR(MATCH(I180,設定!$G$8:$G$27,0),""))</f>
        <v/>
      </c>
      <c r="R180" s="8">
        <f>IF(Q180="","",COUNTIF($Q$3:Q180,Q180))</f>
        <v/>
      </c>
      <c r="S180" s="8">
        <f>IF(Q180="","",Q180*1000+R180)</f>
        <v/>
      </c>
    </row>
    <row r="181">
      <c r="A181" s="23">
        <f>IF(N181="","",IFERROR(INDEX(設定!$C$8:$C$23,INT(INDEX(児童名簿!$G$2:$G$301,N181)/1000)),M181&amp;INDEX(児童名簿!$B$2:$B$301,N181)))</f>
        <v/>
      </c>
      <c r="B181" s="23">
        <f>IF(N181="","",INDEX(児童名簿!$C$2:$C$301,N181))</f>
        <v/>
      </c>
      <c r="C181" s="3">
        <f>IF(N181="","",INDEX(児童名簿!$D$2:$D$301,N181))</f>
        <v/>
      </c>
      <c r="D181" s="23">
        <f>IF(O181="","",INDEX(希望入力!$D$2:$D$401,O181)&amp;"")</f>
        <v/>
      </c>
      <c r="E181" s="23">
        <f>IF(O181="","",INDEX(希望入力!$E$2:$E$401,O181)&amp;"")</f>
        <v/>
      </c>
      <c r="F181" s="23">
        <f>IF(O181="","",INDEX(希望入力!$F$2:$F$401,O181)&amp;"")</f>
        <v/>
      </c>
      <c r="G181" s="23">
        <f>IF(O181="","",IF(D181="","要調整",IFERROR(IF(COUNTIFS($M$3:$M$302,M181,$D$3:$D$302,D181)&lt;=INDEX(設定!$H$8:$I$27,MATCH(D181,設定!$G$8:$G$27,0),IF($M181=設定!$H$6&amp;"",1,2)),D181,"要調整"),"要調整")))</f>
        <v/>
      </c>
      <c r="H181" s="15" t="n"/>
      <c r="I181" s="24">
        <f>IF(N181="","",IF(H181&lt;&gt;"",H181,IF(OR(G181="",G181="要調整"),"",G181)))</f>
        <v/>
      </c>
      <c r="J181" s="23">
        <f>IF(N181="","",IF(I181&lt;&gt;"","決定",IF(O181="","未提出","要調整")))</f>
        <v/>
      </c>
      <c r="K181" s="23">
        <f>IF(OR(J181&lt;&gt;"要調整",E181=""),"",IFERROR(INDEX(設定!$H$8:$I$27,MATCH(E181,設定!$G$8:$G$27,0),IF($M181=設定!$H$6&amp;"",1,2))-COUNTIFS($M$3:$M$302,M181,$I$3:$I$302,E181),""))</f>
        <v/>
      </c>
      <c r="L181" s="23">
        <f>IF(OR(J181&lt;&gt;"要調整",F181=""),"",IFERROR(INDEX(設定!$H$8:$I$27,MATCH(F181,設定!$G$8:$G$27,0),IF($M181=設定!$H$6&amp;"",1,2))-COUNTIFS($M$3:$M$302,M181,$I$3:$I$302,F181),""))</f>
        <v/>
      </c>
      <c r="M181" s="8">
        <f>IF(N181="","",INDEX(児童名簿!$A$2:$A$301,N181)&amp;"")</f>
        <v/>
      </c>
      <c r="N181" s="8">
        <f>IFERROR(MATCH(SMALL(児童名簿!$G$2:$G$301,179),児童名簿!$G$2:$G$301,0),"")</f>
        <v/>
      </c>
      <c r="O181" s="8">
        <f>IF(P181="","",IFERROR(MATCH(P181,希望入力!$K$2:$K$401,0),""))</f>
        <v/>
      </c>
      <c r="P181" s="8">
        <f>IF(N181="","",INDEX(児童名簿!$F$2:$F$301,N181))</f>
        <v/>
      </c>
      <c r="Q181" s="8">
        <f>IF(I181="","",IFERROR(MATCH(I181,設定!$G$8:$G$27,0),""))</f>
        <v/>
      </c>
      <c r="R181" s="8">
        <f>IF(Q181="","",COUNTIF($Q$3:Q181,Q181))</f>
        <v/>
      </c>
      <c r="S181" s="8">
        <f>IF(Q181="","",Q181*1000+R181)</f>
        <v/>
      </c>
    </row>
    <row r="182">
      <c r="A182" s="23">
        <f>IF(N182="","",IFERROR(INDEX(設定!$C$8:$C$23,INT(INDEX(児童名簿!$G$2:$G$301,N182)/1000)),M182&amp;INDEX(児童名簿!$B$2:$B$301,N182)))</f>
        <v/>
      </c>
      <c r="B182" s="23">
        <f>IF(N182="","",INDEX(児童名簿!$C$2:$C$301,N182))</f>
        <v/>
      </c>
      <c r="C182" s="3">
        <f>IF(N182="","",INDEX(児童名簿!$D$2:$D$301,N182))</f>
        <v/>
      </c>
      <c r="D182" s="23">
        <f>IF(O182="","",INDEX(希望入力!$D$2:$D$401,O182)&amp;"")</f>
        <v/>
      </c>
      <c r="E182" s="23">
        <f>IF(O182="","",INDEX(希望入力!$E$2:$E$401,O182)&amp;"")</f>
        <v/>
      </c>
      <c r="F182" s="23">
        <f>IF(O182="","",INDEX(希望入力!$F$2:$F$401,O182)&amp;"")</f>
        <v/>
      </c>
      <c r="G182" s="23">
        <f>IF(O182="","",IF(D182="","要調整",IFERROR(IF(COUNTIFS($M$3:$M$302,M182,$D$3:$D$302,D182)&lt;=INDEX(設定!$H$8:$I$27,MATCH(D182,設定!$G$8:$G$27,0),IF($M182=設定!$H$6&amp;"",1,2)),D182,"要調整"),"要調整")))</f>
        <v/>
      </c>
      <c r="H182" s="15" t="n"/>
      <c r="I182" s="24">
        <f>IF(N182="","",IF(H182&lt;&gt;"",H182,IF(OR(G182="",G182="要調整"),"",G182)))</f>
        <v/>
      </c>
      <c r="J182" s="23">
        <f>IF(N182="","",IF(I182&lt;&gt;"","決定",IF(O182="","未提出","要調整")))</f>
        <v/>
      </c>
      <c r="K182" s="23">
        <f>IF(OR(J182&lt;&gt;"要調整",E182=""),"",IFERROR(INDEX(設定!$H$8:$I$27,MATCH(E182,設定!$G$8:$G$27,0),IF($M182=設定!$H$6&amp;"",1,2))-COUNTIFS($M$3:$M$302,M182,$I$3:$I$302,E182),""))</f>
        <v/>
      </c>
      <c r="L182" s="23">
        <f>IF(OR(J182&lt;&gt;"要調整",F182=""),"",IFERROR(INDEX(設定!$H$8:$I$27,MATCH(F182,設定!$G$8:$G$27,0),IF($M182=設定!$H$6&amp;"",1,2))-COUNTIFS($M$3:$M$302,M182,$I$3:$I$302,F182),""))</f>
        <v/>
      </c>
      <c r="M182" s="8">
        <f>IF(N182="","",INDEX(児童名簿!$A$2:$A$301,N182)&amp;"")</f>
        <v/>
      </c>
      <c r="N182" s="8">
        <f>IFERROR(MATCH(SMALL(児童名簿!$G$2:$G$301,180),児童名簿!$G$2:$G$301,0),"")</f>
        <v/>
      </c>
      <c r="O182" s="8">
        <f>IF(P182="","",IFERROR(MATCH(P182,希望入力!$K$2:$K$401,0),""))</f>
        <v/>
      </c>
      <c r="P182" s="8">
        <f>IF(N182="","",INDEX(児童名簿!$F$2:$F$301,N182))</f>
        <v/>
      </c>
      <c r="Q182" s="8">
        <f>IF(I182="","",IFERROR(MATCH(I182,設定!$G$8:$G$27,0),""))</f>
        <v/>
      </c>
      <c r="R182" s="8">
        <f>IF(Q182="","",COUNTIF($Q$3:Q182,Q182))</f>
        <v/>
      </c>
      <c r="S182" s="8">
        <f>IF(Q182="","",Q182*1000+R182)</f>
        <v/>
      </c>
    </row>
    <row r="183">
      <c r="A183" s="23">
        <f>IF(N183="","",IFERROR(INDEX(設定!$C$8:$C$23,INT(INDEX(児童名簿!$G$2:$G$301,N183)/1000)),M183&amp;INDEX(児童名簿!$B$2:$B$301,N183)))</f>
        <v/>
      </c>
      <c r="B183" s="23">
        <f>IF(N183="","",INDEX(児童名簿!$C$2:$C$301,N183))</f>
        <v/>
      </c>
      <c r="C183" s="3">
        <f>IF(N183="","",INDEX(児童名簿!$D$2:$D$301,N183))</f>
        <v/>
      </c>
      <c r="D183" s="23">
        <f>IF(O183="","",INDEX(希望入力!$D$2:$D$401,O183)&amp;"")</f>
        <v/>
      </c>
      <c r="E183" s="23">
        <f>IF(O183="","",INDEX(希望入力!$E$2:$E$401,O183)&amp;"")</f>
        <v/>
      </c>
      <c r="F183" s="23">
        <f>IF(O183="","",INDEX(希望入力!$F$2:$F$401,O183)&amp;"")</f>
        <v/>
      </c>
      <c r="G183" s="23">
        <f>IF(O183="","",IF(D183="","要調整",IFERROR(IF(COUNTIFS($M$3:$M$302,M183,$D$3:$D$302,D183)&lt;=INDEX(設定!$H$8:$I$27,MATCH(D183,設定!$G$8:$G$27,0),IF($M183=設定!$H$6&amp;"",1,2)),D183,"要調整"),"要調整")))</f>
        <v/>
      </c>
      <c r="H183" s="15" t="n"/>
      <c r="I183" s="24">
        <f>IF(N183="","",IF(H183&lt;&gt;"",H183,IF(OR(G183="",G183="要調整"),"",G183)))</f>
        <v/>
      </c>
      <c r="J183" s="23">
        <f>IF(N183="","",IF(I183&lt;&gt;"","決定",IF(O183="","未提出","要調整")))</f>
        <v/>
      </c>
      <c r="K183" s="23">
        <f>IF(OR(J183&lt;&gt;"要調整",E183=""),"",IFERROR(INDEX(設定!$H$8:$I$27,MATCH(E183,設定!$G$8:$G$27,0),IF($M183=設定!$H$6&amp;"",1,2))-COUNTIFS($M$3:$M$302,M183,$I$3:$I$302,E183),""))</f>
        <v/>
      </c>
      <c r="L183" s="23">
        <f>IF(OR(J183&lt;&gt;"要調整",F183=""),"",IFERROR(INDEX(設定!$H$8:$I$27,MATCH(F183,設定!$G$8:$G$27,0),IF($M183=設定!$H$6&amp;"",1,2))-COUNTIFS($M$3:$M$302,M183,$I$3:$I$302,F183),""))</f>
        <v/>
      </c>
      <c r="M183" s="8">
        <f>IF(N183="","",INDEX(児童名簿!$A$2:$A$301,N183)&amp;"")</f>
        <v/>
      </c>
      <c r="N183" s="8">
        <f>IFERROR(MATCH(SMALL(児童名簿!$G$2:$G$301,181),児童名簿!$G$2:$G$301,0),"")</f>
        <v/>
      </c>
      <c r="O183" s="8">
        <f>IF(P183="","",IFERROR(MATCH(P183,希望入力!$K$2:$K$401,0),""))</f>
        <v/>
      </c>
      <c r="P183" s="8">
        <f>IF(N183="","",INDEX(児童名簿!$F$2:$F$301,N183))</f>
        <v/>
      </c>
      <c r="Q183" s="8">
        <f>IF(I183="","",IFERROR(MATCH(I183,設定!$G$8:$G$27,0),""))</f>
        <v/>
      </c>
      <c r="R183" s="8">
        <f>IF(Q183="","",COUNTIF($Q$3:Q183,Q183))</f>
        <v/>
      </c>
      <c r="S183" s="8">
        <f>IF(Q183="","",Q183*1000+R183)</f>
        <v/>
      </c>
    </row>
    <row r="184">
      <c r="A184" s="23">
        <f>IF(N184="","",IFERROR(INDEX(設定!$C$8:$C$23,INT(INDEX(児童名簿!$G$2:$G$301,N184)/1000)),M184&amp;INDEX(児童名簿!$B$2:$B$301,N184)))</f>
        <v/>
      </c>
      <c r="B184" s="23">
        <f>IF(N184="","",INDEX(児童名簿!$C$2:$C$301,N184))</f>
        <v/>
      </c>
      <c r="C184" s="3">
        <f>IF(N184="","",INDEX(児童名簿!$D$2:$D$301,N184))</f>
        <v/>
      </c>
      <c r="D184" s="23">
        <f>IF(O184="","",INDEX(希望入力!$D$2:$D$401,O184)&amp;"")</f>
        <v/>
      </c>
      <c r="E184" s="23">
        <f>IF(O184="","",INDEX(希望入力!$E$2:$E$401,O184)&amp;"")</f>
        <v/>
      </c>
      <c r="F184" s="23">
        <f>IF(O184="","",INDEX(希望入力!$F$2:$F$401,O184)&amp;"")</f>
        <v/>
      </c>
      <c r="G184" s="23">
        <f>IF(O184="","",IF(D184="","要調整",IFERROR(IF(COUNTIFS($M$3:$M$302,M184,$D$3:$D$302,D184)&lt;=INDEX(設定!$H$8:$I$27,MATCH(D184,設定!$G$8:$G$27,0),IF($M184=設定!$H$6&amp;"",1,2)),D184,"要調整"),"要調整")))</f>
        <v/>
      </c>
      <c r="H184" s="15" t="n"/>
      <c r="I184" s="24">
        <f>IF(N184="","",IF(H184&lt;&gt;"",H184,IF(OR(G184="",G184="要調整"),"",G184)))</f>
        <v/>
      </c>
      <c r="J184" s="23">
        <f>IF(N184="","",IF(I184&lt;&gt;"","決定",IF(O184="","未提出","要調整")))</f>
        <v/>
      </c>
      <c r="K184" s="23">
        <f>IF(OR(J184&lt;&gt;"要調整",E184=""),"",IFERROR(INDEX(設定!$H$8:$I$27,MATCH(E184,設定!$G$8:$G$27,0),IF($M184=設定!$H$6&amp;"",1,2))-COUNTIFS($M$3:$M$302,M184,$I$3:$I$302,E184),""))</f>
        <v/>
      </c>
      <c r="L184" s="23">
        <f>IF(OR(J184&lt;&gt;"要調整",F184=""),"",IFERROR(INDEX(設定!$H$8:$I$27,MATCH(F184,設定!$G$8:$G$27,0),IF($M184=設定!$H$6&amp;"",1,2))-COUNTIFS($M$3:$M$302,M184,$I$3:$I$302,F184),""))</f>
        <v/>
      </c>
      <c r="M184" s="8">
        <f>IF(N184="","",INDEX(児童名簿!$A$2:$A$301,N184)&amp;"")</f>
        <v/>
      </c>
      <c r="N184" s="8">
        <f>IFERROR(MATCH(SMALL(児童名簿!$G$2:$G$301,182),児童名簿!$G$2:$G$301,0),"")</f>
        <v/>
      </c>
      <c r="O184" s="8">
        <f>IF(P184="","",IFERROR(MATCH(P184,希望入力!$K$2:$K$401,0),""))</f>
        <v/>
      </c>
      <c r="P184" s="8">
        <f>IF(N184="","",INDEX(児童名簿!$F$2:$F$301,N184))</f>
        <v/>
      </c>
      <c r="Q184" s="8">
        <f>IF(I184="","",IFERROR(MATCH(I184,設定!$G$8:$G$27,0),""))</f>
        <v/>
      </c>
      <c r="R184" s="8">
        <f>IF(Q184="","",COUNTIF($Q$3:Q184,Q184))</f>
        <v/>
      </c>
      <c r="S184" s="8">
        <f>IF(Q184="","",Q184*1000+R184)</f>
        <v/>
      </c>
    </row>
    <row r="185">
      <c r="A185" s="23">
        <f>IF(N185="","",IFERROR(INDEX(設定!$C$8:$C$23,INT(INDEX(児童名簿!$G$2:$G$301,N185)/1000)),M185&amp;INDEX(児童名簿!$B$2:$B$301,N185)))</f>
        <v/>
      </c>
      <c r="B185" s="23">
        <f>IF(N185="","",INDEX(児童名簿!$C$2:$C$301,N185))</f>
        <v/>
      </c>
      <c r="C185" s="3">
        <f>IF(N185="","",INDEX(児童名簿!$D$2:$D$301,N185))</f>
        <v/>
      </c>
      <c r="D185" s="23">
        <f>IF(O185="","",INDEX(希望入力!$D$2:$D$401,O185)&amp;"")</f>
        <v/>
      </c>
      <c r="E185" s="23">
        <f>IF(O185="","",INDEX(希望入力!$E$2:$E$401,O185)&amp;"")</f>
        <v/>
      </c>
      <c r="F185" s="23">
        <f>IF(O185="","",INDEX(希望入力!$F$2:$F$401,O185)&amp;"")</f>
        <v/>
      </c>
      <c r="G185" s="23">
        <f>IF(O185="","",IF(D185="","要調整",IFERROR(IF(COUNTIFS($M$3:$M$302,M185,$D$3:$D$302,D185)&lt;=INDEX(設定!$H$8:$I$27,MATCH(D185,設定!$G$8:$G$27,0),IF($M185=設定!$H$6&amp;"",1,2)),D185,"要調整"),"要調整")))</f>
        <v/>
      </c>
      <c r="H185" s="15" t="n"/>
      <c r="I185" s="24">
        <f>IF(N185="","",IF(H185&lt;&gt;"",H185,IF(OR(G185="",G185="要調整"),"",G185)))</f>
        <v/>
      </c>
      <c r="J185" s="23">
        <f>IF(N185="","",IF(I185&lt;&gt;"","決定",IF(O185="","未提出","要調整")))</f>
        <v/>
      </c>
      <c r="K185" s="23">
        <f>IF(OR(J185&lt;&gt;"要調整",E185=""),"",IFERROR(INDEX(設定!$H$8:$I$27,MATCH(E185,設定!$G$8:$G$27,0),IF($M185=設定!$H$6&amp;"",1,2))-COUNTIFS($M$3:$M$302,M185,$I$3:$I$302,E185),""))</f>
        <v/>
      </c>
      <c r="L185" s="23">
        <f>IF(OR(J185&lt;&gt;"要調整",F185=""),"",IFERROR(INDEX(設定!$H$8:$I$27,MATCH(F185,設定!$G$8:$G$27,0),IF($M185=設定!$H$6&amp;"",1,2))-COUNTIFS($M$3:$M$302,M185,$I$3:$I$302,F185),""))</f>
        <v/>
      </c>
      <c r="M185" s="8">
        <f>IF(N185="","",INDEX(児童名簿!$A$2:$A$301,N185)&amp;"")</f>
        <v/>
      </c>
      <c r="N185" s="8">
        <f>IFERROR(MATCH(SMALL(児童名簿!$G$2:$G$301,183),児童名簿!$G$2:$G$301,0),"")</f>
        <v/>
      </c>
      <c r="O185" s="8">
        <f>IF(P185="","",IFERROR(MATCH(P185,希望入力!$K$2:$K$401,0),""))</f>
        <v/>
      </c>
      <c r="P185" s="8">
        <f>IF(N185="","",INDEX(児童名簿!$F$2:$F$301,N185))</f>
        <v/>
      </c>
      <c r="Q185" s="8">
        <f>IF(I185="","",IFERROR(MATCH(I185,設定!$G$8:$G$27,0),""))</f>
        <v/>
      </c>
      <c r="R185" s="8">
        <f>IF(Q185="","",COUNTIF($Q$3:Q185,Q185))</f>
        <v/>
      </c>
      <c r="S185" s="8">
        <f>IF(Q185="","",Q185*1000+R185)</f>
        <v/>
      </c>
    </row>
    <row r="186">
      <c r="A186" s="23">
        <f>IF(N186="","",IFERROR(INDEX(設定!$C$8:$C$23,INT(INDEX(児童名簿!$G$2:$G$301,N186)/1000)),M186&amp;INDEX(児童名簿!$B$2:$B$301,N186)))</f>
        <v/>
      </c>
      <c r="B186" s="23">
        <f>IF(N186="","",INDEX(児童名簿!$C$2:$C$301,N186))</f>
        <v/>
      </c>
      <c r="C186" s="3">
        <f>IF(N186="","",INDEX(児童名簿!$D$2:$D$301,N186))</f>
        <v/>
      </c>
      <c r="D186" s="23">
        <f>IF(O186="","",INDEX(希望入力!$D$2:$D$401,O186)&amp;"")</f>
        <v/>
      </c>
      <c r="E186" s="23">
        <f>IF(O186="","",INDEX(希望入力!$E$2:$E$401,O186)&amp;"")</f>
        <v/>
      </c>
      <c r="F186" s="23">
        <f>IF(O186="","",INDEX(希望入力!$F$2:$F$401,O186)&amp;"")</f>
        <v/>
      </c>
      <c r="G186" s="23">
        <f>IF(O186="","",IF(D186="","要調整",IFERROR(IF(COUNTIFS($M$3:$M$302,M186,$D$3:$D$302,D186)&lt;=INDEX(設定!$H$8:$I$27,MATCH(D186,設定!$G$8:$G$27,0),IF($M186=設定!$H$6&amp;"",1,2)),D186,"要調整"),"要調整")))</f>
        <v/>
      </c>
      <c r="H186" s="15" t="n"/>
      <c r="I186" s="24">
        <f>IF(N186="","",IF(H186&lt;&gt;"",H186,IF(OR(G186="",G186="要調整"),"",G186)))</f>
        <v/>
      </c>
      <c r="J186" s="23">
        <f>IF(N186="","",IF(I186&lt;&gt;"","決定",IF(O186="","未提出","要調整")))</f>
        <v/>
      </c>
      <c r="K186" s="23">
        <f>IF(OR(J186&lt;&gt;"要調整",E186=""),"",IFERROR(INDEX(設定!$H$8:$I$27,MATCH(E186,設定!$G$8:$G$27,0),IF($M186=設定!$H$6&amp;"",1,2))-COUNTIFS($M$3:$M$302,M186,$I$3:$I$302,E186),""))</f>
        <v/>
      </c>
      <c r="L186" s="23">
        <f>IF(OR(J186&lt;&gt;"要調整",F186=""),"",IFERROR(INDEX(設定!$H$8:$I$27,MATCH(F186,設定!$G$8:$G$27,0),IF($M186=設定!$H$6&amp;"",1,2))-COUNTIFS($M$3:$M$302,M186,$I$3:$I$302,F186),""))</f>
        <v/>
      </c>
      <c r="M186" s="8">
        <f>IF(N186="","",INDEX(児童名簿!$A$2:$A$301,N186)&amp;"")</f>
        <v/>
      </c>
      <c r="N186" s="8">
        <f>IFERROR(MATCH(SMALL(児童名簿!$G$2:$G$301,184),児童名簿!$G$2:$G$301,0),"")</f>
        <v/>
      </c>
      <c r="O186" s="8">
        <f>IF(P186="","",IFERROR(MATCH(P186,希望入力!$K$2:$K$401,0),""))</f>
        <v/>
      </c>
      <c r="P186" s="8">
        <f>IF(N186="","",INDEX(児童名簿!$F$2:$F$301,N186))</f>
        <v/>
      </c>
      <c r="Q186" s="8">
        <f>IF(I186="","",IFERROR(MATCH(I186,設定!$G$8:$G$27,0),""))</f>
        <v/>
      </c>
      <c r="R186" s="8">
        <f>IF(Q186="","",COUNTIF($Q$3:Q186,Q186))</f>
        <v/>
      </c>
      <c r="S186" s="8">
        <f>IF(Q186="","",Q186*1000+R186)</f>
        <v/>
      </c>
    </row>
    <row r="187">
      <c r="A187" s="23">
        <f>IF(N187="","",IFERROR(INDEX(設定!$C$8:$C$23,INT(INDEX(児童名簿!$G$2:$G$301,N187)/1000)),M187&amp;INDEX(児童名簿!$B$2:$B$301,N187)))</f>
        <v/>
      </c>
      <c r="B187" s="23">
        <f>IF(N187="","",INDEX(児童名簿!$C$2:$C$301,N187))</f>
        <v/>
      </c>
      <c r="C187" s="3">
        <f>IF(N187="","",INDEX(児童名簿!$D$2:$D$301,N187))</f>
        <v/>
      </c>
      <c r="D187" s="23">
        <f>IF(O187="","",INDEX(希望入力!$D$2:$D$401,O187)&amp;"")</f>
        <v/>
      </c>
      <c r="E187" s="23">
        <f>IF(O187="","",INDEX(希望入力!$E$2:$E$401,O187)&amp;"")</f>
        <v/>
      </c>
      <c r="F187" s="23">
        <f>IF(O187="","",INDEX(希望入力!$F$2:$F$401,O187)&amp;"")</f>
        <v/>
      </c>
      <c r="G187" s="23">
        <f>IF(O187="","",IF(D187="","要調整",IFERROR(IF(COUNTIFS($M$3:$M$302,M187,$D$3:$D$302,D187)&lt;=INDEX(設定!$H$8:$I$27,MATCH(D187,設定!$G$8:$G$27,0),IF($M187=設定!$H$6&amp;"",1,2)),D187,"要調整"),"要調整")))</f>
        <v/>
      </c>
      <c r="H187" s="15" t="n"/>
      <c r="I187" s="24">
        <f>IF(N187="","",IF(H187&lt;&gt;"",H187,IF(OR(G187="",G187="要調整"),"",G187)))</f>
        <v/>
      </c>
      <c r="J187" s="23">
        <f>IF(N187="","",IF(I187&lt;&gt;"","決定",IF(O187="","未提出","要調整")))</f>
        <v/>
      </c>
      <c r="K187" s="23">
        <f>IF(OR(J187&lt;&gt;"要調整",E187=""),"",IFERROR(INDEX(設定!$H$8:$I$27,MATCH(E187,設定!$G$8:$G$27,0),IF($M187=設定!$H$6&amp;"",1,2))-COUNTIFS($M$3:$M$302,M187,$I$3:$I$302,E187),""))</f>
        <v/>
      </c>
      <c r="L187" s="23">
        <f>IF(OR(J187&lt;&gt;"要調整",F187=""),"",IFERROR(INDEX(設定!$H$8:$I$27,MATCH(F187,設定!$G$8:$G$27,0),IF($M187=設定!$H$6&amp;"",1,2))-COUNTIFS($M$3:$M$302,M187,$I$3:$I$302,F187),""))</f>
        <v/>
      </c>
      <c r="M187" s="8">
        <f>IF(N187="","",INDEX(児童名簿!$A$2:$A$301,N187)&amp;"")</f>
        <v/>
      </c>
      <c r="N187" s="8">
        <f>IFERROR(MATCH(SMALL(児童名簿!$G$2:$G$301,185),児童名簿!$G$2:$G$301,0),"")</f>
        <v/>
      </c>
      <c r="O187" s="8">
        <f>IF(P187="","",IFERROR(MATCH(P187,希望入力!$K$2:$K$401,0),""))</f>
        <v/>
      </c>
      <c r="P187" s="8">
        <f>IF(N187="","",INDEX(児童名簿!$F$2:$F$301,N187))</f>
        <v/>
      </c>
      <c r="Q187" s="8">
        <f>IF(I187="","",IFERROR(MATCH(I187,設定!$G$8:$G$27,0),""))</f>
        <v/>
      </c>
      <c r="R187" s="8">
        <f>IF(Q187="","",COUNTIF($Q$3:Q187,Q187))</f>
        <v/>
      </c>
      <c r="S187" s="8">
        <f>IF(Q187="","",Q187*1000+R187)</f>
        <v/>
      </c>
    </row>
    <row r="188">
      <c r="A188" s="23">
        <f>IF(N188="","",IFERROR(INDEX(設定!$C$8:$C$23,INT(INDEX(児童名簿!$G$2:$G$301,N188)/1000)),M188&amp;INDEX(児童名簿!$B$2:$B$301,N188)))</f>
        <v/>
      </c>
      <c r="B188" s="23">
        <f>IF(N188="","",INDEX(児童名簿!$C$2:$C$301,N188))</f>
        <v/>
      </c>
      <c r="C188" s="3">
        <f>IF(N188="","",INDEX(児童名簿!$D$2:$D$301,N188))</f>
        <v/>
      </c>
      <c r="D188" s="23">
        <f>IF(O188="","",INDEX(希望入力!$D$2:$D$401,O188)&amp;"")</f>
        <v/>
      </c>
      <c r="E188" s="23">
        <f>IF(O188="","",INDEX(希望入力!$E$2:$E$401,O188)&amp;"")</f>
        <v/>
      </c>
      <c r="F188" s="23">
        <f>IF(O188="","",INDEX(希望入力!$F$2:$F$401,O188)&amp;"")</f>
        <v/>
      </c>
      <c r="G188" s="23">
        <f>IF(O188="","",IF(D188="","要調整",IFERROR(IF(COUNTIFS($M$3:$M$302,M188,$D$3:$D$302,D188)&lt;=INDEX(設定!$H$8:$I$27,MATCH(D188,設定!$G$8:$G$27,0),IF($M188=設定!$H$6&amp;"",1,2)),D188,"要調整"),"要調整")))</f>
        <v/>
      </c>
      <c r="H188" s="15" t="n"/>
      <c r="I188" s="24">
        <f>IF(N188="","",IF(H188&lt;&gt;"",H188,IF(OR(G188="",G188="要調整"),"",G188)))</f>
        <v/>
      </c>
      <c r="J188" s="23">
        <f>IF(N188="","",IF(I188&lt;&gt;"","決定",IF(O188="","未提出","要調整")))</f>
        <v/>
      </c>
      <c r="K188" s="23">
        <f>IF(OR(J188&lt;&gt;"要調整",E188=""),"",IFERROR(INDEX(設定!$H$8:$I$27,MATCH(E188,設定!$G$8:$G$27,0),IF($M188=設定!$H$6&amp;"",1,2))-COUNTIFS($M$3:$M$302,M188,$I$3:$I$302,E188),""))</f>
        <v/>
      </c>
      <c r="L188" s="23">
        <f>IF(OR(J188&lt;&gt;"要調整",F188=""),"",IFERROR(INDEX(設定!$H$8:$I$27,MATCH(F188,設定!$G$8:$G$27,0),IF($M188=設定!$H$6&amp;"",1,2))-COUNTIFS($M$3:$M$302,M188,$I$3:$I$302,F188),""))</f>
        <v/>
      </c>
      <c r="M188" s="8">
        <f>IF(N188="","",INDEX(児童名簿!$A$2:$A$301,N188)&amp;"")</f>
        <v/>
      </c>
      <c r="N188" s="8">
        <f>IFERROR(MATCH(SMALL(児童名簿!$G$2:$G$301,186),児童名簿!$G$2:$G$301,0),"")</f>
        <v/>
      </c>
      <c r="O188" s="8">
        <f>IF(P188="","",IFERROR(MATCH(P188,希望入力!$K$2:$K$401,0),""))</f>
        <v/>
      </c>
      <c r="P188" s="8">
        <f>IF(N188="","",INDEX(児童名簿!$F$2:$F$301,N188))</f>
        <v/>
      </c>
      <c r="Q188" s="8">
        <f>IF(I188="","",IFERROR(MATCH(I188,設定!$G$8:$G$27,0),""))</f>
        <v/>
      </c>
      <c r="R188" s="8">
        <f>IF(Q188="","",COUNTIF($Q$3:Q188,Q188))</f>
        <v/>
      </c>
      <c r="S188" s="8">
        <f>IF(Q188="","",Q188*1000+R188)</f>
        <v/>
      </c>
    </row>
    <row r="189">
      <c r="A189" s="23">
        <f>IF(N189="","",IFERROR(INDEX(設定!$C$8:$C$23,INT(INDEX(児童名簿!$G$2:$G$301,N189)/1000)),M189&amp;INDEX(児童名簿!$B$2:$B$301,N189)))</f>
        <v/>
      </c>
      <c r="B189" s="23">
        <f>IF(N189="","",INDEX(児童名簿!$C$2:$C$301,N189))</f>
        <v/>
      </c>
      <c r="C189" s="3">
        <f>IF(N189="","",INDEX(児童名簿!$D$2:$D$301,N189))</f>
        <v/>
      </c>
      <c r="D189" s="23">
        <f>IF(O189="","",INDEX(希望入力!$D$2:$D$401,O189)&amp;"")</f>
        <v/>
      </c>
      <c r="E189" s="23">
        <f>IF(O189="","",INDEX(希望入力!$E$2:$E$401,O189)&amp;"")</f>
        <v/>
      </c>
      <c r="F189" s="23">
        <f>IF(O189="","",INDEX(希望入力!$F$2:$F$401,O189)&amp;"")</f>
        <v/>
      </c>
      <c r="G189" s="23">
        <f>IF(O189="","",IF(D189="","要調整",IFERROR(IF(COUNTIFS($M$3:$M$302,M189,$D$3:$D$302,D189)&lt;=INDEX(設定!$H$8:$I$27,MATCH(D189,設定!$G$8:$G$27,0),IF($M189=設定!$H$6&amp;"",1,2)),D189,"要調整"),"要調整")))</f>
        <v/>
      </c>
      <c r="H189" s="15" t="n"/>
      <c r="I189" s="24">
        <f>IF(N189="","",IF(H189&lt;&gt;"",H189,IF(OR(G189="",G189="要調整"),"",G189)))</f>
        <v/>
      </c>
      <c r="J189" s="23">
        <f>IF(N189="","",IF(I189&lt;&gt;"","決定",IF(O189="","未提出","要調整")))</f>
        <v/>
      </c>
      <c r="K189" s="23">
        <f>IF(OR(J189&lt;&gt;"要調整",E189=""),"",IFERROR(INDEX(設定!$H$8:$I$27,MATCH(E189,設定!$G$8:$G$27,0),IF($M189=設定!$H$6&amp;"",1,2))-COUNTIFS($M$3:$M$302,M189,$I$3:$I$302,E189),""))</f>
        <v/>
      </c>
      <c r="L189" s="23">
        <f>IF(OR(J189&lt;&gt;"要調整",F189=""),"",IFERROR(INDEX(設定!$H$8:$I$27,MATCH(F189,設定!$G$8:$G$27,0),IF($M189=設定!$H$6&amp;"",1,2))-COUNTIFS($M$3:$M$302,M189,$I$3:$I$302,F189),""))</f>
        <v/>
      </c>
      <c r="M189" s="8">
        <f>IF(N189="","",INDEX(児童名簿!$A$2:$A$301,N189)&amp;"")</f>
        <v/>
      </c>
      <c r="N189" s="8">
        <f>IFERROR(MATCH(SMALL(児童名簿!$G$2:$G$301,187),児童名簿!$G$2:$G$301,0),"")</f>
        <v/>
      </c>
      <c r="O189" s="8">
        <f>IF(P189="","",IFERROR(MATCH(P189,希望入力!$K$2:$K$401,0),""))</f>
        <v/>
      </c>
      <c r="P189" s="8">
        <f>IF(N189="","",INDEX(児童名簿!$F$2:$F$301,N189))</f>
        <v/>
      </c>
      <c r="Q189" s="8">
        <f>IF(I189="","",IFERROR(MATCH(I189,設定!$G$8:$G$27,0),""))</f>
        <v/>
      </c>
      <c r="R189" s="8">
        <f>IF(Q189="","",COUNTIF($Q$3:Q189,Q189))</f>
        <v/>
      </c>
      <c r="S189" s="8">
        <f>IF(Q189="","",Q189*1000+R189)</f>
        <v/>
      </c>
    </row>
    <row r="190">
      <c r="A190" s="23">
        <f>IF(N190="","",IFERROR(INDEX(設定!$C$8:$C$23,INT(INDEX(児童名簿!$G$2:$G$301,N190)/1000)),M190&amp;INDEX(児童名簿!$B$2:$B$301,N190)))</f>
        <v/>
      </c>
      <c r="B190" s="23">
        <f>IF(N190="","",INDEX(児童名簿!$C$2:$C$301,N190))</f>
        <v/>
      </c>
      <c r="C190" s="3">
        <f>IF(N190="","",INDEX(児童名簿!$D$2:$D$301,N190))</f>
        <v/>
      </c>
      <c r="D190" s="23">
        <f>IF(O190="","",INDEX(希望入力!$D$2:$D$401,O190)&amp;"")</f>
        <v/>
      </c>
      <c r="E190" s="23">
        <f>IF(O190="","",INDEX(希望入力!$E$2:$E$401,O190)&amp;"")</f>
        <v/>
      </c>
      <c r="F190" s="23">
        <f>IF(O190="","",INDEX(希望入力!$F$2:$F$401,O190)&amp;"")</f>
        <v/>
      </c>
      <c r="G190" s="23">
        <f>IF(O190="","",IF(D190="","要調整",IFERROR(IF(COUNTIFS($M$3:$M$302,M190,$D$3:$D$302,D190)&lt;=INDEX(設定!$H$8:$I$27,MATCH(D190,設定!$G$8:$G$27,0),IF($M190=設定!$H$6&amp;"",1,2)),D190,"要調整"),"要調整")))</f>
        <v/>
      </c>
      <c r="H190" s="15" t="n"/>
      <c r="I190" s="24">
        <f>IF(N190="","",IF(H190&lt;&gt;"",H190,IF(OR(G190="",G190="要調整"),"",G190)))</f>
        <v/>
      </c>
      <c r="J190" s="23">
        <f>IF(N190="","",IF(I190&lt;&gt;"","決定",IF(O190="","未提出","要調整")))</f>
        <v/>
      </c>
      <c r="K190" s="23">
        <f>IF(OR(J190&lt;&gt;"要調整",E190=""),"",IFERROR(INDEX(設定!$H$8:$I$27,MATCH(E190,設定!$G$8:$G$27,0),IF($M190=設定!$H$6&amp;"",1,2))-COUNTIFS($M$3:$M$302,M190,$I$3:$I$302,E190),""))</f>
        <v/>
      </c>
      <c r="L190" s="23">
        <f>IF(OR(J190&lt;&gt;"要調整",F190=""),"",IFERROR(INDEX(設定!$H$8:$I$27,MATCH(F190,設定!$G$8:$G$27,0),IF($M190=設定!$H$6&amp;"",1,2))-COUNTIFS($M$3:$M$302,M190,$I$3:$I$302,F190),""))</f>
        <v/>
      </c>
      <c r="M190" s="8">
        <f>IF(N190="","",INDEX(児童名簿!$A$2:$A$301,N190)&amp;"")</f>
        <v/>
      </c>
      <c r="N190" s="8">
        <f>IFERROR(MATCH(SMALL(児童名簿!$G$2:$G$301,188),児童名簿!$G$2:$G$301,0),"")</f>
        <v/>
      </c>
      <c r="O190" s="8">
        <f>IF(P190="","",IFERROR(MATCH(P190,希望入力!$K$2:$K$401,0),""))</f>
        <v/>
      </c>
      <c r="P190" s="8">
        <f>IF(N190="","",INDEX(児童名簿!$F$2:$F$301,N190))</f>
        <v/>
      </c>
      <c r="Q190" s="8">
        <f>IF(I190="","",IFERROR(MATCH(I190,設定!$G$8:$G$27,0),""))</f>
        <v/>
      </c>
      <c r="R190" s="8">
        <f>IF(Q190="","",COUNTIF($Q$3:Q190,Q190))</f>
        <v/>
      </c>
      <c r="S190" s="8">
        <f>IF(Q190="","",Q190*1000+R190)</f>
        <v/>
      </c>
    </row>
    <row r="191">
      <c r="A191" s="23">
        <f>IF(N191="","",IFERROR(INDEX(設定!$C$8:$C$23,INT(INDEX(児童名簿!$G$2:$G$301,N191)/1000)),M191&amp;INDEX(児童名簿!$B$2:$B$301,N191)))</f>
        <v/>
      </c>
      <c r="B191" s="23">
        <f>IF(N191="","",INDEX(児童名簿!$C$2:$C$301,N191))</f>
        <v/>
      </c>
      <c r="C191" s="3">
        <f>IF(N191="","",INDEX(児童名簿!$D$2:$D$301,N191))</f>
        <v/>
      </c>
      <c r="D191" s="23">
        <f>IF(O191="","",INDEX(希望入力!$D$2:$D$401,O191)&amp;"")</f>
        <v/>
      </c>
      <c r="E191" s="23">
        <f>IF(O191="","",INDEX(希望入力!$E$2:$E$401,O191)&amp;"")</f>
        <v/>
      </c>
      <c r="F191" s="23">
        <f>IF(O191="","",INDEX(希望入力!$F$2:$F$401,O191)&amp;"")</f>
        <v/>
      </c>
      <c r="G191" s="23">
        <f>IF(O191="","",IF(D191="","要調整",IFERROR(IF(COUNTIFS($M$3:$M$302,M191,$D$3:$D$302,D191)&lt;=INDEX(設定!$H$8:$I$27,MATCH(D191,設定!$G$8:$G$27,0),IF($M191=設定!$H$6&amp;"",1,2)),D191,"要調整"),"要調整")))</f>
        <v/>
      </c>
      <c r="H191" s="15" t="n"/>
      <c r="I191" s="24">
        <f>IF(N191="","",IF(H191&lt;&gt;"",H191,IF(OR(G191="",G191="要調整"),"",G191)))</f>
        <v/>
      </c>
      <c r="J191" s="23">
        <f>IF(N191="","",IF(I191&lt;&gt;"","決定",IF(O191="","未提出","要調整")))</f>
        <v/>
      </c>
      <c r="K191" s="23">
        <f>IF(OR(J191&lt;&gt;"要調整",E191=""),"",IFERROR(INDEX(設定!$H$8:$I$27,MATCH(E191,設定!$G$8:$G$27,0),IF($M191=設定!$H$6&amp;"",1,2))-COUNTIFS($M$3:$M$302,M191,$I$3:$I$302,E191),""))</f>
        <v/>
      </c>
      <c r="L191" s="23">
        <f>IF(OR(J191&lt;&gt;"要調整",F191=""),"",IFERROR(INDEX(設定!$H$8:$I$27,MATCH(F191,設定!$G$8:$G$27,0),IF($M191=設定!$H$6&amp;"",1,2))-COUNTIFS($M$3:$M$302,M191,$I$3:$I$302,F191),""))</f>
        <v/>
      </c>
      <c r="M191" s="8">
        <f>IF(N191="","",INDEX(児童名簿!$A$2:$A$301,N191)&amp;"")</f>
        <v/>
      </c>
      <c r="N191" s="8">
        <f>IFERROR(MATCH(SMALL(児童名簿!$G$2:$G$301,189),児童名簿!$G$2:$G$301,0),"")</f>
        <v/>
      </c>
      <c r="O191" s="8">
        <f>IF(P191="","",IFERROR(MATCH(P191,希望入力!$K$2:$K$401,0),""))</f>
        <v/>
      </c>
      <c r="P191" s="8">
        <f>IF(N191="","",INDEX(児童名簿!$F$2:$F$301,N191))</f>
        <v/>
      </c>
      <c r="Q191" s="8">
        <f>IF(I191="","",IFERROR(MATCH(I191,設定!$G$8:$G$27,0),""))</f>
        <v/>
      </c>
      <c r="R191" s="8">
        <f>IF(Q191="","",COUNTIF($Q$3:Q191,Q191))</f>
        <v/>
      </c>
      <c r="S191" s="8">
        <f>IF(Q191="","",Q191*1000+R191)</f>
        <v/>
      </c>
    </row>
    <row r="192">
      <c r="A192" s="23">
        <f>IF(N192="","",IFERROR(INDEX(設定!$C$8:$C$23,INT(INDEX(児童名簿!$G$2:$G$301,N192)/1000)),M192&amp;INDEX(児童名簿!$B$2:$B$301,N192)))</f>
        <v/>
      </c>
      <c r="B192" s="23">
        <f>IF(N192="","",INDEX(児童名簿!$C$2:$C$301,N192))</f>
        <v/>
      </c>
      <c r="C192" s="3">
        <f>IF(N192="","",INDEX(児童名簿!$D$2:$D$301,N192))</f>
        <v/>
      </c>
      <c r="D192" s="23">
        <f>IF(O192="","",INDEX(希望入力!$D$2:$D$401,O192)&amp;"")</f>
        <v/>
      </c>
      <c r="E192" s="23">
        <f>IF(O192="","",INDEX(希望入力!$E$2:$E$401,O192)&amp;"")</f>
        <v/>
      </c>
      <c r="F192" s="23">
        <f>IF(O192="","",INDEX(希望入力!$F$2:$F$401,O192)&amp;"")</f>
        <v/>
      </c>
      <c r="G192" s="23">
        <f>IF(O192="","",IF(D192="","要調整",IFERROR(IF(COUNTIFS($M$3:$M$302,M192,$D$3:$D$302,D192)&lt;=INDEX(設定!$H$8:$I$27,MATCH(D192,設定!$G$8:$G$27,0),IF($M192=設定!$H$6&amp;"",1,2)),D192,"要調整"),"要調整")))</f>
        <v/>
      </c>
      <c r="H192" s="15" t="n"/>
      <c r="I192" s="24">
        <f>IF(N192="","",IF(H192&lt;&gt;"",H192,IF(OR(G192="",G192="要調整"),"",G192)))</f>
        <v/>
      </c>
      <c r="J192" s="23">
        <f>IF(N192="","",IF(I192&lt;&gt;"","決定",IF(O192="","未提出","要調整")))</f>
        <v/>
      </c>
      <c r="K192" s="23">
        <f>IF(OR(J192&lt;&gt;"要調整",E192=""),"",IFERROR(INDEX(設定!$H$8:$I$27,MATCH(E192,設定!$G$8:$G$27,0),IF($M192=設定!$H$6&amp;"",1,2))-COUNTIFS($M$3:$M$302,M192,$I$3:$I$302,E192),""))</f>
        <v/>
      </c>
      <c r="L192" s="23">
        <f>IF(OR(J192&lt;&gt;"要調整",F192=""),"",IFERROR(INDEX(設定!$H$8:$I$27,MATCH(F192,設定!$G$8:$G$27,0),IF($M192=設定!$H$6&amp;"",1,2))-COUNTIFS($M$3:$M$302,M192,$I$3:$I$302,F192),""))</f>
        <v/>
      </c>
      <c r="M192" s="8">
        <f>IF(N192="","",INDEX(児童名簿!$A$2:$A$301,N192)&amp;"")</f>
        <v/>
      </c>
      <c r="N192" s="8">
        <f>IFERROR(MATCH(SMALL(児童名簿!$G$2:$G$301,190),児童名簿!$G$2:$G$301,0),"")</f>
        <v/>
      </c>
      <c r="O192" s="8">
        <f>IF(P192="","",IFERROR(MATCH(P192,希望入力!$K$2:$K$401,0),""))</f>
        <v/>
      </c>
      <c r="P192" s="8">
        <f>IF(N192="","",INDEX(児童名簿!$F$2:$F$301,N192))</f>
        <v/>
      </c>
      <c r="Q192" s="8">
        <f>IF(I192="","",IFERROR(MATCH(I192,設定!$G$8:$G$27,0),""))</f>
        <v/>
      </c>
      <c r="R192" s="8">
        <f>IF(Q192="","",COUNTIF($Q$3:Q192,Q192))</f>
        <v/>
      </c>
      <c r="S192" s="8">
        <f>IF(Q192="","",Q192*1000+R192)</f>
        <v/>
      </c>
    </row>
    <row r="193">
      <c r="A193" s="23">
        <f>IF(N193="","",IFERROR(INDEX(設定!$C$8:$C$23,INT(INDEX(児童名簿!$G$2:$G$301,N193)/1000)),M193&amp;INDEX(児童名簿!$B$2:$B$301,N193)))</f>
        <v/>
      </c>
      <c r="B193" s="23">
        <f>IF(N193="","",INDEX(児童名簿!$C$2:$C$301,N193))</f>
        <v/>
      </c>
      <c r="C193" s="3">
        <f>IF(N193="","",INDEX(児童名簿!$D$2:$D$301,N193))</f>
        <v/>
      </c>
      <c r="D193" s="23">
        <f>IF(O193="","",INDEX(希望入力!$D$2:$D$401,O193)&amp;"")</f>
        <v/>
      </c>
      <c r="E193" s="23">
        <f>IF(O193="","",INDEX(希望入力!$E$2:$E$401,O193)&amp;"")</f>
        <v/>
      </c>
      <c r="F193" s="23">
        <f>IF(O193="","",INDEX(希望入力!$F$2:$F$401,O193)&amp;"")</f>
        <v/>
      </c>
      <c r="G193" s="23">
        <f>IF(O193="","",IF(D193="","要調整",IFERROR(IF(COUNTIFS($M$3:$M$302,M193,$D$3:$D$302,D193)&lt;=INDEX(設定!$H$8:$I$27,MATCH(D193,設定!$G$8:$G$27,0),IF($M193=設定!$H$6&amp;"",1,2)),D193,"要調整"),"要調整")))</f>
        <v/>
      </c>
      <c r="H193" s="15" t="n"/>
      <c r="I193" s="24">
        <f>IF(N193="","",IF(H193&lt;&gt;"",H193,IF(OR(G193="",G193="要調整"),"",G193)))</f>
        <v/>
      </c>
      <c r="J193" s="23">
        <f>IF(N193="","",IF(I193&lt;&gt;"","決定",IF(O193="","未提出","要調整")))</f>
        <v/>
      </c>
      <c r="K193" s="23">
        <f>IF(OR(J193&lt;&gt;"要調整",E193=""),"",IFERROR(INDEX(設定!$H$8:$I$27,MATCH(E193,設定!$G$8:$G$27,0),IF($M193=設定!$H$6&amp;"",1,2))-COUNTIFS($M$3:$M$302,M193,$I$3:$I$302,E193),""))</f>
        <v/>
      </c>
      <c r="L193" s="23">
        <f>IF(OR(J193&lt;&gt;"要調整",F193=""),"",IFERROR(INDEX(設定!$H$8:$I$27,MATCH(F193,設定!$G$8:$G$27,0),IF($M193=設定!$H$6&amp;"",1,2))-COUNTIFS($M$3:$M$302,M193,$I$3:$I$302,F193),""))</f>
        <v/>
      </c>
      <c r="M193" s="8">
        <f>IF(N193="","",INDEX(児童名簿!$A$2:$A$301,N193)&amp;"")</f>
        <v/>
      </c>
      <c r="N193" s="8">
        <f>IFERROR(MATCH(SMALL(児童名簿!$G$2:$G$301,191),児童名簿!$G$2:$G$301,0),"")</f>
        <v/>
      </c>
      <c r="O193" s="8">
        <f>IF(P193="","",IFERROR(MATCH(P193,希望入力!$K$2:$K$401,0),""))</f>
        <v/>
      </c>
      <c r="P193" s="8">
        <f>IF(N193="","",INDEX(児童名簿!$F$2:$F$301,N193))</f>
        <v/>
      </c>
      <c r="Q193" s="8">
        <f>IF(I193="","",IFERROR(MATCH(I193,設定!$G$8:$G$27,0),""))</f>
        <v/>
      </c>
      <c r="R193" s="8">
        <f>IF(Q193="","",COUNTIF($Q$3:Q193,Q193))</f>
        <v/>
      </c>
      <c r="S193" s="8">
        <f>IF(Q193="","",Q193*1000+R193)</f>
        <v/>
      </c>
    </row>
    <row r="194">
      <c r="A194" s="23">
        <f>IF(N194="","",IFERROR(INDEX(設定!$C$8:$C$23,INT(INDEX(児童名簿!$G$2:$G$301,N194)/1000)),M194&amp;INDEX(児童名簿!$B$2:$B$301,N194)))</f>
        <v/>
      </c>
      <c r="B194" s="23">
        <f>IF(N194="","",INDEX(児童名簿!$C$2:$C$301,N194))</f>
        <v/>
      </c>
      <c r="C194" s="3">
        <f>IF(N194="","",INDEX(児童名簿!$D$2:$D$301,N194))</f>
        <v/>
      </c>
      <c r="D194" s="23">
        <f>IF(O194="","",INDEX(希望入力!$D$2:$D$401,O194)&amp;"")</f>
        <v/>
      </c>
      <c r="E194" s="23">
        <f>IF(O194="","",INDEX(希望入力!$E$2:$E$401,O194)&amp;"")</f>
        <v/>
      </c>
      <c r="F194" s="23">
        <f>IF(O194="","",INDEX(希望入力!$F$2:$F$401,O194)&amp;"")</f>
        <v/>
      </c>
      <c r="G194" s="23">
        <f>IF(O194="","",IF(D194="","要調整",IFERROR(IF(COUNTIFS($M$3:$M$302,M194,$D$3:$D$302,D194)&lt;=INDEX(設定!$H$8:$I$27,MATCH(D194,設定!$G$8:$G$27,0),IF($M194=設定!$H$6&amp;"",1,2)),D194,"要調整"),"要調整")))</f>
        <v/>
      </c>
      <c r="H194" s="15" t="n"/>
      <c r="I194" s="24">
        <f>IF(N194="","",IF(H194&lt;&gt;"",H194,IF(OR(G194="",G194="要調整"),"",G194)))</f>
        <v/>
      </c>
      <c r="J194" s="23">
        <f>IF(N194="","",IF(I194&lt;&gt;"","決定",IF(O194="","未提出","要調整")))</f>
        <v/>
      </c>
      <c r="K194" s="23">
        <f>IF(OR(J194&lt;&gt;"要調整",E194=""),"",IFERROR(INDEX(設定!$H$8:$I$27,MATCH(E194,設定!$G$8:$G$27,0),IF($M194=設定!$H$6&amp;"",1,2))-COUNTIFS($M$3:$M$302,M194,$I$3:$I$302,E194),""))</f>
        <v/>
      </c>
      <c r="L194" s="23">
        <f>IF(OR(J194&lt;&gt;"要調整",F194=""),"",IFERROR(INDEX(設定!$H$8:$I$27,MATCH(F194,設定!$G$8:$G$27,0),IF($M194=設定!$H$6&amp;"",1,2))-COUNTIFS($M$3:$M$302,M194,$I$3:$I$302,F194),""))</f>
        <v/>
      </c>
      <c r="M194" s="8">
        <f>IF(N194="","",INDEX(児童名簿!$A$2:$A$301,N194)&amp;"")</f>
        <v/>
      </c>
      <c r="N194" s="8">
        <f>IFERROR(MATCH(SMALL(児童名簿!$G$2:$G$301,192),児童名簿!$G$2:$G$301,0),"")</f>
        <v/>
      </c>
      <c r="O194" s="8">
        <f>IF(P194="","",IFERROR(MATCH(P194,希望入力!$K$2:$K$401,0),""))</f>
        <v/>
      </c>
      <c r="P194" s="8">
        <f>IF(N194="","",INDEX(児童名簿!$F$2:$F$301,N194))</f>
        <v/>
      </c>
      <c r="Q194" s="8">
        <f>IF(I194="","",IFERROR(MATCH(I194,設定!$G$8:$G$27,0),""))</f>
        <v/>
      </c>
      <c r="R194" s="8">
        <f>IF(Q194="","",COUNTIF($Q$3:Q194,Q194))</f>
        <v/>
      </c>
      <c r="S194" s="8">
        <f>IF(Q194="","",Q194*1000+R194)</f>
        <v/>
      </c>
    </row>
    <row r="195">
      <c r="A195" s="23">
        <f>IF(N195="","",IFERROR(INDEX(設定!$C$8:$C$23,INT(INDEX(児童名簿!$G$2:$G$301,N195)/1000)),M195&amp;INDEX(児童名簿!$B$2:$B$301,N195)))</f>
        <v/>
      </c>
      <c r="B195" s="23">
        <f>IF(N195="","",INDEX(児童名簿!$C$2:$C$301,N195))</f>
        <v/>
      </c>
      <c r="C195" s="3">
        <f>IF(N195="","",INDEX(児童名簿!$D$2:$D$301,N195))</f>
        <v/>
      </c>
      <c r="D195" s="23">
        <f>IF(O195="","",INDEX(希望入力!$D$2:$D$401,O195)&amp;"")</f>
        <v/>
      </c>
      <c r="E195" s="23">
        <f>IF(O195="","",INDEX(希望入力!$E$2:$E$401,O195)&amp;"")</f>
        <v/>
      </c>
      <c r="F195" s="23">
        <f>IF(O195="","",INDEX(希望入力!$F$2:$F$401,O195)&amp;"")</f>
        <v/>
      </c>
      <c r="G195" s="23">
        <f>IF(O195="","",IF(D195="","要調整",IFERROR(IF(COUNTIFS($M$3:$M$302,M195,$D$3:$D$302,D195)&lt;=INDEX(設定!$H$8:$I$27,MATCH(D195,設定!$G$8:$G$27,0),IF($M195=設定!$H$6&amp;"",1,2)),D195,"要調整"),"要調整")))</f>
        <v/>
      </c>
      <c r="H195" s="15" t="n"/>
      <c r="I195" s="24">
        <f>IF(N195="","",IF(H195&lt;&gt;"",H195,IF(OR(G195="",G195="要調整"),"",G195)))</f>
        <v/>
      </c>
      <c r="J195" s="23">
        <f>IF(N195="","",IF(I195&lt;&gt;"","決定",IF(O195="","未提出","要調整")))</f>
        <v/>
      </c>
      <c r="K195" s="23">
        <f>IF(OR(J195&lt;&gt;"要調整",E195=""),"",IFERROR(INDEX(設定!$H$8:$I$27,MATCH(E195,設定!$G$8:$G$27,0),IF($M195=設定!$H$6&amp;"",1,2))-COUNTIFS($M$3:$M$302,M195,$I$3:$I$302,E195),""))</f>
        <v/>
      </c>
      <c r="L195" s="23">
        <f>IF(OR(J195&lt;&gt;"要調整",F195=""),"",IFERROR(INDEX(設定!$H$8:$I$27,MATCH(F195,設定!$G$8:$G$27,0),IF($M195=設定!$H$6&amp;"",1,2))-COUNTIFS($M$3:$M$302,M195,$I$3:$I$302,F195),""))</f>
        <v/>
      </c>
      <c r="M195" s="8">
        <f>IF(N195="","",INDEX(児童名簿!$A$2:$A$301,N195)&amp;"")</f>
        <v/>
      </c>
      <c r="N195" s="8">
        <f>IFERROR(MATCH(SMALL(児童名簿!$G$2:$G$301,193),児童名簿!$G$2:$G$301,0),"")</f>
        <v/>
      </c>
      <c r="O195" s="8">
        <f>IF(P195="","",IFERROR(MATCH(P195,希望入力!$K$2:$K$401,0),""))</f>
        <v/>
      </c>
      <c r="P195" s="8">
        <f>IF(N195="","",INDEX(児童名簿!$F$2:$F$301,N195))</f>
        <v/>
      </c>
      <c r="Q195" s="8">
        <f>IF(I195="","",IFERROR(MATCH(I195,設定!$G$8:$G$27,0),""))</f>
        <v/>
      </c>
      <c r="R195" s="8">
        <f>IF(Q195="","",COUNTIF($Q$3:Q195,Q195))</f>
        <v/>
      </c>
      <c r="S195" s="8">
        <f>IF(Q195="","",Q195*1000+R195)</f>
        <v/>
      </c>
    </row>
    <row r="196">
      <c r="A196" s="23">
        <f>IF(N196="","",IFERROR(INDEX(設定!$C$8:$C$23,INT(INDEX(児童名簿!$G$2:$G$301,N196)/1000)),M196&amp;INDEX(児童名簿!$B$2:$B$301,N196)))</f>
        <v/>
      </c>
      <c r="B196" s="23">
        <f>IF(N196="","",INDEX(児童名簿!$C$2:$C$301,N196))</f>
        <v/>
      </c>
      <c r="C196" s="3">
        <f>IF(N196="","",INDEX(児童名簿!$D$2:$D$301,N196))</f>
        <v/>
      </c>
      <c r="D196" s="23">
        <f>IF(O196="","",INDEX(希望入力!$D$2:$D$401,O196)&amp;"")</f>
        <v/>
      </c>
      <c r="E196" s="23">
        <f>IF(O196="","",INDEX(希望入力!$E$2:$E$401,O196)&amp;"")</f>
        <v/>
      </c>
      <c r="F196" s="23">
        <f>IF(O196="","",INDEX(希望入力!$F$2:$F$401,O196)&amp;"")</f>
        <v/>
      </c>
      <c r="G196" s="23">
        <f>IF(O196="","",IF(D196="","要調整",IFERROR(IF(COUNTIFS($M$3:$M$302,M196,$D$3:$D$302,D196)&lt;=INDEX(設定!$H$8:$I$27,MATCH(D196,設定!$G$8:$G$27,0),IF($M196=設定!$H$6&amp;"",1,2)),D196,"要調整"),"要調整")))</f>
        <v/>
      </c>
      <c r="H196" s="15" t="n"/>
      <c r="I196" s="24">
        <f>IF(N196="","",IF(H196&lt;&gt;"",H196,IF(OR(G196="",G196="要調整"),"",G196)))</f>
        <v/>
      </c>
      <c r="J196" s="23">
        <f>IF(N196="","",IF(I196&lt;&gt;"","決定",IF(O196="","未提出","要調整")))</f>
        <v/>
      </c>
      <c r="K196" s="23">
        <f>IF(OR(J196&lt;&gt;"要調整",E196=""),"",IFERROR(INDEX(設定!$H$8:$I$27,MATCH(E196,設定!$G$8:$G$27,0),IF($M196=設定!$H$6&amp;"",1,2))-COUNTIFS($M$3:$M$302,M196,$I$3:$I$302,E196),""))</f>
        <v/>
      </c>
      <c r="L196" s="23">
        <f>IF(OR(J196&lt;&gt;"要調整",F196=""),"",IFERROR(INDEX(設定!$H$8:$I$27,MATCH(F196,設定!$G$8:$G$27,0),IF($M196=設定!$H$6&amp;"",1,2))-COUNTIFS($M$3:$M$302,M196,$I$3:$I$302,F196),""))</f>
        <v/>
      </c>
      <c r="M196" s="8">
        <f>IF(N196="","",INDEX(児童名簿!$A$2:$A$301,N196)&amp;"")</f>
        <v/>
      </c>
      <c r="N196" s="8">
        <f>IFERROR(MATCH(SMALL(児童名簿!$G$2:$G$301,194),児童名簿!$G$2:$G$301,0),"")</f>
        <v/>
      </c>
      <c r="O196" s="8">
        <f>IF(P196="","",IFERROR(MATCH(P196,希望入力!$K$2:$K$401,0),""))</f>
        <v/>
      </c>
      <c r="P196" s="8">
        <f>IF(N196="","",INDEX(児童名簿!$F$2:$F$301,N196))</f>
        <v/>
      </c>
      <c r="Q196" s="8">
        <f>IF(I196="","",IFERROR(MATCH(I196,設定!$G$8:$G$27,0),""))</f>
        <v/>
      </c>
      <c r="R196" s="8">
        <f>IF(Q196="","",COUNTIF($Q$3:Q196,Q196))</f>
        <v/>
      </c>
      <c r="S196" s="8">
        <f>IF(Q196="","",Q196*1000+R196)</f>
        <v/>
      </c>
    </row>
    <row r="197">
      <c r="A197" s="23">
        <f>IF(N197="","",IFERROR(INDEX(設定!$C$8:$C$23,INT(INDEX(児童名簿!$G$2:$G$301,N197)/1000)),M197&amp;INDEX(児童名簿!$B$2:$B$301,N197)))</f>
        <v/>
      </c>
      <c r="B197" s="23">
        <f>IF(N197="","",INDEX(児童名簿!$C$2:$C$301,N197))</f>
        <v/>
      </c>
      <c r="C197" s="3">
        <f>IF(N197="","",INDEX(児童名簿!$D$2:$D$301,N197))</f>
        <v/>
      </c>
      <c r="D197" s="23">
        <f>IF(O197="","",INDEX(希望入力!$D$2:$D$401,O197)&amp;"")</f>
        <v/>
      </c>
      <c r="E197" s="23">
        <f>IF(O197="","",INDEX(希望入力!$E$2:$E$401,O197)&amp;"")</f>
        <v/>
      </c>
      <c r="F197" s="23">
        <f>IF(O197="","",INDEX(希望入力!$F$2:$F$401,O197)&amp;"")</f>
        <v/>
      </c>
      <c r="G197" s="23">
        <f>IF(O197="","",IF(D197="","要調整",IFERROR(IF(COUNTIFS($M$3:$M$302,M197,$D$3:$D$302,D197)&lt;=INDEX(設定!$H$8:$I$27,MATCH(D197,設定!$G$8:$G$27,0),IF($M197=設定!$H$6&amp;"",1,2)),D197,"要調整"),"要調整")))</f>
        <v/>
      </c>
      <c r="H197" s="15" t="n"/>
      <c r="I197" s="24">
        <f>IF(N197="","",IF(H197&lt;&gt;"",H197,IF(OR(G197="",G197="要調整"),"",G197)))</f>
        <v/>
      </c>
      <c r="J197" s="23">
        <f>IF(N197="","",IF(I197&lt;&gt;"","決定",IF(O197="","未提出","要調整")))</f>
        <v/>
      </c>
      <c r="K197" s="23">
        <f>IF(OR(J197&lt;&gt;"要調整",E197=""),"",IFERROR(INDEX(設定!$H$8:$I$27,MATCH(E197,設定!$G$8:$G$27,0),IF($M197=設定!$H$6&amp;"",1,2))-COUNTIFS($M$3:$M$302,M197,$I$3:$I$302,E197),""))</f>
        <v/>
      </c>
      <c r="L197" s="23">
        <f>IF(OR(J197&lt;&gt;"要調整",F197=""),"",IFERROR(INDEX(設定!$H$8:$I$27,MATCH(F197,設定!$G$8:$G$27,0),IF($M197=設定!$H$6&amp;"",1,2))-COUNTIFS($M$3:$M$302,M197,$I$3:$I$302,F197),""))</f>
        <v/>
      </c>
      <c r="M197" s="8">
        <f>IF(N197="","",INDEX(児童名簿!$A$2:$A$301,N197)&amp;"")</f>
        <v/>
      </c>
      <c r="N197" s="8">
        <f>IFERROR(MATCH(SMALL(児童名簿!$G$2:$G$301,195),児童名簿!$G$2:$G$301,0),"")</f>
        <v/>
      </c>
      <c r="O197" s="8">
        <f>IF(P197="","",IFERROR(MATCH(P197,希望入力!$K$2:$K$401,0),""))</f>
        <v/>
      </c>
      <c r="P197" s="8">
        <f>IF(N197="","",INDEX(児童名簿!$F$2:$F$301,N197))</f>
        <v/>
      </c>
      <c r="Q197" s="8">
        <f>IF(I197="","",IFERROR(MATCH(I197,設定!$G$8:$G$27,0),""))</f>
        <v/>
      </c>
      <c r="R197" s="8">
        <f>IF(Q197="","",COUNTIF($Q$3:Q197,Q197))</f>
        <v/>
      </c>
      <c r="S197" s="8">
        <f>IF(Q197="","",Q197*1000+R197)</f>
        <v/>
      </c>
    </row>
    <row r="198">
      <c r="A198" s="23">
        <f>IF(N198="","",IFERROR(INDEX(設定!$C$8:$C$23,INT(INDEX(児童名簿!$G$2:$G$301,N198)/1000)),M198&amp;INDEX(児童名簿!$B$2:$B$301,N198)))</f>
        <v/>
      </c>
      <c r="B198" s="23">
        <f>IF(N198="","",INDEX(児童名簿!$C$2:$C$301,N198))</f>
        <v/>
      </c>
      <c r="C198" s="3">
        <f>IF(N198="","",INDEX(児童名簿!$D$2:$D$301,N198))</f>
        <v/>
      </c>
      <c r="D198" s="23">
        <f>IF(O198="","",INDEX(希望入力!$D$2:$D$401,O198)&amp;"")</f>
        <v/>
      </c>
      <c r="E198" s="23">
        <f>IF(O198="","",INDEX(希望入力!$E$2:$E$401,O198)&amp;"")</f>
        <v/>
      </c>
      <c r="F198" s="23">
        <f>IF(O198="","",INDEX(希望入力!$F$2:$F$401,O198)&amp;"")</f>
        <v/>
      </c>
      <c r="G198" s="23">
        <f>IF(O198="","",IF(D198="","要調整",IFERROR(IF(COUNTIFS($M$3:$M$302,M198,$D$3:$D$302,D198)&lt;=INDEX(設定!$H$8:$I$27,MATCH(D198,設定!$G$8:$G$27,0),IF($M198=設定!$H$6&amp;"",1,2)),D198,"要調整"),"要調整")))</f>
        <v/>
      </c>
      <c r="H198" s="15" t="n"/>
      <c r="I198" s="24">
        <f>IF(N198="","",IF(H198&lt;&gt;"",H198,IF(OR(G198="",G198="要調整"),"",G198)))</f>
        <v/>
      </c>
      <c r="J198" s="23">
        <f>IF(N198="","",IF(I198&lt;&gt;"","決定",IF(O198="","未提出","要調整")))</f>
        <v/>
      </c>
      <c r="K198" s="23">
        <f>IF(OR(J198&lt;&gt;"要調整",E198=""),"",IFERROR(INDEX(設定!$H$8:$I$27,MATCH(E198,設定!$G$8:$G$27,0),IF($M198=設定!$H$6&amp;"",1,2))-COUNTIFS($M$3:$M$302,M198,$I$3:$I$302,E198),""))</f>
        <v/>
      </c>
      <c r="L198" s="23">
        <f>IF(OR(J198&lt;&gt;"要調整",F198=""),"",IFERROR(INDEX(設定!$H$8:$I$27,MATCH(F198,設定!$G$8:$G$27,0),IF($M198=設定!$H$6&amp;"",1,2))-COUNTIFS($M$3:$M$302,M198,$I$3:$I$302,F198),""))</f>
        <v/>
      </c>
      <c r="M198" s="8">
        <f>IF(N198="","",INDEX(児童名簿!$A$2:$A$301,N198)&amp;"")</f>
        <v/>
      </c>
      <c r="N198" s="8">
        <f>IFERROR(MATCH(SMALL(児童名簿!$G$2:$G$301,196),児童名簿!$G$2:$G$301,0),"")</f>
        <v/>
      </c>
      <c r="O198" s="8">
        <f>IF(P198="","",IFERROR(MATCH(P198,希望入力!$K$2:$K$401,0),""))</f>
        <v/>
      </c>
      <c r="P198" s="8">
        <f>IF(N198="","",INDEX(児童名簿!$F$2:$F$301,N198))</f>
        <v/>
      </c>
      <c r="Q198" s="8">
        <f>IF(I198="","",IFERROR(MATCH(I198,設定!$G$8:$G$27,0),""))</f>
        <v/>
      </c>
      <c r="R198" s="8">
        <f>IF(Q198="","",COUNTIF($Q$3:Q198,Q198))</f>
        <v/>
      </c>
      <c r="S198" s="8">
        <f>IF(Q198="","",Q198*1000+R198)</f>
        <v/>
      </c>
    </row>
    <row r="199">
      <c r="A199" s="23">
        <f>IF(N199="","",IFERROR(INDEX(設定!$C$8:$C$23,INT(INDEX(児童名簿!$G$2:$G$301,N199)/1000)),M199&amp;INDEX(児童名簿!$B$2:$B$301,N199)))</f>
        <v/>
      </c>
      <c r="B199" s="23">
        <f>IF(N199="","",INDEX(児童名簿!$C$2:$C$301,N199))</f>
        <v/>
      </c>
      <c r="C199" s="3">
        <f>IF(N199="","",INDEX(児童名簿!$D$2:$D$301,N199))</f>
        <v/>
      </c>
      <c r="D199" s="23">
        <f>IF(O199="","",INDEX(希望入力!$D$2:$D$401,O199)&amp;"")</f>
        <v/>
      </c>
      <c r="E199" s="23">
        <f>IF(O199="","",INDEX(希望入力!$E$2:$E$401,O199)&amp;"")</f>
        <v/>
      </c>
      <c r="F199" s="23">
        <f>IF(O199="","",INDEX(希望入力!$F$2:$F$401,O199)&amp;"")</f>
        <v/>
      </c>
      <c r="G199" s="23">
        <f>IF(O199="","",IF(D199="","要調整",IFERROR(IF(COUNTIFS($M$3:$M$302,M199,$D$3:$D$302,D199)&lt;=INDEX(設定!$H$8:$I$27,MATCH(D199,設定!$G$8:$G$27,0),IF($M199=設定!$H$6&amp;"",1,2)),D199,"要調整"),"要調整")))</f>
        <v/>
      </c>
      <c r="H199" s="15" t="n"/>
      <c r="I199" s="24">
        <f>IF(N199="","",IF(H199&lt;&gt;"",H199,IF(OR(G199="",G199="要調整"),"",G199)))</f>
        <v/>
      </c>
      <c r="J199" s="23">
        <f>IF(N199="","",IF(I199&lt;&gt;"","決定",IF(O199="","未提出","要調整")))</f>
        <v/>
      </c>
      <c r="K199" s="23">
        <f>IF(OR(J199&lt;&gt;"要調整",E199=""),"",IFERROR(INDEX(設定!$H$8:$I$27,MATCH(E199,設定!$G$8:$G$27,0),IF($M199=設定!$H$6&amp;"",1,2))-COUNTIFS($M$3:$M$302,M199,$I$3:$I$302,E199),""))</f>
        <v/>
      </c>
      <c r="L199" s="23">
        <f>IF(OR(J199&lt;&gt;"要調整",F199=""),"",IFERROR(INDEX(設定!$H$8:$I$27,MATCH(F199,設定!$G$8:$G$27,0),IF($M199=設定!$H$6&amp;"",1,2))-COUNTIFS($M$3:$M$302,M199,$I$3:$I$302,F199),""))</f>
        <v/>
      </c>
      <c r="M199" s="8">
        <f>IF(N199="","",INDEX(児童名簿!$A$2:$A$301,N199)&amp;"")</f>
        <v/>
      </c>
      <c r="N199" s="8">
        <f>IFERROR(MATCH(SMALL(児童名簿!$G$2:$G$301,197),児童名簿!$G$2:$G$301,0),"")</f>
        <v/>
      </c>
      <c r="O199" s="8">
        <f>IF(P199="","",IFERROR(MATCH(P199,希望入力!$K$2:$K$401,0),""))</f>
        <v/>
      </c>
      <c r="P199" s="8">
        <f>IF(N199="","",INDEX(児童名簿!$F$2:$F$301,N199))</f>
        <v/>
      </c>
      <c r="Q199" s="8">
        <f>IF(I199="","",IFERROR(MATCH(I199,設定!$G$8:$G$27,0),""))</f>
        <v/>
      </c>
      <c r="R199" s="8">
        <f>IF(Q199="","",COUNTIF($Q$3:Q199,Q199))</f>
        <v/>
      </c>
      <c r="S199" s="8">
        <f>IF(Q199="","",Q199*1000+R199)</f>
        <v/>
      </c>
    </row>
    <row r="200">
      <c r="A200" s="23">
        <f>IF(N200="","",IFERROR(INDEX(設定!$C$8:$C$23,INT(INDEX(児童名簿!$G$2:$G$301,N200)/1000)),M200&amp;INDEX(児童名簿!$B$2:$B$301,N200)))</f>
        <v/>
      </c>
      <c r="B200" s="23">
        <f>IF(N200="","",INDEX(児童名簿!$C$2:$C$301,N200))</f>
        <v/>
      </c>
      <c r="C200" s="3">
        <f>IF(N200="","",INDEX(児童名簿!$D$2:$D$301,N200))</f>
        <v/>
      </c>
      <c r="D200" s="23">
        <f>IF(O200="","",INDEX(希望入力!$D$2:$D$401,O200)&amp;"")</f>
        <v/>
      </c>
      <c r="E200" s="23">
        <f>IF(O200="","",INDEX(希望入力!$E$2:$E$401,O200)&amp;"")</f>
        <v/>
      </c>
      <c r="F200" s="23">
        <f>IF(O200="","",INDEX(希望入力!$F$2:$F$401,O200)&amp;"")</f>
        <v/>
      </c>
      <c r="G200" s="23">
        <f>IF(O200="","",IF(D200="","要調整",IFERROR(IF(COUNTIFS($M$3:$M$302,M200,$D$3:$D$302,D200)&lt;=INDEX(設定!$H$8:$I$27,MATCH(D200,設定!$G$8:$G$27,0),IF($M200=設定!$H$6&amp;"",1,2)),D200,"要調整"),"要調整")))</f>
        <v/>
      </c>
      <c r="H200" s="15" t="n"/>
      <c r="I200" s="24">
        <f>IF(N200="","",IF(H200&lt;&gt;"",H200,IF(OR(G200="",G200="要調整"),"",G200)))</f>
        <v/>
      </c>
      <c r="J200" s="23">
        <f>IF(N200="","",IF(I200&lt;&gt;"","決定",IF(O200="","未提出","要調整")))</f>
        <v/>
      </c>
      <c r="K200" s="23">
        <f>IF(OR(J200&lt;&gt;"要調整",E200=""),"",IFERROR(INDEX(設定!$H$8:$I$27,MATCH(E200,設定!$G$8:$G$27,0),IF($M200=設定!$H$6&amp;"",1,2))-COUNTIFS($M$3:$M$302,M200,$I$3:$I$302,E200),""))</f>
        <v/>
      </c>
      <c r="L200" s="23">
        <f>IF(OR(J200&lt;&gt;"要調整",F200=""),"",IFERROR(INDEX(設定!$H$8:$I$27,MATCH(F200,設定!$G$8:$G$27,0),IF($M200=設定!$H$6&amp;"",1,2))-COUNTIFS($M$3:$M$302,M200,$I$3:$I$302,F200),""))</f>
        <v/>
      </c>
      <c r="M200" s="8">
        <f>IF(N200="","",INDEX(児童名簿!$A$2:$A$301,N200)&amp;"")</f>
        <v/>
      </c>
      <c r="N200" s="8">
        <f>IFERROR(MATCH(SMALL(児童名簿!$G$2:$G$301,198),児童名簿!$G$2:$G$301,0),"")</f>
        <v/>
      </c>
      <c r="O200" s="8">
        <f>IF(P200="","",IFERROR(MATCH(P200,希望入力!$K$2:$K$401,0),""))</f>
        <v/>
      </c>
      <c r="P200" s="8">
        <f>IF(N200="","",INDEX(児童名簿!$F$2:$F$301,N200))</f>
        <v/>
      </c>
      <c r="Q200" s="8">
        <f>IF(I200="","",IFERROR(MATCH(I200,設定!$G$8:$G$27,0),""))</f>
        <v/>
      </c>
      <c r="R200" s="8">
        <f>IF(Q200="","",COUNTIF($Q$3:Q200,Q200))</f>
        <v/>
      </c>
      <c r="S200" s="8">
        <f>IF(Q200="","",Q200*1000+R200)</f>
        <v/>
      </c>
    </row>
    <row r="201">
      <c r="A201" s="23">
        <f>IF(N201="","",IFERROR(INDEX(設定!$C$8:$C$23,INT(INDEX(児童名簿!$G$2:$G$301,N201)/1000)),M201&amp;INDEX(児童名簿!$B$2:$B$301,N201)))</f>
        <v/>
      </c>
      <c r="B201" s="23">
        <f>IF(N201="","",INDEX(児童名簿!$C$2:$C$301,N201))</f>
        <v/>
      </c>
      <c r="C201" s="3">
        <f>IF(N201="","",INDEX(児童名簿!$D$2:$D$301,N201))</f>
        <v/>
      </c>
      <c r="D201" s="23">
        <f>IF(O201="","",INDEX(希望入力!$D$2:$D$401,O201)&amp;"")</f>
        <v/>
      </c>
      <c r="E201" s="23">
        <f>IF(O201="","",INDEX(希望入力!$E$2:$E$401,O201)&amp;"")</f>
        <v/>
      </c>
      <c r="F201" s="23">
        <f>IF(O201="","",INDEX(希望入力!$F$2:$F$401,O201)&amp;"")</f>
        <v/>
      </c>
      <c r="G201" s="23">
        <f>IF(O201="","",IF(D201="","要調整",IFERROR(IF(COUNTIFS($M$3:$M$302,M201,$D$3:$D$302,D201)&lt;=INDEX(設定!$H$8:$I$27,MATCH(D201,設定!$G$8:$G$27,0),IF($M201=設定!$H$6&amp;"",1,2)),D201,"要調整"),"要調整")))</f>
        <v/>
      </c>
      <c r="H201" s="15" t="n"/>
      <c r="I201" s="24">
        <f>IF(N201="","",IF(H201&lt;&gt;"",H201,IF(OR(G201="",G201="要調整"),"",G201)))</f>
        <v/>
      </c>
      <c r="J201" s="23">
        <f>IF(N201="","",IF(I201&lt;&gt;"","決定",IF(O201="","未提出","要調整")))</f>
        <v/>
      </c>
      <c r="K201" s="23">
        <f>IF(OR(J201&lt;&gt;"要調整",E201=""),"",IFERROR(INDEX(設定!$H$8:$I$27,MATCH(E201,設定!$G$8:$G$27,0),IF($M201=設定!$H$6&amp;"",1,2))-COUNTIFS($M$3:$M$302,M201,$I$3:$I$302,E201),""))</f>
        <v/>
      </c>
      <c r="L201" s="23">
        <f>IF(OR(J201&lt;&gt;"要調整",F201=""),"",IFERROR(INDEX(設定!$H$8:$I$27,MATCH(F201,設定!$G$8:$G$27,0),IF($M201=設定!$H$6&amp;"",1,2))-COUNTIFS($M$3:$M$302,M201,$I$3:$I$302,F201),""))</f>
        <v/>
      </c>
      <c r="M201" s="8">
        <f>IF(N201="","",INDEX(児童名簿!$A$2:$A$301,N201)&amp;"")</f>
        <v/>
      </c>
      <c r="N201" s="8">
        <f>IFERROR(MATCH(SMALL(児童名簿!$G$2:$G$301,199),児童名簿!$G$2:$G$301,0),"")</f>
        <v/>
      </c>
      <c r="O201" s="8">
        <f>IF(P201="","",IFERROR(MATCH(P201,希望入力!$K$2:$K$401,0),""))</f>
        <v/>
      </c>
      <c r="P201" s="8">
        <f>IF(N201="","",INDEX(児童名簿!$F$2:$F$301,N201))</f>
        <v/>
      </c>
      <c r="Q201" s="8">
        <f>IF(I201="","",IFERROR(MATCH(I201,設定!$G$8:$G$27,0),""))</f>
        <v/>
      </c>
      <c r="R201" s="8">
        <f>IF(Q201="","",COUNTIF($Q$3:Q201,Q201))</f>
        <v/>
      </c>
      <c r="S201" s="8">
        <f>IF(Q201="","",Q201*1000+R201)</f>
        <v/>
      </c>
    </row>
    <row r="202">
      <c r="A202" s="23">
        <f>IF(N202="","",IFERROR(INDEX(設定!$C$8:$C$23,INT(INDEX(児童名簿!$G$2:$G$301,N202)/1000)),M202&amp;INDEX(児童名簿!$B$2:$B$301,N202)))</f>
        <v/>
      </c>
      <c r="B202" s="23">
        <f>IF(N202="","",INDEX(児童名簿!$C$2:$C$301,N202))</f>
        <v/>
      </c>
      <c r="C202" s="3">
        <f>IF(N202="","",INDEX(児童名簿!$D$2:$D$301,N202))</f>
        <v/>
      </c>
      <c r="D202" s="23">
        <f>IF(O202="","",INDEX(希望入力!$D$2:$D$401,O202)&amp;"")</f>
        <v/>
      </c>
      <c r="E202" s="23">
        <f>IF(O202="","",INDEX(希望入力!$E$2:$E$401,O202)&amp;"")</f>
        <v/>
      </c>
      <c r="F202" s="23">
        <f>IF(O202="","",INDEX(希望入力!$F$2:$F$401,O202)&amp;"")</f>
        <v/>
      </c>
      <c r="G202" s="23">
        <f>IF(O202="","",IF(D202="","要調整",IFERROR(IF(COUNTIFS($M$3:$M$302,M202,$D$3:$D$302,D202)&lt;=INDEX(設定!$H$8:$I$27,MATCH(D202,設定!$G$8:$G$27,0),IF($M202=設定!$H$6&amp;"",1,2)),D202,"要調整"),"要調整")))</f>
        <v/>
      </c>
      <c r="H202" s="15" t="n"/>
      <c r="I202" s="24">
        <f>IF(N202="","",IF(H202&lt;&gt;"",H202,IF(OR(G202="",G202="要調整"),"",G202)))</f>
        <v/>
      </c>
      <c r="J202" s="23">
        <f>IF(N202="","",IF(I202&lt;&gt;"","決定",IF(O202="","未提出","要調整")))</f>
        <v/>
      </c>
      <c r="K202" s="23">
        <f>IF(OR(J202&lt;&gt;"要調整",E202=""),"",IFERROR(INDEX(設定!$H$8:$I$27,MATCH(E202,設定!$G$8:$G$27,0),IF($M202=設定!$H$6&amp;"",1,2))-COUNTIFS($M$3:$M$302,M202,$I$3:$I$302,E202),""))</f>
        <v/>
      </c>
      <c r="L202" s="23">
        <f>IF(OR(J202&lt;&gt;"要調整",F202=""),"",IFERROR(INDEX(設定!$H$8:$I$27,MATCH(F202,設定!$G$8:$G$27,0),IF($M202=設定!$H$6&amp;"",1,2))-COUNTIFS($M$3:$M$302,M202,$I$3:$I$302,F202),""))</f>
        <v/>
      </c>
      <c r="M202" s="8">
        <f>IF(N202="","",INDEX(児童名簿!$A$2:$A$301,N202)&amp;"")</f>
        <v/>
      </c>
      <c r="N202" s="8">
        <f>IFERROR(MATCH(SMALL(児童名簿!$G$2:$G$301,200),児童名簿!$G$2:$G$301,0),"")</f>
        <v/>
      </c>
      <c r="O202" s="8">
        <f>IF(P202="","",IFERROR(MATCH(P202,希望入力!$K$2:$K$401,0),""))</f>
        <v/>
      </c>
      <c r="P202" s="8">
        <f>IF(N202="","",INDEX(児童名簿!$F$2:$F$301,N202))</f>
        <v/>
      </c>
      <c r="Q202" s="8">
        <f>IF(I202="","",IFERROR(MATCH(I202,設定!$G$8:$G$27,0),""))</f>
        <v/>
      </c>
      <c r="R202" s="8">
        <f>IF(Q202="","",COUNTIF($Q$3:Q202,Q202))</f>
        <v/>
      </c>
      <c r="S202" s="8">
        <f>IF(Q202="","",Q202*1000+R202)</f>
        <v/>
      </c>
    </row>
    <row r="203">
      <c r="A203" s="23">
        <f>IF(N203="","",IFERROR(INDEX(設定!$C$8:$C$23,INT(INDEX(児童名簿!$G$2:$G$301,N203)/1000)),M203&amp;INDEX(児童名簿!$B$2:$B$301,N203)))</f>
        <v/>
      </c>
      <c r="B203" s="23">
        <f>IF(N203="","",INDEX(児童名簿!$C$2:$C$301,N203))</f>
        <v/>
      </c>
      <c r="C203" s="3">
        <f>IF(N203="","",INDEX(児童名簿!$D$2:$D$301,N203))</f>
        <v/>
      </c>
      <c r="D203" s="23">
        <f>IF(O203="","",INDEX(希望入力!$D$2:$D$401,O203)&amp;"")</f>
        <v/>
      </c>
      <c r="E203" s="23">
        <f>IF(O203="","",INDEX(希望入力!$E$2:$E$401,O203)&amp;"")</f>
        <v/>
      </c>
      <c r="F203" s="23">
        <f>IF(O203="","",INDEX(希望入力!$F$2:$F$401,O203)&amp;"")</f>
        <v/>
      </c>
      <c r="G203" s="23">
        <f>IF(O203="","",IF(D203="","要調整",IFERROR(IF(COUNTIFS($M$3:$M$302,M203,$D$3:$D$302,D203)&lt;=INDEX(設定!$H$8:$I$27,MATCH(D203,設定!$G$8:$G$27,0),IF($M203=設定!$H$6&amp;"",1,2)),D203,"要調整"),"要調整")))</f>
        <v/>
      </c>
      <c r="H203" s="15" t="n"/>
      <c r="I203" s="24">
        <f>IF(N203="","",IF(H203&lt;&gt;"",H203,IF(OR(G203="",G203="要調整"),"",G203)))</f>
        <v/>
      </c>
      <c r="J203" s="23">
        <f>IF(N203="","",IF(I203&lt;&gt;"","決定",IF(O203="","未提出","要調整")))</f>
        <v/>
      </c>
      <c r="K203" s="23">
        <f>IF(OR(J203&lt;&gt;"要調整",E203=""),"",IFERROR(INDEX(設定!$H$8:$I$27,MATCH(E203,設定!$G$8:$G$27,0),IF($M203=設定!$H$6&amp;"",1,2))-COUNTIFS($M$3:$M$302,M203,$I$3:$I$302,E203),""))</f>
        <v/>
      </c>
      <c r="L203" s="23">
        <f>IF(OR(J203&lt;&gt;"要調整",F203=""),"",IFERROR(INDEX(設定!$H$8:$I$27,MATCH(F203,設定!$G$8:$G$27,0),IF($M203=設定!$H$6&amp;"",1,2))-COUNTIFS($M$3:$M$302,M203,$I$3:$I$302,F203),""))</f>
        <v/>
      </c>
      <c r="M203" s="8">
        <f>IF(N203="","",INDEX(児童名簿!$A$2:$A$301,N203)&amp;"")</f>
        <v/>
      </c>
      <c r="N203" s="8">
        <f>IFERROR(MATCH(SMALL(児童名簿!$G$2:$G$301,201),児童名簿!$G$2:$G$301,0),"")</f>
        <v/>
      </c>
      <c r="O203" s="8">
        <f>IF(P203="","",IFERROR(MATCH(P203,希望入力!$K$2:$K$401,0),""))</f>
        <v/>
      </c>
      <c r="P203" s="8">
        <f>IF(N203="","",INDEX(児童名簿!$F$2:$F$301,N203))</f>
        <v/>
      </c>
      <c r="Q203" s="8">
        <f>IF(I203="","",IFERROR(MATCH(I203,設定!$G$8:$G$27,0),""))</f>
        <v/>
      </c>
      <c r="R203" s="8">
        <f>IF(Q203="","",COUNTIF($Q$3:Q203,Q203))</f>
        <v/>
      </c>
      <c r="S203" s="8">
        <f>IF(Q203="","",Q203*1000+R203)</f>
        <v/>
      </c>
    </row>
    <row r="204">
      <c r="A204" s="23">
        <f>IF(N204="","",IFERROR(INDEX(設定!$C$8:$C$23,INT(INDEX(児童名簿!$G$2:$G$301,N204)/1000)),M204&amp;INDEX(児童名簿!$B$2:$B$301,N204)))</f>
        <v/>
      </c>
      <c r="B204" s="23">
        <f>IF(N204="","",INDEX(児童名簿!$C$2:$C$301,N204))</f>
        <v/>
      </c>
      <c r="C204" s="3">
        <f>IF(N204="","",INDEX(児童名簿!$D$2:$D$301,N204))</f>
        <v/>
      </c>
      <c r="D204" s="23">
        <f>IF(O204="","",INDEX(希望入力!$D$2:$D$401,O204)&amp;"")</f>
        <v/>
      </c>
      <c r="E204" s="23">
        <f>IF(O204="","",INDEX(希望入力!$E$2:$E$401,O204)&amp;"")</f>
        <v/>
      </c>
      <c r="F204" s="23">
        <f>IF(O204="","",INDEX(希望入力!$F$2:$F$401,O204)&amp;"")</f>
        <v/>
      </c>
      <c r="G204" s="23">
        <f>IF(O204="","",IF(D204="","要調整",IFERROR(IF(COUNTIFS($M$3:$M$302,M204,$D$3:$D$302,D204)&lt;=INDEX(設定!$H$8:$I$27,MATCH(D204,設定!$G$8:$G$27,0),IF($M204=設定!$H$6&amp;"",1,2)),D204,"要調整"),"要調整")))</f>
        <v/>
      </c>
      <c r="H204" s="15" t="n"/>
      <c r="I204" s="24">
        <f>IF(N204="","",IF(H204&lt;&gt;"",H204,IF(OR(G204="",G204="要調整"),"",G204)))</f>
        <v/>
      </c>
      <c r="J204" s="23">
        <f>IF(N204="","",IF(I204&lt;&gt;"","決定",IF(O204="","未提出","要調整")))</f>
        <v/>
      </c>
      <c r="K204" s="23">
        <f>IF(OR(J204&lt;&gt;"要調整",E204=""),"",IFERROR(INDEX(設定!$H$8:$I$27,MATCH(E204,設定!$G$8:$G$27,0),IF($M204=設定!$H$6&amp;"",1,2))-COUNTIFS($M$3:$M$302,M204,$I$3:$I$302,E204),""))</f>
        <v/>
      </c>
      <c r="L204" s="23">
        <f>IF(OR(J204&lt;&gt;"要調整",F204=""),"",IFERROR(INDEX(設定!$H$8:$I$27,MATCH(F204,設定!$G$8:$G$27,0),IF($M204=設定!$H$6&amp;"",1,2))-COUNTIFS($M$3:$M$302,M204,$I$3:$I$302,F204),""))</f>
        <v/>
      </c>
      <c r="M204" s="8">
        <f>IF(N204="","",INDEX(児童名簿!$A$2:$A$301,N204)&amp;"")</f>
        <v/>
      </c>
      <c r="N204" s="8">
        <f>IFERROR(MATCH(SMALL(児童名簿!$G$2:$G$301,202),児童名簿!$G$2:$G$301,0),"")</f>
        <v/>
      </c>
      <c r="O204" s="8">
        <f>IF(P204="","",IFERROR(MATCH(P204,希望入力!$K$2:$K$401,0),""))</f>
        <v/>
      </c>
      <c r="P204" s="8">
        <f>IF(N204="","",INDEX(児童名簿!$F$2:$F$301,N204))</f>
        <v/>
      </c>
      <c r="Q204" s="8">
        <f>IF(I204="","",IFERROR(MATCH(I204,設定!$G$8:$G$27,0),""))</f>
        <v/>
      </c>
      <c r="R204" s="8">
        <f>IF(Q204="","",COUNTIF($Q$3:Q204,Q204))</f>
        <v/>
      </c>
      <c r="S204" s="8">
        <f>IF(Q204="","",Q204*1000+R204)</f>
        <v/>
      </c>
    </row>
    <row r="205">
      <c r="A205" s="23">
        <f>IF(N205="","",IFERROR(INDEX(設定!$C$8:$C$23,INT(INDEX(児童名簿!$G$2:$G$301,N205)/1000)),M205&amp;INDEX(児童名簿!$B$2:$B$301,N205)))</f>
        <v/>
      </c>
      <c r="B205" s="23">
        <f>IF(N205="","",INDEX(児童名簿!$C$2:$C$301,N205))</f>
        <v/>
      </c>
      <c r="C205" s="3">
        <f>IF(N205="","",INDEX(児童名簿!$D$2:$D$301,N205))</f>
        <v/>
      </c>
      <c r="D205" s="23">
        <f>IF(O205="","",INDEX(希望入力!$D$2:$D$401,O205)&amp;"")</f>
        <v/>
      </c>
      <c r="E205" s="23">
        <f>IF(O205="","",INDEX(希望入力!$E$2:$E$401,O205)&amp;"")</f>
        <v/>
      </c>
      <c r="F205" s="23">
        <f>IF(O205="","",INDEX(希望入力!$F$2:$F$401,O205)&amp;"")</f>
        <v/>
      </c>
      <c r="G205" s="23">
        <f>IF(O205="","",IF(D205="","要調整",IFERROR(IF(COUNTIFS($M$3:$M$302,M205,$D$3:$D$302,D205)&lt;=INDEX(設定!$H$8:$I$27,MATCH(D205,設定!$G$8:$G$27,0),IF($M205=設定!$H$6&amp;"",1,2)),D205,"要調整"),"要調整")))</f>
        <v/>
      </c>
      <c r="H205" s="15" t="n"/>
      <c r="I205" s="24">
        <f>IF(N205="","",IF(H205&lt;&gt;"",H205,IF(OR(G205="",G205="要調整"),"",G205)))</f>
        <v/>
      </c>
      <c r="J205" s="23">
        <f>IF(N205="","",IF(I205&lt;&gt;"","決定",IF(O205="","未提出","要調整")))</f>
        <v/>
      </c>
      <c r="K205" s="23">
        <f>IF(OR(J205&lt;&gt;"要調整",E205=""),"",IFERROR(INDEX(設定!$H$8:$I$27,MATCH(E205,設定!$G$8:$G$27,0),IF($M205=設定!$H$6&amp;"",1,2))-COUNTIFS($M$3:$M$302,M205,$I$3:$I$302,E205),""))</f>
        <v/>
      </c>
      <c r="L205" s="23">
        <f>IF(OR(J205&lt;&gt;"要調整",F205=""),"",IFERROR(INDEX(設定!$H$8:$I$27,MATCH(F205,設定!$G$8:$G$27,0),IF($M205=設定!$H$6&amp;"",1,2))-COUNTIFS($M$3:$M$302,M205,$I$3:$I$302,F205),""))</f>
        <v/>
      </c>
      <c r="M205" s="8">
        <f>IF(N205="","",INDEX(児童名簿!$A$2:$A$301,N205)&amp;"")</f>
        <v/>
      </c>
      <c r="N205" s="8">
        <f>IFERROR(MATCH(SMALL(児童名簿!$G$2:$G$301,203),児童名簿!$G$2:$G$301,0),"")</f>
        <v/>
      </c>
      <c r="O205" s="8">
        <f>IF(P205="","",IFERROR(MATCH(P205,希望入力!$K$2:$K$401,0),""))</f>
        <v/>
      </c>
      <c r="P205" s="8">
        <f>IF(N205="","",INDEX(児童名簿!$F$2:$F$301,N205))</f>
        <v/>
      </c>
      <c r="Q205" s="8">
        <f>IF(I205="","",IFERROR(MATCH(I205,設定!$G$8:$G$27,0),""))</f>
        <v/>
      </c>
      <c r="R205" s="8">
        <f>IF(Q205="","",COUNTIF($Q$3:Q205,Q205))</f>
        <v/>
      </c>
      <c r="S205" s="8">
        <f>IF(Q205="","",Q205*1000+R205)</f>
        <v/>
      </c>
    </row>
    <row r="206">
      <c r="A206" s="23">
        <f>IF(N206="","",IFERROR(INDEX(設定!$C$8:$C$23,INT(INDEX(児童名簿!$G$2:$G$301,N206)/1000)),M206&amp;INDEX(児童名簿!$B$2:$B$301,N206)))</f>
        <v/>
      </c>
      <c r="B206" s="23">
        <f>IF(N206="","",INDEX(児童名簿!$C$2:$C$301,N206))</f>
        <v/>
      </c>
      <c r="C206" s="3">
        <f>IF(N206="","",INDEX(児童名簿!$D$2:$D$301,N206))</f>
        <v/>
      </c>
      <c r="D206" s="23">
        <f>IF(O206="","",INDEX(希望入力!$D$2:$D$401,O206)&amp;"")</f>
        <v/>
      </c>
      <c r="E206" s="23">
        <f>IF(O206="","",INDEX(希望入力!$E$2:$E$401,O206)&amp;"")</f>
        <v/>
      </c>
      <c r="F206" s="23">
        <f>IF(O206="","",INDEX(希望入力!$F$2:$F$401,O206)&amp;"")</f>
        <v/>
      </c>
      <c r="G206" s="23">
        <f>IF(O206="","",IF(D206="","要調整",IFERROR(IF(COUNTIFS($M$3:$M$302,M206,$D$3:$D$302,D206)&lt;=INDEX(設定!$H$8:$I$27,MATCH(D206,設定!$G$8:$G$27,0),IF($M206=設定!$H$6&amp;"",1,2)),D206,"要調整"),"要調整")))</f>
        <v/>
      </c>
      <c r="H206" s="15" t="n"/>
      <c r="I206" s="24">
        <f>IF(N206="","",IF(H206&lt;&gt;"",H206,IF(OR(G206="",G206="要調整"),"",G206)))</f>
        <v/>
      </c>
      <c r="J206" s="23">
        <f>IF(N206="","",IF(I206&lt;&gt;"","決定",IF(O206="","未提出","要調整")))</f>
        <v/>
      </c>
      <c r="K206" s="23">
        <f>IF(OR(J206&lt;&gt;"要調整",E206=""),"",IFERROR(INDEX(設定!$H$8:$I$27,MATCH(E206,設定!$G$8:$G$27,0),IF($M206=設定!$H$6&amp;"",1,2))-COUNTIFS($M$3:$M$302,M206,$I$3:$I$302,E206),""))</f>
        <v/>
      </c>
      <c r="L206" s="23">
        <f>IF(OR(J206&lt;&gt;"要調整",F206=""),"",IFERROR(INDEX(設定!$H$8:$I$27,MATCH(F206,設定!$G$8:$G$27,0),IF($M206=設定!$H$6&amp;"",1,2))-COUNTIFS($M$3:$M$302,M206,$I$3:$I$302,F206),""))</f>
        <v/>
      </c>
      <c r="M206" s="8">
        <f>IF(N206="","",INDEX(児童名簿!$A$2:$A$301,N206)&amp;"")</f>
        <v/>
      </c>
      <c r="N206" s="8">
        <f>IFERROR(MATCH(SMALL(児童名簿!$G$2:$G$301,204),児童名簿!$G$2:$G$301,0),"")</f>
        <v/>
      </c>
      <c r="O206" s="8">
        <f>IF(P206="","",IFERROR(MATCH(P206,希望入力!$K$2:$K$401,0),""))</f>
        <v/>
      </c>
      <c r="P206" s="8">
        <f>IF(N206="","",INDEX(児童名簿!$F$2:$F$301,N206))</f>
        <v/>
      </c>
      <c r="Q206" s="8">
        <f>IF(I206="","",IFERROR(MATCH(I206,設定!$G$8:$G$27,0),""))</f>
        <v/>
      </c>
      <c r="R206" s="8">
        <f>IF(Q206="","",COUNTIF($Q$3:Q206,Q206))</f>
        <v/>
      </c>
      <c r="S206" s="8">
        <f>IF(Q206="","",Q206*1000+R206)</f>
        <v/>
      </c>
    </row>
    <row r="207">
      <c r="A207" s="23">
        <f>IF(N207="","",IFERROR(INDEX(設定!$C$8:$C$23,INT(INDEX(児童名簿!$G$2:$G$301,N207)/1000)),M207&amp;INDEX(児童名簿!$B$2:$B$301,N207)))</f>
        <v/>
      </c>
      <c r="B207" s="23">
        <f>IF(N207="","",INDEX(児童名簿!$C$2:$C$301,N207))</f>
        <v/>
      </c>
      <c r="C207" s="3">
        <f>IF(N207="","",INDEX(児童名簿!$D$2:$D$301,N207))</f>
        <v/>
      </c>
      <c r="D207" s="23">
        <f>IF(O207="","",INDEX(希望入力!$D$2:$D$401,O207)&amp;"")</f>
        <v/>
      </c>
      <c r="E207" s="23">
        <f>IF(O207="","",INDEX(希望入力!$E$2:$E$401,O207)&amp;"")</f>
        <v/>
      </c>
      <c r="F207" s="23">
        <f>IF(O207="","",INDEX(希望入力!$F$2:$F$401,O207)&amp;"")</f>
        <v/>
      </c>
      <c r="G207" s="23">
        <f>IF(O207="","",IF(D207="","要調整",IFERROR(IF(COUNTIFS($M$3:$M$302,M207,$D$3:$D$302,D207)&lt;=INDEX(設定!$H$8:$I$27,MATCH(D207,設定!$G$8:$G$27,0),IF($M207=設定!$H$6&amp;"",1,2)),D207,"要調整"),"要調整")))</f>
        <v/>
      </c>
      <c r="H207" s="15" t="n"/>
      <c r="I207" s="24">
        <f>IF(N207="","",IF(H207&lt;&gt;"",H207,IF(OR(G207="",G207="要調整"),"",G207)))</f>
        <v/>
      </c>
      <c r="J207" s="23">
        <f>IF(N207="","",IF(I207&lt;&gt;"","決定",IF(O207="","未提出","要調整")))</f>
        <v/>
      </c>
      <c r="K207" s="23">
        <f>IF(OR(J207&lt;&gt;"要調整",E207=""),"",IFERROR(INDEX(設定!$H$8:$I$27,MATCH(E207,設定!$G$8:$G$27,0),IF($M207=設定!$H$6&amp;"",1,2))-COUNTIFS($M$3:$M$302,M207,$I$3:$I$302,E207),""))</f>
        <v/>
      </c>
      <c r="L207" s="23">
        <f>IF(OR(J207&lt;&gt;"要調整",F207=""),"",IFERROR(INDEX(設定!$H$8:$I$27,MATCH(F207,設定!$G$8:$G$27,0),IF($M207=設定!$H$6&amp;"",1,2))-COUNTIFS($M$3:$M$302,M207,$I$3:$I$302,F207),""))</f>
        <v/>
      </c>
      <c r="M207" s="8">
        <f>IF(N207="","",INDEX(児童名簿!$A$2:$A$301,N207)&amp;"")</f>
        <v/>
      </c>
      <c r="N207" s="8">
        <f>IFERROR(MATCH(SMALL(児童名簿!$G$2:$G$301,205),児童名簿!$G$2:$G$301,0),"")</f>
        <v/>
      </c>
      <c r="O207" s="8">
        <f>IF(P207="","",IFERROR(MATCH(P207,希望入力!$K$2:$K$401,0),""))</f>
        <v/>
      </c>
      <c r="P207" s="8">
        <f>IF(N207="","",INDEX(児童名簿!$F$2:$F$301,N207))</f>
        <v/>
      </c>
      <c r="Q207" s="8">
        <f>IF(I207="","",IFERROR(MATCH(I207,設定!$G$8:$G$27,0),""))</f>
        <v/>
      </c>
      <c r="R207" s="8">
        <f>IF(Q207="","",COUNTIF($Q$3:Q207,Q207))</f>
        <v/>
      </c>
      <c r="S207" s="8">
        <f>IF(Q207="","",Q207*1000+R207)</f>
        <v/>
      </c>
    </row>
    <row r="208">
      <c r="A208" s="23">
        <f>IF(N208="","",IFERROR(INDEX(設定!$C$8:$C$23,INT(INDEX(児童名簿!$G$2:$G$301,N208)/1000)),M208&amp;INDEX(児童名簿!$B$2:$B$301,N208)))</f>
        <v/>
      </c>
      <c r="B208" s="23">
        <f>IF(N208="","",INDEX(児童名簿!$C$2:$C$301,N208))</f>
        <v/>
      </c>
      <c r="C208" s="3">
        <f>IF(N208="","",INDEX(児童名簿!$D$2:$D$301,N208))</f>
        <v/>
      </c>
      <c r="D208" s="23">
        <f>IF(O208="","",INDEX(希望入力!$D$2:$D$401,O208)&amp;"")</f>
        <v/>
      </c>
      <c r="E208" s="23">
        <f>IF(O208="","",INDEX(希望入力!$E$2:$E$401,O208)&amp;"")</f>
        <v/>
      </c>
      <c r="F208" s="23">
        <f>IF(O208="","",INDEX(希望入力!$F$2:$F$401,O208)&amp;"")</f>
        <v/>
      </c>
      <c r="G208" s="23">
        <f>IF(O208="","",IF(D208="","要調整",IFERROR(IF(COUNTIFS($M$3:$M$302,M208,$D$3:$D$302,D208)&lt;=INDEX(設定!$H$8:$I$27,MATCH(D208,設定!$G$8:$G$27,0),IF($M208=設定!$H$6&amp;"",1,2)),D208,"要調整"),"要調整")))</f>
        <v/>
      </c>
      <c r="H208" s="15" t="n"/>
      <c r="I208" s="24">
        <f>IF(N208="","",IF(H208&lt;&gt;"",H208,IF(OR(G208="",G208="要調整"),"",G208)))</f>
        <v/>
      </c>
      <c r="J208" s="23">
        <f>IF(N208="","",IF(I208&lt;&gt;"","決定",IF(O208="","未提出","要調整")))</f>
        <v/>
      </c>
      <c r="K208" s="23">
        <f>IF(OR(J208&lt;&gt;"要調整",E208=""),"",IFERROR(INDEX(設定!$H$8:$I$27,MATCH(E208,設定!$G$8:$G$27,0),IF($M208=設定!$H$6&amp;"",1,2))-COUNTIFS($M$3:$M$302,M208,$I$3:$I$302,E208),""))</f>
        <v/>
      </c>
      <c r="L208" s="23">
        <f>IF(OR(J208&lt;&gt;"要調整",F208=""),"",IFERROR(INDEX(設定!$H$8:$I$27,MATCH(F208,設定!$G$8:$G$27,0),IF($M208=設定!$H$6&amp;"",1,2))-COUNTIFS($M$3:$M$302,M208,$I$3:$I$302,F208),""))</f>
        <v/>
      </c>
      <c r="M208" s="8">
        <f>IF(N208="","",INDEX(児童名簿!$A$2:$A$301,N208)&amp;"")</f>
        <v/>
      </c>
      <c r="N208" s="8">
        <f>IFERROR(MATCH(SMALL(児童名簿!$G$2:$G$301,206),児童名簿!$G$2:$G$301,0),"")</f>
        <v/>
      </c>
      <c r="O208" s="8">
        <f>IF(P208="","",IFERROR(MATCH(P208,希望入力!$K$2:$K$401,0),""))</f>
        <v/>
      </c>
      <c r="P208" s="8">
        <f>IF(N208="","",INDEX(児童名簿!$F$2:$F$301,N208))</f>
        <v/>
      </c>
      <c r="Q208" s="8">
        <f>IF(I208="","",IFERROR(MATCH(I208,設定!$G$8:$G$27,0),""))</f>
        <v/>
      </c>
      <c r="R208" s="8">
        <f>IF(Q208="","",COUNTIF($Q$3:Q208,Q208))</f>
        <v/>
      </c>
      <c r="S208" s="8">
        <f>IF(Q208="","",Q208*1000+R208)</f>
        <v/>
      </c>
    </row>
    <row r="209">
      <c r="A209" s="23">
        <f>IF(N209="","",IFERROR(INDEX(設定!$C$8:$C$23,INT(INDEX(児童名簿!$G$2:$G$301,N209)/1000)),M209&amp;INDEX(児童名簿!$B$2:$B$301,N209)))</f>
        <v/>
      </c>
      <c r="B209" s="23">
        <f>IF(N209="","",INDEX(児童名簿!$C$2:$C$301,N209))</f>
        <v/>
      </c>
      <c r="C209" s="3">
        <f>IF(N209="","",INDEX(児童名簿!$D$2:$D$301,N209))</f>
        <v/>
      </c>
      <c r="D209" s="23">
        <f>IF(O209="","",INDEX(希望入力!$D$2:$D$401,O209)&amp;"")</f>
        <v/>
      </c>
      <c r="E209" s="23">
        <f>IF(O209="","",INDEX(希望入力!$E$2:$E$401,O209)&amp;"")</f>
        <v/>
      </c>
      <c r="F209" s="23">
        <f>IF(O209="","",INDEX(希望入力!$F$2:$F$401,O209)&amp;"")</f>
        <v/>
      </c>
      <c r="G209" s="23">
        <f>IF(O209="","",IF(D209="","要調整",IFERROR(IF(COUNTIFS($M$3:$M$302,M209,$D$3:$D$302,D209)&lt;=INDEX(設定!$H$8:$I$27,MATCH(D209,設定!$G$8:$G$27,0),IF($M209=設定!$H$6&amp;"",1,2)),D209,"要調整"),"要調整")))</f>
        <v/>
      </c>
      <c r="H209" s="15" t="n"/>
      <c r="I209" s="24">
        <f>IF(N209="","",IF(H209&lt;&gt;"",H209,IF(OR(G209="",G209="要調整"),"",G209)))</f>
        <v/>
      </c>
      <c r="J209" s="23">
        <f>IF(N209="","",IF(I209&lt;&gt;"","決定",IF(O209="","未提出","要調整")))</f>
        <v/>
      </c>
      <c r="K209" s="23">
        <f>IF(OR(J209&lt;&gt;"要調整",E209=""),"",IFERROR(INDEX(設定!$H$8:$I$27,MATCH(E209,設定!$G$8:$G$27,0),IF($M209=設定!$H$6&amp;"",1,2))-COUNTIFS($M$3:$M$302,M209,$I$3:$I$302,E209),""))</f>
        <v/>
      </c>
      <c r="L209" s="23">
        <f>IF(OR(J209&lt;&gt;"要調整",F209=""),"",IFERROR(INDEX(設定!$H$8:$I$27,MATCH(F209,設定!$G$8:$G$27,0),IF($M209=設定!$H$6&amp;"",1,2))-COUNTIFS($M$3:$M$302,M209,$I$3:$I$302,F209),""))</f>
        <v/>
      </c>
      <c r="M209" s="8">
        <f>IF(N209="","",INDEX(児童名簿!$A$2:$A$301,N209)&amp;"")</f>
        <v/>
      </c>
      <c r="N209" s="8">
        <f>IFERROR(MATCH(SMALL(児童名簿!$G$2:$G$301,207),児童名簿!$G$2:$G$301,0),"")</f>
        <v/>
      </c>
      <c r="O209" s="8">
        <f>IF(P209="","",IFERROR(MATCH(P209,希望入力!$K$2:$K$401,0),""))</f>
        <v/>
      </c>
      <c r="P209" s="8">
        <f>IF(N209="","",INDEX(児童名簿!$F$2:$F$301,N209))</f>
        <v/>
      </c>
      <c r="Q209" s="8">
        <f>IF(I209="","",IFERROR(MATCH(I209,設定!$G$8:$G$27,0),""))</f>
        <v/>
      </c>
      <c r="R209" s="8">
        <f>IF(Q209="","",COUNTIF($Q$3:Q209,Q209))</f>
        <v/>
      </c>
      <c r="S209" s="8">
        <f>IF(Q209="","",Q209*1000+R209)</f>
        <v/>
      </c>
    </row>
    <row r="210">
      <c r="A210" s="23">
        <f>IF(N210="","",IFERROR(INDEX(設定!$C$8:$C$23,INT(INDEX(児童名簿!$G$2:$G$301,N210)/1000)),M210&amp;INDEX(児童名簿!$B$2:$B$301,N210)))</f>
        <v/>
      </c>
      <c r="B210" s="23">
        <f>IF(N210="","",INDEX(児童名簿!$C$2:$C$301,N210))</f>
        <v/>
      </c>
      <c r="C210" s="3">
        <f>IF(N210="","",INDEX(児童名簿!$D$2:$D$301,N210))</f>
        <v/>
      </c>
      <c r="D210" s="23">
        <f>IF(O210="","",INDEX(希望入力!$D$2:$D$401,O210)&amp;"")</f>
        <v/>
      </c>
      <c r="E210" s="23">
        <f>IF(O210="","",INDEX(希望入力!$E$2:$E$401,O210)&amp;"")</f>
        <v/>
      </c>
      <c r="F210" s="23">
        <f>IF(O210="","",INDEX(希望入力!$F$2:$F$401,O210)&amp;"")</f>
        <v/>
      </c>
      <c r="G210" s="23">
        <f>IF(O210="","",IF(D210="","要調整",IFERROR(IF(COUNTIFS($M$3:$M$302,M210,$D$3:$D$302,D210)&lt;=INDEX(設定!$H$8:$I$27,MATCH(D210,設定!$G$8:$G$27,0),IF($M210=設定!$H$6&amp;"",1,2)),D210,"要調整"),"要調整")))</f>
        <v/>
      </c>
      <c r="H210" s="15" t="n"/>
      <c r="I210" s="24">
        <f>IF(N210="","",IF(H210&lt;&gt;"",H210,IF(OR(G210="",G210="要調整"),"",G210)))</f>
        <v/>
      </c>
      <c r="J210" s="23">
        <f>IF(N210="","",IF(I210&lt;&gt;"","決定",IF(O210="","未提出","要調整")))</f>
        <v/>
      </c>
      <c r="K210" s="23">
        <f>IF(OR(J210&lt;&gt;"要調整",E210=""),"",IFERROR(INDEX(設定!$H$8:$I$27,MATCH(E210,設定!$G$8:$G$27,0),IF($M210=設定!$H$6&amp;"",1,2))-COUNTIFS($M$3:$M$302,M210,$I$3:$I$302,E210),""))</f>
        <v/>
      </c>
      <c r="L210" s="23">
        <f>IF(OR(J210&lt;&gt;"要調整",F210=""),"",IFERROR(INDEX(設定!$H$8:$I$27,MATCH(F210,設定!$G$8:$G$27,0),IF($M210=設定!$H$6&amp;"",1,2))-COUNTIFS($M$3:$M$302,M210,$I$3:$I$302,F210),""))</f>
        <v/>
      </c>
      <c r="M210" s="8">
        <f>IF(N210="","",INDEX(児童名簿!$A$2:$A$301,N210)&amp;"")</f>
        <v/>
      </c>
      <c r="N210" s="8">
        <f>IFERROR(MATCH(SMALL(児童名簿!$G$2:$G$301,208),児童名簿!$G$2:$G$301,0),"")</f>
        <v/>
      </c>
      <c r="O210" s="8">
        <f>IF(P210="","",IFERROR(MATCH(P210,希望入力!$K$2:$K$401,0),""))</f>
        <v/>
      </c>
      <c r="P210" s="8">
        <f>IF(N210="","",INDEX(児童名簿!$F$2:$F$301,N210))</f>
        <v/>
      </c>
      <c r="Q210" s="8">
        <f>IF(I210="","",IFERROR(MATCH(I210,設定!$G$8:$G$27,0),""))</f>
        <v/>
      </c>
      <c r="R210" s="8">
        <f>IF(Q210="","",COUNTIF($Q$3:Q210,Q210))</f>
        <v/>
      </c>
      <c r="S210" s="8">
        <f>IF(Q210="","",Q210*1000+R210)</f>
        <v/>
      </c>
    </row>
    <row r="211">
      <c r="A211" s="23">
        <f>IF(N211="","",IFERROR(INDEX(設定!$C$8:$C$23,INT(INDEX(児童名簿!$G$2:$G$301,N211)/1000)),M211&amp;INDEX(児童名簿!$B$2:$B$301,N211)))</f>
        <v/>
      </c>
      <c r="B211" s="23">
        <f>IF(N211="","",INDEX(児童名簿!$C$2:$C$301,N211))</f>
        <v/>
      </c>
      <c r="C211" s="3">
        <f>IF(N211="","",INDEX(児童名簿!$D$2:$D$301,N211))</f>
        <v/>
      </c>
      <c r="D211" s="23">
        <f>IF(O211="","",INDEX(希望入力!$D$2:$D$401,O211)&amp;"")</f>
        <v/>
      </c>
      <c r="E211" s="23">
        <f>IF(O211="","",INDEX(希望入力!$E$2:$E$401,O211)&amp;"")</f>
        <v/>
      </c>
      <c r="F211" s="23">
        <f>IF(O211="","",INDEX(希望入力!$F$2:$F$401,O211)&amp;"")</f>
        <v/>
      </c>
      <c r="G211" s="23">
        <f>IF(O211="","",IF(D211="","要調整",IFERROR(IF(COUNTIFS($M$3:$M$302,M211,$D$3:$D$302,D211)&lt;=INDEX(設定!$H$8:$I$27,MATCH(D211,設定!$G$8:$G$27,0),IF($M211=設定!$H$6&amp;"",1,2)),D211,"要調整"),"要調整")))</f>
        <v/>
      </c>
      <c r="H211" s="15" t="n"/>
      <c r="I211" s="24">
        <f>IF(N211="","",IF(H211&lt;&gt;"",H211,IF(OR(G211="",G211="要調整"),"",G211)))</f>
        <v/>
      </c>
      <c r="J211" s="23">
        <f>IF(N211="","",IF(I211&lt;&gt;"","決定",IF(O211="","未提出","要調整")))</f>
        <v/>
      </c>
      <c r="K211" s="23">
        <f>IF(OR(J211&lt;&gt;"要調整",E211=""),"",IFERROR(INDEX(設定!$H$8:$I$27,MATCH(E211,設定!$G$8:$G$27,0),IF($M211=設定!$H$6&amp;"",1,2))-COUNTIFS($M$3:$M$302,M211,$I$3:$I$302,E211),""))</f>
        <v/>
      </c>
      <c r="L211" s="23">
        <f>IF(OR(J211&lt;&gt;"要調整",F211=""),"",IFERROR(INDEX(設定!$H$8:$I$27,MATCH(F211,設定!$G$8:$G$27,0),IF($M211=設定!$H$6&amp;"",1,2))-COUNTIFS($M$3:$M$302,M211,$I$3:$I$302,F211),""))</f>
        <v/>
      </c>
      <c r="M211" s="8">
        <f>IF(N211="","",INDEX(児童名簿!$A$2:$A$301,N211)&amp;"")</f>
        <v/>
      </c>
      <c r="N211" s="8">
        <f>IFERROR(MATCH(SMALL(児童名簿!$G$2:$G$301,209),児童名簿!$G$2:$G$301,0),"")</f>
        <v/>
      </c>
      <c r="O211" s="8">
        <f>IF(P211="","",IFERROR(MATCH(P211,希望入力!$K$2:$K$401,0),""))</f>
        <v/>
      </c>
      <c r="P211" s="8">
        <f>IF(N211="","",INDEX(児童名簿!$F$2:$F$301,N211))</f>
        <v/>
      </c>
      <c r="Q211" s="8">
        <f>IF(I211="","",IFERROR(MATCH(I211,設定!$G$8:$G$27,0),""))</f>
        <v/>
      </c>
      <c r="R211" s="8">
        <f>IF(Q211="","",COUNTIF($Q$3:Q211,Q211))</f>
        <v/>
      </c>
      <c r="S211" s="8">
        <f>IF(Q211="","",Q211*1000+R211)</f>
        <v/>
      </c>
    </row>
    <row r="212">
      <c r="A212" s="23">
        <f>IF(N212="","",IFERROR(INDEX(設定!$C$8:$C$23,INT(INDEX(児童名簿!$G$2:$G$301,N212)/1000)),M212&amp;INDEX(児童名簿!$B$2:$B$301,N212)))</f>
        <v/>
      </c>
      <c r="B212" s="23">
        <f>IF(N212="","",INDEX(児童名簿!$C$2:$C$301,N212))</f>
        <v/>
      </c>
      <c r="C212" s="3">
        <f>IF(N212="","",INDEX(児童名簿!$D$2:$D$301,N212))</f>
        <v/>
      </c>
      <c r="D212" s="23">
        <f>IF(O212="","",INDEX(希望入力!$D$2:$D$401,O212)&amp;"")</f>
        <v/>
      </c>
      <c r="E212" s="23">
        <f>IF(O212="","",INDEX(希望入力!$E$2:$E$401,O212)&amp;"")</f>
        <v/>
      </c>
      <c r="F212" s="23">
        <f>IF(O212="","",INDEX(希望入力!$F$2:$F$401,O212)&amp;"")</f>
        <v/>
      </c>
      <c r="G212" s="23">
        <f>IF(O212="","",IF(D212="","要調整",IFERROR(IF(COUNTIFS($M$3:$M$302,M212,$D$3:$D$302,D212)&lt;=INDEX(設定!$H$8:$I$27,MATCH(D212,設定!$G$8:$G$27,0),IF($M212=設定!$H$6&amp;"",1,2)),D212,"要調整"),"要調整")))</f>
        <v/>
      </c>
      <c r="H212" s="15" t="n"/>
      <c r="I212" s="24">
        <f>IF(N212="","",IF(H212&lt;&gt;"",H212,IF(OR(G212="",G212="要調整"),"",G212)))</f>
        <v/>
      </c>
      <c r="J212" s="23">
        <f>IF(N212="","",IF(I212&lt;&gt;"","決定",IF(O212="","未提出","要調整")))</f>
        <v/>
      </c>
      <c r="K212" s="23">
        <f>IF(OR(J212&lt;&gt;"要調整",E212=""),"",IFERROR(INDEX(設定!$H$8:$I$27,MATCH(E212,設定!$G$8:$G$27,0),IF($M212=設定!$H$6&amp;"",1,2))-COUNTIFS($M$3:$M$302,M212,$I$3:$I$302,E212),""))</f>
        <v/>
      </c>
      <c r="L212" s="23">
        <f>IF(OR(J212&lt;&gt;"要調整",F212=""),"",IFERROR(INDEX(設定!$H$8:$I$27,MATCH(F212,設定!$G$8:$G$27,0),IF($M212=設定!$H$6&amp;"",1,2))-COUNTIFS($M$3:$M$302,M212,$I$3:$I$302,F212),""))</f>
        <v/>
      </c>
      <c r="M212" s="8">
        <f>IF(N212="","",INDEX(児童名簿!$A$2:$A$301,N212)&amp;"")</f>
        <v/>
      </c>
      <c r="N212" s="8">
        <f>IFERROR(MATCH(SMALL(児童名簿!$G$2:$G$301,210),児童名簿!$G$2:$G$301,0),"")</f>
        <v/>
      </c>
      <c r="O212" s="8">
        <f>IF(P212="","",IFERROR(MATCH(P212,希望入力!$K$2:$K$401,0),""))</f>
        <v/>
      </c>
      <c r="P212" s="8">
        <f>IF(N212="","",INDEX(児童名簿!$F$2:$F$301,N212))</f>
        <v/>
      </c>
      <c r="Q212" s="8">
        <f>IF(I212="","",IFERROR(MATCH(I212,設定!$G$8:$G$27,0),""))</f>
        <v/>
      </c>
      <c r="R212" s="8">
        <f>IF(Q212="","",COUNTIF($Q$3:Q212,Q212))</f>
        <v/>
      </c>
      <c r="S212" s="8">
        <f>IF(Q212="","",Q212*1000+R212)</f>
        <v/>
      </c>
    </row>
    <row r="213">
      <c r="A213" s="23">
        <f>IF(N213="","",IFERROR(INDEX(設定!$C$8:$C$23,INT(INDEX(児童名簿!$G$2:$G$301,N213)/1000)),M213&amp;INDEX(児童名簿!$B$2:$B$301,N213)))</f>
        <v/>
      </c>
      <c r="B213" s="23">
        <f>IF(N213="","",INDEX(児童名簿!$C$2:$C$301,N213))</f>
        <v/>
      </c>
      <c r="C213" s="3">
        <f>IF(N213="","",INDEX(児童名簿!$D$2:$D$301,N213))</f>
        <v/>
      </c>
      <c r="D213" s="23">
        <f>IF(O213="","",INDEX(希望入力!$D$2:$D$401,O213)&amp;"")</f>
        <v/>
      </c>
      <c r="E213" s="23">
        <f>IF(O213="","",INDEX(希望入力!$E$2:$E$401,O213)&amp;"")</f>
        <v/>
      </c>
      <c r="F213" s="23">
        <f>IF(O213="","",INDEX(希望入力!$F$2:$F$401,O213)&amp;"")</f>
        <v/>
      </c>
      <c r="G213" s="23">
        <f>IF(O213="","",IF(D213="","要調整",IFERROR(IF(COUNTIFS($M$3:$M$302,M213,$D$3:$D$302,D213)&lt;=INDEX(設定!$H$8:$I$27,MATCH(D213,設定!$G$8:$G$27,0),IF($M213=設定!$H$6&amp;"",1,2)),D213,"要調整"),"要調整")))</f>
        <v/>
      </c>
      <c r="H213" s="15" t="n"/>
      <c r="I213" s="24">
        <f>IF(N213="","",IF(H213&lt;&gt;"",H213,IF(OR(G213="",G213="要調整"),"",G213)))</f>
        <v/>
      </c>
      <c r="J213" s="23">
        <f>IF(N213="","",IF(I213&lt;&gt;"","決定",IF(O213="","未提出","要調整")))</f>
        <v/>
      </c>
      <c r="K213" s="23">
        <f>IF(OR(J213&lt;&gt;"要調整",E213=""),"",IFERROR(INDEX(設定!$H$8:$I$27,MATCH(E213,設定!$G$8:$G$27,0),IF($M213=設定!$H$6&amp;"",1,2))-COUNTIFS($M$3:$M$302,M213,$I$3:$I$302,E213),""))</f>
        <v/>
      </c>
      <c r="L213" s="23">
        <f>IF(OR(J213&lt;&gt;"要調整",F213=""),"",IFERROR(INDEX(設定!$H$8:$I$27,MATCH(F213,設定!$G$8:$G$27,0),IF($M213=設定!$H$6&amp;"",1,2))-COUNTIFS($M$3:$M$302,M213,$I$3:$I$302,F213),""))</f>
        <v/>
      </c>
      <c r="M213" s="8">
        <f>IF(N213="","",INDEX(児童名簿!$A$2:$A$301,N213)&amp;"")</f>
        <v/>
      </c>
      <c r="N213" s="8">
        <f>IFERROR(MATCH(SMALL(児童名簿!$G$2:$G$301,211),児童名簿!$G$2:$G$301,0),"")</f>
        <v/>
      </c>
      <c r="O213" s="8">
        <f>IF(P213="","",IFERROR(MATCH(P213,希望入力!$K$2:$K$401,0),""))</f>
        <v/>
      </c>
      <c r="P213" s="8">
        <f>IF(N213="","",INDEX(児童名簿!$F$2:$F$301,N213))</f>
        <v/>
      </c>
      <c r="Q213" s="8">
        <f>IF(I213="","",IFERROR(MATCH(I213,設定!$G$8:$G$27,0),""))</f>
        <v/>
      </c>
      <c r="R213" s="8">
        <f>IF(Q213="","",COUNTIF($Q$3:Q213,Q213))</f>
        <v/>
      </c>
      <c r="S213" s="8">
        <f>IF(Q213="","",Q213*1000+R213)</f>
        <v/>
      </c>
    </row>
    <row r="214">
      <c r="A214" s="23">
        <f>IF(N214="","",IFERROR(INDEX(設定!$C$8:$C$23,INT(INDEX(児童名簿!$G$2:$G$301,N214)/1000)),M214&amp;INDEX(児童名簿!$B$2:$B$301,N214)))</f>
        <v/>
      </c>
      <c r="B214" s="23">
        <f>IF(N214="","",INDEX(児童名簿!$C$2:$C$301,N214))</f>
        <v/>
      </c>
      <c r="C214" s="3">
        <f>IF(N214="","",INDEX(児童名簿!$D$2:$D$301,N214))</f>
        <v/>
      </c>
      <c r="D214" s="23">
        <f>IF(O214="","",INDEX(希望入力!$D$2:$D$401,O214)&amp;"")</f>
        <v/>
      </c>
      <c r="E214" s="23">
        <f>IF(O214="","",INDEX(希望入力!$E$2:$E$401,O214)&amp;"")</f>
        <v/>
      </c>
      <c r="F214" s="23">
        <f>IF(O214="","",INDEX(希望入力!$F$2:$F$401,O214)&amp;"")</f>
        <v/>
      </c>
      <c r="G214" s="23">
        <f>IF(O214="","",IF(D214="","要調整",IFERROR(IF(COUNTIFS($M$3:$M$302,M214,$D$3:$D$302,D214)&lt;=INDEX(設定!$H$8:$I$27,MATCH(D214,設定!$G$8:$G$27,0),IF($M214=設定!$H$6&amp;"",1,2)),D214,"要調整"),"要調整")))</f>
        <v/>
      </c>
      <c r="H214" s="15" t="n"/>
      <c r="I214" s="24">
        <f>IF(N214="","",IF(H214&lt;&gt;"",H214,IF(OR(G214="",G214="要調整"),"",G214)))</f>
        <v/>
      </c>
      <c r="J214" s="23">
        <f>IF(N214="","",IF(I214&lt;&gt;"","決定",IF(O214="","未提出","要調整")))</f>
        <v/>
      </c>
      <c r="K214" s="23">
        <f>IF(OR(J214&lt;&gt;"要調整",E214=""),"",IFERROR(INDEX(設定!$H$8:$I$27,MATCH(E214,設定!$G$8:$G$27,0),IF($M214=設定!$H$6&amp;"",1,2))-COUNTIFS($M$3:$M$302,M214,$I$3:$I$302,E214),""))</f>
        <v/>
      </c>
      <c r="L214" s="23">
        <f>IF(OR(J214&lt;&gt;"要調整",F214=""),"",IFERROR(INDEX(設定!$H$8:$I$27,MATCH(F214,設定!$G$8:$G$27,0),IF($M214=設定!$H$6&amp;"",1,2))-COUNTIFS($M$3:$M$302,M214,$I$3:$I$302,F214),""))</f>
        <v/>
      </c>
      <c r="M214" s="8">
        <f>IF(N214="","",INDEX(児童名簿!$A$2:$A$301,N214)&amp;"")</f>
        <v/>
      </c>
      <c r="N214" s="8">
        <f>IFERROR(MATCH(SMALL(児童名簿!$G$2:$G$301,212),児童名簿!$G$2:$G$301,0),"")</f>
        <v/>
      </c>
      <c r="O214" s="8">
        <f>IF(P214="","",IFERROR(MATCH(P214,希望入力!$K$2:$K$401,0),""))</f>
        <v/>
      </c>
      <c r="P214" s="8">
        <f>IF(N214="","",INDEX(児童名簿!$F$2:$F$301,N214))</f>
        <v/>
      </c>
      <c r="Q214" s="8">
        <f>IF(I214="","",IFERROR(MATCH(I214,設定!$G$8:$G$27,0),""))</f>
        <v/>
      </c>
      <c r="R214" s="8">
        <f>IF(Q214="","",COUNTIF($Q$3:Q214,Q214))</f>
        <v/>
      </c>
      <c r="S214" s="8">
        <f>IF(Q214="","",Q214*1000+R214)</f>
        <v/>
      </c>
    </row>
    <row r="215">
      <c r="A215" s="23">
        <f>IF(N215="","",IFERROR(INDEX(設定!$C$8:$C$23,INT(INDEX(児童名簿!$G$2:$G$301,N215)/1000)),M215&amp;INDEX(児童名簿!$B$2:$B$301,N215)))</f>
        <v/>
      </c>
      <c r="B215" s="23">
        <f>IF(N215="","",INDEX(児童名簿!$C$2:$C$301,N215))</f>
        <v/>
      </c>
      <c r="C215" s="3">
        <f>IF(N215="","",INDEX(児童名簿!$D$2:$D$301,N215))</f>
        <v/>
      </c>
      <c r="D215" s="23">
        <f>IF(O215="","",INDEX(希望入力!$D$2:$D$401,O215)&amp;"")</f>
        <v/>
      </c>
      <c r="E215" s="23">
        <f>IF(O215="","",INDEX(希望入力!$E$2:$E$401,O215)&amp;"")</f>
        <v/>
      </c>
      <c r="F215" s="23">
        <f>IF(O215="","",INDEX(希望入力!$F$2:$F$401,O215)&amp;"")</f>
        <v/>
      </c>
      <c r="G215" s="23">
        <f>IF(O215="","",IF(D215="","要調整",IFERROR(IF(COUNTIFS($M$3:$M$302,M215,$D$3:$D$302,D215)&lt;=INDEX(設定!$H$8:$I$27,MATCH(D215,設定!$G$8:$G$27,0),IF($M215=設定!$H$6&amp;"",1,2)),D215,"要調整"),"要調整")))</f>
        <v/>
      </c>
      <c r="H215" s="15" t="n"/>
      <c r="I215" s="24">
        <f>IF(N215="","",IF(H215&lt;&gt;"",H215,IF(OR(G215="",G215="要調整"),"",G215)))</f>
        <v/>
      </c>
      <c r="J215" s="23">
        <f>IF(N215="","",IF(I215&lt;&gt;"","決定",IF(O215="","未提出","要調整")))</f>
        <v/>
      </c>
      <c r="K215" s="23">
        <f>IF(OR(J215&lt;&gt;"要調整",E215=""),"",IFERROR(INDEX(設定!$H$8:$I$27,MATCH(E215,設定!$G$8:$G$27,0),IF($M215=設定!$H$6&amp;"",1,2))-COUNTIFS($M$3:$M$302,M215,$I$3:$I$302,E215),""))</f>
        <v/>
      </c>
      <c r="L215" s="23">
        <f>IF(OR(J215&lt;&gt;"要調整",F215=""),"",IFERROR(INDEX(設定!$H$8:$I$27,MATCH(F215,設定!$G$8:$G$27,0),IF($M215=設定!$H$6&amp;"",1,2))-COUNTIFS($M$3:$M$302,M215,$I$3:$I$302,F215),""))</f>
        <v/>
      </c>
      <c r="M215" s="8">
        <f>IF(N215="","",INDEX(児童名簿!$A$2:$A$301,N215)&amp;"")</f>
        <v/>
      </c>
      <c r="N215" s="8">
        <f>IFERROR(MATCH(SMALL(児童名簿!$G$2:$G$301,213),児童名簿!$G$2:$G$301,0),"")</f>
        <v/>
      </c>
      <c r="O215" s="8">
        <f>IF(P215="","",IFERROR(MATCH(P215,希望入力!$K$2:$K$401,0),""))</f>
        <v/>
      </c>
      <c r="P215" s="8">
        <f>IF(N215="","",INDEX(児童名簿!$F$2:$F$301,N215))</f>
        <v/>
      </c>
      <c r="Q215" s="8">
        <f>IF(I215="","",IFERROR(MATCH(I215,設定!$G$8:$G$27,0),""))</f>
        <v/>
      </c>
      <c r="R215" s="8">
        <f>IF(Q215="","",COUNTIF($Q$3:Q215,Q215))</f>
        <v/>
      </c>
      <c r="S215" s="8">
        <f>IF(Q215="","",Q215*1000+R215)</f>
        <v/>
      </c>
    </row>
    <row r="216">
      <c r="A216" s="23">
        <f>IF(N216="","",IFERROR(INDEX(設定!$C$8:$C$23,INT(INDEX(児童名簿!$G$2:$G$301,N216)/1000)),M216&amp;INDEX(児童名簿!$B$2:$B$301,N216)))</f>
        <v/>
      </c>
      <c r="B216" s="23">
        <f>IF(N216="","",INDEX(児童名簿!$C$2:$C$301,N216))</f>
        <v/>
      </c>
      <c r="C216" s="3">
        <f>IF(N216="","",INDEX(児童名簿!$D$2:$D$301,N216))</f>
        <v/>
      </c>
      <c r="D216" s="23">
        <f>IF(O216="","",INDEX(希望入力!$D$2:$D$401,O216)&amp;"")</f>
        <v/>
      </c>
      <c r="E216" s="23">
        <f>IF(O216="","",INDEX(希望入力!$E$2:$E$401,O216)&amp;"")</f>
        <v/>
      </c>
      <c r="F216" s="23">
        <f>IF(O216="","",INDEX(希望入力!$F$2:$F$401,O216)&amp;"")</f>
        <v/>
      </c>
      <c r="G216" s="23">
        <f>IF(O216="","",IF(D216="","要調整",IFERROR(IF(COUNTIFS($M$3:$M$302,M216,$D$3:$D$302,D216)&lt;=INDEX(設定!$H$8:$I$27,MATCH(D216,設定!$G$8:$G$27,0),IF($M216=設定!$H$6&amp;"",1,2)),D216,"要調整"),"要調整")))</f>
        <v/>
      </c>
      <c r="H216" s="15" t="n"/>
      <c r="I216" s="24">
        <f>IF(N216="","",IF(H216&lt;&gt;"",H216,IF(OR(G216="",G216="要調整"),"",G216)))</f>
        <v/>
      </c>
      <c r="J216" s="23">
        <f>IF(N216="","",IF(I216&lt;&gt;"","決定",IF(O216="","未提出","要調整")))</f>
        <v/>
      </c>
      <c r="K216" s="23">
        <f>IF(OR(J216&lt;&gt;"要調整",E216=""),"",IFERROR(INDEX(設定!$H$8:$I$27,MATCH(E216,設定!$G$8:$G$27,0),IF($M216=設定!$H$6&amp;"",1,2))-COUNTIFS($M$3:$M$302,M216,$I$3:$I$302,E216),""))</f>
        <v/>
      </c>
      <c r="L216" s="23">
        <f>IF(OR(J216&lt;&gt;"要調整",F216=""),"",IFERROR(INDEX(設定!$H$8:$I$27,MATCH(F216,設定!$G$8:$G$27,0),IF($M216=設定!$H$6&amp;"",1,2))-COUNTIFS($M$3:$M$302,M216,$I$3:$I$302,F216),""))</f>
        <v/>
      </c>
      <c r="M216" s="8">
        <f>IF(N216="","",INDEX(児童名簿!$A$2:$A$301,N216)&amp;"")</f>
        <v/>
      </c>
      <c r="N216" s="8">
        <f>IFERROR(MATCH(SMALL(児童名簿!$G$2:$G$301,214),児童名簿!$G$2:$G$301,0),"")</f>
        <v/>
      </c>
      <c r="O216" s="8">
        <f>IF(P216="","",IFERROR(MATCH(P216,希望入力!$K$2:$K$401,0),""))</f>
        <v/>
      </c>
      <c r="P216" s="8">
        <f>IF(N216="","",INDEX(児童名簿!$F$2:$F$301,N216))</f>
        <v/>
      </c>
      <c r="Q216" s="8">
        <f>IF(I216="","",IFERROR(MATCH(I216,設定!$G$8:$G$27,0),""))</f>
        <v/>
      </c>
      <c r="R216" s="8">
        <f>IF(Q216="","",COUNTIF($Q$3:Q216,Q216))</f>
        <v/>
      </c>
      <c r="S216" s="8">
        <f>IF(Q216="","",Q216*1000+R216)</f>
        <v/>
      </c>
    </row>
    <row r="217">
      <c r="A217" s="23">
        <f>IF(N217="","",IFERROR(INDEX(設定!$C$8:$C$23,INT(INDEX(児童名簿!$G$2:$G$301,N217)/1000)),M217&amp;INDEX(児童名簿!$B$2:$B$301,N217)))</f>
        <v/>
      </c>
      <c r="B217" s="23">
        <f>IF(N217="","",INDEX(児童名簿!$C$2:$C$301,N217))</f>
        <v/>
      </c>
      <c r="C217" s="3">
        <f>IF(N217="","",INDEX(児童名簿!$D$2:$D$301,N217))</f>
        <v/>
      </c>
      <c r="D217" s="23">
        <f>IF(O217="","",INDEX(希望入力!$D$2:$D$401,O217)&amp;"")</f>
        <v/>
      </c>
      <c r="E217" s="23">
        <f>IF(O217="","",INDEX(希望入力!$E$2:$E$401,O217)&amp;"")</f>
        <v/>
      </c>
      <c r="F217" s="23">
        <f>IF(O217="","",INDEX(希望入力!$F$2:$F$401,O217)&amp;"")</f>
        <v/>
      </c>
      <c r="G217" s="23">
        <f>IF(O217="","",IF(D217="","要調整",IFERROR(IF(COUNTIFS($M$3:$M$302,M217,$D$3:$D$302,D217)&lt;=INDEX(設定!$H$8:$I$27,MATCH(D217,設定!$G$8:$G$27,0),IF($M217=設定!$H$6&amp;"",1,2)),D217,"要調整"),"要調整")))</f>
        <v/>
      </c>
      <c r="H217" s="15" t="n"/>
      <c r="I217" s="24">
        <f>IF(N217="","",IF(H217&lt;&gt;"",H217,IF(OR(G217="",G217="要調整"),"",G217)))</f>
        <v/>
      </c>
      <c r="J217" s="23">
        <f>IF(N217="","",IF(I217&lt;&gt;"","決定",IF(O217="","未提出","要調整")))</f>
        <v/>
      </c>
      <c r="K217" s="23">
        <f>IF(OR(J217&lt;&gt;"要調整",E217=""),"",IFERROR(INDEX(設定!$H$8:$I$27,MATCH(E217,設定!$G$8:$G$27,0),IF($M217=設定!$H$6&amp;"",1,2))-COUNTIFS($M$3:$M$302,M217,$I$3:$I$302,E217),""))</f>
        <v/>
      </c>
      <c r="L217" s="23">
        <f>IF(OR(J217&lt;&gt;"要調整",F217=""),"",IFERROR(INDEX(設定!$H$8:$I$27,MATCH(F217,設定!$G$8:$G$27,0),IF($M217=設定!$H$6&amp;"",1,2))-COUNTIFS($M$3:$M$302,M217,$I$3:$I$302,F217),""))</f>
        <v/>
      </c>
      <c r="M217" s="8">
        <f>IF(N217="","",INDEX(児童名簿!$A$2:$A$301,N217)&amp;"")</f>
        <v/>
      </c>
      <c r="N217" s="8">
        <f>IFERROR(MATCH(SMALL(児童名簿!$G$2:$G$301,215),児童名簿!$G$2:$G$301,0),"")</f>
        <v/>
      </c>
      <c r="O217" s="8">
        <f>IF(P217="","",IFERROR(MATCH(P217,希望入力!$K$2:$K$401,0),""))</f>
        <v/>
      </c>
      <c r="P217" s="8">
        <f>IF(N217="","",INDEX(児童名簿!$F$2:$F$301,N217))</f>
        <v/>
      </c>
      <c r="Q217" s="8">
        <f>IF(I217="","",IFERROR(MATCH(I217,設定!$G$8:$G$27,0),""))</f>
        <v/>
      </c>
      <c r="R217" s="8">
        <f>IF(Q217="","",COUNTIF($Q$3:Q217,Q217))</f>
        <v/>
      </c>
      <c r="S217" s="8">
        <f>IF(Q217="","",Q217*1000+R217)</f>
        <v/>
      </c>
    </row>
    <row r="218">
      <c r="A218" s="23">
        <f>IF(N218="","",IFERROR(INDEX(設定!$C$8:$C$23,INT(INDEX(児童名簿!$G$2:$G$301,N218)/1000)),M218&amp;INDEX(児童名簿!$B$2:$B$301,N218)))</f>
        <v/>
      </c>
      <c r="B218" s="23">
        <f>IF(N218="","",INDEX(児童名簿!$C$2:$C$301,N218))</f>
        <v/>
      </c>
      <c r="C218" s="3">
        <f>IF(N218="","",INDEX(児童名簿!$D$2:$D$301,N218))</f>
        <v/>
      </c>
      <c r="D218" s="23">
        <f>IF(O218="","",INDEX(希望入力!$D$2:$D$401,O218)&amp;"")</f>
        <v/>
      </c>
      <c r="E218" s="23">
        <f>IF(O218="","",INDEX(希望入力!$E$2:$E$401,O218)&amp;"")</f>
        <v/>
      </c>
      <c r="F218" s="23">
        <f>IF(O218="","",INDEX(希望入力!$F$2:$F$401,O218)&amp;"")</f>
        <v/>
      </c>
      <c r="G218" s="23">
        <f>IF(O218="","",IF(D218="","要調整",IFERROR(IF(COUNTIFS($M$3:$M$302,M218,$D$3:$D$302,D218)&lt;=INDEX(設定!$H$8:$I$27,MATCH(D218,設定!$G$8:$G$27,0),IF($M218=設定!$H$6&amp;"",1,2)),D218,"要調整"),"要調整")))</f>
        <v/>
      </c>
      <c r="H218" s="15" t="n"/>
      <c r="I218" s="24">
        <f>IF(N218="","",IF(H218&lt;&gt;"",H218,IF(OR(G218="",G218="要調整"),"",G218)))</f>
        <v/>
      </c>
      <c r="J218" s="23">
        <f>IF(N218="","",IF(I218&lt;&gt;"","決定",IF(O218="","未提出","要調整")))</f>
        <v/>
      </c>
      <c r="K218" s="23">
        <f>IF(OR(J218&lt;&gt;"要調整",E218=""),"",IFERROR(INDEX(設定!$H$8:$I$27,MATCH(E218,設定!$G$8:$G$27,0),IF($M218=設定!$H$6&amp;"",1,2))-COUNTIFS($M$3:$M$302,M218,$I$3:$I$302,E218),""))</f>
        <v/>
      </c>
      <c r="L218" s="23">
        <f>IF(OR(J218&lt;&gt;"要調整",F218=""),"",IFERROR(INDEX(設定!$H$8:$I$27,MATCH(F218,設定!$G$8:$G$27,0),IF($M218=設定!$H$6&amp;"",1,2))-COUNTIFS($M$3:$M$302,M218,$I$3:$I$302,F218),""))</f>
        <v/>
      </c>
      <c r="M218" s="8">
        <f>IF(N218="","",INDEX(児童名簿!$A$2:$A$301,N218)&amp;"")</f>
        <v/>
      </c>
      <c r="N218" s="8">
        <f>IFERROR(MATCH(SMALL(児童名簿!$G$2:$G$301,216),児童名簿!$G$2:$G$301,0),"")</f>
        <v/>
      </c>
      <c r="O218" s="8">
        <f>IF(P218="","",IFERROR(MATCH(P218,希望入力!$K$2:$K$401,0),""))</f>
        <v/>
      </c>
      <c r="P218" s="8">
        <f>IF(N218="","",INDEX(児童名簿!$F$2:$F$301,N218))</f>
        <v/>
      </c>
      <c r="Q218" s="8">
        <f>IF(I218="","",IFERROR(MATCH(I218,設定!$G$8:$G$27,0),""))</f>
        <v/>
      </c>
      <c r="R218" s="8">
        <f>IF(Q218="","",COUNTIF($Q$3:Q218,Q218))</f>
        <v/>
      </c>
      <c r="S218" s="8">
        <f>IF(Q218="","",Q218*1000+R218)</f>
        <v/>
      </c>
    </row>
    <row r="219">
      <c r="A219" s="23">
        <f>IF(N219="","",IFERROR(INDEX(設定!$C$8:$C$23,INT(INDEX(児童名簿!$G$2:$G$301,N219)/1000)),M219&amp;INDEX(児童名簿!$B$2:$B$301,N219)))</f>
        <v/>
      </c>
      <c r="B219" s="23">
        <f>IF(N219="","",INDEX(児童名簿!$C$2:$C$301,N219))</f>
        <v/>
      </c>
      <c r="C219" s="3">
        <f>IF(N219="","",INDEX(児童名簿!$D$2:$D$301,N219))</f>
        <v/>
      </c>
      <c r="D219" s="23">
        <f>IF(O219="","",INDEX(希望入力!$D$2:$D$401,O219)&amp;"")</f>
        <v/>
      </c>
      <c r="E219" s="23">
        <f>IF(O219="","",INDEX(希望入力!$E$2:$E$401,O219)&amp;"")</f>
        <v/>
      </c>
      <c r="F219" s="23">
        <f>IF(O219="","",INDEX(希望入力!$F$2:$F$401,O219)&amp;"")</f>
        <v/>
      </c>
      <c r="G219" s="23">
        <f>IF(O219="","",IF(D219="","要調整",IFERROR(IF(COUNTIFS($M$3:$M$302,M219,$D$3:$D$302,D219)&lt;=INDEX(設定!$H$8:$I$27,MATCH(D219,設定!$G$8:$G$27,0),IF($M219=設定!$H$6&amp;"",1,2)),D219,"要調整"),"要調整")))</f>
        <v/>
      </c>
      <c r="H219" s="15" t="n"/>
      <c r="I219" s="24">
        <f>IF(N219="","",IF(H219&lt;&gt;"",H219,IF(OR(G219="",G219="要調整"),"",G219)))</f>
        <v/>
      </c>
      <c r="J219" s="23">
        <f>IF(N219="","",IF(I219&lt;&gt;"","決定",IF(O219="","未提出","要調整")))</f>
        <v/>
      </c>
      <c r="K219" s="23">
        <f>IF(OR(J219&lt;&gt;"要調整",E219=""),"",IFERROR(INDEX(設定!$H$8:$I$27,MATCH(E219,設定!$G$8:$G$27,0),IF($M219=設定!$H$6&amp;"",1,2))-COUNTIFS($M$3:$M$302,M219,$I$3:$I$302,E219),""))</f>
        <v/>
      </c>
      <c r="L219" s="23">
        <f>IF(OR(J219&lt;&gt;"要調整",F219=""),"",IFERROR(INDEX(設定!$H$8:$I$27,MATCH(F219,設定!$G$8:$G$27,0),IF($M219=設定!$H$6&amp;"",1,2))-COUNTIFS($M$3:$M$302,M219,$I$3:$I$302,F219),""))</f>
        <v/>
      </c>
      <c r="M219" s="8">
        <f>IF(N219="","",INDEX(児童名簿!$A$2:$A$301,N219)&amp;"")</f>
        <v/>
      </c>
      <c r="N219" s="8">
        <f>IFERROR(MATCH(SMALL(児童名簿!$G$2:$G$301,217),児童名簿!$G$2:$G$301,0),"")</f>
        <v/>
      </c>
      <c r="O219" s="8">
        <f>IF(P219="","",IFERROR(MATCH(P219,希望入力!$K$2:$K$401,0),""))</f>
        <v/>
      </c>
      <c r="P219" s="8">
        <f>IF(N219="","",INDEX(児童名簿!$F$2:$F$301,N219))</f>
        <v/>
      </c>
      <c r="Q219" s="8">
        <f>IF(I219="","",IFERROR(MATCH(I219,設定!$G$8:$G$27,0),""))</f>
        <v/>
      </c>
      <c r="R219" s="8">
        <f>IF(Q219="","",COUNTIF($Q$3:Q219,Q219))</f>
        <v/>
      </c>
      <c r="S219" s="8">
        <f>IF(Q219="","",Q219*1000+R219)</f>
        <v/>
      </c>
    </row>
    <row r="220">
      <c r="A220" s="23">
        <f>IF(N220="","",IFERROR(INDEX(設定!$C$8:$C$23,INT(INDEX(児童名簿!$G$2:$G$301,N220)/1000)),M220&amp;INDEX(児童名簿!$B$2:$B$301,N220)))</f>
        <v/>
      </c>
      <c r="B220" s="23">
        <f>IF(N220="","",INDEX(児童名簿!$C$2:$C$301,N220))</f>
        <v/>
      </c>
      <c r="C220" s="3">
        <f>IF(N220="","",INDEX(児童名簿!$D$2:$D$301,N220))</f>
        <v/>
      </c>
      <c r="D220" s="23">
        <f>IF(O220="","",INDEX(希望入力!$D$2:$D$401,O220)&amp;"")</f>
        <v/>
      </c>
      <c r="E220" s="23">
        <f>IF(O220="","",INDEX(希望入力!$E$2:$E$401,O220)&amp;"")</f>
        <v/>
      </c>
      <c r="F220" s="23">
        <f>IF(O220="","",INDEX(希望入力!$F$2:$F$401,O220)&amp;"")</f>
        <v/>
      </c>
      <c r="G220" s="23">
        <f>IF(O220="","",IF(D220="","要調整",IFERROR(IF(COUNTIFS($M$3:$M$302,M220,$D$3:$D$302,D220)&lt;=INDEX(設定!$H$8:$I$27,MATCH(D220,設定!$G$8:$G$27,0),IF($M220=設定!$H$6&amp;"",1,2)),D220,"要調整"),"要調整")))</f>
        <v/>
      </c>
      <c r="H220" s="15" t="n"/>
      <c r="I220" s="24">
        <f>IF(N220="","",IF(H220&lt;&gt;"",H220,IF(OR(G220="",G220="要調整"),"",G220)))</f>
        <v/>
      </c>
      <c r="J220" s="23">
        <f>IF(N220="","",IF(I220&lt;&gt;"","決定",IF(O220="","未提出","要調整")))</f>
        <v/>
      </c>
      <c r="K220" s="23">
        <f>IF(OR(J220&lt;&gt;"要調整",E220=""),"",IFERROR(INDEX(設定!$H$8:$I$27,MATCH(E220,設定!$G$8:$G$27,0),IF($M220=設定!$H$6&amp;"",1,2))-COUNTIFS($M$3:$M$302,M220,$I$3:$I$302,E220),""))</f>
        <v/>
      </c>
      <c r="L220" s="23">
        <f>IF(OR(J220&lt;&gt;"要調整",F220=""),"",IFERROR(INDEX(設定!$H$8:$I$27,MATCH(F220,設定!$G$8:$G$27,0),IF($M220=設定!$H$6&amp;"",1,2))-COUNTIFS($M$3:$M$302,M220,$I$3:$I$302,F220),""))</f>
        <v/>
      </c>
      <c r="M220" s="8">
        <f>IF(N220="","",INDEX(児童名簿!$A$2:$A$301,N220)&amp;"")</f>
        <v/>
      </c>
      <c r="N220" s="8">
        <f>IFERROR(MATCH(SMALL(児童名簿!$G$2:$G$301,218),児童名簿!$G$2:$G$301,0),"")</f>
        <v/>
      </c>
      <c r="O220" s="8">
        <f>IF(P220="","",IFERROR(MATCH(P220,希望入力!$K$2:$K$401,0),""))</f>
        <v/>
      </c>
      <c r="P220" s="8">
        <f>IF(N220="","",INDEX(児童名簿!$F$2:$F$301,N220))</f>
        <v/>
      </c>
      <c r="Q220" s="8">
        <f>IF(I220="","",IFERROR(MATCH(I220,設定!$G$8:$G$27,0),""))</f>
        <v/>
      </c>
      <c r="R220" s="8">
        <f>IF(Q220="","",COUNTIF($Q$3:Q220,Q220))</f>
        <v/>
      </c>
      <c r="S220" s="8">
        <f>IF(Q220="","",Q220*1000+R220)</f>
        <v/>
      </c>
    </row>
    <row r="221">
      <c r="A221" s="23">
        <f>IF(N221="","",IFERROR(INDEX(設定!$C$8:$C$23,INT(INDEX(児童名簿!$G$2:$G$301,N221)/1000)),M221&amp;INDEX(児童名簿!$B$2:$B$301,N221)))</f>
        <v/>
      </c>
      <c r="B221" s="23">
        <f>IF(N221="","",INDEX(児童名簿!$C$2:$C$301,N221))</f>
        <v/>
      </c>
      <c r="C221" s="3">
        <f>IF(N221="","",INDEX(児童名簿!$D$2:$D$301,N221))</f>
        <v/>
      </c>
      <c r="D221" s="23">
        <f>IF(O221="","",INDEX(希望入力!$D$2:$D$401,O221)&amp;"")</f>
        <v/>
      </c>
      <c r="E221" s="23">
        <f>IF(O221="","",INDEX(希望入力!$E$2:$E$401,O221)&amp;"")</f>
        <v/>
      </c>
      <c r="F221" s="23">
        <f>IF(O221="","",INDEX(希望入力!$F$2:$F$401,O221)&amp;"")</f>
        <v/>
      </c>
      <c r="G221" s="23">
        <f>IF(O221="","",IF(D221="","要調整",IFERROR(IF(COUNTIFS($M$3:$M$302,M221,$D$3:$D$302,D221)&lt;=INDEX(設定!$H$8:$I$27,MATCH(D221,設定!$G$8:$G$27,0),IF($M221=設定!$H$6&amp;"",1,2)),D221,"要調整"),"要調整")))</f>
        <v/>
      </c>
      <c r="H221" s="15" t="n"/>
      <c r="I221" s="24">
        <f>IF(N221="","",IF(H221&lt;&gt;"",H221,IF(OR(G221="",G221="要調整"),"",G221)))</f>
        <v/>
      </c>
      <c r="J221" s="23">
        <f>IF(N221="","",IF(I221&lt;&gt;"","決定",IF(O221="","未提出","要調整")))</f>
        <v/>
      </c>
      <c r="K221" s="23">
        <f>IF(OR(J221&lt;&gt;"要調整",E221=""),"",IFERROR(INDEX(設定!$H$8:$I$27,MATCH(E221,設定!$G$8:$G$27,0),IF($M221=設定!$H$6&amp;"",1,2))-COUNTIFS($M$3:$M$302,M221,$I$3:$I$302,E221),""))</f>
        <v/>
      </c>
      <c r="L221" s="23">
        <f>IF(OR(J221&lt;&gt;"要調整",F221=""),"",IFERROR(INDEX(設定!$H$8:$I$27,MATCH(F221,設定!$G$8:$G$27,0),IF($M221=設定!$H$6&amp;"",1,2))-COUNTIFS($M$3:$M$302,M221,$I$3:$I$302,F221),""))</f>
        <v/>
      </c>
      <c r="M221" s="8">
        <f>IF(N221="","",INDEX(児童名簿!$A$2:$A$301,N221)&amp;"")</f>
        <v/>
      </c>
      <c r="N221" s="8">
        <f>IFERROR(MATCH(SMALL(児童名簿!$G$2:$G$301,219),児童名簿!$G$2:$G$301,0),"")</f>
        <v/>
      </c>
      <c r="O221" s="8">
        <f>IF(P221="","",IFERROR(MATCH(P221,希望入力!$K$2:$K$401,0),""))</f>
        <v/>
      </c>
      <c r="P221" s="8">
        <f>IF(N221="","",INDEX(児童名簿!$F$2:$F$301,N221))</f>
        <v/>
      </c>
      <c r="Q221" s="8">
        <f>IF(I221="","",IFERROR(MATCH(I221,設定!$G$8:$G$27,0),""))</f>
        <v/>
      </c>
      <c r="R221" s="8">
        <f>IF(Q221="","",COUNTIF($Q$3:Q221,Q221))</f>
        <v/>
      </c>
      <c r="S221" s="8">
        <f>IF(Q221="","",Q221*1000+R221)</f>
        <v/>
      </c>
    </row>
    <row r="222">
      <c r="A222" s="23">
        <f>IF(N222="","",IFERROR(INDEX(設定!$C$8:$C$23,INT(INDEX(児童名簿!$G$2:$G$301,N222)/1000)),M222&amp;INDEX(児童名簿!$B$2:$B$301,N222)))</f>
        <v/>
      </c>
      <c r="B222" s="23">
        <f>IF(N222="","",INDEX(児童名簿!$C$2:$C$301,N222))</f>
        <v/>
      </c>
      <c r="C222" s="3">
        <f>IF(N222="","",INDEX(児童名簿!$D$2:$D$301,N222))</f>
        <v/>
      </c>
      <c r="D222" s="23">
        <f>IF(O222="","",INDEX(希望入力!$D$2:$D$401,O222)&amp;"")</f>
        <v/>
      </c>
      <c r="E222" s="23">
        <f>IF(O222="","",INDEX(希望入力!$E$2:$E$401,O222)&amp;"")</f>
        <v/>
      </c>
      <c r="F222" s="23">
        <f>IF(O222="","",INDEX(希望入力!$F$2:$F$401,O222)&amp;"")</f>
        <v/>
      </c>
      <c r="G222" s="23">
        <f>IF(O222="","",IF(D222="","要調整",IFERROR(IF(COUNTIFS($M$3:$M$302,M222,$D$3:$D$302,D222)&lt;=INDEX(設定!$H$8:$I$27,MATCH(D222,設定!$G$8:$G$27,0),IF($M222=設定!$H$6&amp;"",1,2)),D222,"要調整"),"要調整")))</f>
        <v/>
      </c>
      <c r="H222" s="15" t="n"/>
      <c r="I222" s="24">
        <f>IF(N222="","",IF(H222&lt;&gt;"",H222,IF(OR(G222="",G222="要調整"),"",G222)))</f>
        <v/>
      </c>
      <c r="J222" s="23">
        <f>IF(N222="","",IF(I222&lt;&gt;"","決定",IF(O222="","未提出","要調整")))</f>
        <v/>
      </c>
      <c r="K222" s="23">
        <f>IF(OR(J222&lt;&gt;"要調整",E222=""),"",IFERROR(INDEX(設定!$H$8:$I$27,MATCH(E222,設定!$G$8:$G$27,0),IF($M222=設定!$H$6&amp;"",1,2))-COUNTIFS($M$3:$M$302,M222,$I$3:$I$302,E222),""))</f>
        <v/>
      </c>
      <c r="L222" s="23">
        <f>IF(OR(J222&lt;&gt;"要調整",F222=""),"",IFERROR(INDEX(設定!$H$8:$I$27,MATCH(F222,設定!$G$8:$G$27,0),IF($M222=設定!$H$6&amp;"",1,2))-COUNTIFS($M$3:$M$302,M222,$I$3:$I$302,F222),""))</f>
        <v/>
      </c>
      <c r="M222" s="8">
        <f>IF(N222="","",INDEX(児童名簿!$A$2:$A$301,N222)&amp;"")</f>
        <v/>
      </c>
      <c r="N222" s="8">
        <f>IFERROR(MATCH(SMALL(児童名簿!$G$2:$G$301,220),児童名簿!$G$2:$G$301,0),"")</f>
        <v/>
      </c>
      <c r="O222" s="8">
        <f>IF(P222="","",IFERROR(MATCH(P222,希望入力!$K$2:$K$401,0),""))</f>
        <v/>
      </c>
      <c r="P222" s="8">
        <f>IF(N222="","",INDEX(児童名簿!$F$2:$F$301,N222))</f>
        <v/>
      </c>
      <c r="Q222" s="8">
        <f>IF(I222="","",IFERROR(MATCH(I222,設定!$G$8:$G$27,0),""))</f>
        <v/>
      </c>
      <c r="R222" s="8">
        <f>IF(Q222="","",COUNTIF($Q$3:Q222,Q222))</f>
        <v/>
      </c>
      <c r="S222" s="8">
        <f>IF(Q222="","",Q222*1000+R222)</f>
        <v/>
      </c>
    </row>
    <row r="223">
      <c r="A223" s="23">
        <f>IF(N223="","",IFERROR(INDEX(設定!$C$8:$C$23,INT(INDEX(児童名簿!$G$2:$G$301,N223)/1000)),M223&amp;INDEX(児童名簿!$B$2:$B$301,N223)))</f>
        <v/>
      </c>
      <c r="B223" s="23">
        <f>IF(N223="","",INDEX(児童名簿!$C$2:$C$301,N223))</f>
        <v/>
      </c>
      <c r="C223" s="3">
        <f>IF(N223="","",INDEX(児童名簿!$D$2:$D$301,N223))</f>
        <v/>
      </c>
      <c r="D223" s="23">
        <f>IF(O223="","",INDEX(希望入力!$D$2:$D$401,O223)&amp;"")</f>
        <v/>
      </c>
      <c r="E223" s="23">
        <f>IF(O223="","",INDEX(希望入力!$E$2:$E$401,O223)&amp;"")</f>
        <v/>
      </c>
      <c r="F223" s="23">
        <f>IF(O223="","",INDEX(希望入力!$F$2:$F$401,O223)&amp;"")</f>
        <v/>
      </c>
      <c r="G223" s="23">
        <f>IF(O223="","",IF(D223="","要調整",IFERROR(IF(COUNTIFS($M$3:$M$302,M223,$D$3:$D$302,D223)&lt;=INDEX(設定!$H$8:$I$27,MATCH(D223,設定!$G$8:$G$27,0),IF($M223=設定!$H$6&amp;"",1,2)),D223,"要調整"),"要調整")))</f>
        <v/>
      </c>
      <c r="H223" s="15" t="n"/>
      <c r="I223" s="24">
        <f>IF(N223="","",IF(H223&lt;&gt;"",H223,IF(OR(G223="",G223="要調整"),"",G223)))</f>
        <v/>
      </c>
      <c r="J223" s="23">
        <f>IF(N223="","",IF(I223&lt;&gt;"","決定",IF(O223="","未提出","要調整")))</f>
        <v/>
      </c>
      <c r="K223" s="23">
        <f>IF(OR(J223&lt;&gt;"要調整",E223=""),"",IFERROR(INDEX(設定!$H$8:$I$27,MATCH(E223,設定!$G$8:$G$27,0),IF($M223=設定!$H$6&amp;"",1,2))-COUNTIFS($M$3:$M$302,M223,$I$3:$I$302,E223),""))</f>
        <v/>
      </c>
      <c r="L223" s="23">
        <f>IF(OR(J223&lt;&gt;"要調整",F223=""),"",IFERROR(INDEX(設定!$H$8:$I$27,MATCH(F223,設定!$G$8:$G$27,0),IF($M223=設定!$H$6&amp;"",1,2))-COUNTIFS($M$3:$M$302,M223,$I$3:$I$302,F223),""))</f>
        <v/>
      </c>
      <c r="M223" s="8">
        <f>IF(N223="","",INDEX(児童名簿!$A$2:$A$301,N223)&amp;"")</f>
        <v/>
      </c>
      <c r="N223" s="8">
        <f>IFERROR(MATCH(SMALL(児童名簿!$G$2:$G$301,221),児童名簿!$G$2:$G$301,0),"")</f>
        <v/>
      </c>
      <c r="O223" s="8">
        <f>IF(P223="","",IFERROR(MATCH(P223,希望入力!$K$2:$K$401,0),""))</f>
        <v/>
      </c>
      <c r="P223" s="8">
        <f>IF(N223="","",INDEX(児童名簿!$F$2:$F$301,N223))</f>
        <v/>
      </c>
      <c r="Q223" s="8">
        <f>IF(I223="","",IFERROR(MATCH(I223,設定!$G$8:$G$27,0),""))</f>
        <v/>
      </c>
      <c r="R223" s="8">
        <f>IF(Q223="","",COUNTIF($Q$3:Q223,Q223))</f>
        <v/>
      </c>
      <c r="S223" s="8">
        <f>IF(Q223="","",Q223*1000+R223)</f>
        <v/>
      </c>
    </row>
    <row r="224">
      <c r="A224" s="23">
        <f>IF(N224="","",IFERROR(INDEX(設定!$C$8:$C$23,INT(INDEX(児童名簿!$G$2:$G$301,N224)/1000)),M224&amp;INDEX(児童名簿!$B$2:$B$301,N224)))</f>
        <v/>
      </c>
      <c r="B224" s="23">
        <f>IF(N224="","",INDEX(児童名簿!$C$2:$C$301,N224))</f>
        <v/>
      </c>
      <c r="C224" s="3">
        <f>IF(N224="","",INDEX(児童名簿!$D$2:$D$301,N224))</f>
        <v/>
      </c>
      <c r="D224" s="23">
        <f>IF(O224="","",INDEX(希望入力!$D$2:$D$401,O224)&amp;"")</f>
        <v/>
      </c>
      <c r="E224" s="23">
        <f>IF(O224="","",INDEX(希望入力!$E$2:$E$401,O224)&amp;"")</f>
        <v/>
      </c>
      <c r="F224" s="23">
        <f>IF(O224="","",INDEX(希望入力!$F$2:$F$401,O224)&amp;"")</f>
        <v/>
      </c>
      <c r="G224" s="23">
        <f>IF(O224="","",IF(D224="","要調整",IFERROR(IF(COUNTIFS($M$3:$M$302,M224,$D$3:$D$302,D224)&lt;=INDEX(設定!$H$8:$I$27,MATCH(D224,設定!$G$8:$G$27,0),IF($M224=設定!$H$6&amp;"",1,2)),D224,"要調整"),"要調整")))</f>
        <v/>
      </c>
      <c r="H224" s="15" t="n"/>
      <c r="I224" s="24">
        <f>IF(N224="","",IF(H224&lt;&gt;"",H224,IF(OR(G224="",G224="要調整"),"",G224)))</f>
        <v/>
      </c>
      <c r="J224" s="23">
        <f>IF(N224="","",IF(I224&lt;&gt;"","決定",IF(O224="","未提出","要調整")))</f>
        <v/>
      </c>
      <c r="K224" s="23">
        <f>IF(OR(J224&lt;&gt;"要調整",E224=""),"",IFERROR(INDEX(設定!$H$8:$I$27,MATCH(E224,設定!$G$8:$G$27,0),IF($M224=設定!$H$6&amp;"",1,2))-COUNTIFS($M$3:$M$302,M224,$I$3:$I$302,E224),""))</f>
        <v/>
      </c>
      <c r="L224" s="23">
        <f>IF(OR(J224&lt;&gt;"要調整",F224=""),"",IFERROR(INDEX(設定!$H$8:$I$27,MATCH(F224,設定!$G$8:$G$27,0),IF($M224=設定!$H$6&amp;"",1,2))-COUNTIFS($M$3:$M$302,M224,$I$3:$I$302,F224),""))</f>
        <v/>
      </c>
      <c r="M224" s="8">
        <f>IF(N224="","",INDEX(児童名簿!$A$2:$A$301,N224)&amp;"")</f>
        <v/>
      </c>
      <c r="N224" s="8">
        <f>IFERROR(MATCH(SMALL(児童名簿!$G$2:$G$301,222),児童名簿!$G$2:$G$301,0),"")</f>
        <v/>
      </c>
      <c r="O224" s="8">
        <f>IF(P224="","",IFERROR(MATCH(P224,希望入力!$K$2:$K$401,0),""))</f>
        <v/>
      </c>
      <c r="P224" s="8">
        <f>IF(N224="","",INDEX(児童名簿!$F$2:$F$301,N224))</f>
        <v/>
      </c>
      <c r="Q224" s="8">
        <f>IF(I224="","",IFERROR(MATCH(I224,設定!$G$8:$G$27,0),""))</f>
        <v/>
      </c>
      <c r="R224" s="8">
        <f>IF(Q224="","",COUNTIF($Q$3:Q224,Q224))</f>
        <v/>
      </c>
      <c r="S224" s="8">
        <f>IF(Q224="","",Q224*1000+R224)</f>
        <v/>
      </c>
    </row>
    <row r="225">
      <c r="A225" s="23">
        <f>IF(N225="","",IFERROR(INDEX(設定!$C$8:$C$23,INT(INDEX(児童名簿!$G$2:$G$301,N225)/1000)),M225&amp;INDEX(児童名簿!$B$2:$B$301,N225)))</f>
        <v/>
      </c>
      <c r="B225" s="23">
        <f>IF(N225="","",INDEX(児童名簿!$C$2:$C$301,N225))</f>
        <v/>
      </c>
      <c r="C225" s="3">
        <f>IF(N225="","",INDEX(児童名簿!$D$2:$D$301,N225))</f>
        <v/>
      </c>
      <c r="D225" s="23">
        <f>IF(O225="","",INDEX(希望入力!$D$2:$D$401,O225)&amp;"")</f>
        <v/>
      </c>
      <c r="E225" s="23">
        <f>IF(O225="","",INDEX(希望入力!$E$2:$E$401,O225)&amp;"")</f>
        <v/>
      </c>
      <c r="F225" s="23">
        <f>IF(O225="","",INDEX(希望入力!$F$2:$F$401,O225)&amp;"")</f>
        <v/>
      </c>
      <c r="G225" s="23">
        <f>IF(O225="","",IF(D225="","要調整",IFERROR(IF(COUNTIFS($M$3:$M$302,M225,$D$3:$D$302,D225)&lt;=INDEX(設定!$H$8:$I$27,MATCH(D225,設定!$G$8:$G$27,0),IF($M225=設定!$H$6&amp;"",1,2)),D225,"要調整"),"要調整")))</f>
        <v/>
      </c>
      <c r="H225" s="15" t="n"/>
      <c r="I225" s="24">
        <f>IF(N225="","",IF(H225&lt;&gt;"",H225,IF(OR(G225="",G225="要調整"),"",G225)))</f>
        <v/>
      </c>
      <c r="J225" s="23">
        <f>IF(N225="","",IF(I225&lt;&gt;"","決定",IF(O225="","未提出","要調整")))</f>
        <v/>
      </c>
      <c r="K225" s="23">
        <f>IF(OR(J225&lt;&gt;"要調整",E225=""),"",IFERROR(INDEX(設定!$H$8:$I$27,MATCH(E225,設定!$G$8:$G$27,0),IF($M225=設定!$H$6&amp;"",1,2))-COUNTIFS($M$3:$M$302,M225,$I$3:$I$302,E225),""))</f>
        <v/>
      </c>
      <c r="L225" s="23">
        <f>IF(OR(J225&lt;&gt;"要調整",F225=""),"",IFERROR(INDEX(設定!$H$8:$I$27,MATCH(F225,設定!$G$8:$G$27,0),IF($M225=設定!$H$6&amp;"",1,2))-COUNTIFS($M$3:$M$302,M225,$I$3:$I$302,F225),""))</f>
        <v/>
      </c>
      <c r="M225" s="8">
        <f>IF(N225="","",INDEX(児童名簿!$A$2:$A$301,N225)&amp;"")</f>
        <v/>
      </c>
      <c r="N225" s="8">
        <f>IFERROR(MATCH(SMALL(児童名簿!$G$2:$G$301,223),児童名簿!$G$2:$G$301,0),"")</f>
        <v/>
      </c>
      <c r="O225" s="8">
        <f>IF(P225="","",IFERROR(MATCH(P225,希望入力!$K$2:$K$401,0),""))</f>
        <v/>
      </c>
      <c r="P225" s="8">
        <f>IF(N225="","",INDEX(児童名簿!$F$2:$F$301,N225))</f>
        <v/>
      </c>
      <c r="Q225" s="8">
        <f>IF(I225="","",IFERROR(MATCH(I225,設定!$G$8:$G$27,0),""))</f>
        <v/>
      </c>
      <c r="R225" s="8">
        <f>IF(Q225="","",COUNTIF($Q$3:Q225,Q225))</f>
        <v/>
      </c>
      <c r="S225" s="8">
        <f>IF(Q225="","",Q225*1000+R225)</f>
        <v/>
      </c>
    </row>
    <row r="226">
      <c r="A226" s="23">
        <f>IF(N226="","",IFERROR(INDEX(設定!$C$8:$C$23,INT(INDEX(児童名簿!$G$2:$G$301,N226)/1000)),M226&amp;INDEX(児童名簿!$B$2:$B$301,N226)))</f>
        <v/>
      </c>
      <c r="B226" s="23">
        <f>IF(N226="","",INDEX(児童名簿!$C$2:$C$301,N226))</f>
        <v/>
      </c>
      <c r="C226" s="3">
        <f>IF(N226="","",INDEX(児童名簿!$D$2:$D$301,N226))</f>
        <v/>
      </c>
      <c r="D226" s="23">
        <f>IF(O226="","",INDEX(希望入力!$D$2:$D$401,O226)&amp;"")</f>
        <v/>
      </c>
      <c r="E226" s="23">
        <f>IF(O226="","",INDEX(希望入力!$E$2:$E$401,O226)&amp;"")</f>
        <v/>
      </c>
      <c r="F226" s="23">
        <f>IF(O226="","",INDEX(希望入力!$F$2:$F$401,O226)&amp;"")</f>
        <v/>
      </c>
      <c r="G226" s="23">
        <f>IF(O226="","",IF(D226="","要調整",IFERROR(IF(COUNTIFS($M$3:$M$302,M226,$D$3:$D$302,D226)&lt;=INDEX(設定!$H$8:$I$27,MATCH(D226,設定!$G$8:$G$27,0),IF($M226=設定!$H$6&amp;"",1,2)),D226,"要調整"),"要調整")))</f>
        <v/>
      </c>
      <c r="H226" s="15" t="n"/>
      <c r="I226" s="24">
        <f>IF(N226="","",IF(H226&lt;&gt;"",H226,IF(OR(G226="",G226="要調整"),"",G226)))</f>
        <v/>
      </c>
      <c r="J226" s="23">
        <f>IF(N226="","",IF(I226&lt;&gt;"","決定",IF(O226="","未提出","要調整")))</f>
        <v/>
      </c>
      <c r="K226" s="23">
        <f>IF(OR(J226&lt;&gt;"要調整",E226=""),"",IFERROR(INDEX(設定!$H$8:$I$27,MATCH(E226,設定!$G$8:$G$27,0),IF($M226=設定!$H$6&amp;"",1,2))-COUNTIFS($M$3:$M$302,M226,$I$3:$I$302,E226),""))</f>
        <v/>
      </c>
      <c r="L226" s="23">
        <f>IF(OR(J226&lt;&gt;"要調整",F226=""),"",IFERROR(INDEX(設定!$H$8:$I$27,MATCH(F226,設定!$G$8:$G$27,0),IF($M226=設定!$H$6&amp;"",1,2))-COUNTIFS($M$3:$M$302,M226,$I$3:$I$302,F226),""))</f>
        <v/>
      </c>
      <c r="M226" s="8">
        <f>IF(N226="","",INDEX(児童名簿!$A$2:$A$301,N226)&amp;"")</f>
        <v/>
      </c>
      <c r="N226" s="8">
        <f>IFERROR(MATCH(SMALL(児童名簿!$G$2:$G$301,224),児童名簿!$G$2:$G$301,0),"")</f>
        <v/>
      </c>
      <c r="O226" s="8">
        <f>IF(P226="","",IFERROR(MATCH(P226,希望入力!$K$2:$K$401,0),""))</f>
        <v/>
      </c>
      <c r="P226" s="8">
        <f>IF(N226="","",INDEX(児童名簿!$F$2:$F$301,N226))</f>
        <v/>
      </c>
      <c r="Q226" s="8">
        <f>IF(I226="","",IFERROR(MATCH(I226,設定!$G$8:$G$27,0),""))</f>
        <v/>
      </c>
      <c r="R226" s="8">
        <f>IF(Q226="","",COUNTIF($Q$3:Q226,Q226))</f>
        <v/>
      </c>
      <c r="S226" s="8">
        <f>IF(Q226="","",Q226*1000+R226)</f>
        <v/>
      </c>
    </row>
    <row r="227">
      <c r="A227" s="23">
        <f>IF(N227="","",IFERROR(INDEX(設定!$C$8:$C$23,INT(INDEX(児童名簿!$G$2:$G$301,N227)/1000)),M227&amp;INDEX(児童名簿!$B$2:$B$301,N227)))</f>
        <v/>
      </c>
      <c r="B227" s="23">
        <f>IF(N227="","",INDEX(児童名簿!$C$2:$C$301,N227))</f>
        <v/>
      </c>
      <c r="C227" s="3">
        <f>IF(N227="","",INDEX(児童名簿!$D$2:$D$301,N227))</f>
        <v/>
      </c>
      <c r="D227" s="23">
        <f>IF(O227="","",INDEX(希望入力!$D$2:$D$401,O227)&amp;"")</f>
        <v/>
      </c>
      <c r="E227" s="23">
        <f>IF(O227="","",INDEX(希望入力!$E$2:$E$401,O227)&amp;"")</f>
        <v/>
      </c>
      <c r="F227" s="23">
        <f>IF(O227="","",INDEX(希望入力!$F$2:$F$401,O227)&amp;"")</f>
        <v/>
      </c>
      <c r="G227" s="23">
        <f>IF(O227="","",IF(D227="","要調整",IFERROR(IF(COUNTIFS($M$3:$M$302,M227,$D$3:$D$302,D227)&lt;=INDEX(設定!$H$8:$I$27,MATCH(D227,設定!$G$8:$G$27,0),IF($M227=設定!$H$6&amp;"",1,2)),D227,"要調整"),"要調整")))</f>
        <v/>
      </c>
      <c r="H227" s="15" t="n"/>
      <c r="I227" s="24">
        <f>IF(N227="","",IF(H227&lt;&gt;"",H227,IF(OR(G227="",G227="要調整"),"",G227)))</f>
        <v/>
      </c>
      <c r="J227" s="23">
        <f>IF(N227="","",IF(I227&lt;&gt;"","決定",IF(O227="","未提出","要調整")))</f>
        <v/>
      </c>
      <c r="K227" s="23">
        <f>IF(OR(J227&lt;&gt;"要調整",E227=""),"",IFERROR(INDEX(設定!$H$8:$I$27,MATCH(E227,設定!$G$8:$G$27,0),IF($M227=設定!$H$6&amp;"",1,2))-COUNTIFS($M$3:$M$302,M227,$I$3:$I$302,E227),""))</f>
        <v/>
      </c>
      <c r="L227" s="23">
        <f>IF(OR(J227&lt;&gt;"要調整",F227=""),"",IFERROR(INDEX(設定!$H$8:$I$27,MATCH(F227,設定!$G$8:$G$27,0),IF($M227=設定!$H$6&amp;"",1,2))-COUNTIFS($M$3:$M$302,M227,$I$3:$I$302,F227),""))</f>
        <v/>
      </c>
      <c r="M227" s="8">
        <f>IF(N227="","",INDEX(児童名簿!$A$2:$A$301,N227)&amp;"")</f>
        <v/>
      </c>
      <c r="N227" s="8">
        <f>IFERROR(MATCH(SMALL(児童名簿!$G$2:$G$301,225),児童名簿!$G$2:$G$301,0),"")</f>
        <v/>
      </c>
      <c r="O227" s="8">
        <f>IF(P227="","",IFERROR(MATCH(P227,希望入力!$K$2:$K$401,0),""))</f>
        <v/>
      </c>
      <c r="P227" s="8">
        <f>IF(N227="","",INDEX(児童名簿!$F$2:$F$301,N227))</f>
        <v/>
      </c>
      <c r="Q227" s="8">
        <f>IF(I227="","",IFERROR(MATCH(I227,設定!$G$8:$G$27,0),""))</f>
        <v/>
      </c>
      <c r="R227" s="8">
        <f>IF(Q227="","",COUNTIF($Q$3:Q227,Q227))</f>
        <v/>
      </c>
      <c r="S227" s="8">
        <f>IF(Q227="","",Q227*1000+R227)</f>
        <v/>
      </c>
    </row>
    <row r="228">
      <c r="A228" s="23">
        <f>IF(N228="","",IFERROR(INDEX(設定!$C$8:$C$23,INT(INDEX(児童名簿!$G$2:$G$301,N228)/1000)),M228&amp;INDEX(児童名簿!$B$2:$B$301,N228)))</f>
        <v/>
      </c>
      <c r="B228" s="23">
        <f>IF(N228="","",INDEX(児童名簿!$C$2:$C$301,N228))</f>
        <v/>
      </c>
      <c r="C228" s="3">
        <f>IF(N228="","",INDEX(児童名簿!$D$2:$D$301,N228))</f>
        <v/>
      </c>
      <c r="D228" s="23">
        <f>IF(O228="","",INDEX(希望入力!$D$2:$D$401,O228)&amp;"")</f>
        <v/>
      </c>
      <c r="E228" s="23">
        <f>IF(O228="","",INDEX(希望入力!$E$2:$E$401,O228)&amp;"")</f>
        <v/>
      </c>
      <c r="F228" s="23">
        <f>IF(O228="","",INDEX(希望入力!$F$2:$F$401,O228)&amp;"")</f>
        <v/>
      </c>
      <c r="G228" s="23">
        <f>IF(O228="","",IF(D228="","要調整",IFERROR(IF(COUNTIFS($M$3:$M$302,M228,$D$3:$D$302,D228)&lt;=INDEX(設定!$H$8:$I$27,MATCH(D228,設定!$G$8:$G$27,0),IF($M228=設定!$H$6&amp;"",1,2)),D228,"要調整"),"要調整")))</f>
        <v/>
      </c>
      <c r="H228" s="15" t="n"/>
      <c r="I228" s="24">
        <f>IF(N228="","",IF(H228&lt;&gt;"",H228,IF(OR(G228="",G228="要調整"),"",G228)))</f>
        <v/>
      </c>
      <c r="J228" s="23">
        <f>IF(N228="","",IF(I228&lt;&gt;"","決定",IF(O228="","未提出","要調整")))</f>
        <v/>
      </c>
      <c r="K228" s="23">
        <f>IF(OR(J228&lt;&gt;"要調整",E228=""),"",IFERROR(INDEX(設定!$H$8:$I$27,MATCH(E228,設定!$G$8:$G$27,0),IF($M228=設定!$H$6&amp;"",1,2))-COUNTIFS($M$3:$M$302,M228,$I$3:$I$302,E228),""))</f>
        <v/>
      </c>
      <c r="L228" s="23">
        <f>IF(OR(J228&lt;&gt;"要調整",F228=""),"",IFERROR(INDEX(設定!$H$8:$I$27,MATCH(F228,設定!$G$8:$G$27,0),IF($M228=設定!$H$6&amp;"",1,2))-COUNTIFS($M$3:$M$302,M228,$I$3:$I$302,F228),""))</f>
        <v/>
      </c>
      <c r="M228" s="8">
        <f>IF(N228="","",INDEX(児童名簿!$A$2:$A$301,N228)&amp;"")</f>
        <v/>
      </c>
      <c r="N228" s="8">
        <f>IFERROR(MATCH(SMALL(児童名簿!$G$2:$G$301,226),児童名簿!$G$2:$G$301,0),"")</f>
        <v/>
      </c>
      <c r="O228" s="8">
        <f>IF(P228="","",IFERROR(MATCH(P228,希望入力!$K$2:$K$401,0),""))</f>
        <v/>
      </c>
      <c r="P228" s="8">
        <f>IF(N228="","",INDEX(児童名簿!$F$2:$F$301,N228))</f>
        <v/>
      </c>
      <c r="Q228" s="8">
        <f>IF(I228="","",IFERROR(MATCH(I228,設定!$G$8:$G$27,0),""))</f>
        <v/>
      </c>
      <c r="R228" s="8">
        <f>IF(Q228="","",COUNTIF($Q$3:Q228,Q228))</f>
        <v/>
      </c>
      <c r="S228" s="8">
        <f>IF(Q228="","",Q228*1000+R228)</f>
        <v/>
      </c>
    </row>
    <row r="229">
      <c r="A229" s="23">
        <f>IF(N229="","",IFERROR(INDEX(設定!$C$8:$C$23,INT(INDEX(児童名簿!$G$2:$G$301,N229)/1000)),M229&amp;INDEX(児童名簿!$B$2:$B$301,N229)))</f>
        <v/>
      </c>
      <c r="B229" s="23">
        <f>IF(N229="","",INDEX(児童名簿!$C$2:$C$301,N229))</f>
        <v/>
      </c>
      <c r="C229" s="3">
        <f>IF(N229="","",INDEX(児童名簿!$D$2:$D$301,N229))</f>
        <v/>
      </c>
      <c r="D229" s="23">
        <f>IF(O229="","",INDEX(希望入力!$D$2:$D$401,O229)&amp;"")</f>
        <v/>
      </c>
      <c r="E229" s="23">
        <f>IF(O229="","",INDEX(希望入力!$E$2:$E$401,O229)&amp;"")</f>
        <v/>
      </c>
      <c r="F229" s="23">
        <f>IF(O229="","",INDEX(希望入力!$F$2:$F$401,O229)&amp;"")</f>
        <v/>
      </c>
      <c r="G229" s="23">
        <f>IF(O229="","",IF(D229="","要調整",IFERROR(IF(COUNTIFS($M$3:$M$302,M229,$D$3:$D$302,D229)&lt;=INDEX(設定!$H$8:$I$27,MATCH(D229,設定!$G$8:$G$27,0),IF($M229=設定!$H$6&amp;"",1,2)),D229,"要調整"),"要調整")))</f>
        <v/>
      </c>
      <c r="H229" s="15" t="n"/>
      <c r="I229" s="24">
        <f>IF(N229="","",IF(H229&lt;&gt;"",H229,IF(OR(G229="",G229="要調整"),"",G229)))</f>
        <v/>
      </c>
      <c r="J229" s="23">
        <f>IF(N229="","",IF(I229&lt;&gt;"","決定",IF(O229="","未提出","要調整")))</f>
        <v/>
      </c>
      <c r="K229" s="23">
        <f>IF(OR(J229&lt;&gt;"要調整",E229=""),"",IFERROR(INDEX(設定!$H$8:$I$27,MATCH(E229,設定!$G$8:$G$27,0),IF($M229=設定!$H$6&amp;"",1,2))-COUNTIFS($M$3:$M$302,M229,$I$3:$I$302,E229),""))</f>
        <v/>
      </c>
      <c r="L229" s="23">
        <f>IF(OR(J229&lt;&gt;"要調整",F229=""),"",IFERROR(INDEX(設定!$H$8:$I$27,MATCH(F229,設定!$G$8:$G$27,0),IF($M229=設定!$H$6&amp;"",1,2))-COUNTIFS($M$3:$M$302,M229,$I$3:$I$302,F229),""))</f>
        <v/>
      </c>
      <c r="M229" s="8">
        <f>IF(N229="","",INDEX(児童名簿!$A$2:$A$301,N229)&amp;"")</f>
        <v/>
      </c>
      <c r="N229" s="8">
        <f>IFERROR(MATCH(SMALL(児童名簿!$G$2:$G$301,227),児童名簿!$G$2:$G$301,0),"")</f>
        <v/>
      </c>
      <c r="O229" s="8">
        <f>IF(P229="","",IFERROR(MATCH(P229,希望入力!$K$2:$K$401,0),""))</f>
        <v/>
      </c>
      <c r="P229" s="8">
        <f>IF(N229="","",INDEX(児童名簿!$F$2:$F$301,N229))</f>
        <v/>
      </c>
      <c r="Q229" s="8">
        <f>IF(I229="","",IFERROR(MATCH(I229,設定!$G$8:$G$27,0),""))</f>
        <v/>
      </c>
      <c r="R229" s="8">
        <f>IF(Q229="","",COUNTIF($Q$3:Q229,Q229))</f>
        <v/>
      </c>
      <c r="S229" s="8">
        <f>IF(Q229="","",Q229*1000+R229)</f>
        <v/>
      </c>
    </row>
    <row r="230">
      <c r="A230" s="23">
        <f>IF(N230="","",IFERROR(INDEX(設定!$C$8:$C$23,INT(INDEX(児童名簿!$G$2:$G$301,N230)/1000)),M230&amp;INDEX(児童名簿!$B$2:$B$301,N230)))</f>
        <v/>
      </c>
      <c r="B230" s="23">
        <f>IF(N230="","",INDEX(児童名簿!$C$2:$C$301,N230))</f>
        <v/>
      </c>
      <c r="C230" s="3">
        <f>IF(N230="","",INDEX(児童名簿!$D$2:$D$301,N230))</f>
        <v/>
      </c>
      <c r="D230" s="23">
        <f>IF(O230="","",INDEX(希望入力!$D$2:$D$401,O230)&amp;"")</f>
        <v/>
      </c>
      <c r="E230" s="23">
        <f>IF(O230="","",INDEX(希望入力!$E$2:$E$401,O230)&amp;"")</f>
        <v/>
      </c>
      <c r="F230" s="23">
        <f>IF(O230="","",INDEX(希望入力!$F$2:$F$401,O230)&amp;"")</f>
        <v/>
      </c>
      <c r="G230" s="23">
        <f>IF(O230="","",IF(D230="","要調整",IFERROR(IF(COUNTIFS($M$3:$M$302,M230,$D$3:$D$302,D230)&lt;=INDEX(設定!$H$8:$I$27,MATCH(D230,設定!$G$8:$G$27,0),IF($M230=設定!$H$6&amp;"",1,2)),D230,"要調整"),"要調整")))</f>
        <v/>
      </c>
      <c r="H230" s="15" t="n"/>
      <c r="I230" s="24">
        <f>IF(N230="","",IF(H230&lt;&gt;"",H230,IF(OR(G230="",G230="要調整"),"",G230)))</f>
        <v/>
      </c>
      <c r="J230" s="23">
        <f>IF(N230="","",IF(I230&lt;&gt;"","決定",IF(O230="","未提出","要調整")))</f>
        <v/>
      </c>
      <c r="K230" s="23">
        <f>IF(OR(J230&lt;&gt;"要調整",E230=""),"",IFERROR(INDEX(設定!$H$8:$I$27,MATCH(E230,設定!$G$8:$G$27,0),IF($M230=設定!$H$6&amp;"",1,2))-COUNTIFS($M$3:$M$302,M230,$I$3:$I$302,E230),""))</f>
        <v/>
      </c>
      <c r="L230" s="23">
        <f>IF(OR(J230&lt;&gt;"要調整",F230=""),"",IFERROR(INDEX(設定!$H$8:$I$27,MATCH(F230,設定!$G$8:$G$27,0),IF($M230=設定!$H$6&amp;"",1,2))-COUNTIFS($M$3:$M$302,M230,$I$3:$I$302,F230),""))</f>
        <v/>
      </c>
      <c r="M230" s="8">
        <f>IF(N230="","",INDEX(児童名簿!$A$2:$A$301,N230)&amp;"")</f>
        <v/>
      </c>
      <c r="N230" s="8">
        <f>IFERROR(MATCH(SMALL(児童名簿!$G$2:$G$301,228),児童名簿!$G$2:$G$301,0),"")</f>
        <v/>
      </c>
      <c r="O230" s="8">
        <f>IF(P230="","",IFERROR(MATCH(P230,希望入力!$K$2:$K$401,0),""))</f>
        <v/>
      </c>
      <c r="P230" s="8">
        <f>IF(N230="","",INDEX(児童名簿!$F$2:$F$301,N230))</f>
        <v/>
      </c>
      <c r="Q230" s="8">
        <f>IF(I230="","",IFERROR(MATCH(I230,設定!$G$8:$G$27,0),""))</f>
        <v/>
      </c>
      <c r="R230" s="8">
        <f>IF(Q230="","",COUNTIF($Q$3:Q230,Q230))</f>
        <v/>
      </c>
      <c r="S230" s="8">
        <f>IF(Q230="","",Q230*1000+R230)</f>
        <v/>
      </c>
    </row>
    <row r="231">
      <c r="A231" s="23">
        <f>IF(N231="","",IFERROR(INDEX(設定!$C$8:$C$23,INT(INDEX(児童名簿!$G$2:$G$301,N231)/1000)),M231&amp;INDEX(児童名簿!$B$2:$B$301,N231)))</f>
        <v/>
      </c>
      <c r="B231" s="23">
        <f>IF(N231="","",INDEX(児童名簿!$C$2:$C$301,N231))</f>
        <v/>
      </c>
      <c r="C231" s="3">
        <f>IF(N231="","",INDEX(児童名簿!$D$2:$D$301,N231))</f>
        <v/>
      </c>
      <c r="D231" s="23">
        <f>IF(O231="","",INDEX(希望入力!$D$2:$D$401,O231)&amp;"")</f>
        <v/>
      </c>
      <c r="E231" s="23">
        <f>IF(O231="","",INDEX(希望入力!$E$2:$E$401,O231)&amp;"")</f>
        <v/>
      </c>
      <c r="F231" s="23">
        <f>IF(O231="","",INDEX(希望入力!$F$2:$F$401,O231)&amp;"")</f>
        <v/>
      </c>
      <c r="G231" s="23">
        <f>IF(O231="","",IF(D231="","要調整",IFERROR(IF(COUNTIFS($M$3:$M$302,M231,$D$3:$D$302,D231)&lt;=INDEX(設定!$H$8:$I$27,MATCH(D231,設定!$G$8:$G$27,0),IF($M231=設定!$H$6&amp;"",1,2)),D231,"要調整"),"要調整")))</f>
        <v/>
      </c>
      <c r="H231" s="15" t="n"/>
      <c r="I231" s="24">
        <f>IF(N231="","",IF(H231&lt;&gt;"",H231,IF(OR(G231="",G231="要調整"),"",G231)))</f>
        <v/>
      </c>
      <c r="J231" s="23">
        <f>IF(N231="","",IF(I231&lt;&gt;"","決定",IF(O231="","未提出","要調整")))</f>
        <v/>
      </c>
      <c r="K231" s="23">
        <f>IF(OR(J231&lt;&gt;"要調整",E231=""),"",IFERROR(INDEX(設定!$H$8:$I$27,MATCH(E231,設定!$G$8:$G$27,0),IF($M231=設定!$H$6&amp;"",1,2))-COUNTIFS($M$3:$M$302,M231,$I$3:$I$302,E231),""))</f>
        <v/>
      </c>
      <c r="L231" s="23">
        <f>IF(OR(J231&lt;&gt;"要調整",F231=""),"",IFERROR(INDEX(設定!$H$8:$I$27,MATCH(F231,設定!$G$8:$G$27,0),IF($M231=設定!$H$6&amp;"",1,2))-COUNTIFS($M$3:$M$302,M231,$I$3:$I$302,F231),""))</f>
        <v/>
      </c>
      <c r="M231" s="8">
        <f>IF(N231="","",INDEX(児童名簿!$A$2:$A$301,N231)&amp;"")</f>
        <v/>
      </c>
      <c r="N231" s="8">
        <f>IFERROR(MATCH(SMALL(児童名簿!$G$2:$G$301,229),児童名簿!$G$2:$G$301,0),"")</f>
        <v/>
      </c>
      <c r="O231" s="8">
        <f>IF(P231="","",IFERROR(MATCH(P231,希望入力!$K$2:$K$401,0),""))</f>
        <v/>
      </c>
      <c r="P231" s="8">
        <f>IF(N231="","",INDEX(児童名簿!$F$2:$F$301,N231))</f>
        <v/>
      </c>
      <c r="Q231" s="8">
        <f>IF(I231="","",IFERROR(MATCH(I231,設定!$G$8:$G$27,0),""))</f>
        <v/>
      </c>
      <c r="R231" s="8">
        <f>IF(Q231="","",COUNTIF($Q$3:Q231,Q231))</f>
        <v/>
      </c>
      <c r="S231" s="8">
        <f>IF(Q231="","",Q231*1000+R231)</f>
        <v/>
      </c>
    </row>
    <row r="232">
      <c r="A232" s="23">
        <f>IF(N232="","",IFERROR(INDEX(設定!$C$8:$C$23,INT(INDEX(児童名簿!$G$2:$G$301,N232)/1000)),M232&amp;INDEX(児童名簿!$B$2:$B$301,N232)))</f>
        <v/>
      </c>
      <c r="B232" s="23">
        <f>IF(N232="","",INDEX(児童名簿!$C$2:$C$301,N232))</f>
        <v/>
      </c>
      <c r="C232" s="3">
        <f>IF(N232="","",INDEX(児童名簿!$D$2:$D$301,N232))</f>
        <v/>
      </c>
      <c r="D232" s="23">
        <f>IF(O232="","",INDEX(希望入力!$D$2:$D$401,O232)&amp;"")</f>
        <v/>
      </c>
      <c r="E232" s="23">
        <f>IF(O232="","",INDEX(希望入力!$E$2:$E$401,O232)&amp;"")</f>
        <v/>
      </c>
      <c r="F232" s="23">
        <f>IF(O232="","",INDEX(希望入力!$F$2:$F$401,O232)&amp;"")</f>
        <v/>
      </c>
      <c r="G232" s="23">
        <f>IF(O232="","",IF(D232="","要調整",IFERROR(IF(COUNTIFS($M$3:$M$302,M232,$D$3:$D$302,D232)&lt;=INDEX(設定!$H$8:$I$27,MATCH(D232,設定!$G$8:$G$27,0),IF($M232=設定!$H$6&amp;"",1,2)),D232,"要調整"),"要調整")))</f>
        <v/>
      </c>
      <c r="H232" s="15" t="n"/>
      <c r="I232" s="24">
        <f>IF(N232="","",IF(H232&lt;&gt;"",H232,IF(OR(G232="",G232="要調整"),"",G232)))</f>
        <v/>
      </c>
      <c r="J232" s="23">
        <f>IF(N232="","",IF(I232&lt;&gt;"","決定",IF(O232="","未提出","要調整")))</f>
        <v/>
      </c>
      <c r="K232" s="23">
        <f>IF(OR(J232&lt;&gt;"要調整",E232=""),"",IFERROR(INDEX(設定!$H$8:$I$27,MATCH(E232,設定!$G$8:$G$27,0),IF($M232=設定!$H$6&amp;"",1,2))-COUNTIFS($M$3:$M$302,M232,$I$3:$I$302,E232),""))</f>
        <v/>
      </c>
      <c r="L232" s="23">
        <f>IF(OR(J232&lt;&gt;"要調整",F232=""),"",IFERROR(INDEX(設定!$H$8:$I$27,MATCH(F232,設定!$G$8:$G$27,0),IF($M232=設定!$H$6&amp;"",1,2))-COUNTIFS($M$3:$M$302,M232,$I$3:$I$302,F232),""))</f>
        <v/>
      </c>
      <c r="M232" s="8">
        <f>IF(N232="","",INDEX(児童名簿!$A$2:$A$301,N232)&amp;"")</f>
        <v/>
      </c>
      <c r="N232" s="8">
        <f>IFERROR(MATCH(SMALL(児童名簿!$G$2:$G$301,230),児童名簿!$G$2:$G$301,0),"")</f>
        <v/>
      </c>
      <c r="O232" s="8">
        <f>IF(P232="","",IFERROR(MATCH(P232,希望入力!$K$2:$K$401,0),""))</f>
        <v/>
      </c>
      <c r="P232" s="8">
        <f>IF(N232="","",INDEX(児童名簿!$F$2:$F$301,N232))</f>
        <v/>
      </c>
      <c r="Q232" s="8">
        <f>IF(I232="","",IFERROR(MATCH(I232,設定!$G$8:$G$27,0),""))</f>
        <v/>
      </c>
      <c r="R232" s="8">
        <f>IF(Q232="","",COUNTIF($Q$3:Q232,Q232))</f>
        <v/>
      </c>
      <c r="S232" s="8">
        <f>IF(Q232="","",Q232*1000+R232)</f>
        <v/>
      </c>
    </row>
    <row r="233">
      <c r="A233" s="23">
        <f>IF(N233="","",IFERROR(INDEX(設定!$C$8:$C$23,INT(INDEX(児童名簿!$G$2:$G$301,N233)/1000)),M233&amp;INDEX(児童名簿!$B$2:$B$301,N233)))</f>
        <v/>
      </c>
      <c r="B233" s="23">
        <f>IF(N233="","",INDEX(児童名簿!$C$2:$C$301,N233))</f>
        <v/>
      </c>
      <c r="C233" s="3">
        <f>IF(N233="","",INDEX(児童名簿!$D$2:$D$301,N233))</f>
        <v/>
      </c>
      <c r="D233" s="23">
        <f>IF(O233="","",INDEX(希望入力!$D$2:$D$401,O233)&amp;"")</f>
        <v/>
      </c>
      <c r="E233" s="23">
        <f>IF(O233="","",INDEX(希望入力!$E$2:$E$401,O233)&amp;"")</f>
        <v/>
      </c>
      <c r="F233" s="23">
        <f>IF(O233="","",INDEX(希望入力!$F$2:$F$401,O233)&amp;"")</f>
        <v/>
      </c>
      <c r="G233" s="23">
        <f>IF(O233="","",IF(D233="","要調整",IFERROR(IF(COUNTIFS($M$3:$M$302,M233,$D$3:$D$302,D233)&lt;=INDEX(設定!$H$8:$I$27,MATCH(D233,設定!$G$8:$G$27,0),IF($M233=設定!$H$6&amp;"",1,2)),D233,"要調整"),"要調整")))</f>
        <v/>
      </c>
      <c r="H233" s="15" t="n"/>
      <c r="I233" s="24">
        <f>IF(N233="","",IF(H233&lt;&gt;"",H233,IF(OR(G233="",G233="要調整"),"",G233)))</f>
        <v/>
      </c>
      <c r="J233" s="23">
        <f>IF(N233="","",IF(I233&lt;&gt;"","決定",IF(O233="","未提出","要調整")))</f>
        <v/>
      </c>
      <c r="K233" s="23">
        <f>IF(OR(J233&lt;&gt;"要調整",E233=""),"",IFERROR(INDEX(設定!$H$8:$I$27,MATCH(E233,設定!$G$8:$G$27,0),IF($M233=設定!$H$6&amp;"",1,2))-COUNTIFS($M$3:$M$302,M233,$I$3:$I$302,E233),""))</f>
        <v/>
      </c>
      <c r="L233" s="23">
        <f>IF(OR(J233&lt;&gt;"要調整",F233=""),"",IFERROR(INDEX(設定!$H$8:$I$27,MATCH(F233,設定!$G$8:$G$27,0),IF($M233=設定!$H$6&amp;"",1,2))-COUNTIFS($M$3:$M$302,M233,$I$3:$I$302,F233),""))</f>
        <v/>
      </c>
      <c r="M233" s="8">
        <f>IF(N233="","",INDEX(児童名簿!$A$2:$A$301,N233)&amp;"")</f>
        <v/>
      </c>
      <c r="N233" s="8">
        <f>IFERROR(MATCH(SMALL(児童名簿!$G$2:$G$301,231),児童名簿!$G$2:$G$301,0),"")</f>
        <v/>
      </c>
      <c r="O233" s="8">
        <f>IF(P233="","",IFERROR(MATCH(P233,希望入力!$K$2:$K$401,0),""))</f>
        <v/>
      </c>
      <c r="P233" s="8">
        <f>IF(N233="","",INDEX(児童名簿!$F$2:$F$301,N233))</f>
        <v/>
      </c>
      <c r="Q233" s="8">
        <f>IF(I233="","",IFERROR(MATCH(I233,設定!$G$8:$G$27,0),""))</f>
        <v/>
      </c>
      <c r="R233" s="8">
        <f>IF(Q233="","",COUNTIF($Q$3:Q233,Q233))</f>
        <v/>
      </c>
      <c r="S233" s="8">
        <f>IF(Q233="","",Q233*1000+R233)</f>
        <v/>
      </c>
    </row>
    <row r="234">
      <c r="A234" s="23">
        <f>IF(N234="","",IFERROR(INDEX(設定!$C$8:$C$23,INT(INDEX(児童名簿!$G$2:$G$301,N234)/1000)),M234&amp;INDEX(児童名簿!$B$2:$B$301,N234)))</f>
        <v/>
      </c>
      <c r="B234" s="23">
        <f>IF(N234="","",INDEX(児童名簿!$C$2:$C$301,N234))</f>
        <v/>
      </c>
      <c r="C234" s="3">
        <f>IF(N234="","",INDEX(児童名簿!$D$2:$D$301,N234))</f>
        <v/>
      </c>
      <c r="D234" s="23">
        <f>IF(O234="","",INDEX(希望入力!$D$2:$D$401,O234)&amp;"")</f>
        <v/>
      </c>
      <c r="E234" s="23">
        <f>IF(O234="","",INDEX(希望入力!$E$2:$E$401,O234)&amp;"")</f>
        <v/>
      </c>
      <c r="F234" s="23">
        <f>IF(O234="","",INDEX(希望入力!$F$2:$F$401,O234)&amp;"")</f>
        <v/>
      </c>
      <c r="G234" s="23">
        <f>IF(O234="","",IF(D234="","要調整",IFERROR(IF(COUNTIFS($M$3:$M$302,M234,$D$3:$D$302,D234)&lt;=INDEX(設定!$H$8:$I$27,MATCH(D234,設定!$G$8:$G$27,0),IF($M234=設定!$H$6&amp;"",1,2)),D234,"要調整"),"要調整")))</f>
        <v/>
      </c>
      <c r="H234" s="15" t="n"/>
      <c r="I234" s="24">
        <f>IF(N234="","",IF(H234&lt;&gt;"",H234,IF(OR(G234="",G234="要調整"),"",G234)))</f>
        <v/>
      </c>
      <c r="J234" s="23">
        <f>IF(N234="","",IF(I234&lt;&gt;"","決定",IF(O234="","未提出","要調整")))</f>
        <v/>
      </c>
      <c r="K234" s="23">
        <f>IF(OR(J234&lt;&gt;"要調整",E234=""),"",IFERROR(INDEX(設定!$H$8:$I$27,MATCH(E234,設定!$G$8:$G$27,0),IF($M234=設定!$H$6&amp;"",1,2))-COUNTIFS($M$3:$M$302,M234,$I$3:$I$302,E234),""))</f>
        <v/>
      </c>
      <c r="L234" s="23">
        <f>IF(OR(J234&lt;&gt;"要調整",F234=""),"",IFERROR(INDEX(設定!$H$8:$I$27,MATCH(F234,設定!$G$8:$G$27,0),IF($M234=設定!$H$6&amp;"",1,2))-COUNTIFS($M$3:$M$302,M234,$I$3:$I$302,F234),""))</f>
        <v/>
      </c>
      <c r="M234" s="8">
        <f>IF(N234="","",INDEX(児童名簿!$A$2:$A$301,N234)&amp;"")</f>
        <v/>
      </c>
      <c r="N234" s="8">
        <f>IFERROR(MATCH(SMALL(児童名簿!$G$2:$G$301,232),児童名簿!$G$2:$G$301,0),"")</f>
        <v/>
      </c>
      <c r="O234" s="8">
        <f>IF(P234="","",IFERROR(MATCH(P234,希望入力!$K$2:$K$401,0),""))</f>
        <v/>
      </c>
      <c r="P234" s="8">
        <f>IF(N234="","",INDEX(児童名簿!$F$2:$F$301,N234))</f>
        <v/>
      </c>
      <c r="Q234" s="8">
        <f>IF(I234="","",IFERROR(MATCH(I234,設定!$G$8:$G$27,0),""))</f>
        <v/>
      </c>
      <c r="R234" s="8">
        <f>IF(Q234="","",COUNTIF($Q$3:Q234,Q234))</f>
        <v/>
      </c>
      <c r="S234" s="8">
        <f>IF(Q234="","",Q234*1000+R234)</f>
        <v/>
      </c>
    </row>
    <row r="235">
      <c r="A235" s="23">
        <f>IF(N235="","",IFERROR(INDEX(設定!$C$8:$C$23,INT(INDEX(児童名簿!$G$2:$G$301,N235)/1000)),M235&amp;INDEX(児童名簿!$B$2:$B$301,N235)))</f>
        <v/>
      </c>
      <c r="B235" s="23">
        <f>IF(N235="","",INDEX(児童名簿!$C$2:$C$301,N235))</f>
        <v/>
      </c>
      <c r="C235" s="3">
        <f>IF(N235="","",INDEX(児童名簿!$D$2:$D$301,N235))</f>
        <v/>
      </c>
      <c r="D235" s="23">
        <f>IF(O235="","",INDEX(希望入力!$D$2:$D$401,O235)&amp;"")</f>
        <v/>
      </c>
      <c r="E235" s="23">
        <f>IF(O235="","",INDEX(希望入力!$E$2:$E$401,O235)&amp;"")</f>
        <v/>
      </c>
      <c r="F235" s="23">
        <f>IF(O235="","",INDEX(希望入力!$F$2:$F$401,O235)&amp;"")</f>
        <v/>
      </c>
      <c r="G235" s="23">
        <f>IF(O235="","",IF(D235="","要調整",IFERROR(IF(COUNTIFS($M$3:$M$302,M235,$D$3:$D$302,D235)&lt;=INDEX(設定!$H$8:$I$27,MATCH(D235,設定!$G$8:$G$27,0),IF($M235=設定!$H$6&amp;"",1,2)),D235,"要調整"),"要調整")))</f>
        <v/>
      </c>
      <c r="H235" s="15" t="n"/>
      <c r="I235" s="24">
        <f>IF(N235="","",IF(H235&lt;&gt;"",H235,IF(OR(G235="",G235="要調整"),"",G235)))</f>
        <v/>
      </c>
      <c r="J235" s="23">
        <f>IF(N235="","",IF(I235&lt;&gt;"","決定",IF(O235="","未提出","要調整")))</f>
        <v/>
      </c>
      <c r="K235" s="23">
        <f>IF(OR(J235&lt;&gt;"要調整",E235=""),"",IFERROR(INDEX(設定!$H$8:$I$27,MATCH(E235,設定!$G$8:$G$27,0),IF($M235=設定!$H$6&amp;"",1,2))-COUNTIFS($M$3:$M$302,M235,$I$3:$I$302,E235),""))</f>
        <v/>
      </c>
      <c r="L235" s="23">
        <f>IF(OR(J235&lt;&gt;"要調整",F235=""),"",IFERROR(INDEX(設定!$H$8:$I$27,MATCH(F235,設定!$G$8:$G$27,0),IF($M235=設定!$H$6&amp;"",1,2))-COUNTIFS($M$3:$M$302,M235,$I$3:$I$302,F235),""))</f>
        <v/>
      </c>
      <c r="M235" s="8">
        <f>IF(N235="","",INDEX(児童名簿!$A$2:$A$301,N235)&amp;"")</f>
        <v/>
      </c>
      <c r="N235" s="8">
        <f>IFERROR(MATCH(SMALL(児童名簿!$G$2:$G$301,233),児童名簿!$G$2:$G$301,0),"")</f>
        <v/>
      </c>
      <c r="O235" s="8">
        <f>IF(P235="","",IFERROR(MATCH(P235,希望入力!$K$2:$K$401,0),""))</f>
        <v/>
      </c>
      <c r="P235" s="8">
        <f>IF(N235="","",INDEX(児童名簿!$F$2:$F$301,N235))</f>
        <v/>
      </c>
      <c r="Q235" s="8">
        <f>IF(I235="","",IFERROR(MATCH(I235,設定!$G$8:$G$27,0),""))</f>
        <v/>
      </c>
      <c r="R235" s="8">
        <f>IF(Q235="","",COUNTIF($Q$3:Q235,Q235))</f>
        <v/>
      </c>
      <c r="S235" s="8">
        <f>IF(Q235="","",Q235*1000+R235)</f>
        <v/>
      </c>
    </row>
    <row r="236">
      <c r="A236" s="23">
        <f>IF(N236="","",IFERROR(INDEX(設定!$C$8:$C$23,INT(INDEX(児童名簿!$G$2:$G$301,N236)/1000)),M236&amp;INDEX(児童名簿!$B$2:$B$301,N236)))</f>
        <v/>
      </c>
      <c r="B236" s="23">
        <f>IF(N236="","",INDEX(児童名簿!$C$2:$C$301,N236))</f>
        <v/>
      </c>
      <c r="C236" s="3">
        <f>IF(N236="","",INDEX(児童名簿!$D$2:$D$301,N236))</f>
        <v/>
      </c>
      <c r="D236" s="23">
        <f>IF(O236="","",INDEX(希望入力!$D$2:$D$401,O236)&amp;"")</f>
        <v/>
      </c>
      <c r="E236" s="23">
        <f>IF(O236="","",INDEX(希望入力!$E$2:$E$401,O236)&amp;"")</f>
        <v/>
      </c>
      <c r="F236" s="23">
        <f>IF(O236="","",INDEX(希望入力!$F$2:$F$401,O236)&amp;"")</f>
        <v/>
      </c>
      <c r="G236" s="23">
        <f>IF(O236="","",IF(D236="","要調整",IFERROR(IF(COUNTIFS($M$3:$M$302,M236,$D$3:$D$302,D236)&lt;=INDEX(設定!$H$8:$I$27,MATCH(D236,設定!$G$8:$G$27,0),IF($M236=設定!$H$6&amp;"",1,2)),D236,"要調整"),"要調整")))</f>
        <v/>
      </c>
      <c r="H236" s="15" t="n"/>
      <c r="I236" s="24">
        <f>IF(N236="","",IF(H236&lt;&gt;"",H236,IF(OR(G236="",G236="要調整"),"",G236)))</f>
        <v/>
      </c>
      <c r="J236" s="23">
        <f>IF(N236="","",IF(I236&lt;&gt;"","決定",IF(O236="","未提出","要調整")))</f>
        <v/>
      </c>
      <c r="K236" s="23">
        <f>IF(OR(J236&lt;&gt;"要調整",E236=""),"",IFERROR(INDEX(設定!$H$8:$I$27,MATCH(E236,設定!$G$8:$G$27,0),IF($M236=設定!$H$6&amp;"",1,2))-COUNTIFS($M$3:$M$302,M236,$I$3:$I$302,E236),""))</f>
        <v/>
      </c>
      <c r="L236" s="23">
        <f>IF(OR(J236&lt;&gt;"要調整",F236=""),"",IFERROR(INDEX(設定!$H$8:$I$27,MATCH(F236,設定!$G$8:$G$27,0),IF($M236=設定!$H$6&amp;"",1,2))-COUNTIFS($M$3:$M$302,M236,$I$3:$I$302,F236),""))</f>
        <v/>
      </c>
      <c r="M236" s="8">
        <f>IF(N236="","",INDEX(児童名簿!$A$2:$A$301,N236)&amp;"")</f>
        <v/>
      </c>
      <c r="N236" s="8">
        <f>IFERROR(MATCH(SMALL(児童名簿!$G$2:$G$301,234),児童名簿!$G$2:$G$301,0),"")</f>
        <v/>
      </c>
      <c r="O236" s="8">
        <f>IF(P236="","",IFERROR(MATCH(P236,希望入力!$K$2:$K$401,0),""))</f>
        <v/>
      </c>
      <c r="P236" s="8">
        <f>IF(N236="","",INDEX(児童名簿!$F$2:$F$301,N236))</f>
        <v/>
      </c>
      <c r="Q236" s="8">
        <f>IF(I236="","",IFERROR(MATCH(I236,設定!$G$8:$G$27,0),""))</f>
        <v/>
      </c>
      <c r="R236" s="8">
        <f>IF(Q236="","",COUNTIF($Q$3:Q236,Q236))</f>
        <v/>
      </c>
      <c r="S236" s="8">
        <f>IF(Q236="","",Q236*1000+R236)</f>
        <v/>
      </c>
    </row>
    <row r="237">
      <c r="A237" s="23">
        <f>IF(N237="","",IFERROR(INDEX(設定!$C$8:$C$23,INT(INDEX(児童名簿!$G$2:$G$301,N237)/1000)),M237&amp;INDEX(児童名簿!$B$2:$B$301,N237)))</f>
        <v/>
      </c>
      <c r="B237" s="23">
        <f>IF(N237="","",INDEX(児童名簿!$C$2:$C$301,N237))</f>
        <v/>
      </c>
      <c r="C237" s="3">
        <f>IF(N237="","",INDEX(児童名簿!$D$2:$D$301,N237))</f>
        <v/>
      </c>
      <c r="D237" s="23">
        <f>IF(O237="","",INDEX(希望入力!$D$2:$D$401,O237)&amp;"")</f>
        <v/>
      </c>
      <c r="E237" s="23">
        <f>IF(O237="","",INDEX(希望入力!$E$2:$E$401,O237)&amp;"")</f>
        <v/>
      </c>
      <c r="F237" s="23">
        <f>IF(O237="","",INDEX(希望入力!$F$2:$F$401,O237)&amp;"")</f>
        <v/>
      </c>
      <c r="G237" s="23">
        <f>IF(O237="","",IF(D237="","要調整",IFERROR(IF(COUNTIFS($M$3:$M$302,M237,$D$3:$D$302,D237)&lt;=INDEX(設定!$H$8:$I$27,MATCH(D237,設定!$G$8:$G$27,0),IF($M237=設定!$H$6&amp;"",1,2)),D237,"要調整"),"要調整")))</f>
        <v/>
      </c>
      <c r="H237" s="15" t="n"/>
      <c r="I237" s="24">
        <f>IF(N237="","",IF(H237&lt;&gt;"",H237,IF(OR(G237="",G237="要調整"),"",G237)))</f>
        <v/>
      </c>
      <c r="J237" s="23">
        <f>IF(N237="","",IF(I237&lt;&gt;"","決定",IF(O237="","未提出","要調整")))</f>
        <v/>
      </c>
      <c r="K237" s="23">
        <f>IF(OR(J237&lt;&gt;"要調整",E237=""),"",IFERROR(INDEX(設定!$H$8:$I$27,MATCH(E237,設定!$G$8:$G$27,0),IF($M237=設定!$H$6&amp;"",1,2))-COUNTIFS($M$3:$M$302,M237,$I$3:$I$302,E237),""))</f>
        <v/>
      </c>
      <c r="L237" s="23">
        <f>IF(OR(J237&lt;&gt;"要調整",F237=""),"",IFERROR(INDEX(設定!$H$8:$I$27,MATCH(F237,設定!$G$8:$G$27,0),IF($M237=設定!$H$6&amp;"",1,2))-COUNTIFS($M$3:$M$302,M237,$I$3:$I$302,F237),""))</f>
        <v/>
      </c>
      <c r="M237" s="8">
        <f>IF(N237="","",INDEX(児童名簿!$A$2:$A$301,N237)&amp;"")</f>
        <v/>
      </c>
      <c r="N237" s="8">
        <f>IFERROR(MATCH(SMALL(児童名簿!$G$2:$G$301,235),児童名簿!$G$2:$G$301,0),"")</f>
        <v/>
      </c>
      <c r="O237" s="8">
        <f>IF(P237="","",IFERROR(MATCH(P237,希望入力!$K$2:$K$401,0),""))</f>
        <v/>
      </c>
      <c r="P237" s="8">
        <f>IF(N237="","",INDEX(児童名簿!$F$2:$F$301,N237))</f>
        <v/>
      </c>
      <c r="Q237" s="8">
        <f>IF(I237="","",IFERROR(MATCH(I237,設定!$G$8:$G$27,0),""))</f>
        <v/>
      </c>
      <c r="R237" s="8">
        <f>IF(Q237="","",COUNTIF($Q$3:Q237,Q237))</f>
        <v/>
      </c>
      <c r="S237" s="8">
        <f>IF(Q237="","",Q237*1000+R237)</f>
        <v/>
      </c>
    </row>
    <row r="238">
      <c r="A238" s="23">
        <f>IF(N238="","",IFERROR(INDEX(設定!$C$8:$C$23,INT(INDEX(児童名簿!$G$2:$G$301,N238)/1000)),M238&amp;INDEX(児童名簿!$B$2:$B$301,N238)))</f>
        <v/>
      </c>
      <c r="B238" s="23">
        <f>IF(N238="","",INDEX(児童名簿!$C$2:$C$301,N238))</f>
        <v/>
      </c>
      <c r="C238" s="3">
        <f>IF(N238="","",INDEX(児童名簿!$D$2:$D$301,N238))</f>
        <v/>
      </c>
      <c r="D238" s="23">
        <f>IF(O238="","",INDEX(希望入力!$D$2:$D$401,O238)&amp;"")</f>
        <v/>
      </c>
      <c r="E238" s="23">
        <f>IF(O238="","",INDEX(希望入力!$E$2:$E$401,O238)&amp;"")</f>
        <v/>
      </c>
      <c r="F238" s="23">
        <f>IF(O238="","",INDEX(希望入力!$F$2:$F$401,O238)&amp;"")</f>
        <v/>
      </c>
      <c r="G238" s="23">
        <f>IF(O238="","",IF(D238="","要調整",IFERROR(IF(COUNTIFS($M$3:$M$302,M238,$D$3:$D$302,D238)&lt;=INDEX(設定!$H$8:$I$27,MATCH(D238,設定!$G$8:$G$27,0),IF($M238=設定!$H$6&amp;"",1,2)),D238,"要調整"),"要調整")))</f>
        <v/>
      </c>
      <c r="H238" s="15" t="n"/>
      <c r="I238" s="24">
        <f>IF(N238="","",IF(H238&lt;&gt;"",H238,IF(OR(G238="",G238="要調整"),"",G238)))</f>
        <v/>
      </c>
      <c r="J238" s="23">
        <f>IF(N238="","",IF(I238&lt;&gt;"","決定",IF(O238="","未提出","要調整")))</f>
        <v/>
      </c>
      <c r="K238" s="23">
        <f>IF(OR(J238&lt;&gt;"要調整",E238=""),"",IFERROR(INDEX(設定!$H$8:$I$27,MATCH(E238,設定!$G$8:$G$27,0),IF($M238=設定!$H$6&amp;"",1,2))-COUNTIFS($M$3:$M$302,M238,$I$3:$I$302,E238),""))</f>
        <v/>
      </c>
      <c r="L238" s="23">
        <f>IF(OR(J238&lt;&gt;"要調整",F238=""),"",IFERROR(INDEX(設定!$H$8:$I$27,MATCH(F238,設定!$G$8:$G$27,0),IF($M238=設定!$H$6&amp;"",1,2))-COUNTIFS($M$3:$M$302,M238,$I$3:$I$302,F238),""))</f>
        <v/>
      </c>
      <c r="M238" s="8">
        <f>IF(N238="","",INDEX(児童名簿!$A$2:$A$301,N238)&amp;"")</f>
        <v/>
      </c>
      <c r="N238" s="8">
        <f>IFERROR(MATCH(SMALL(児童名簿!$G$2:$G$301,236),児童名簿!$G$2:$G$301,0),"")</f>
        <v/>
      </c>
      <c r="O238" s="8">
        <f>IF(P238="","",IFERROR(MATCH(P238,希望入力!$K$2:$K$401,0),""))</f>
        <v/>
      </c>
      <c r="P238" s="8">
        <f>IF(N238="","",INDEX(児童名簿!$F$2:$F$301,N238))</f>
        <v/>
      </c>
      <c r="Q238" s="8">
        <f>IF(I238="","",IFERROR(MATCH(I238,設定!$G$8:$G$27,0),""))</f>
        <v/>
      </c>
      <c r="R238" s="8">
        <f>IF(Q238="","",COUNTIF($Q$3:Q238,Q238))</f>
        <v/>
      </c>
      <c r="S238" s="8">
        <f>IF(Q238="","",Q238*1000+R238)</f>
        <v/>
      </c>
    </row>
    <row r="239">
      <c r="A239" s="23">
        <f>IF(N239="","",IFERROR(INDEX(設定!$C$8:$C$23,INT(INDEX(児童名簿!$G$2:$G$301,N239)/1000)),M239&amp;INDEX(児童名簿!$B$2:$B$301,N239)))</f>
        <v/>
      </c>
      <c r="B239" s="23">
        <f>IF(N239="","",INDEX(児童名簿!$C$2:$C$301,N239))</f>
        <v/>
      </c>
      <c r="C239" s="3">
        <f>IF(N239="","",INDEX(児童名簿!$D$2:$D$301,N239))</f>
        <v/>
      </c>
      <c r="D239" s="23">
        <f>IF(O239="","",INDEX(希望入力!$D$2:$D$401,O239)&amp;"")</f>
        <v/>
      </c>
      <c r="E239" s="23">
        <f>IF(O239="","",INDEX(希望入力!$E$2:$E$401,O239)&amp;"")</f>
        <v/>
      </c>
      <c r="F239" s="23">
        <f>IF(O239="","",INDEX(希望入力!$F$2:$F$401,O239)&amp;"")</f>
        <v/>
      </c>
      <c r="G239" s="23">
        <f>IF(O239="","",IF(D239="","要調整",IFERROR(IF(COUNTIFS($M$3:$M$302,M239,$D$3:$D$302,D239)&lt;=INDEX(設定!$H$8:$I$27,MATCH(D239,設定!$G$8:$G$27,0),IF($M239=設定!$H$6&amp;"",1,2)),D239,"要調整"),"要調整")))</f>
        <v/>
      </c>
      <c r="H239" s="15" t="n"/>
      <c r="I239" s="24">
        <f>IF(N239="","",IF(H239&lt;&gt;"",H239,IF(OR(G239="",G239="要調整"),"",G239)))</f>
        <v/>
      </c>
      <c r="J239" s="23">
        <f>IF(N239="","",IF(I239&lt;&gt;"","決定",IF(O239="","未提出","要調整")))</f>
        <v/>
      </c>
      <c r="K239" s="23">
        <f>IF(OR(J239&lt;&gt;"要調整",E239=""),"",IFERROR(INDEX(設定!$H$8:$I$27,MATCH(E239,設定!$G$8:$G$27,0),IF($M239=設定!$H$6&amp;"",1,2))-COUNTIFS($M$3:$M$302,M239,$I$3:$I$302,E239),""))</f>
        <v/>
      </c>
      <c r="L239" s="23">
        <f>IF(OR(J239&lt;&gt;"要調整",F239=""),"",IFERROR(INDEX(設定!$H$8:$I$27,MATCH(F239,設定!$G$8:$G$27,0),IF($M239=設定!$H$6&amp;"",1,2))-COUNTIFS($M$3:$M$302,M239,$I$3:$I$302,F239),""))</f>
        <v/>
      </c>
      <c r="M239" s="8">
        <f>IF(N239="","",INDEX(児童名簿!$A$2:$A$301,N239)&amp;"")</f>
        <v/>
      </c>
      <c r="N239" s="8">
        <f>IFERROR(MATCH(SMALL(児童名簿!$G$2:$G$301,237),児童名簿!$G$2:$G$301,0),"")</f>
        <v/>
      </c>
      <c r="O239" s="8">
        <f>IF(P239="","",IFERROR(MATCH(P239,希望入力!$K$2:$K$401,0),""))</f>
        <v/>
      </c>
      <c r="P239" s="8">
        <f>IF(N239="","",INDEX(児童名簿!$F$2:$F$301,N239))</f>
        <v/>
      </c>
      <c r="Q239" s="8">
        <f>IF(I239="","",IFERROR(MATCH(I239,設定!$G$8:$G$27,0),""))</f>
        <v/>
      </c>
      <c r="R239" s="8">
        <f>IF(Q239="","",COUNTIF($Q$3:Q239,Q239))</f>
        <v/>
      </c>
      <c r="S239" s="8">
        <f>IF(Q239="","",Q239*1000+R239)</f>
        <v/>
      </c>
    </row>
    <row r="240">
      <c r="A240" s="23">
        <f>IF(N240="","",IFERROR(INDEX(設定!$C$8:$C$23,INT(INDEX(児童名簿!$G$2:$G$301,N240)/1000)),M240&amp;INDEX(児童名簿!$B$2:$B$301,N240)))</f>
        <v/>
      </c>
      <c r="B240" s="23">
        <f>IF(N240="","",INDEX(児童名簿!$C$2:$C$301,N240))</f>
        <v/>
      </c>
      <c r="C240" s="3">
        <f>IF(N240="","",INDEX(児童名簿!$D$2:$D$301,N240))</f>
        <v/>
      </c>
      <c r="D240" s="23">
        <f>IF(O240="","",INDEX(希望入力!$D$2:$D$401,O240)&amp;"")</f>
        <v/>
      </c>
      <c r="E240" s="23">
        <f>IF(O240="","",INDEX(希望入力!$E$2:$E$401,O240)&amp;"")</f>
        <v/>
      </c>
      <c r="F240" s="23">
        <f>IF(O240="","",INDEX(希望入力!$F$2:$F$401,O240)&amp;"")</f>
        <v/>
      </c>
      <c r="G240" s="23">
        <f>IF(O240="","",IF(D240="","要調整",IFERROR(IF(COUNTIFS($M$3:$M$302,M240,$D$3:$D$302,D240)&lt;=INDEX(設定!$H$8:$I$27,MATCH(D240,設定!$G$8:$G$27,0),IF($M240=設定!$H$6&amp;"",1,2)),D240,"要調整"),"要調整")))</f>
        <v/>
      </c>
      <c r="H240" s="15" t="n"/>
      <c r="I240" s="24">
        <f>IF(N240="","",IF(H240&lt;&gt;"",H240,IF(OR(G240="",G240="要調整"),"",G240)))</f>
        <v/>
      </c>
      <c r="J240" s="23">
        <f>IF(N240="","",IF(I240&lt;&gt;"","決定",IF(O240="","未提出","要調整")))</f>
        <v/>
      </c>
      <c r="K240" s="23">
        <f>IF(OR(J240&lt;&gt;"要調整",E240=""),"",IFERROR(INDEX(設定!$H$8:$I$27,MATCH(E240,設定!$G$8:$G$27,0),IF($M240=設定!$H$6&amp;"",1,2))-COUNTIFS($M$3:$M$302,M240,$I$3:$I$302,E240),""))</f>
        <v/>
      </c>
      <c r="L240" s="23">
        <f>IF(OR(J240&lt;&gt;"要調整",F240=""),"",IFERROR(INDEX(設定!$H$8:$I$27,MATCH(F240,設定!$G$8:$G$27,0),IF($M240=設定!$H$6&amp;"",1,2))-COUNTIFS($M$3:$M$302,M240,$I$3:$I$302,F240),""))</f>
        <v/>
      </c>
      <c r="M240" s="8">
        <f>IF(N240="","",INDEX(児童名簿!$A$2:$A$301,N240)&amp;"")</f>
        <v/>
      </c>
      <c r="N240" s="8">
        <f>IFERROR(MATCH(SMALL(児童名簿!$G$2:$G$301,238),児童名簿!$G$2:$G$301,0),"")</f>
        <v/>
      </c>
      <c r="O240" s="8">
        <f>IF(P240="","",IFERROR(MATCH(P240,希望入力!$K$2:$K$401,0),""))</f>
        <v/>
      </c>
      <c r="P240" s="8">
        <f>IF(N240="","",INDEX(児童名簿!$F$2:$F$301,N240))</f>
        <v/>
      </c>
      <c r="Q240" s="8">
        <f>IF(I240="","",IFERROR(MATCH(I240,設定!$G$8:$G$27,0),""))</f>
        <v/>
      </c>
      <c r="R240" s="8">
        <f>IF(Q240="","",COUNTIF($Q$3:Q240,Q240))</f>
        <v/>
      </c>
      <c r="S240" s="8">
        <f>IF(Q240="","",Q240*1000+R240)</f>
        <v/>
      </c>
    </row>
    <row r="241">
      <c r="A241" s="23">
        <f>IF(N241="","",IFERROR(INDEX(設定!$C$8:$C$23,INT(INDEX(児童名簿!$G$2:$G$301,N241)/1000)),M241&amp;INDEX(児童名簿!$B$2:$B$301,N241)))</f>
        <v/>
      </c>
      <c r="B241" s="23">
        <f>IF(N241="","",INDEX(児童名簿!$C$2:$C$301,N241))</f>
        <v/>
      </c>
      <c r="C241" s="3">
        <f>IF(N241="","",INDEX(児童名簿!$D$2:$D$301,N241))</f>
        <v/>
      </c>
      <c r="D241" s="23">
        <f>IF(O241="","",INDEX(希望入力!$D$2:$D$401,O241)&amp;"")</f>
        <v/>
      </c>
      <c r="E241" s="23">
        <f>IF(O241="","",INDEX(希望入力!$E$2:$E$401,O241)&amp;"")</f>
        <v/>
      </c>
      <c r="F241" s="23">
        <f>IF(O241="","",INDEX(希望入力!$F$2:$F$401,O241)&amp;"")</f>
        <v/>
      </c>
      <c r="G241" s="23">
        <f>IF(O241="","",IF(D241="","要調整",IFERROR(IF(COUNTIFS($M$3:$M$302,M241,$D$3:$D$302,D241)&lt;=INDEX(設定!$H$8:$I$27,MATCH(D241,設定!$G$8:$G$27,0),IF($M241=設定!$H$6&amp;"",1,2)),D241,"要調整"),"要調整")))</f>
        <v/>
      </c>
      <c r="H241" s="15" t="n"/>
      <c r="I241" s="24">
        <f>IF(N241="","",IF(H241&lt;&gt;"",H241,IF(OR(G241="",G241="要調整"),"",G241)))</f>
        <v/>
      </c>
      <c r="J241" s="23">
        <f>IF(N241="","",IF(I241&lt;&gt;"","決定",IF(O241="","未提出","要調整")))</f>
        <v/>
      </c>
      <c r="K241" s="23">
        <f>IF(OR(J241&lt;&gt;"要調整",E241=""),"",IFERROR(INDEX(設定!$H$8:$I$27,MATCH(E241,設定!$G$8:$G$27,0),IF($M241=設定!$H$6&amp;"",1,2))-COUNTIFS($M$3:$M$302,M241,$I$3:$I$302,E241),""))</f>
        <v/>
      </c>
      <c r="L241" s="23">
        <f>IF(OR(J241&lt;&gt;"要調整",F241=""),"",IFERROR(INDEX(設定!$H$8:$I$27,MATCH(F241,設定!$G$8:$G$27,0),IF($M241=設定!$H$6&amp;"",1,2))-COUNTIFS($M$3:$M$302,M241,$I$3:$I$302,F241),""))</f>
        <v/>
      </c>
      <c r="M241" s="8">
        <f>IF(N241="","",INDEX(児童名簿!$A$2:$A$301,N241)&amp;"")</f>
        <v/>
      </c>
      <c r="N241" s="8">
        <f>IFERROR(MATCH(SMALL(児童名簿!$G$2:$G$301,239),児童名簿!$G$2:$G$301,0),"")</f>
        <v/>
      </c>
      <c r="O241" s="8">
        <f>IF(P241="","",IFERROR(MATCH(P241,希望入力!$K$2:$K$401,0),""))</f>
        <v/>
      </c>
      <c r="P241" s="8">
        <f>IF(N241="","",INDEX(児童名簿!$F$2:$F$301,N241))</f>
        <v/>
      </c>
      <c r="Q241" s="8">
        <f>IF(I241="","",IFERROR(MATCH(I241,設定!$G$8:$G$27,0),""))</f>
        <v/>
      </c>
      <c r="R241" s="8">
        <f>IF(Q241="","",COUNTIF($Q$3:Q241,Q241))</f>
        <v/>
      </c>
      <c r="S241" s="8">
        <f>IF(Q241="","",Q241*1000+R241)</f>
        <v/>
      </c>
    </row>
    <row r="242">
      <c r="A242" s="23">
        <f>IF(N242="","",IFERROR(INDEX(設定!$C$8:$C$23,INT(INDEX(児童名簿!$G$2:$G$301,N242)/1000)),M242&amp;INDEX(児童名簿!$B$2:$B$301,N242)))</f>
        <v/>
      </c>
      <c r="B242" s="23">
        <f>IF(N242="","",INDEX(児童名簿!$C$2:$C$301,N242))</f>
        <v/>
      </c>
      <c r="C242" s="3">
        <f>IF(N242="","",INDEX(児童名簿!$D$2:$D$301,N242))</f>
        <v/>
      </c>
      <c r="D242" s="23">
        <f>IF(O242="","",INDEX(希望入力!$D$2:$D$401,O242)&amp;"")</f>
        <v/>
      </c>
      <c r="E242" s="23">
        <f>IF(O242="","",INDEX(希望入力!$E$2:$E$401,O242)&amp;"")</f>
        <v/>
      </c>
      <c r="F242" s="23">
        <f>IF(O242="","",INDEX(希望入力!$F$2:$F$401,O242)&amp;"")</f>
        <v/>
      </c>
      <c r="G242" s="23">
        <f>IF(O242="","",IF(D242="","要調整",IFERROR(IF(COUNTIFS($M$3:$M$302,M242,$D$3:$D$302,D242)&lt;=INDEX(設定!$H$8:$I$27,MATCH(D242,設定!$G$8:$G$27,0),IF($M242=設定!$H$6&amp;"",1,2)),D242,"要調整"),"要調整")))</f>
        <v/>
      </c>
      <c r="H242" s="15" t="n"/>
      <c r="I242" s="24">
        <f>IF(N242="","",IF(H242&lt;&gt;"",H242,IF(OR(G242="",G242="要調整"),"",G242)))</f>
        <v/>
      </c>
      <c r="J242" s="23">
        <f>IF(N242="","",IF(I242&lt;&gt;"","決定",IF(O242="","未提出","要調整")))</f>
        <v/>
      </c>
      <c r="K242" s="23">
        <f>IF(OR(J242&lt;&gt;"要調整",E242=""),"",IFERROR(INDEX(設定!$H$8:$I$27,MATCH(E242,設定!$G$8:$G$27,0),IF($M242=設定!$H$6&amp;"",1,2))-COUNTIFS($M$3:$M$302,M242,$I$3:$I$302,E242),""))</f>
        <v/>
      </c>
      <c r="L242" s="23">
        <f>IF(OR(J242&lt;&gt;"要調整",F242=""),"",IFERROR(INDEX(設定!$H$8:$I$27,MATCH(F242,設定!$G$8:$G$27,0),IF($M242=設定!$H$6&amp;"",1,2))-COUNTIFS($M$3:$M$302,M242,$I$3:$I$302,F242),""))</f>
        <v/>
      </c>
      <c r="M242" s="8">
        <f>IF(N242="","",INDEX(児童名簿!$A$2:$A$301,N242)&amp;"")</f>
        <v/>
      </c>
      <c r="N242" s="8">
        <f>IFERROR(MATCH(SMALL(児童名簿!$G$2:$G$301,240),児童名簿!$G$2:$G$301,0),"")</f>
        <v/>
      </c>
      <c r="O242" s="8">
        <f>IF(P242="","",IFERROR(MATCH(P242,希望入力!$K$2:$K$401,0),""))</f>
        <v/>
      </c>
      <c r="P242" s="8">
        <f>IF(N242="","",INDEX(児童名簿!$F$2:$F$301,N242))</f>
        <v/>
      </c>
      <c r="Q242" s="8">
        <f>IF(I242="","",IFERROR(MATCH(I242,設定!$G$8:$G$27,0),""))</f>
        <v/>
      </c>
      <c r="R242" s="8">
        <f>IF(Q242="","",COUNTIF($Q$3:Q242,Q242))</f>
        <v/>
      </c>
      <c r="S242" s="8">
        <f>IF(Q242="","",Q242*1000+R242)</f>
        <v/>
      </c>
    </row>
    <row r="243">
      <c r="A243" s="23">
        <f>IF(N243="","",IFERROR(INDEX(設定!$C$8:$C$23,INT(INDEX(児童名簿!$G$2:$G$301,N243)/1000)),M243&amp;INDEX(児童名簿!$B$2:$B$301,N243)))</f>
        <v/>
      </c>
      <c r="B243" s="23">
        <f>IF(N243="","",INDEX(児童名簿!$C$2:$C$301,N243))</f>
        <v/>
      </c>
      <c r="C243" s="3">
        <f>IF(N243="","",INDEX(児童名簿!$D$2:$D$301,N243))</f>
        <v/>
      </c>
      <c r="D243" s="23">
        <f>IF(O243="","",INDEX(希望入力!$D$2:$D$401,O243)&amp;"")</f>
        <v/>
      </c>
      <c r="E243" s="23">
        <f>IF(O243="","",INDEX(希望入力!$E$2:$E$401,O243)&amp;"")</f>
        <v/>
      </c>
      <c r="F243" s="23">
        <f>IF(O243="","",INDEX(希望入力!$F$2:$F$401,O243)&amp;"")</f>
        <v/>
      </c>
      <c r="G243" s="23">
        <f>IF(O243="","",IF(D243="","要調整",IFERROR(IF(COUNTIFS($M$3:$M$302,M243,$D$3:$D$302,D243)&lt;=INDEX(設定!$H$8:$I$27,MATCH(D243,設定!$G$8:$G$27,0),IF($M243=設定!$H$6&amp;"",1,2)),D243,"要調整"),"要調整")))</f>
        <v/>
      </c>
      <c r="H243" s="15" t="n"/>
      <c r="I243" s="24">
        <f>IF(N243="","",IF(H243&lt;&gt;"",H243,IF(OR(G243="",G243="要調整"),"",G243)))</f>
        <v/>
      </c>
      <c r="J243" s="23">
        <f>IF(N243="","",IF(I243&lt;&gt;"","決定",IF(O243="","未提出","要調整")))</f>
        <v/>
      </c>
      <c r="K243" s="23">
        <f>IF(OR(J243&lt;&gt;"要調整",E243=""),"",IFERROR(INDEX(設定!$H$8:$I$27,MATCH(E243,設定!$G$8:$G$27,0),IF($M243=設定!$H$6&amp;"",1,2))-COUNTIFS($M$3:$M$302,M243,$I$3:$I$302,E243),""))</f>
        <v/>
      </c>
      <c r="L243" s="23">
        <f>IF(OR(J243&lt;&gt;"要調整",F243=""),"",IFERROR(INDEX(設定!$H$8:$I$27,MATCH(F243,設定!$G$8:$G$27,0),IF($M243=設定!$H$6&amp;"",1,2))-COUNTIFS($M$3:$M$302,M243,$I$3:$I$302,F243),""))</f>
        <v/>
      </c>
      <c r="M243" s="8">
        <f>IF(N243="","",INDEX(児童名簿!$A$2:$A$301,N243)&amp;"")</f>
        <v/>
      </c>
      <c r="N243" s="8">
        <f>IFERROR(MATCH(SMALL(児童名簿!$G$2:$G$301,241),児童名簿!$G$2:$G$301,0),"")</f>
        <v/>
      </c>
      <c r="O243" s="8">
        <f>IF(P243="","",IFERROR(MATCH(P243,希望入力!$K$2:$K$401,0),""))</f>
        <v/>
      </c>
      <c r="P243" s="8">
        <f>IF(N243="","",INDEX(児童名簿!$F$2:$F$301,N243))</f>
        <v/>
      </c>
      <c r="Q243" s="8">
        <f>IF(I243="","",IFERROR(MATCH(I243,設定!$G$8:$G$27,0),""))</f>
        <v/>
      </c>
      <c r="R243" s="8">
        <f>IF(Q243="","",COUNTIF($Q$3:Q243,Q243))</f>
        <v/>
      </c>
      <c r="S243" s="8">
        <f>IF(Q243="","",Q243*1000+R243)</f>
        <v/>
      </c>
    </row>
    <row r="244">
      <c r="A244" s="23">
        <f>IF(N244="","",IFERROR(INDEX(設定!$C$8:$C$23,INT(INDEX(児童名簿!$G$2:$G$301,N244)/1000)),M244&amp;INDEX(児童名簿!$B$2:$B$301,N244)))</f>
        <v/>
      </c>
      <c r="B244" s="23">
        <f>IF(N244="","",INDEX(児童名簿!$C$2:$C$301,N244))</f>
        <v/>
      </c>
      <c r="C244" s="3">
        <f>IF(N244="","",INDEX(児童名簿!$D$2:$D$301,N244))</f>
        <v/>
      </c>
      <c r="D244" s="23">
        <f>IF(O244="","",INDEX(希望入力!$D$2:$D$401,O244)&amp;"")</f>
        <v/>
      </c>
      <c r="E244" s="23">
        <f>IF(O244="","",INDEX(希望入力!$E$2:$E$401,O244)&amp;"")</f>
        <v/>
      </c>
      <c r="F244" s="23">
        <f>IF(O244="","",INDEX(希望入力!$F$2:$F$401,O244)&amp;"")</f>
        <v/>
      </c>
      <c r="G244" s="23">
        <f>IF(O244="","",IF(D244="","要調整",IFERROR(IF(COUNTIFS($M$3:$M$302,M244,$D$3:$D$302,D244)&lt;=INDEX(設定!$H$8:$I$27,MATCH(D244,設定!$G$8:$G$27,0),IF($M244=設定!$H$6&amp;"",1,2)),D244,"要調整"),"要調整")))</f>
        <v/>
      </c>
      <c r="H244" s="15" t="n"/>
      <c r="I244" s="24">
        <f>IF(N244="","",IF(H244&lt;&gt;"",H244,IF(OR(G244="",G244="要調整"),"",G244)))</f>
        <v/>
      </c>
      <c r="J244" s="23">
        <f>IF(N244="","",IF(I244&lt;&gt;"","決定",IF(O244="","未提出","要調整")))</f>
        <v/>
      </c>
      <c r="K244" s="23">
        <f>IF(OR(J244&lt;&gt;"要調整",E244=""),"",IFERROR(INDEX(設定!$H$8:$I$27,MATCH(E244,設定!$G$8:$G$27,0),IF($M244=設定!$H$6&amp;"",1,2))-COUNTIFS($M$3:$M$302,M244,$I$3:$I$302,E244),""))</f>
        <v/>
      </c>
      <c r="L244" s="23">
        <f>IF(OR(J244&lt;&gt;"要調整",F244=""),"",IFERROR(INDEX(設定!$H$8:$I$27,MATCH(F244,設定!$G$8:$G$27,0),IF($M244=設定!$H$6&amp;"",1,2))-COUNTIFS($M$3:$M$302,M244,$I$3:$I$302,F244),""))</f>
        <v/>
      </c>
      <c r="M244" s="8">
        <f>IF(N244="","",INDEX(児童名簿!$A$2:$A$301,N244)&amp;"")</f>
        <v/>
      </c>
      <c r="N244" s="8">
        <f>IFERROR(MATCH(SMALL(児童名簿!$G$2:$G$301,242),児童名簿!$G$2:$G$301,0),"")</f>
        <v/>
      </c>
      <c r="O244" s="8">
        <f>IF(P244="","",IFERROR(MATCH(P244,希望入力!$K$2:$K$401,0),""))</f>
        <v/>
      </c>
      <c r="P244" s="8">
        <f>IF(N244="","",INDEX(児童名簿!$F$2:$F$301,N244))</f>
        <v/>
      </c>
      <c r="Q244" s="8">
        <f>IF(I244="","",IFERROR(MATCH(I244,設定!$G$8:$G$27,0),""))</f>
        <v/>
      </c>
      <c r="R244" s="8">
        <f>IF(Q244="","",COUNTIF($Q$3:Q244,Q244))</f>
        <v/>
      </c>
      <c r="S244" s="8">
        <f>IF(Q244="","",Q244*1000+R244)</f>
        <v/>
      </c>
    </row>
    <row r="245">
      <c r="A245" s="23">
        <f>IF(N245="","",IFERROR(INDEX(設定!$C$8:$C$23,INT(INDEX(児童名簿!$G$2:$G$301,N245)/1000)),M245&amp;INDEX(児童名簿!$B$2:$B$301,N245)))</f>
        <v/>
      </c>
      <c r="B245" s="23">
        <f>IF(N245="","",INDEX(児童名簿!$C$2:$C$301,N245))</f>
        <v/>
      </c>
      <c r="C245" s="3">
        <f>IF(N245="","",INDEX(児童名簿!$D$2:$D$301,N245))</f>
        <v/>
      </c>
      <c r="D245" s="23">
        <f>IF(O245="","",INDEX(希望入力!$D$2:$D$401,O245)&amp;"")</f>
        <v/>
      </c>
      <c r="E245" s="23">
        <f>IF(O245="","",INDEX(希望入力!$E$2:$E$401,O245)&amp;"")</f>
        <v/>
      </c>
      <c r="F245" s="23">
        <f>IF(O245="","",INDEX(希望入力!$F$2:$F$401,O245)&amp;"")</f>
        <v/>
      </c>
      <c r="G245" s="23">
        <f>IF(O245="","",IF(D245="","要調整",IFERROR(IF(COUNTIFS($M$3:$M$302,M245,$D$3:$D$302,D245)&lt;=INDEX(設定!$H$8:$I$27,MATCH(D245,設定!$G$8:$G$27,0),IF($M245=設定!$H$6&amp;"",1,2)),D245,"要調整"),"要調整")))</f>
        <v/>
      </c>
      <c r="H245" s="15" t="n"/>
      <c r="I245" s="24">
        <f>IF(N245="","",IF(H245&lt;&gt;"",H245,IF(OR(G245="",G245="要調整"),"",G245)))</f>
        <v/>
      </c>
      <c r="J245" s="23">
        <f>IF(N245="","",IF(I245&lt;&gt;"","決定",IF(O245="","未提出","要調整")))</f>
        <v/>
      </c>
      <c r="K245" s="23">
        <f>IF(OR(J245&lt;&gt;"要調整",E245=""),"",IFERROR(INDEX(設定!$H$8:$I$27,MATCH(E245,設定!$G$8:$G$27,0),IF($M245=設定!$H$6&amp;"",1,2))-COUNTIFS($M$3:$M$302,M245,$I$3:$I$302,E245),""))</f>
        <v/>
      </c>
      <c r="L245" s="23">
        <f>IF(OR(J245&lt;&gt;"要調整",F245=""),"",IFERROR(INDEX(設定!$H$8:$I$27,MATCH(F245,設定!$G$8:$G$27,0),IF($M245=設定!$H$6&amp;"",1,2))-COUNTIFS($M$3:$M$302,M245,$I$3:$I$302,F245),""))</f>
        <v/>
      </c>
      <c r="M245" s="8">
        <f>IF(N245="","",INDEX(児童名簿!$A$2:$A$301,N245)&amp;"")</f>
        <v/>
      </c>
      <c r="N245" s="8">
        <f>IFERROR(MATCH(SMALL(児童名簿!$G$2:$G$301,243),児童名簿!$G$2:$G$301,0),"")</f>
        <v/>
      </c>
      <c r="O245" s="8">
        <f>IF(P245="","",IFERROR(MATCH(P245,希望入力!$K$2:$K$401,0),""))</f>
        <v/>
      </c>
      <c r="P245" s="8">
        <f>IF(N245="","",INDEX(児童名簿!$F$2:$F$301,N245))</f>
        <v/>
      </c>
      <c r="Q245" s="8">
        <f>IF(I245="","",IFERROR(MATCH(I245,設定!$G$8:$G$27,0),""))</f>
        <v/>
      </c>
      <c r="R245" s="8">
        <f>IF(Q245="","",COUNTIF($Q$3:Q245,Q245))</f>
        <v/>
      </c>
      <c r="S245" s="8">
        <f>IF(Q245="","",Q245*1000+R245)</f>
        <v/>
      </c>
    </row>
    <row r="246">
      <c r="A246" s="23">
        <f>IF(N246="","",IFERROR(INDEX(設定!$C$8:$C$23,INT(INDEX(児童名簿!$G$2:$G$301,N246)/1000)),M246&amp;INDEX(児童名簿!$B$2:$B$301,N246)))</f>
        <v/>
      </c>
      <c r="B246" s="23">
        <f>IF(N246="","",INDEX(児童名簿!$C$2:$C$301,N246))</f>
        <v/>
      </c>
      <c r="C246" s="3">
        <f>IF(N246="","",INDEX(児童名簿!$D$2:$D$301,N246))</f>
        <v/>
      </c>
      <c r="D246" s="23">
        <f>IF(O246="","",INDEX(希望入力!$D$2:$D$401,O246)&amp;"")</f>
        <v/>
      </c>
      <c r="E246" s="23">
        <f>IF(O246="","",INDEX(希望入力!$E$2:$E$401,O246)&amp;"")</f>
        <v/>
      </c>
      <c r="F246" s="23">
        <f>IF(O246="","",INDEX(希望入力!$F$2:$F$401,O246)&amp;"")</f>
        <v/>
      </c>
      <c r="G246" s="23">
        <f>IF(O246="","",IF(D246="","要調整",IFERROR(IF(COUNTIFS($M$3:$M$302,M246,$D$3:$D$302,D246)&lt;=INDEX(設定!$H$8:$I$27,MATCH(D246,設定!$G$8:$G$27,0),IF($M246=設定!$H$6&amp;"",1,2)),D246,"要調整"),"要調整")))</f>
        <v/>
      </c>
      <c r="H246" s="15" t="n"/>
      <c r="I246" s="24">
        <f>IF(N246="","",IF(H246&lt;&gt;"",H246,IF(OR(G246="",G246="要調整"),"",G246)))</f>
        <v/>
      </c>
      <c r="J246" s="23">
        <f>IF(N246="","",IF(I246&lt;&gt;"","決定",IF(O246="","未提出","要調整")))</f>
        <v/>
      </c>
      <c r="K246" s="23">
        <f>IF(OR(J246&lt;&gt;"要調整",E246=""),"",IFERROR(INDEX(設定!$H$8:$I$27,MATCH(E246,設定!$G$8:$G$27,0),IF($M246=設定!$H$6&amp;"",1,2))-COUNTIFS($M$3:$M$302,M246,$I$3:$I$302,E246),""))</f>
        <v/>
      </c>
      <c r="L246" s="23">
        <f>IF(OR(J246&lt;&gt;"要調整",F246=""),"",IFERROR(INDEX(設定!$H$8:$I$27,MATCH(F246,設定!$G$8:$G$27,0),IF($M246=設定!$H$6&amp;"",1,2))-COUNTIFS($M$3:$M$302,M246,$I$3:$I$302,F246),""))</f>
        <v/>
      </c>
      <c r="M246" s="8">
        <f>IF(N246="","",INDEX(児童名簿!$A$2:$A$301,N246)&amp;"")</f>
        <v/>
      </c>
      <c r="N246" s="8">
        <f>IFERROR(MATCH(SMALL(児童名簿!$G$2:$G$301,244),児童名簿!$G$2:$G$301,0),"")</f>
        <v/>
      </c>
      <c r="O246" s="8">
        <f>IF(P246="","",IFERROR(MATCH(P246,希望入力!$K$2:$K$401,0),""))</f>
        <v/>
      </c>
      <c r="P246" s="8">
        <f>IF(N246="","",INDEX(児童名簿!$F$2:$F$301,N246))</f>
        <v/>
      </c>
      <c r="Q246" s="8">
        <f>IF(I246="","",IFERROR(MATCH(I246,設定!$G$8:$G$27,0),""))</f>
        <v/>
      </c>
      <c r="R246" s="8">
        <f>IF(Q246="","",COUNTIF($Q$3:Q246,Q246))</f>
        <v/>
      </c>
      <c r="S246" s="8">
        <f>IF(Q246="","",Q246*1000+R246)</f>
        <v/>
      </c>
    </row>
    <row r="247">
      <c r="A247" s="23">
        <f>IF(N247="","",IFERROR(INDEX(設定!$C$8:$C$23,INT(INDEX(児童名簿!$G$2:$G$301,N247)/1000)),M247&amp;INDEX(児童名簿!$B$2:$B$301,N247)))</f>
        <v/>
      </c>
      <c r="B247" s="23">
        <f>IF(N247="","",INDEX(児童名簿!$C$2:$C$301,N247))</f>
        <v/>
      </c>
      <c r="C247" s="3">
        <f>IF(N247="","",INDEX(児童名簿!$D$2:$D$301,N247))</f>
        <v/>
      </c>
      <c r="D247" s="23">
        <f>IF(O247="","",INDEX(希望入力!$D$2:$D$401,O247)&amp;"")</f>
        <v/>
      </c>
      <c r="E247" s="23">
        <f>IF(O247="","",INDEX(希望入力!$E$2:$E$401,O247)&amp;"")</f>
        <v/>
      </c>
      <c r="F247" s="23">
        <f>IF(O247="","",INDEX(希望入力!$F$2:$F$401,O247)&amp;"")</f>
        <v/>
      </c>
      <c r="G247" s="23">
        <f>IF(O247="","",IF(D247="","要調整",IFERROR(IF(COUNTIFS($M$3:$M$302,M247,$D$3:$D$302,D247)&lt;=INDEX(設定!$H$8:$I$27,MATCH(D247,設定!$G$8:$G$27,0),IF($M247=設定!$H$6&amp;"",1,2)),D247,"要調整"),"要調整")))</f>
        <v/>
      </c>
      <c r="H247" s="15" t="n"/>
      <c r="I247" s="24">
        <f>IF(N247="","",IF(H247&lt;&gt;"",H247,IF(OR(G247="",G247="要調整"),"",G247)))</f>
        <v/>
      </c>
      <c r="J247" s="23">
        <f>IF(N247="","",IF(I247&lt;&gt;"","決定",IF(O247="","未提出","要調整")))</f>
        <v/>
      </c>
      <c r="K247" s="23">
        <f>IF(OR(J247&lt;&gt;"要調整",E247=""),"",IFERROR(INDEX(設定!$H$8:$I$27,MATCH(E247,設定!$G$8:$G$27,0),IF($M247=設定!$H$6&amp;"",1,2))-COUNTIFS($M$3:$M$302,M247,$I$3:$I$302,E247),""))</f>
        <v/>
      </c>
      <c r="L247" s="23">
        <f>IF(OR(J247&lt;&gt;"要調整",F247=""),"",IFERROR(INDEX(設定!$H$8:$I$27,MATCH(F247,設定!$G$8:$G$27,0),IF($M247=設定!$H$6&amp;"",1,2))-COUNTIFS($M$3:$M$302,M247,$I$3:$I$302,F247),""))</f>
        <v/>
      </c>
      <c r="M247" s="8">
        <f>IF(N247="","",INDEX(児童名簿!$A$2:$A$301,N247)&amp;"")</f>
        <v/>
      </c>
      <c r="N247" s="8">
        <f>IFERROR(MATCH(SMALL(児童名簿!$G$2:$G$301,245),児童名簿!$G$2:$G$301,0),"")</f>
        <v/>
      </c>
      <c r="O247" s="8">
        <f>IF(P247="","",IFERROR(MATCH(P247,希望入力!$K$2:$K$401,0),""))</f>
        <v/>
      </c>
      <c r="P247" s="8">
        <f>IF(N247="","",INDEX(児童名簿!$F$2:$F$301,N247))</f>
        <v/>
      </c>
      <c r="Q247" s="8">
        <f>IF(I247="","",IFERROR(MATCH(I247,設定!$G$8:$G$27,0),""))</f>
        <v/>
      </c>
      <c r="R247" s="8">
        <f>IF(Q247="","",COUNTIF($Q$3:Q247,Q247))</f>
        <v/>
      </c>
      <c r="S247" s="8">
        <f>IF(Q247="","",Q247*1000+R247)</f>
        <v/>
      </c>
    </row>
    <row r="248">
      <c r="A248" s="23">
        <f>IF(N248="","",IFERROR(INDEX(設定!$C$8:$C$23,INT(INDEX(児童名簿!$G$2:$G$301,N248)/1000)),M248&amp;INDEX(児童名簿!$B$2:$B$301,N248)))</f>
        <v/>
      </c>
      <c r="B248" s="23">
        <f>IF(N248="","",INDEX(児童名簿!$C$2:$C$301,N248))</f>
        <v/>
      </c>
      <c r="C248" s="3">
        <f>IF(N248="","",INDEX(児童名簿!$D$2:$D$301,N248))</f>
        <v/>
      </c>
      <c r="D248" s="23">
        <f>IF(O248="","",INDEX(希望入力!$D$2:$D$401,O248)&amp;"")</f>
        <v/>
      </c>
      <c r="E248" s="23">
        <f>IF(O248="","",INDEX(希望入力!$E$2:$E$401,O248)&amp;"")</f>
        <v/>
      </c>
      <c r="F248" s="23">
        <f>IF(O248="","",INDEX(希望入力!$F$2:$F$401,O248)&amp;"")</f>
        <v/>
      </c>
      <c r="G248" s="23">
        <f>IF(O248="","",IF(D248="","要調整",IFERROR(IF(COUNTIFS($M$3:$M$302,M248,$D$3:$D$302,D248)&lt;=INDEX(設定!$H$8:$I$27,MATCH(D248,設定!$G$8:$G$27,0),IF($M248=設定!$H$6&amp;"",1,2)),D248,"要調整"),"要調整")))</f>
        <v/>
      </c>
      <c r="H248" s="15" t="n"/>
      <c r="I248" s="24">
        <f>IF(N248="","",IF(H248&lt;&gt;"",H248,IF(OR(G248="",G248="要調整"),"",G248)))</f>
        <v/>
      </c>
      <c r="J248" s="23">
        <f>IF(N248="","",IF(I248&lt;&gt;"","決定",IF(O248="","未提出","要調整")))</f>
        <v/>
      </c>
      <c r="K248" s="23">
        <f>IF(OR(J248&lt;&gt;"要調整",E248=""),"",IFERROR(INDEX(設定!$H$8:$I$27,MATCH(E248,設定!$G$8:$G$27,0),IF($M248=設定!$H$6&amp;"",1,2))-COUNTIFS($M$3:$M$302,M248,$I$3:$I$302,E248),""))</f>
        <v/>
      </c>
      <c r="L248" s="23">
        <f>IF(OR(J248&lt;&gt;"要調整",F248=""),"",IFERROR(INDEX(設定!$H$8:$I$27,MATCH(F248,設定!$G$8:$G$27,0),IF($M248=設定!$H$6&amp;"",1,2))-COUNTIFS($M$3:$M$302,M248,$I$3:$I$302,F248),""))</f>
        <v/>
      </c>
      <c r="M248" s="8">
        <f>IF(N248="","",INDEX(児童名簿!$A$2:$A$301,N248)&amp;"")</f>
        <v/>
      </c>
      <c r="N248" s="8">
        <f>IFERROR(MATCH(SMALL(児童名簿!$G$2:$G$301,246),児童名簿!$G$2:$G$301,0),"")</f>
        <v/>
      </c>
      <c r="O248" s="8">
        <f>IF(P248="","",IFERROR(MATCH(P248,希望入力!$K$2:$K$401,0),""))</f>
        <v/>
      </c>
      <c r="P248" s="8">
        <f>IF(N248="","",INDEX(児童名簿!$F$2:$F$301,N248))</f>
        <v/>
      </c>
      <c r="Q248" s="8">
        <f>IF(I248="","",IFERROR(MATCH(I248,設定!$G$8:$G$27,0),""))</f>
        <v/>
      </c>
      <c r="R248" s="8">
        <f>IF(Q248="","",COUNTIF($Q$3:Q248,Q248))</f>
        <v/>
      </c>
      <c r="S248" s="8">
        <f>IF(Q248="","",Q248*1000+R248)</f>
        <v/>
      </c>
    </row>
    <row r="249">
      <c r="A249" s="23">
        <f>IF(N249="","",IFERROR(INDEX(設定!$C$8:$C$23,INT(INDEX(児童名簿!$G$2:$G$301,N249)/1000)),M249&amp;INDEX(児童名簿!$B$2:$B$301,N249)))</f>
        <v/>
      </c>
      <c r="B249" s="23">
        <f>IF(N249="","",INDEX(児童名簿!$C$2:$C$301,N249))</f>
        <v/>
      </c>
      <c r="C249" s="3">
        <f>IF(N249="","",INDEX(児童名簿!$D$2:$D$301,N249))</f>
        <v/>
      </c>
      <c r="D249" s="23">
        <f>IF(O249="","",INDEX(希望入力!$D$2:$D$401,O249)&amp;"")</f>
        <v/>
      </c>
      <c r="E249" s="23">
        <f>IF(O249="","",INDEX(希望入力!$E$2:$E$401,O249)&amp;"")</f>
        <v/>
      </c>
      <c r="F249" s="23">
        <f>IF(O249="","",INDEX(希望入力!$F$2:$F$401,O249)&amp;"")</f>
        <v/>
      </c>
      <c r="G249" s="23">
        <f>IF(O249="","",IF(D249="","要調整",IFERROR(IF(COUNTIFS($M$3:$M$302,M249,$D$3:$D$302,D249)&lt;=INDEX(設定!$H$8:$I$27,MATCH(D249,設定!$G$8:$G$27,0),IF($M249=設定!$H$6&amp;"",1,2)),D249,"要調整"),"要調整")))</f>
        <v/>
      </c>
      <c r="H249" s="15" t="n"/>
      <c r="I249" s="24">
        <f>IF(N249="","",IF(H249&lt;&gt;"",H249,IF(OR(G249="",G249="要調整"),"",G249)))</f>
        <v/>
      </c>
      <c r="J249" s="23">
        <f>IF(N249="","",IF(I249&lt;&gt;"","決定",IF(O249="","未提出","要調整")))</f>
        <v/>
      </c>
      <c r="K249" s="23">
        <f>IF(OR(J249&lt;&gt;"要調整",E249=""),"",IFERROR(INDEX(設定!$H$8:$I$27,MATCH(E249,設定!$G$8:$G$27,0),IF($M249=設定!$H$6&amp;"",1,2))-COUNTIFS($M$3:$M$302,M249,$I$3:$I$302,E249),""))</f>
        <v/>
      </c>
      <c r="L249" s="23">
        <f>IF(OR(J249&lt;&gt;"要調整",F249=""),"",IFERROR(INDEX(設定!$H$8:$I$27,MATCH(F249,設定!$G$8:$G$27,0),IF($M249=設定!$H$6&amp;"",1,2))-COUNTIFS($M$3:$M$302,M249,$I$3:$I$302,F249),""))</f>
        <v/>
      </c>
      <c r="M249" s="8">
        <f>IF(N249="","",INDEX(児童名簿!$A$2:$A$301,N249)&amp;"")</f>
        <v/>
      </c>
      <c r="N249" s="8">
        <f>IFERROR(MATCH(SMALL(児童名簿!$G$2:$G$301,247),児童名簿!$G$2:$G$301,0),"")</f>
        <v/>
      </c>
      <c r="O249" s="8">
        <f>IF(P249="","",IFERROR(MATCH(P249,希望入力!$K$2:$K$401,0),""))</f>
        <v/>
      </c>
      <c r="P249" s="8">
        <f>IF(N249="","",INDEX(児童名簿!$F$2:$F$301,N249))</f>
        <v/>
      </c>
      <c r="Q249" s="8">
        <f>IF(I249="","",IFERROR(MATCH(I249,設定!$G$8:$G$27,0),""))</f>
        <v/>
      </c>
      <c r="R249" s="8">
        <f>IF(Q249="","",COUNTIF($Q$3:Q249,Q249))</f>
        <v/>
      </c>
      <c r="S249" s="8">
        <f>IF(Q249="","",Q249*1000+R249)</f>
        <v/>
      </c>
    </row>
    <row r="250">
      <c r="A250" s="23">
        <f>IF(N250="","",IFERROR(INDEX(設定!$C$8:$C$23,INT(INDEX(児童名簿!$G$2:$G$301,N250)/1000)),M250&amp;INDEX(児童名簿!$B$2:$B$301,N250)))</f>
        <v/>
      </c>
      <c r="B250" s="23">
        <f>IF(N250="","",INDEX(児童名簿!$C$2:$C$301,N250))</f>
        <v/>
      </c>
      <c r="C250" s="3">
        <f>IF(N250="","",INDEX(児童名簿!$D$2:$D$301,N250))</f>
        <v/>
      </c>
      <c r="D250" s="23">
        <f>IF(O250="","",INDEX(希望入力!$D$2:$D$401,O250)&amp;"")</f>
        <v/>
      </c>
      <c r="E250" s="23">
        <f>IF(O250="","",INDEX(希望入力!$E$2:$E$401,O250)&amp;"")</f>
        <v/>
      </c>
      <c r="F250" s="23">
        <f>IF(O250="","",INDEX(希望入力!$F$2:$F$401,O250)&amp;"")</f>
        <v/>
      </c>
      <c r="G250" s="23">
        <f>IF(O250="","",IF(D250="","要調整",IFERROR(IF(COUNTIFS($M$3:$M$302,M250,$D$3:$D$302,D250)&lt;=INDEX(設定!$H$8:$I$27,MATCH(D250,設定!$G$8:$G$27,0),IF($M250=設定!$H$6&amp;"",1,2)),D250,"要調整"),"要調整")))</f>
        <v/>
      </c>
      <c r="H250" s="15" t="n"/>
      <c r="I250" s="24">
        <f>IF(N250="","",IF(H250&lt;&gt;"",H250,IF(OR(G250="",G250="要調整"),"",G250)))</f>
        <v/>
      </c>
      <c r="J250" s="23">
        <f>IF(N250="","",IF(I250&lt;&gt;"","決定",IF(O250="","未提出","要調整")))</f>
        <v/>
      </c>
      <c r="K250" s="23">
        <f>IF(OR(J250&lt;&gt;"要調整",E250=""),"",IFERROR(INDEX(設定!$H$8:$I$27,MATCH(E250,設定!$G$8:$G$27,0),IF($M250=設定!$H$6&amp;"",1,2))-COUNTIFS($M$3:$M$302,M250,$I$3:$I$302,E250),""))</f>
        <v/>
      </c>
      <c r="L250" s="23">
        <f>IF(OR(J250&lt;&gt;"要調整",F250=""),"",IFERROR(INDEX(設定!$H$8:$I$27,MATCH(F250,設定!$G$8:$G$27,0),IF($M250=設定!$H$6&amp;"",1,2))-COUNTIFS($M$3:$M$302,M250,$I$3:$I$302,F250),""))</f>
        <v/>
      </c>
      <c r="M250" s="8">
        <f>IF(N250="","",INDEX(児童名簿!$A$2:$A$301,N250)&amp;"")</f>
        <v/>
      </c>
      <c r="N250" s="8">
        <f>IFERROR(MATCH(SMALL(児童名簿!$G$2:$G$301,248),児童名簿!$G$2:$G$301,0),"")</f>
        <v/>
      </c>
      <c r="O250" s="8">
        <f>IF(P250="","",IFERROR(MATCH(P250,希望入力!$K$2:$K$401,0),""))</f>
        <v/>
      </c>
      <c r="P250" s="8">
        <f>IF(N250="","",INDEX(児童名簿!$F$2:$F$301,N250))</f>
        <v/>
      </c>
      <c r="Q250" s="8">
        <f>IF(I250="","",IFERROR(MATCH(I250,設定!$G$8:$G$27,0),""))</f>
        <v/>
      </c>
      <c r="R250" s="8">
        <f>IF(Q250="","",COUNTIF($Q$3:Q250,Q250))</f>
        <v/>
      </c>
      <c r="S250" s="8">
        <f>IF(Q250="","",Q250*1000+R250)</f>
        <v/>
      </c>
    </row>
    <row r="251">
      <c r="A251" s="23">
        <f>IF(N251="","",IFERROR(INDEX(設定!$C$8:$C$23,INT(INDEX(児童名簿!$G$2:$G$301,N251)/1000)),M251&amp;INDEX(児童名簿!$B$2:$B$301,N251)))</f>
        <v/>
      </c>
      <c r="B251" s="23">
        <f>IF(N251="","",INDEX(児童名簿!$C$2:$C$301,N251))</f>
        <v/>
      </c>
      <c r="C251" s="3">
        <f>IF(N251="","",INDEX(児童名簿!$D$2:$D$301,N251))</f>
        <v/>
      </c>
      <c r="D251" s="23">
        <f>IF(O251="","",INDEX(希望入力!$D$2:$D$401,O251)&amp;"")</f>
        <v/>
      </c>
      <c r="E251" s="23">
        <f>IF(O251="","",INDEX(希望入力!$E$2:$E$401,O251)&amp;"")</f>
        <v/>
      </c>
      <c r="F251" s="23">
        <f>IF(O251="","",INDEX(希望入力!$F$2:$F$401,O251)&amp;"")</f>
        <v/>
      </c>
      <c r="G251" s="23">
        <f>IF(O251="","",IF(D251="","要調整",IFERROR(IF(COUNTIFS($M$3:$M$302,M251,$D$3:$D$302,D251)&lt;=INDEX(設定!$H$8:$I$27,MATCH(D251,設定!$G$8:$G$27,0),IF($M251=設定!$H$6&amp;"",1,2)),D251,"要調整"),"要調整")))</f>
        <v/>
      </c>
      <c r="H251" s="15" t="n"/>
      <c r="I251" s="24">
        <f>IF(N251="","",IF(H251&lt;&gt;"",H251,IF(OR(G251="",G251="要調整"),"",G251)))</f>
        <v/>
      </c>
      <c r="J251" s="23">
        <f>IF(N251="","",IF(I251&lt;&gt;"","決定",IF(O251="","未提出","要調整")))</f>
        <v/>
      </c>
      <c r="K251" s="23">
        <f>IF(OR(J251&lt;&gt;"要調整",E251=""),"",IFERROR(INDEX(設定!$H$8:$I$27,MATCH(E251,設定!$G$8:$G$27,0),IF($M251=設定!$H$6&amp;"",1,2))-COUNTIFS($M$3:$M$302,M251,$I$3:$I$302,E251),""))</f>
        <v/>
      </c>
      <c r="L251" s="23">
        <f>IF(OR(J251&lt;&gt;"要調整",F251=""),"",IFERROR(INDEX(設定!$H$8:$I$27,MATCH(F251,設定!$G$8:$G$27,0),IF($M251=設定!$H$6&amp;"",1,2))-COUNTIFS($M$3:$M$302,M251,$I$3:$I$302,F251),""))</f>
        <v/>
      </c>
      <c r="M251" s="8">
        <f>IF(N251="","",INDEX(児童名簿!$A$2:$A$301,N251)&amp;"")</f>
        <v/>
      </c>
      <c r="N251" s="8">
        <f>IFERROR(MATCH(SMALL(児童名簿!$G$2:$G$301,249),児童名簿!$G$2:$G$301,0),"")</f>
        <v/>
      </c>
      <c r="O251" s="8">
        <f>IF(P251="","",IFERROR(MATCH(P251,希望入力!$K$2:$K$401,0),""))</f>
        <v/>
      </c>
      <c r="P251" s="8">
        <f>IF(N251="","",INDEX(児童名簿!$F$2:$F$301,N251))</f>
        <v/>
      </c>
      <c r="Q251" s="8">
        <f>IF(I251="","",IFERROR(MATCH(I251,設定!$G$8:$G$27,0),""))</f>
        <v/>
      </c>
      <c r="R251" s="8">
        <f>IF(Q251="","",COUNTIF($Q$3:Q251,Q251))</f>
        <v/>
      </c>
      <c r="S251" s="8">
        <f>IF(Q251="","",Q251*1000+R251)</f>
        <v/>
      </c>
    </row>
    <row r="252">
      <c r="A252" s="23">
        <f>IF(N252="","",IFERROR(INDEX(設定!$C$8:$C$23,INT(INDEX(児童名簿!$G$2:$G$301,N252)/1000)),M252&amp;INDEX(児童名簿!$B$2:$B$301,N252)))</f>
        <v/>
      </c>
      <c r="B252" s="23">
        <f>IF(N252="","",INDEX(児童名簿!$C$2:$C$301,N252))</f>
        <v/>
      </c>
      <c r="C252" s="3">
        <f>IF(N252="","",INDEX(児童名簿!$D$2:$D$301,N252))</f>
        <v/>
      </c>
      <c r="D252" s="23">
        <f>IF(O252="","",INDEX(希望入力!$D$2:$D$401,O252)&amp;"")</f>
        <v/>
      </c>
      <c r="E252" s="23">
        <f>IF(O252="","",INDEX(希望入力!$E$2:$E$401,O252)&amp;"")</f>
        <v/>
      </c>
      <c r="F252" s="23">
        <f>IF(O252="","",INDEX(希望入力!$F$2:$F$401,O252)&amp;"")</f>
        <v/>
      </c>
      <c r="G252" s="23">
        <f>IF(O252="","",IF(D252="","要調整",IFERROR(IF(COUNTIFS($M$3:$M$302,M252,$D$3:$D$302,D252)&lt;=INDEX(設定!$H$8:$I$27,MATCH(D252,設定!$G$8:$G$27,0),IF($M252=設定!$H$6&amp;"",1,2)),D252,"要調整"),"要調整")))</f>
        <v/>
      </c>
      <c r="H252" s="15" t="n"/>
      <c r="I252" s="24">
        <f>IF(N252="","",IF(H252&lt;&gt;"",H252,IF(OR(G252="",G252="要調整"),"",G252)))</f>
        <v/>
      </c>
      <c r="J252" s="23">
        <f>IF(N252="","",IF(I252&lt;&gt;"","決定",IF(O252="","未提出","要調整")))</f>
        <v/>
      </c>
      <c r="K252" s="23">
        <f>IF(OR(J252&lt;&gt;"要調整",E252=""),"",IFERROR(INDEX(設定!$H$8:$I$27,MATCH(E252,設定!$G$8:$G$27,0),IF($M252=設定!$H$6&amp;"",1,2))-COUNTIFS($M$3:$M$302,M252,$I$3:$I$302,E252),""))</f>
        <v/>
      </c>
      <c r="L252" s="23">
        <f>IF(OR(J252&lt;&gt;"要調整",F252=""),"",IFERROR(INDEX(設定!$H$8:$I$27,MATCH(F252,設定!$G$8:$G$27,0),IF($M252=設定!$H$6&amp;"",1,2))-COUNTIFS($M$3:$M$302,M252,$I$3:$I$302,F252),""))</f>
        <v/>
      </c>
      <c r="M252" s="8">
        <f>IF(N252="","",INDEX(児童名簿!$A$2:$A$301,N252)&amp;"")</f>
        <v/>
      </c>
      <c r="N252" s="8">
        <f>IFERROR(MATCH(SMALL(児童名簿!$G$2:$G$301,250),児童名簿!$G$2:$G$301,0),"")</f>
        <v/>
      </c>
      <c r="O252" s="8">
        <f>IF(P252="","",IFERROR(MATCH(P252,希望入力!$K$2:$K$401,0),""))</f>
        <v/>
      </c>
      <c r="P252" s="8">
        <f>IF(N252="","",INDEX(児童名簿!$F$2:$F$301,N252))</f>
        <v/>
      </c>
      <c r="Q252" s="8">
        <f>IF(I252="","",IFERROR(MATCH(I252,設定!$G$8:$G$27,0),""))</f>
        <v/>
      </c>
      <c r="R252" s="8">
        <f>IF(Q252="","",COUNTIF($Q$3:Q252,Q252))</f>
        <v/>
      </c>
      <c r="S252" s="8">
        <f>IF(Q252="","",Q252*1000+R252)</f>
        <v/>
      </c>
    </row>
    <row r="253">
      <c r="A253" s="23">
        <f>IF(N253="","",IFERROR(INDEX(設定!$C$8:$C$23,INT(INDEX(児童名簿!$G$2:$G$301,N253)/1000)),M253&amp;INDEX(児童名簿!$B$2:$B$301,N253)))</f>
        <v/>
      </c>
      <c r="B253" s="23">
        <f>IF(N253="","",INDEX(児童名簿!$C$2:$C$301,N253))</f>
        <v/>
      </c>
      <c r="C253" s="3">
        <f>IF(N253="","",INDEX(児童名簿!$D$2:$D$301,N253))</f>
        <v/>
      </c>
      <c r="D253" s="23">
        <f>IF(O253="","",INDEX(希望入力!$D$2:$D$401,O253)&amp;"")</f>
        <v/>
      </c>
      <c r="E253" s="23">
        <f>IF(O253="","",INDEX(希望入力!$E$2:$E$401,O253)&amp;"")</f>
        <v/>
      </c>
      <c r="F253" s="23">
        <f>IF(O253="","",INDEX(希望入力!$F$2:$F$401,O253)&amp;"")</f>
        <v/>
      </c>
      <c r="G253" s="23">
        <f>IF(O253="","",IF(D253="","要調整",IFERROR(IF(COUNTIFS($M$3:$M$302,M253,$D$3:$D$302,D253)&lt;=INDEX(設定!$H$8:$I$27,MATCH(D253,設定!$G$8:$G$27,0),IF($M253=設定!$H$6&amp;"",1,2)),D253,"要調整"),"要調整")))</f>
        <v/>
      </c>
      <c r="H253" s="15" t="n"/>
      <c r="I253" s="24">
        <f>IF(N253="","",IF(H253&lt;&gt;"",H253,IF(OR(G253="",G253="要調整"),"",G253)))</f>
        <v/>
      </c>
      <c r="J253" s="23">
        <f>IF(N253="","",IF(I253&lt;&gt;"","決定",IF(O253="","未提出","要調整")))</f>
        <v/>
      </c>
      <c r="K253" s="23">
        <f>IF(OR(J253&lt;&gt;"要調整",E253=""),"",IFERROR(INDEX(設定!$H$8:$I$27,MATCH(E253,設定!$G$8:$G$27,0),IF($M253=設定!$H$6&amp;"",1,2))-COUNTIFS($M$3:$M$302,M253,$I$3:$I$302,E253),""))</f>
        <v/>
      </c>
      <c r="L253" s="23">
        <f>IF(OR(J253&lt;&gt;"要調整",F253=""),"",IFERROR(INDEX(設定!$H$8:$I$27,MATCH(F253,設定!$G$8:$G$27,0),IF($M253=設定!$H$6&amp;"",1,2))-COUNTIFS($M$3:$M$302,M253,$I$3:$I$302,F253),""))</f>
        <v/>
      </c>
      <c r="M253" s="8">
        <f>IF(N253="","",INDEX(児童名簿!$A$2:$A$301,N253)&amp;"")</f>
        <v/>
      </c>
      <c r="N253" s="8">
        <f>IFERROR(MATCH(SMALL(児童名簿!$G$2:$G$301,251),児童名簿!$G$2:$G$301,0),"")</f>
        <v/>
      </c>
      <c r="O253" s="8">
        <f>IF(P253="","",IFERROR(MATCH(P253,希望入力!$K$2:$K$401,0),""))</f>
        <v/>
      </c>
      <c r="P253" s="8">
        <f>IF(N253="","",INDEX(児童名簿!$F$2:$F$301,N253))</f>
        <v/>
      </c>
      <c r="Q253" s="8">
        <f>IF(I253="","",IFERROR(MATCH(I253,設定!$G$8:$G$27,0),""))</f>
        <v/>
      </c>
      <c r="R253" s="8">
        <f>IF(Q253="","",COUNTIF($Q$3:Q253,Q253))</f>
        <v/>
      </c>
      <c r="S253" s="8">
        <f>IF(Q253="","",Q253*1000+R253)</f>
        <v/>
      </c>
    </row>
    <row r="254">
      <c r="A254" s="23">
        <f>IF(N254="","",IFERROR(INDEX(設定!$C$8:$C$23,INT(INDEX(児童名簿!$G$2:$G$301,N254)/1000)),M254&amp;INDEX(児童名簿!$B$2:$B$301,N254)))</f>
        <v/>
      </c>
      <c r="B254" s="23">
        <f>IF(N254="","",INDEX(児童名簿!$C$2:$C$301,N254))</f>
        <v/>
      </c>
      <c r="C254" s="3">
        <f>IF(N254="","",INDEX(児童名簿!$D$2:$D$301,N254))</f>
        <v/>
      </c>
      <c r="D254" s="23">
        <f>IF(O254="","",INDEX(希望入力!$D$2:$D$401,O254)&amp;"")</f>
        <v/>
      </c>
      <c r="E254" s="23">
        <f>IF(O254="","",INDEX(希望入力!$E$2:$E$401,O254)&amp;"")</f>
        <v/>
      </c>
      <c r="F254" s="23">
        <f>IF(O254="","",INDEX(希望入力!$F$2:$F$401,O254)&amp;"")</f>
        <v/>
      </c>
      <c r="G254" s="23">
        <f>IF(O254="","",IF(D254="","要調整",IFERROR(IF(COUNTIFS($M$3:$M$302,M254,$D$3:$D$302,D254)&lt;=INDEX(設定!$H$8:$I$27,MATCH(D254,設定!$G$8:$G$27,0),IF($M254=設定!$H$6&amp;"",1,2)),D254,"要調整"),"要調整")))</f>
        <v/>
      </c>
      <c r="H254" s="15" t="n"/>
      <c r="I254" s="24">
        <f>IF(N254="","",IF(H254&lt;&gt;"",H254,IF(OR(G254="",G254="要調整"),"",G254)))</f>
        <v/>
      </c>
      <c r="J254" s="23">
        <f>IF(N254="","",IF(I254&lt;&gt;"","決定",IF(O254="","未提出","要調整")))</f>
        <v/>
      </c>
      <c r="K254" s="23">
        <f>IF(OR(J254&lt;&gt;"要調整",E254=""),"",IFERROR(INDEX(設定!$H$8:$I$27,MATCH(E254,設定!$G$8:$G$27,0),IF($M254=設定!$H$6&amp;"",1,2))-COUNTIFS($M$3:$M$302,M254,$I$3:$I$302,E254),""))</f>
        <v/>
      </c>
      <c r="L254" s="23">
        <f>IF(OR(J254&lt;&gt;"要調整",F254=""),"",IFERROR(INDEX(設定!$H$8:$I$27,MATCH(F254,設定!$G$8:$G$27,0),IF($M254=設定!$H$6&amp;"",1,2))-COUNTIFS($M$3:$M$302,M254,$I$3:$I$302,F254),""))</f>
        <v/>
      </c>
      <c r="M254" s="8">
        <f>IF(N254="","",INDEX(児童名簿!$A$2:$A$301,N254)&amp;"")</f>
        <v/>
      </c>
      <c r="N254" s="8">
        <f>IFERROR(MATCH(SMALL(児童名簿!$G$2:$G$301,252),児童名簿!$G$2:$G$301,0),"")</f>
        <v/>
      </c>
      <c r="O254" s="8">
        <f>IF(P254="","",IFERROR(MATCH(P254,希望入力!$K$2:$K$401,0),""))</f>
        <v/>
      </c>
      <c r="P254" s="8">
        <f>IF(N254="","",INDEX(児童名簿!$F$2:$F$301,N254))</f>
        <v/>
      </c>
      <c r="Q254" s="8">
        <f>IF(I254="","",IFERROR(MATCH(I254,設定!$G$8:$G$27,0),""))</f>
        <v/>
      </c>
      <c r="R254" s="8">
        <f>IF(Q254="","",COUNTIF($Q$3:Q254,Q254))</f>
        <v/>
      </c>
      <c r="S254" s="8">
        <f>IF(Q254="","",Q254*1000+R254)</f>
        <v/>
      </c>
    </row>
    <row r="255">
      <c r="A255" s="23">
        <f>IF(N255="","",IFERROR(INDEX(設定!$C$8:$C$23,INT(INDEX(児童名簿!$G$2:$G$301,N255)/1000)),M255&amp;INDEX(児童名簿!$B$2:$B$301,N255)))</f>
        <v/>
      </c>
      <c r="B255" s="23">
        <f>IF(N255="","",INDEX(児童名簿!$C$2:$C$301,N255))</f>
        <v/>
      </c>
      <c r="C255" s="3">
        <f>IF(N255="","",INDEX(児童名簿!$D$2:$D$301,N255))</f>
        <v/>
      </c>
      <c r="D255" s="23">
        <f>IF(O255="","",INDEX(希望入力!$D$2:$D$401,O255)&amp;"")</f>
        <v/>
      </c>
      <c r="E255" s="23">
        <f>IF(O255="","",INDEX(希望入力!$E$2:$E$401,O255)&amp;"")</f>
        <v/>
      </c>
      <c r="F255" s="23">
        <f>IF(O255="","",INDEX(希望入力!$F$2:$F$401,O255)&amp;"")</f>
        <v/>
      </c>
      <c r="G255" s="23">
        <f>IF(O255="","",IF(D255="","要調整",IFERROR(IF(COUNTIFS($M$3:$M$302,M255,$D$3:$D$302,D255)&lt;=INDEX(設定!$H$8:$I$27,MATCH(D255,設定!$G$8:$G$27,0),IF($M255=設定!$H$6&amp;"",1,2)),D255,"要調整"),"要調整")))</f>
        <v/>
      </c>
      <c r="H255" s="15" t="n"/>
      <c r="I255" s="24">
        <f>IF(N255="","",IF(H255&lt;&gt;"",H255,IF(OR(G255="",G255="要調整"),"",G255)))</f>
        <v/>
      </c>
      <c r="J255" s="23">
        <f>IF(N255="","",IF(I255&lt;&gt;"","決定",IF(O255="","未提出","要調整")))</f>
        <v/>
      </c>
      <c r="K255" s="23">
        <f>IF(OR(J255&lt;&gt;"要調整",E255=""),"",IFERROR(INDEX(設定!$H$8:$I$27,MATCH(E255,設定!$G$8:$G$27,0),IF($M255=設定!$H$6&amp;"",1,2))-COUNTIFS($M$3:$M$302,M255,$I$3:$I$302,E255),""))</f>
        <v/>
      </c>
      <c r="L255" s="23">
        <f>IF(OR(J255&lt;&gt;"要調整",F255=""),"",IFERROR(INDEX(設定!$H$8:$I$27,MATCH(F255,設定!$G$8:$G$27,0),IF($M255=設定!$H$6&amp;"",1,2))-COUNTIFS($M$3:$M$302,M255,$I$3:$I$302,F255),""))</f>
        <v/>
      </c>
      <c r="M255" s="8">
        <f>IF(N255="","",INDEX(児童名簿!$A$2:$A$301,N255)&amp;"")</f>
        <v/>
      </c>
      <c r="N255" s="8">
        <f>IFERROR(MATCH(SMALL(児童名簿!$G$2:$G$301,253),児童名簿!$G$2:$G$301,0),"")</f>
        <v/>
      </c>
      <c r="O255" s="8">
        <f>IF(P255="","",IFERROR(MATCH(P255,希望入力!$K$2:$K$401,0),""))</f>
        <v/>
      </c>
      <c r="P255" s="8">
        <f>IF(N255="","",INDEX(児童名簿!$F$2:$F$301,N255))</f>
        <v/>
      </c>
      <c r="Q255" s="8">
        <f>IF(I255="","",IFERROR(MATCH(I255,設定!$G$8:$G$27,0),""))</f>
        <v/>
      </c>
      <c r="R255" s="8">
        <f>IF(Q255="","",COUNTIF($Q$3:Q255,Q255))</f>
        <v/>
      </c>
      <c r="S255" s="8">
        <f>IF(Q255="","",Q255*1000+R255)</f>
        <v/>
      </c>
    </row>
    <row r="256">
      <c r="A256" s="23">
        <f>IF(N256="","",IFERROR(INDEX(設定!$C$8:$C$23,INT(INDEX(児童名簿!$G$2:$G$301,N256)/1000)),M256&amp;INDEX(児童名簿!$B$2:$B$301,N256)))</f>
        <v/>
      </c>
      <c r="B256" s="23">
        <f>IF(N256="","",INDEX(児童名簿!$C$2:$C$301,N256))</f>
        <v/>
      </c>
      <c r="C256" s="3">
        <f>IF(N256="","",INDEX(児童名簿!$D$2:$D$301,N256))</f>
        <v/>
      </c>
      <c r="D256" s="23">
        <f>IF(O256="","",INDEX(希望入力!$D$2:$D$401,O256)&amp;"")</f>
        <v/>
      </c>
      <c r="E256" s="23">
        <f>IF(O256="","",INDEX(希望入力!$E$2:$E$401,O256)&amp;"")</f>
        <v/>
      </c>
      <c r="F256" s="23">
        <f>IF(O256="","",INDEX(希望入力!$F$2:$F$401,O256)&amp;"")</f>
        <v/>
      </c>
      <c r="G256" s="23">
        <f>IF(O256="","",IF(D256="","要調整",IFERROR(IF(COUNTIFS($M$3:$M$302,M256,$D$3:$D$302,D256)&lt;=INDEX(設定!$H$8:$I$27,MATCH(D256,設定!$G$8:$G$27,0),IF($M256=設定!$H$6&amp;"",1,2)),D256,"要調整"),"要調整")))</f>
        <v/>
      </c>
      <c r="H256" s="15" t="n"/>
      <c r="I256" s="24">
        <f>IF(N256="","",IF(H256&lt;&gt;"",H256,IF(OR(G256="",G256="要調整"),"",G256)))</f>
        <v/>
      </c>
      <c r="J256" s="23">
        <f>IF(N256="","",IF(I256&lt;&gt;"","決定",IF(O256="","未提出","要調整")))</f>
        <v/>
      </c>
      <c r="K256" s="23">
        <f>IF(OR(J256&lt;&gt;"要調整",E256=""),"",IFERROR(INDEX(設定!$H$8:$I$27,MATCH(E256,設定!$G$8:$G$27,0),IF($M256=設定!$H$6&amp;"",1,2))-COUNTIFS($M$3:$M$302,M256,$I$3:$I$302,E256),""))</f>
        <v/>
      </c>
      <c r="L256" s="23">
        <f>IF(OR(J256&lt;&gt;"要調整",F256=""),"",IFERROR(INDEX(設定!$H$8:$I$27,MATCH(F256,設定!$G$8:$G$27,0),IF($M256=設定!$H$6&amp;"",1,2))-COUNTIFS($M$3:$M$302,M256,$I$3:$I$302,F256),""))</f>
        <v/>
      </c>
      <c r="M256" s="8">
        <f>IF(N256="","",INDEX(児童名簿!$A$2:$A$301,N256)&amp;"")</f>
        <v/>
      </c>
      <c r="N256" s="8">
        <f>IFERROR(MATCH(SMALL(児童名簿!$G$2:$G$301,254),児童名簿!$G$2:$G$301,0),"")</f>
        <v/>
      </c>
      <c r="O256" s="8">
        <f>IF(P256="","",IFERROR(MATCH(P256,希望入力!$K$2:$K$401,0),""))</f>
        <v/>
      </c>
      <c r="P256" s="8">
        <f>IF(N256="","",INDEX(児童名簿!$F$2:$F$301,N256))</f>
        <v/>
      </c>
      <c r="Q256" s="8">
        <f>IF(I256="","",IFERROR(MATCH(I256,設定!$G$8:$G$27,0),""))</f>
        <v/>
      </c>
      <c r="R256" s="8">
        <f>IF(Q256="","",COUNTIF($Q$3:Q256,Q256))</f>
        <v/>
      </c>
      <c r="S256" s="8">
        <f>IF(Q256="","",Q256*1000+R256)</f>
        <v/>
      </c>
    </row>
    <row r="257">
      <c r="A257" s="23">
        <f>IF(N257="","",IFERROR(INDEX(設定!$C$8:$C$23,INT(INDEX(児童名簿!$G$2:$G$301,N257)/1000)),M257&amp;INDEX(児童名簿!$B$2:$B$301,N257)))</f>
        <v/>
      </c>
      <c r="B257" s="23">
        <f>IF(N257="","",INDEX(児童名簿!$C$2:$C$301,N257))</f>
        <v/>
      </c>
      <c r="C257" s="3">
        <f>IF(N257="","",INDEX(児童名簿!$D$2:$D$301,N257))</f>
        <v/>
      </c>
      <c r="D257" s="23">
        <f>IF(O257="","",INDEX(希望入力!$D$2:$D$401,O257)&amp;"")</f>
        <v/>
      </c>
      <c r="E257" s="23">
        <f>IF(O257="","",INDEX(希望入力!$E$2:$E$401,O257)&amp;"")</f>
        <v/>
      </c>
      <c r="F257" s="23">
        <f>IF(O257="","",INDEX(希望入力!$F$2:$F$401,O257)&amp;"")</f>
        <v/>
      </c>
      <c r="G257" s="23">
        <f>IF(O257="","",IF(D257="","要調整",IFERROR(IF(COUNTIFS($M$3:$M$302,M257,$D$3:$D$302,D257)&lt;=INDEX(設定!$H$8:$I$27,MATCH(D257,設定!$G$8:$G$27,0),IF($M257=設定!$H$6&amp;"",1,2)),D257,"要調整"),"要調整")))</f>
        <v/>
      </c>
      <c r="H257" s="15" t="n"/>
      <c r="I257" s="24">
        <f>IF(N257="","",IF(H257&lt;&gt;"",H257,IF(OR(G257="",G257="要調整"),"",G257)))</f>
        <v/>
      </c>
      <c r="J257" s="23">
        <f>IF(N257="","",IF(I257&lt;&gt;"","決定",IF(O257="","未提出","要調整")))</f>
        <v/>
      </c>
      <c r="K257" s="23">
        <f>IF(OR(J257&lt;&gt;"要調整",E257=""),"",IFERROR(INDEX(設定!$H$8:$I$27,MATCH(E257,設定!$G$8:$G$27,0),IF($M257=設定!$H$6&amp;"",1,2))-COUNTIFS($M$3:$M$302,M257,$I$3:$I$302,E257),""))</f>
        <v/>
      </c>
      <c r="L257" s="23">
        <f>IF(OR(J257&lt;&gt;"要調整",F257=""),"",IFERROR(INDEX(設定!$H$8:$I$27,MATCH(F257,設定!$G$8:$G$27,0),IF($M257=設定!$H$6&amp;"",1,2))-COUNTIFS($M$3:$M$302,M257,$I$3:$I$302,F257),""))</f>
        <v/>
      </c>
      <c r="M257" s="8">
        <f>IF(N257="","",INDEX(児童名簿!$A$2:$A$301,N257)&amp;"")</f>
        <v/>
      </c>
      <c r="N257" s="8">
        <f>IFERROR(MATCH(SMALL(児童名簿!$G$2:$G$301,255),児童名簿!$G$2:$G$301,0),"")</f>
        <v/>
      </c>
      <c r="O257" s="8">
        <f>IF(P257="","",IFERROR(MATCH(P257,希望入力!$K$2:$K$401,0),""))</f>
        <v/>
      </c>
      <c r="P257" s="8">
        <f>IF(N257="","",INDEX(児童名簿!$F$2:$F$301,N257))</f>
        <v/>
      </c>
      <c r="Q257" s="8">
        <f>IF(I257="","",IFERROR(MATCH(I257,設定!$G$8:$G$27,0),""))</f>
        <v/>
      </c>
      <c r="R257" s="8">
        <f>IF(Q257="","",COUNTIF($Q$3:Q257,Q257))</f>
        <v/>
      </c>
      <c r="S257" s="8">
        <f>IF(Q257="","",Q257*1000+R257)</f>
        <v/>
      </c>
    </row>
    <row r="258">
      <c r="A258" s="23">
        <f>IF(N258="","",IFERROR(INDEX(設定!$C$8:$C$23,INT(INDEX(児童名簿!$G$2:$G$301,N258)/1000)),M258&amp;INDEX(児童名簿!$B$2:$B$301,N258)))</f>
        <v/>
      </c>
      <c r="B258" s="23">
        <f>IF(N258="","",INDEX(児童名簿!$C$2:$C$301,N258))</f>
        <v/>
      </c>
      <c r="C258" s="3">
        <f>IF(N258="","",INDEX(児童名簿!$D$2:$D$301,N258))</f>
        <v/>
      </c>
      <c r="D258" s="23">
        <f>IF(O258="","",INDEX(希望入力!$D$2:$D$401,O258)&amp;"")</f>
        <v/>
      </c>
      <c r="E258" s="23">
        <f>IF(O258="","",INDEX(希望入力!$E$2:$E$401,O258)&amp;"")</f>
        <v/>
      </c>
      <c r="F258" s="23">
        <f>IF(O258="","",INDEX(希望入力!$F$2:$F$401,O258)&amp;"")</f>
        <v/>
      </c>
      <c r="G258" s="23">
        <f>IF(O258="","",IF(D258="","要調整",IFERROR(IF(COUNTIFS($M$3:$M$302,M258,$D$3:$D$302,D258)&lt;=INDEX(設定!$H$8:$I$27,MATCH(D258,設定!$G$8:$G$27,0),IF($M258=設定!$H$6&amp;"",1,2)),D258,"要調整"),"要調整")))</f>
        <v/>
      </c>
      <c r="H258" s="15" t="n"/>
      <c r="I258" s="24">
        <f>IF(N258="","",IF(H258&lt;&gt;"",H258,IF(OR(G258="",G258="要調整"),"",G258)))</f>
        <v/>
      </c>
      <c r="J258" s="23">
        <f>IF(N258="","",IF(I258&lt;&gt;"","決定",IF(O258="","未提出","要調整")))</f>
        <v/>
      </c>
      <c r="K258" s="23">
        <f>IF(OR(J258&lt;&gt;"要調整",E258=""),"",IFERROR(INDEX(設定!$H$8:$I$27,MATCH(E258,設定!$G$8:$G$27,0),IF($M258=設定!$H$6&amp;"",1,2))-COUNTIFS($M$3:$M$302,M258,$I$3:$I$302,E258),""))</f>
        <v/>
      </c>
      <c r="L258" s="23">
        <f>IF(OR(J258&lt;&gt;"要調整",F258=""),"",IFERROR(INDEX(設定!$H$8:$I$27,MATCH(F258,設定!$G$8:$G$27,0),IF($M258=設定!$H$6&amp;"",1,2))-COUNTIFS($M$3:$M$302,M258,$I$3:$I$302,F258),""))</f>
        <v/>
      </c>
      <c r="M258" s="8">
        <f>IF(N258="","",INDEX(児童名簿!$A$2:$A$301,N258)&amp;"")</f>
        <v/>
      </c>
      <c r="N258" s="8">
        <f>IFERROR(MATCH(SMALL(児童名簿!$G$2:$G$301,256),児童名簿!$G$2:$G$301,0),"")</f>
        <v/>
      </c>
      <c r="O258" s="8">
        <f>IF(P258="","",IFERROR(MATCH(P258,希望入力!$K$2:$K$401,0),""))</f>
        <v/>
      </c>
      <c r="P258" s="8">
        <f>IF(N258="","",INDEX(児童名簿!$F$2:$F$301,N258))</f>
        <v/>
      </c>
      <c r="Q258" s="8">
        <f>IF(I258="","",IFERROR(MATCH(I258,設定!$G$8:$G$27,0),""))</f>
        <v/>
      </c>
      <c r="R258" s="8">
        <f>IF(Q258="","",COUNTIF($Q$3:Q258,Q258))</f>
        <v/>
      </c>
      <c r="S258" s="8">
        <f>IF(Q258="","",Q258*1000+R258)</f>
        <v/>
      </c>
    </row>
    <row r="259">
      <c r="A259" s="23">
        <f>IF(N259="","",IFERROR(INDEX(設定!$C$8:$C$23,INT(INDEX(児童名簿!$G$2:$G$301,N259)/1000)),M259&amp;INDEX(児童名簿!$B$2:$B$301,N259)))</f>
        <v/>
      </c>
      <c r="B259" s="23">
        <f>IF(N259="","",INDEX(児童名簿!$C$2:$C$301,N259))</f>
        <v/>
      </c>
      <c r="C259" s="3">
        <f>IF(N259="","",INDEX(児童名簿!$D$2:$D$301,N259))</f>
        <v/>
      </c>
      <c r="D259" s="23">
        <f>IF(O259="","",INDEX(希望入力!$D$2:$D$401,O259)&amp;"")</f>
        <v/>
      </c>
      <c r="E259" s="23">
        <f>IF(O259="","",INDEX(希望入力!$E$2:$E$401,O259)&amp;"")</f>
        <v/>
      </c>
      <c r="F259" s="23">
        <f>IF(O259="","",INDEX(希望入力!$F$2:$F$401,O259)&amp;"")</f>
        <v/>
      </c>
      <c r="G259" s="23">
        <f>IF(O259="","",IF(D259="","要調整",IFERROR(IF(COUNTIFS($M$3:$M$302,M259,$D$3:$D$302,D259)&lt;=INDEX(設定!$H$8:$I$27,MATCH(D259,設定!$G$8:$G$27,0),IF($M259=設定!$H$6&amp;"",1,2)),D259,"要調整"),"要調整")))</f>
        <v/>
      </c>
      <c r="H259" s="15" t="n"/>
      <c r="I259" s="24">
        <f>IF(N259="","",IF(H259&lt;&gt;"",H259,IF(OR(G259="",G259="要調整"),"",G259)))</f>
        <v/>
      </c>
      <c r="J259" s="23">
        <f>IF(N259="","",IF(I259&lt;&gt;"","決定",IF(O259="","未提出","要調整")))</f>
        <v/>
      </c>
      <c r="K259" s="23">
        <f>IF(OR(J259&lt;&gt;"要調整",E259=""),"",IFERROR(INDEX(設定!$H$8:$I$27,MATCH(E259,設定!$G$8:$G$27,0),IF($M259=設定!$H$6&amp;"",1,2))-COUNTIFS($M$3:$M$302,M259,$I$3:$I$302,E259),""))</f>
        <v/>
      </c>
      <c r="L259" s="23">
        <f>IF(OR(J259&lt;&gt;"要調整",F259=""),"",IFERROR(INDEX(設定!$H$8:$I$27,MATCH(F259,設定!$G$8:$G$27,0),IF($M259=設定!$H$6&amp;"",1,2))-COUNTIFS($M$3:$M$302,M259,$I$3:$I$302,F259),""))</f>
        <v/>
      </c>
      <c r="M259" s="8">
        <f>IF(N259="","",INDEX(児童名簿!$A$2:$A$301,N259)&amp;"")</f>
        <v/>
      </c>
      <c r="N259" s="8">
        <f>IFERROR(MATCH(SMALL(児童名簿!$G$2:$G$301,257),児童名簿!$G$2:$G$301,0),"")</f>
        <v/>
      </c>
      <c r="O259" s="8">
        <f>IF(P259="","",IFERROR(MATCH(P259,希望入力!$K$2:$K$401,0),""))</f>
        <v/>
      </c>
      <c r="P259" s="8">
        <f>IF(N259="","",INDEX(児童名簿!$F$2:$F$301,N259))</f>
        <v/>
      </c>
      <c r="Q259" s="8">
        <f>IF(I259="","",IFERROR(MATCH(I259,設定!$G$8:$G$27,0),""))</f>
        <v/>
      </c>
      <c r="R259" s="8">
        <f>IF(Q259="","",COUNTIF($Q$3:Q259,Q259))</f>
        <v/>
      </c>
      <c r="S259" s="8">
        <f>IF(Q259="","",Q259*1000+R259)</f>
        <v/>
      </c>
    </row>
    <row r="260">
      <c r="A260" s="23">
        <f>IF(N260="","",IFERROR(INDEX(設定!$C$8:$C$23,INT(INDEX(児童名簿!$G$2:$G$301,N260)/1000)),M260&amp;INDEX(児童名簿!$B$2:$B$301,N260)))</f>
        <v/>
      </c>
      <c r="B260" s="23">
        <f>IF(N260="","",INDEX(児童名簿!$C$2:$C$301,N260))</f>
        <v/>
      </c>
      <c r="C260" s="3">
        <f>IF(N260="","",INDEX(児童名簿!$D$2:$D$301,N260))</f>
        <v/>
      </c>
      <c r="D260" s="23">
        <f>IF(O260="","",INDEX(希望入力!$D$2:$D$401,O260)&amp;"")</f>
        <v/>
      </c>
      <c r="E260" s="23">
        <f>IF(O260="","",INDEX(希望入力!$E$2:$E$401,O260)&amp;"")</f>
        <v/>
      </c>
      <c r="F260" s="23">
        <f>IF(O260="","",INDEX(希望入力!$F$2:$F$401,O260)&amp;"")</f>
        <v/>
      </c>
      <c r="G260" s="23">
        <f>IF(O260="","",IF(D260="","要調整",IFERROR(IF(COUNTIFS($M$3:$M$302,M260,$D$3:$D$302,D260)&lt;=INDEX(設定!$H$8:$I$27,MATCH(D260,設定!$G$8:$G$27,0),IF($M260=設定!$H$6&amp;"",1,2)),D260,"要調整"),"要調整")))</f>
        <v/>
      </c>
      <c r="H260" s="15" t="n"/>
      <c r="I260" s="24">
        <f>IF(N260="","",IF(H260&lt;&gt;"",H260,IF(OR(G260="",G260="要調整"),"",G260)))</f>
        <v/>
      </c>
      <c r="J260" s="23">
        <f>IF(N260="","",IF(I260&lt;&gt;"","決定",IF(O260="","未提出","要調整")))</f>
        <v/>
      </c>
      <c r="K260" s="23">
        <f>IF(OR(J260&lt;&gt;"要調整",E260=""),"",IFERROR(INDEX(設定!$H$8:$I$27,MATCH(E260,設定!$G$8:$G$27,0),IF($M260=設定!$H$6&amp;"",1,2))-COUNTIFS($M$3:$M$302,M260,$I$3:$I$302,E260),""))</f>
        <v/>
      </c>
      <c r="L260" s="23">
        <f>IF(OR(J260&lt;&gt;"要調整",F260=""),"",IFERROR(INDEX(設定!$H$8:$I$27,MATCH(F260,設定!$G$8:$G$27,0),IF($M260=設定!$H$6&amp;"",1,2))-COUNTIFS($M$3:$M$302,M260,$I$3:$I$302,F260),""))</f>
        <v/>
      </c>
      <c r="M260" s="8">
        <f>IF(N260="","",INDEX(児童名簿!$A$2:$A$301,N260)&amp;"")</f>
        <v/>
      </c>
      <c r="N260" s="8">
        <f>IFERROR(MATCH(SMALL(児童名簿!$G$2:$G$301,258),児童名簿!$G$2:$G$301,0),"")</f>
        <v/>
      </c>
      <c r="O260" s="8">
        <f>IF(P260="","",IFERROR(MATCH(P260,希望入力!$K$2:$K$401,0),""))</f>
        <v/>
      </c>
      <c r="P260" s="8">
        <f>IF(N260="","",INDEX(児童名簿!$F$2:$F$301,N260))</f>
        <v/>
      </c>
      <c r="Q260" s="8">
        <f>IF(I260="","",IFERROR(MATCH(I260,設定!$G$8:$G$27,0),""))</f>
        <v/>
      </c>
      <c r="R260" s="8">
        <f>IF(Q260="","",COUNTIF($Q$3:Q260,Q260))</f>
        <v/>
      </c>
      <c r="S260" s="8">
        <f>IF(Q260="","",Q260*1000+R260)</f>
        <v/>
      </c>
    </row>
    <row r="261">
      <c r="A261" s="23">
        <f>IF(N261="","",IFERROR(INDEX(設定!$C$8:$C$23,INT(INDEX(児童名簿!$G$2:$G$301,N261)/1000)),M261&amp;INDEX(児童名簿!$B$2:$B$301,N261)))</f>
        <v/>
      </c>
      <c r="B261" s="23">
        <f>IF(N261="","",INDEX(児童名簿!$C$2:$C$301,N261))</f>
        <v/>
      </c>
      <c r="C261" s="3">
        <f>IF(N261="","",INDEX(児童名簿!$D$2:$D$301,N261))</f>
        <v/>
      </c>
      <c r="D261" s="23">
        <f>IF(O261="","",INDEX(希望入力!$D$2:$D$401,O261)&amp;"")</f>
        <v/>
      </c>
      <c r="E261" s="23">
        <f>IF(O261="","",INDEX(希望入力!$E$2:$E$401,O261)&amp;"")</f>
        <v/>
      </c>
      <c r="F261" s="23">
        <f>IF(O261="","",INDEX(希望入力!$F$2:$F$401,O261)&amp;"")</f>
        <v/>
      </c>
      <c r="G261" s="23">
        <f>IF(O261="","",IF(D261="","要調整",IFERROR(IF(COUNTIFS($M$3:$M$302,M261,$D$3:$D$302,D261)&lt;=INDEX(設定!$H$8:$I$27,MATCH(D261,設定!$G$8:$G$27,0),IF($M261=設定!$H$6&amp;"",1,2)),D261,"要調整"),"要調整")))</f>
        <v/>
      </c>
      <c r="H261" s="15" t="n"/>
      <c r="I261" s="24">
        <f>IF(N261="","",IF(H261&lt;&gt;"",H261,IF(OR(G261="",G261="要調整"),"",G261)))</f>
        <v/>
      </c>
      <c r="J261" s="23">
        <f>IF(N261="","",IF(I261&lt;&gt;"","決定",IF(O261="","未提出","要調整")))</f>
        <v/>
      </c>
      <c r="K261" s="23">
        <f>IF(OR(J261&lt;&gt;"要調整",E261=""),"",IFERROR(INDEX(設定!$H$8:$I$27,MATCH(E261,設定!$G$8:$G$27,0),IF($M261=設定!$H$6&amp;"",1,2))-COUNTIFS($M$3:$M$302,M261,$I$3:$I$302,E261),""))</f>
        <v/>
      </c>
      <c r="L261" s="23">
        <f>IF(OR(J261&lt;&gt;"要調整",F261=""),"",IFERROR(INDEX(設定!$H$8:$I$27,MATCH(F261,設定!$G$8:$G$27,0),IF($M261=設定!$H$6&amp;"",1,2))-COUNTIFS($M$3:$M$302,M261,$I$3:$I$302,F261),""))</f>
        <v/>
      </c>
      <c r="M261" s="8">
        <f>IF(N261="","",INDEX(児童名簿!$A$2:$A$301,N261)&amp;"")</f>
        <v/>
      </c>
      <c r="N261" s="8">
        <f>IFERROR(MATCH(SMALL(児童名簿!$G$2:$G$301,259),児童名簿!$G$2:$G$301,0),"")</f>
        <v/>
      </c>
      <c r="O261" s="8">
        <f>IF(P261="","",IFERROR(MATCH(P261,希望入力!$K$2:$K$401,0),""))</f>
        <v/>
      </c>
      <c r="P261" s="8">
        <f>IF(N261="","",INDEX(児童名簿!$F$2:$F$301,N261))</f>
        <v/>
      </c>
      <c r="Q261" s="8">
        <f>IF(I261="","",IFERROR(MATCH(I261,設定!$G$8:$G$27,0),""))</f>
        <v/>
      </c>
      <c r="R261" s="8">
        <f>IF(Q261="","",COUNTIF($Q$3:Q261,Q261))</f>
        <v/>
      </c>
      <c r="S261" s="8">
        <f>IF(Q261="","",Q261*1000+R261)</f>
        <v/>
      </c>
    </row>
    <row r="262">
      <c r="A262" s="23">
        <f>IF(N262="","",IFERROR(INDEX(設定!$C$8:$C$23,INT(INDEX(児童名簿!$G$2:$G$301,N262)/1000)),M262&amp;INDEX(児童名簿!$B$2:$B$301,N262)))</f>
        <v/>
      </c>
      <c r="B262" s="23">
        <f>IF(N262="","",INDEX(児童名簿!$C$2:$C$301,N262))</f>
        <v/>
      </c>
      <c r="C262" s="3">
        <f>IF(N262="","",INDEX(児童名簿!$D$2:$D$301,N262))</f>
        <v/>
      </c>
      <c r="D262" s="23">
        <f>IF(O262="","",INDEX(希望入力!$D$2:$D$401,O262)&amp;"")</f>
        <v/>
      </c>
      <c r="E262" s="23">
        <f>IF(O262="","",INDEX(希望入力!$E$2:$E$401,O262)&amp;"")</f>
        <v/>
      </c>
      <c r="F262" s="23">
        <f>IF(O262="","",INDEX(希望入力!$F$2:$F$401,O262)&amp;"")</f>
        <v/>
      </c>
      <c r="G262" s="23">
        <f>IF(O262="","",IF(D262="","要調整",IFERROR(IF(COUNTIFS($M$3:$M$302,M262,$D$3:$D$302,D262)&lt;=INDEX(設定!$H$8:$I$27,MATCH(D262,設定!$G$8:$G$27,0),IF($M262=設定!$H$6&amp;"",1,2)),D262,"要調整"),"要調整")))</f>
        <v/>
      </c>
      <c r="H262" s="15" t="n"/>
      <c r="I262" s="24">
        <f>IF(N262="","",IF(H262&lt;&gt;"",H262,IF(OR(G262="",G262="要調整"),"",G262)))</f>
        <v/>
      </c>
      <c r="J262" s="23">
        <f>IF(N262="","",IF(I262&lt;&gt;"","決定",IF(O262="","未提出","要調整")))</f>
        <v/>
      </c>
      <c r="K262" s="23">
        <f>IF(OR(J262&lt;&gt;"要調整",E262=""),"",IFERROR(INDEX(設定!$H$8:$I$27,MATCH(E262,設定!$G$8:$G$27,0),IF($M262=設定!$H$6&amp;"",1,2))-COUNTIFS($M$3:$M$302,M262,$I$3:$I$302,E262),""))</f>
        <v/>
      </c>
      <c r="L262" s="23">
        <f>IF(OR(J262&lt;&gt;"要調整",F262=""),"",IFERROR(INDEX(設定!$H$8:$I$27,MATCH(F262,設定!$G$8:$G$27,0),IF($M262=設定!$H$6&amp;"",1,2))-COUNTIFS($M$3:$M$302,M262,$I$3:$I$302,F262),""))</f>
        <v/>
      </c>
      <c r="M262" s="8">
        <f>IF(N262="","",INDEX(児童名簿!$A$2:$A$301,N262)&amp;"")</f>
        <v/>
      </c>
      <c r="N262" s="8">
        <f>IFERROR(MATCH(SMALL(児童名簿!$G$2:$G$301,260),児童名簿!$G$2:$G$301,0),"")</f>
        <v/>
      </c>
      <c r="O262" s="8">
        <f>IF(P262="","",IFERROR(MATCH(P262,希望入力!$K$2:$K$401,0),""))</f>
        <v/>
      </c>
      <c r="P262" s="8">
        <f>IF(N262="","",INDEX(児童名簿!$F$2:$F$301,N262))</f>
        <v/>
      </c>
      <c r="Q262" s="8">
        <f>IF(I262="","",IFERROR(MATCH(I262,設定!$G$8:$G$27,0),""))</f>
        <v/>
      </c>
      <c r="R262" s="8">
        <f>IF(Q262="","",COUNTIF($Q$3:Q262,Q262))</f>
        <v/>
      </c>
      <c r="S262" s="8">
        <f>IF(Q262="","",Q262*1000+R262)</f>
        <v/>
      </c>
    </row>
    <row r="263">
      <c r="A263" s="23">
        <f>IF(N263="","",IFERROR(INDEX(設定!$C$8:$C$23,INT(INDEX(児童名簿!$G$2:$G$301,N263)/1000)),M263&amp;INDEX(児童名簿!$B$2:$B$301,N263)))</f>
        <v/>
      </c>
      <c r="B263" s="23">
        <f>IF(N263="","",INDEX(児童名簿!$C$2:$C$301,N263))</f>
        <v/>
      </c>
      <c r="C263" s="3">
        <f>IF(N263="","",INDEX(児童名簿!$D$2:$D$301,N263))</f>
        <v/>
      </c>
      <c r="D263" s="23">
        <f>IF(O263="","",INDEX(希望入力!$D$2:$D$401,O263)&amp;"")</f>
        <v/>
      </c>
      <c r="E263" s="23">
        <f>IF(O263="","",INDEX(希望入力!$E$2:$E$401,O263)&amp;"")</f>
        <v/>
      </c>
      <c r="F263" s="23">
        <f>IF(O263="","",INDEX(希望入力!$F$2:$F$401,O263)&amp;"")</f>
        <v/>
      </c>
      <c r="G263" s="23">
        <f>IF(O263="","",IF(D263="","要調整",IFERROR(IF(COUNTIFS($M$3:$M$302,M263,$D$3:$D$302,D263)&lt;=INDEX(設定!$H$8:$I$27,MATCH(D263,設定!$G$8:$G$27,0),IF($M263=設定!$H$6&amp;"",1,2)),D263,"要調整"),"要調整")))</f>
        <v/>
      </c>
      <c r="H263" s="15" t="n"/>
      <c r="I263" s="24">
        <f>IF(N263="","",IF(H263&lt;&gt;"",H263,IF(OR(G263="",G263="要調整"),"",G263)))</f>
        <v/>
      </c>
      <c r="J263" s="23">
        <f>IF(N263="","",IF(I263&lt;&gt;"","決定",IF(O263="","未提出","要調整")))</f>
        <v/>
      </c>
      <c r="K263" s="23">
        <f>IF(OR(J263&lt;&gt;"要調整",E263=""),"",IFERROR(INDEX(設定!$H$8:$I$27,MATCH(E263,設定!$G$8:$G$27,0),IF($M263=設定!$H$6&amp;"",1,2))-COUNTIFS($M$3:$M$302,M263,$I$3:$I$302,E263),""))</f>
        <v/>
      </c>
      <c r="L263" s="23">
        <f>IF(OR(J263&lt;&gt;"要調整",F263=""),"",IFERROR(INDEX(設定!$H$8:$I$27,MATCH(F263,設定!$G$8:$G$27,0),IF($M263=設定!$H$6&amp;"",1,2))-COUNTIFS($M$3:$M$302,M263,$I$3:$I$302,F263),""))</f>
        <v/>
      </c>
      <c r="M263" s="8">
        <f>IF(N263="","",INDEX(児童名簿!$A$2:$A$301,N263)&amp;"")</f>
        <v/>
      </c>
      <c r="N263" s="8">
        <f>IFERROR(MATCH(SMALL(児童名簿!$G$2:$G$301,261),児童名簿!$G$2:$G$301,0),"")</f>
        <v/>
      </c>
      <c r="O263" s="8">
        <f>IF(P263="","",IFERROR(MATCH(P263,希望入力!$K$2:$K$401,0),""))</f>
        <v/>
      </c>
      <c r="P263" s="8">
        <f>IF(N263="","",INDEX(児童名簿!$F$2:$F$301,N263))</f>
        <v/>
      </c>
      <c r="Q263" s="8">
        <f>IF(I263="","",IFERROR(MATCH(I263,設定!$G$8:$G$27,0),""))</f>
        <v/>
      </c>
      <c r="R263" s="8">
        <f>IF(Q263="","",COUNTIF($Q$3:Q263,Q263))</f>
        <v/>
      </c>
      <c r="S263" s="8">
        <f>IF(Q263="","",Q263*1000+R263)</f>
        <v/>
      </c>
    </row>
    <row r="264">
      <c r="A264" s="23">
        <f>IF(N264="","",IFERROR(INDEX(設定!$C$8:$C$23,INT(INDEX(児童名簿!$G$2:$G$301,N264)/1000)),M264&amp;INDEX(児童名簿!$B$2:$B$301,N264)))</f>
        <v/>
      </c>
      <c r="B264" s="23">
        <f>IF(N264="","",INDEX(児童名簿!$C$2:$C$301,N264))</f>
        <v/>
      </c>
      <c r="C264" s="3">
        <f>IF(N264="","",INDEX(児童名簿!$D$2:$D$301,N264))</f>
        <v/>
      </c>
      <c r="D264" s="23">
        <f>IF(O264="","",INDEX(希望入力!$D$2:$D$401,O264)&amp;"")</f>
        <v/>
      </c>
      <c r="E264" s="23">
        <f>IF(O264="","",INDEX(希望入力!$E$2:$E$401,O264)&amp;"")</f>
        <v/>
      </c>
      <c r="F264" s="23">
        <f>IF(O264="","",INDEX(希望入力!$F$2:$F$401,O264)&amp;"")</f>
        <v/>
      </c>
      <c r="G264" s="23">
        <f>IF(O264="","",IF(D264="","要調整",IFERROR(IF(COUNTIFS($M$3:$M$302,M264,$D$3:$D$302,D264)&lt;=INDEX(設定!$H$8:$I$27,MATCH(D264,設定!$G$8:$G$27,0),IF($M264=設定!$H$6&amp;"",1,2)),D264,"要調整"),"要調整")))</f>
        <v/>
      </c>
      <c r="H264" s="15" t="n"/>
      <c r="I264" s="24">
        <f>IF(N264="","",IF(H264&lt;&gt;"",H264,IF(OR(G264="",G264="要調整"),"",G264)))</f>
        <v/>
      </c>
      <c r="J264" s="23">
        <f>IF(N264="","",IF(I264&lt;&gt;"","決定",IF(O264="","未提出","要調整")))</f>
        <v/>
      </c>
      <c r="K264" s="23">
        <f>IF(OR(J264&lt;&gt;"要調整",E264=""),"",IFERROR(INDEX(設定!$H$8:$I$27,MATCH(E264,設定!$G$8:$G$27,0),IF($M264=設定!$H$6&amp;"",1,2))-COUNTIFS($M$3:$M$302,M264,$I$3:$I$302,E264),""))</f>
        <v/>
      </c>
      <c r="L264" s="23">
        <f>IF(OR(J264&lt;&gt;"要調整",F264=""),"",IFERROR(INDEX(設定!$H$8:$I$27,MATCH(F264,設定!$G$8:$G$27,0),IF($M264=設定!$H$6&amp;"",1,2))-COUNTIFS($M$3:$M$302,M264,$I$3:$I$302,F264),""))</f>
        <v/>
      </c>
      <c r="M264" s="8">
        <f>IF(N264="","",INDEX(児童名簿!$A$2:$A$301,N264)&amp;"")</f>
        <v/>
      </c>
      <c r="N264" s="8">
        <f>IFERROR(MATCH(SMALL(児童名簿!$G$2:$G$301,262),児童名簿!$G$2:$G$301,0),"")</f>
        <v/>
      </c>
      <c r="O264" s="8">
        <f>IF(P264="","",IFERROR(MATCH(P264,希望入力!$K$2:$K$401,0),""))</f>
        <v/>
      </c>
      <c r="P264" s="8">
        <f>IF(N264="","",INDEX(児童名簿!$F$2:$F$301,N264))</f>
        <v/>
      </c>
      <c r="Q264" s="8">
        <f>IF(I264="","",IFERROR(MATCH(I264,設定!$G$8:$G$27,0),""))</f>
        <v/>
      </c>
      <c r="R264" s="8">
        <f>IF(Q264="","",COUNTIF($Q$3:Q264,Q264))</f>
        <v/>
      </c>
      <c r="S264" s="8">
        <f>IF(Q264="","",Q264*1000+R264)</f>
        <v/>
      </c>
    </row>
    <row r="265">
      <c r="A265" s="23">
        <f>IF(N265="","",IFERROR(INDEX(設定!$C$8:$C$23,INT(INDEX(児童名簿!$G$2:$G$301,N265)/1000)),M265&amp;INDEX(児童名簿!$B$2:$B$301,N265)))</f>
        <v/>
      </c>
      <c r="B265" s="23">
        <f>IF(N265="","",INDEX(児童名簿!$C$2:$C$301,N265))</f>
        <v/>
      </c>
      <c r="C265" s="3">
        <f>IF(N265="","",INDEX(児童名簿!$D$2:$D$301,N265))</f>
        <v/>
      </c>
      <c r="D265" s="23">
        <f>IF(O265="","",INDEX(希望入力!$D$2:$D$401,O265)&amp;"")</f>
        <v/>
      </c>
      <c r="E265" s="23">
        <f>IF(O265="","",INDEX(希望入力!$E$2:$E$401,O265)&amp;"")</f>
        <v/>
      </c>
      <c r="F265" s="23">
        <f>IF(O265="","",INDEX(希望入力!$F$2:$F$401,O265)&amp;"")</f>
        <v/>
      </c>
      <c r="G265" s="23">
        <f>IF(O265="","",IF(D265="","要調整",IFERROR(IF(COUNTIFS($M$3:$M$302,M265,$D$3:$D$302,D265)&lt;=INDEX(設定!$H$8:$I$27,MATCH(D265,設定!$G$8:$G$27,0),IF($M265=設定!$H$6&amp;"",1,2)),D265,"要調整"),"要調整")))</f>
        <v/>
      </c>
      <c r="H265" s="15" t="n"/>
      <c r="I265" s="24">
        <f>IF(N265="","",IF(H265&lt;&gt;"",H265,IF(OR(G265="",G265="要調整"),"",G265)))</f>
        <v/>
      </c>
      <c r="J265" s="23">
        <f>IF(N265="","",IF(I265&lt;&gt;"","決定",IF(O265="","未提出","要調整")))</f>
        <v/>
      </c>
      <c r="K265" s="23">
        <f>IF(OR(J265&lt;&gt;"要調整",E265=""),"",IFERROR(INDEX(設定!$H$8:$I$27,MATCH(E265,設定!$G$8:$G$27,0),IF($M265=設定!$H$6&amp;"",1,2))-COUNTIFS($M$3:$M$302,M265,$I$3:$I$302,E265),""))</f>
        <v/>
      </c>
      <c r="L265" s="23">
        <f>IF(OR(J265&lt;&gt;"要調整",F265=""),"",IFERROR(INDEX(設定!$H$8:$I$27,MATCH(F265,設定!$G$8:$G$27,0),IF($M265=設定!$H$6&amp;"",1,2))-COUNTIFS($M$3:$M$302,M265,$I$3:$I$302,F265),""))</f>
        <v/>
      </c>
      <c r="M265" s="8">
        <f>IF(N265="","",INDEX(児童名簿!$A$2:$A$301,N265)&amp;"")</f>
        <v/>
      </c>
      <c r="N265" s="8">
        <f>IFERROR(MATCH(SMALL(児童名簿!$G$2:$G$301,263),児童名簿!$G$2:$G$301,0),"")</f>
        <v/>
      </c>
      <c r="O265" s="8">
        <f>IF(P265="","",IFERROR(MATCH(P265,希望入力!$K$2:$K$401,0),""))</f>
        <v/>
      </c>
      <c r="P265" s="8">
        <f>IF(N265="","",INDEX(児童名簿!$F$2:$F$301,N265))</f>
        <v/>
      </c>
      <c r="Q265" s="8">
        <f>IF(I265="","",IFERROR(MATCH(I265,設定!$G$8:$G$27,0),""))</f>
        <v/>
      </c>
      <c r="R265" s="8">
        <f>IF(Q265="","",COUNTIF($Q$3:Q265,Q265))</f>
        <v/>
      </c>
      <c r="S265" s="8">
        <f>IF(Q265="","",Q265*1000+R265)</f>
        <v/>
      </c>
    </row>
    <row r="266">
      <c r="A266" s="23">
        <f>IF(N266="","",IFERROR(INDEX(設定!$C$8:$C$23,INT(INDEX(児童名簿!$G$2:$G$301,N266)/1000)),M266&amp;INDEX(児童名簿!$B$2:$B$301,N266)))</f>
        <v/>
      </c>
      <c r="B266" s="23">
        <f>IF(N266="","",INDEX(児童名簿!$C$2:$C$301,N266))</f>
        <v/>
      </c>
      <c r="C266" s="3">
        <f>IF(N266="","",INDEX(児童名簿!$D$2:$D$301,N266))</f>
        <v/>
      </c>
      <c r="D266" s="23">
        <f>IF(O266="","",INDEX(希望入力!$D$2:$D$401,O266)&amp;"")</f>
        <v/>
      </c>
      <c r="E266" s="23">
        <f>IF(O266="","",INDEX(希望入力!$E$2:$E$401,O266)&amp;"")</f>
        <v/>
      </c>
      <c r="F266" s="23">
        <f>IF(O266="","",INDEX(希望入力!$F$2:$F$401,O266)&amp;"")</f>
        <v/>
      </c>
      <c r="G266" s="23">
        <f>IF(O266="","",IF(D266="","要調整",IFERROR(IF(COUNTIFS($M$3:$M$302,M266,$D$3:$D$302,D266)&lt;=INDEX(設定!$H$8:$I$27,MATCH(D266,設定!$G$8:$G$27,0),IF($M266=設定!$H$6&amp;"",1,2)),D266,"要調整"),"要調整")))</f>
        <v/>
      </c>
      <c r="H266" s="15" t="n"/>
      <c r="I266" s="24">
        <f>IF(N266="","",IF(H266&lt;&gt;"",H266,IF(OR(G266="",G266="要調整"),"",G266)))</f>
        <v/>
      </c>
      <c r="J266" s="23">
        <f>IF(N266="","",IF(I266&lt;&gt;"","決定",IF(O266="","未提出","要調整")))</f>
        <v/>
      </c>
      <c r="K266" s="23">
        <f>IF(OR(J266&lt;&gt;"要調整",E266=""),"",IFERROR(INDEX(設定!$H$8:$I$27,MATCH(E266,設定!$G$8:$G$27,0),IF($M266=設定!$H$6&amp;"",1,2))-COUNTIFS($M$3:$M$302,M266,$I$3:$I$302,E266),""))</f>
        <v/>
      </c>
      <c r="L266" s="23">
        <f>IF(OR(J266&lt;&gt;"要調整",F266=""),"",IFERROR(INDEX(設定!$H$8:$I$27,MATCH(F266,設定!$G$8:$G$27,0),IF($M266=設定!$H$6&amp;"",1,2))-COUNTIFS($M$3:$M$302,M266,$I$3:$I$302,F266),""))</f>
        <v/>
      </c>
      <c r="M266" s="8">
        <f>IF(N266="","",INDEX(児童名簿!$A$2:$A$301,N266)&amp;"")</f>
        <v/>
      </c>
      <c r="N266" s="8">
        <f>IFERROR(MATCH(SMALL(児童名簿!$G$2:$G$301,264),児童名簿!$G$2:$G$301,0),"")</f>
        <v/>
      </c>
      <c r="O266" s="8">
        <f>IF(P266="","",IFERROR(MATCH(P266,希望入力!$K$2:$K$401,0),""))</f>
        <v/>
      </c>
      <c r="P266" s="8">
        <f>IF(N266="","",INDEX(児童名簿!$F$2:$F$301,N266))</f>
        <v/>
      </c>
      <c r="Q266" s="8">
        <f>IF(I266="","",IFERROR(MATCH(I266,設定!$G$8:$G$27,0),""))</f>
        <v/>
      </c>
      <c r="R266" s="8">
        <f>IF(Q266="","",COUNTIF($Q$3:Q266,Q266))</f>
        <v/>
      </c>
      <c r="S266" s="8">
        <f>IF(Q266="","",Q266*1000+R266)</f>
        <v/>
      </c>
    </row>
    <row r="267">
      <c r="A267" s="23">
        <f>IF(N267="","",IFERROR(INDEX(設定!$C$8:$C$23,INT(INDEX(児童名簿!$G$2:$G$301,N267)/1000)),M267&amp;INDEX(児童名簿!$B$2:$B$301,N267)))</f>
        <v/>
      </c>
      <c r="B267" s="23">
        <f>IF(N267="","",INDEX(児童名簿!$C$2:$C$301,N267))</f>
        <v/>
      </c>
      <c r="C267" s="3">
        <f>IF(N267="","",INDEX(児童名簿!$D$2:$D$301,N267))</f>
        <v/>
      </c>
      <c r="D267" s="23">
        <f>IF(O267="","",INDEX(希望入力!$D$2:$D$401,O267)&amp;"")</f>
        <v/>
      </c>
      <c r="E267" s="23">
        <f>IF(O267="","",INDEX(希望入力!$E$2:$E$401,O267)&amp;"")</f>
        <v/>
      </c>
      <c r="F267" s="23">
        <f>IF(O267="","",INDEX(希望入力!$F$2:$F$401,O267)&amp;"")</f>
        <v/>
      </c>
      <c r="G267" s="23">
        <f>IF(O267="","",IF(D267="","要調整",IFERROR(IF(COUNTIFS($M$3:$M$302,M267,$D$3:$D$302,D267)&lt;=INDEX(設定!$H$8:$I$27,MATCH(D267,設定!$G$8:$G$27,0),IF($M267=設定!$H$6&amp;"",1,2)),D267,"要調整"),"要調整")))</f>
        <v/>
      </c>
      <c r="H267" s="15" t="n"/>
      <c r="I267" s="24">
        <f>IF(N267="","",IF(H267&lt;&gt;"",H267,IF(OR(G267="",G267="要調整"),"",G267)))</f>
        <v/>
      </c>
      <c r="J267" s="23">
        <f>IF(N267="","",IF(I267&lt;&gt;"","決定",IF(O267="","未提出","要調整")))</f>
        <v/>
      </c>
      <c r="K267" s="23">
        <f>IF(OR(J267&lt;&gt;"要調整",E267=""),"",IFERROR(INDEX(設定!$H$8:$I$27,MATCH(E267,設定!$G$8:$G$27,0),IF($M267=設定!$H$6&amp;"",1,2))-COUNTIFS($M$3:$M$302,M267,$I$3:$I$302,E267),""))</f>
        <v/>
      </c>
      <c r="L267" s="23">
        <f>IF(OR(J267&lt;&gt;"要調整",F267=""),"",IFERROR(INDEX(設定!$H$8:$I$27,MATCH(F267,設定!$G$8:$G$27,0),IF($M267=設定!$H$6&amp;"",1,2))-COUNTIFS($M$3:$M$302,M267,$I$3:$I$302,F267),""))</f>
        <v/>
      </c>
      <c r="M267" s="8">
        <f>IF(N267="","",INDEX(児童名簿!$A$2:$A$301,N267)&amp;"")</f>
        <v/>
      </c>
      <c r="N267" s="8">
        <f>IFERROR(MATCH(SMALL(児童名簿!$G$2:$G$301,265),児童名簿!$G$2:$G$301,0),"")</f>
        <v/>
      </c>
      <c r="O267" s="8">
        <f>IF(P267="","",IFERROR(MATCH(P267,希望入力!$K$2:$K$401,0),""))</f>
        <v/>
      </c>
      <c r="P267" s="8">
        <f>IF(N267="","",INDEX(児童名簿!$F$2:$F$301,N267))</f>
        <v/>
      </c>
      <c r="Q267" s="8">
        <f>IF(I267="","",IFERROR(MATCH(I267,設定!$G$8:$G$27,0),""))</f>
        <v/>
      </c>
      <c r="R267" s="8">
        <f>IF(Q267="","",COUNTIF($Q$3:Q267,Q267))</f>
        <v/>
      </c>
      <c r="S267" s="8">
        <f>IF(Q267="","",Q267*1000+R267)</f>
        <v/>
      </c>
    </row>
    <row r="268">
      <c r="A268" s="23">
        <f>IF(N268="","",IFERROR(INDEX(設定!$C$8:$C$23,INT(INDEX(児童名簿!$G$2:$G$301,N268)/1000)),M268&amp;INDEX(児童名簿!$B$2:$B$301,N268)))</f>
        <v/>
      </c>
      <c r="B268" s="23">
        <f>IF(N268="","",INDEX(児童名簿!$C$2:$C$301,N268))</f>
        <v/>
      </c>
      <c r="C268" s="3">
        <f>IF(N268="","",INDEX(児童名簿!$D$2:$D$301,N268))</f>
        <v/>
      </c>
      <c r="D268" s="23">
        <f>IF(O268="","",INDEX(希望入力!$D$2:$D$401,O268)&amp;"")</f>
        <v/>
      </c>
      <c r="E268" s="23">
        <f>IF(O268="","",INDEX(希望入力!$E$2:$E$401,O268)&amp;"")</f>
        <v/>
      </c>
      <c r="F268" s="23">
        <f>IF(O268="","",INDEX(希望入力!$F$2:$F$401,O268)&amp;"")</f>
        <v/>
      </c>
      <c r="G268" s="23">
        <f>IF(O268="","",IF(D268="","要調整",IFERROR(IF(COUNTIFS($M$3:$M$302,M268,$D$3:$D$302,D268)&lt;=INDEX(設定!$H$8:$I$27,MATCH(D268,設定!$G$8:$G$27,0),IF($M268=設定!$H$6&amp;"",1,2)),D268,"要調整"),"要調整")))</f>
        <v/>
      </c>
      <c r="H268" s="15" t="n"/>
      <c r="I268" s="24">
        <f>IF(N268="","",IF(H268&lt;&gt;"",H268,IF(OR(G268="",G268="要調整"),"",G268)))</f>
        <v/>
      </c>
      <c r="J268" s="23">
        <f>IF(N268="","",IF(I268&lt;&gt;"","決定",IF(O268="","未提出","要調整")))</f>
        <v/>
      </c>
      <c r="K268" s="23">
        <f>IF(OR(J268&lt;&gt;"要調整",E268=""),"",IFERROR(INDEX(設定!$H$8:$I$27,MATCH(E268,設定!$G$8:$G$27,0),IF($M268=設定!$H$6&amp;"",1,2))-COUNTIFS($M$3:$M$302,M268,$I$3:$I$302,E268),""))</f>
        <v/>
      </c>
      <c r="L268" s="23">
        <f>IF(OR(J268&lt;&gt;"要調整",F268=""),"",IFERROR(INDEX(設定!$H$8:$I$27,MATCH(F268,設定!$G$8:$G$27,0),IF($M268=設定!$H$6&amp;"",1,2))-COUNTIFS($M$3:$M$302,M268,$I$3:$I$302,F268),""))</f>
        <v/>
      </c>
      <c r="M268" s="8">
        <f>IF(N268="","",INDEX(児童名簿!$A$2:$A$301,N268)&amp;"")</f>
        <v/>
      </c>
      <c r="N268" s="8">
        <f>IFERROR(MATCH(SMALL(児童名簿!$G$2:$G$301,266),児童名簿!$G$2:$G$301,0),"")</f>
        <v/>
      </c>
      <c r="O268" s="8">
        <f>IF(P268="","",IFERROR(MATCH(P268,希望入力!$K$2:$K$401,0),""))</f>
        <v/>
      </c>
      <c r="P268" s="8">
        <f>IF(N268="","",INDEX(児童名簿!$F$2:$F$301,N268))</f>
        <v/>
      </c>
      <c r="Q268" s="8">
        <f>IF(I268="","",IFERROR(MATCH(I268,設定!$G$8:$G$27,0),""))</f>
        <v/>
      </c>
      <c r="R268" s="8">
        <f>IF(Q268="","",COUNTIF($Q$3:Q268,Q268))</f>
        <v/>
      </c>
      <c r="S268" s="8">
        <f>IF(Q268="","",Q268*1000+R268)</f>
        <v/>
      </c>
    </row>
    <row r="269">
      <c r="A269" s="23">
        <f>IF(N269="","",IFERROR(INDEX(設定!$C$8:$C$23,INT(INDEX(児童名簿!$G$2:$G$301,N269)/1000)),M269&amp;INDEX(児童名簿!$B$2:$B$301,N269)))</f>
        <v/>
      </c>
      <c r="B269" s="23">
        <f>IF(N269="","",INDEX(児童名簿!$C$2:$C$301,N269))</f>
        <v/>
      </c>
      <c r="C269" s="3">
        <f>IF(N269="","",INDEX(児童名簿!$D$2:$D$301,N269))</f>
        <v/>
      </c>
      <c r="D269" s="23">
        <f>IF(O269="","",INDEX(希望入力!$D$2:$D$401,O269)&amp;"")</f>
        <v/>
      </c>
      <c r="E269" s="23">
        <f>IF(O269="","",INDEX(希望入力!$E$2:$E$401,O269)&amp;"")</f>
        <v/>
      </c>
      <c r="F269" s="23">
        <f>IF(O269="","",INDEX(希望入力!$F$2:$F$401,O269)&amp;"")</f>
        <v/>
      </c>
      <c r="G269" s="23">
        <f>IF(O269="","",IF(D269="","要調整",IFERROR(IF(COUNTIFS($M$3:$M$302,M269,$D$3:$D$302,D269)&lt;=INDEX(設定!$H$8:$I$27,MATCH(D269,設定!$G$8:$G$27,0),IF($M269=設定!$H$6&amp;"",1,2)),D269,"要調整"),"要調整")))</f>
        <v/>
      </c>
      <c r="H269" s="15" t="n"/>
      <c r="I269" s="24">
        <f>IF(N269="","",IF(H269&lt;&gt;"",H269,IF(OR(G269="",G269="要調整"),"",G269)))</f>
        <v/>
      </c>
      <c r="J269" s="23">
        <f>IF(N269="","",IF(I269&lt;&gt;"","決定",IF(O269="","未提出","要調整")))</f>
        <v/>
      </c>
      <c r="K269" s="23">
        <f>IF(OR(J269&lt;&gt;"要調整",E269=""),"",IFERROR(INDEX(設定!$H$8:$I$27,MATCH(E269,設定!$G$8:$G$27,0),IF($M269=設定!$H$6&amp;"",1,2))-COUNTIFS($M$3:$M$302,M269,$I$3:$I$302,E269),""))</f>
        <v/>
      </c>
      <c r="L269" s="23">
        <f>IF(OR(J269&lt;&gt;"要調整",F269=""),"",IFERROR(INDEX(設定!$H$8:$I$27,MATCH(F269,設定!$G$8:$G$27,0),IF($M269=設定!$H$6&amp;"",1,2))-COUNTIFS($M$3:$M$302,M269,$I$3:$I$302,F269),""))</f>
        <v/>
      </c>
      <c r="M269" s="8">
        <f>IF(N269="","",INDEX(児童名簿!$A$2:$A$301,N269)&amp;"")</f>
        <v/>
      </c>
      <c r="N269" s="8">
        <f>IFERROR(MATCH(SMALL(児童名簿!$G$2:$G$301,267),児童名簿!$G$2:$G$301,0),"")</f>
        <v/>
      </c>
      <c r="O269" s="8">
        <f>IF(P269="","",IFERROR(MATCH(P269,希望入力!$K$2:$K$401,0),""))</f>
        <v/>
      </c>
      <c r="P269" s="8">
        <f>IF(N269="","",INDEX(児童名簿!$F$2:$F$301,N269))</f>
        <v/>
      </c>
      <c r="Q269" s="8">
        <f>IF(I269="","",IFERROR(MATCH(I269,設定!$G$8:$G$27,0),""))</f>
        <v/>
      </c>
      <c r="R269" s="8">
        <f>IF(Q269="","",COUNTIF($Q$3:Q269,Q269))</f>
        <v/>
      </c>
      <c r="S269" s="8">
        <f>IF(Q269="","",Q269*1000+R269)</f>
        <v/>
      </c>
    </row>
    <row r="270">
      <c r="A270" s="23">
        <f>IF(N270="","",IFERROR(INDEX(設定!$C$8:$C$23,INT(INDEX(児童名簿!$G$2:$G$301,N270)/1000)),M270&amp;INDEX(児童名簿!$B$2:$B$301,N270)))</f>
        <v/>
      </c>
      <c r="B270" s="23">
        <f>IF(N270="","",INDEX(児童名簿!$C$2:$C$301,N270))</f>
        <v/>
      </c>
      <c r="C270" s="3">
        <f>IF(N270="","",INDEX(児童名簿!$D$2:$D$301,N270))</f>
        <v/>
      </c>
      <c r="D270" s="23">
        <f>IF(O270="","",INDEX(希望入力!$D$2:$D$401,O270)&amp;"")</f>
        <v/>
      </c>
      <c r="E270" s="23">
        <f>IF(O270="","",INDEX(希望入力!$E$2:$E$401,O270)&amp;"")</f>
        <v/>
      </c>
      <c r="F270" s="23">
        <f>IF(O270="","",INDEX(希望入力!$F$2:$F$401,O270)&amp;"")</f>
        <v/>
      </c>
      <c r="G270" s="23">
        <f>IF(O270="","",IF(D270="","要調整",IFERROR(IF(COUNTIFS($M$3:$M$302,M270,$D$3:$D$302,D270)&lt;=INDEX(設定!$H$8:$I$27,MATCH(D270,設定!$G$8:$G$27,0),IF($M270=設定!$H$6&amp;"",1,2)),D270,"要調整"),"要調整")))</f>
        <v/>
      </c>
      <c r="H270" s="15" t="n"/>
      <c r="I270" s="24">
        <f>IF(N270="","",IF(H270&lt;&gt;"",H270,IF(OR(G270="",G270="要調整"),"",G270)))</f>
        <v/>
      </c>
      <c r="J270" s="23">
        <f>IF(N270="","",IF(I270&lt;&gt;"","決定",IF(O270="","未提出","要調整")))</f>
        <v/>
      </c>
      <c r="K270" s="23">
        <f>IF(OR(J270&lt;&gt;"要調整",E270=""),"",IFERROR(INDEX(設定!$H$8:$I$27,MATCH(E270,設定!$G$8:$G$27,0),IF($M270=設定!$H$6&amp;"",1,2))-COUNTIFS($M$3:$M$302,M270,$I$3:$I$302,E270),""))</f>
        <v/>
      </c>
      <c r="L270" s="23">
        <f>IF(OR(J270&lt;&gt;"要調整",F270=""),"",IFERROR(INDEX(設定!$H$8:$I$27,MATCH(F270,設定!$G$8:$G$27,0),IF($M270=設定!$H$6&amp;"",1,2))-COUNTIFS($M$3:$M$302,M270,$I$3:$I$302,F270),""))</f>
        <v/>
      </c>
      <c r="M270" s="8">
        <f>IF(N270="","",INDEX(児童名簿!$A$2:$A$301,N270)&amp;"")</f>
        <v/>
      </c>
      <c r="N270" s="8">
        <f>IFERROR(MATCH(SMALL(児童名簿!$G$2:$G$301,268),児童名簿!$G$2:$G$301,0),"")</f>
        <v/>
      </c>
      <c r="O270" s="8">
        <f>IF(P270="","",IFERROR(MATCH(P270,希望入力!$K$2:$K$401,0),""))</f>
        <v/>
      </c>
      <c r="P270" s="8">
        <f>IF(N270="","",INDEX(児童名簿!$F$2:$F$301,N270))</f>
        <v/>
      </c>
      <c r="Q270" s="8">
        <f>IF(I270="","",IFERROR(MATCH(I270,設定!$G$8:$G$27,0),""))</f>
        <v/>
      </c>
      <c r="R270" s="8">
        <f>IF(Q270="","",COUNTIF($Q$3:Q270,Q270))</f>
        <v/>
      </c>
      <c r="S270" s="8">
        <f>IF(Q270="","",Q270*1000+R270)</f>
        <v/>
      </c>
    </row>
    <row r="271">
      <c r="A271" s="23">
        <f>IF(N271="","",IFERROR(INDEX(設定!$C$8:$C$23,INT(INDEX(児童名簿!$G$2:$G$301,N271)/1000)),M271&amp;INDEX(児童名簿!$B$2:$B$301,N271)))</f>
        <v/>
      </c>
      <c r="B271" s="23">
        <f>IF(N271="","",INDEX(児童名簿!$C$2:$C$301,N271))</f>
        <v/>
      </c>
      <c r="C271" s="3">
        <f>IF(N271="","",INDEX(児童名簿!$D$2:$D$301,N271))</f>
        <v/>
      </c>
      <c r="D271" s="23">
        <f>IF(O271="","",INDEX(希望入力!$D$2:$D$401,O271)&amp;"")</f>
        <v/>
      </c>
      <c r="E271" s="23">
        <f>IF(O271="","",INDEX(希望入力!$E$2:$E$401,O271)&amp;"")</f>
        <v/>
      </c>
      <c r="F271" s="23">
        <f>IF(O271="","",INDEX(希望入力!$F$2:$F$401,O271)&amp;"")</f>
        <v/>
      </c>
      <c r="G271" s="23">
        <f>IF(O271="","",IF(D271="","要調整",IFERROR(IF(COUNTIFS($M$3:$M$302,M271,$D$3:$D$302,D271)&lt;=INDEX(設定!$H$8:$I$27,MATCH(D271,設定!$G$8:$G$27,0),IF($M271=設定!$H$6&amp;"",1,2)),D271,"要調整"),"要調整")))</f>
        <v/>
      </c>
      <c r="H271" s="15" t="n"/>
      <c r="I271" s="24">
        <f>IF(N271="","",IF(H271&lt;&gt;"",H271,IF(OR(G271="",G271="要調整"),"",G271)))</f>
        <v/>
      </c>
      <c r="J271" s="23">
        <f>IF(N271="","",IF(I271&lt;&gt;"","決定",IF(O271="","未提出","要調整")))</f>
        <v/>
      </c>
      <c r="K271" s="23">
        <f>IF(OR(J271&lt;&gt;"要調整",E271=""),"",IFERROR(INDEX(設定!$H$8:$I$27,MATCH(E271,設定!$G$8:$G$27,0),IF($M271=設定!$H$6&amp;"",1,2))-COUNTIFS($M$3:$M$302,M271,$I$3:$I$302,E271),""))</f>
        <v/>
      </c>
      <c r="L271" s="23">
        <f>IF(OR(J271&lt;&gt;"要調整",F271=""),"",IFERROR(INDEX(設定!$H$8:$I$27,MATCH(F271,設定!$G$8:$G$27,0),IF($M271=設定!$H$6&amp;"",1,2))-COUNTIFS($M$3:$M$302,M271,$I$3:$I$302,F271),""))</f>
        <v/>
      </c>
      <c r="M271" s="8">
        <f>IF(N271="","",INDEX(児童名簿!$A$2:$A$301,N271)&amp;"")</f>
        <v/>
      </c>
      <c r="N271" s="8">
        <f>IFERROR(MATCH(SMALL(児童名簿!$G$2:$G$301,269),児童名簿!$G$2:$G$301,0),"")</f>
        <v/>
      </c>
      <c r="O271" s="8">
        <f>IF(P271="","",IFERROR(MATCH(P271,希望入力!$K$2:$K$401,0),""))</f>
        <v/>
      </c>
      <c r="P271" s="8">
        <f>IF(N271="","",INDEX(児童名簿!$F$2:$F$301,N271))</f>
        <v/>
      </c>
      <c r="Q271" s="8">
        <f>IF(I271="","",IFERROR(MATCH(I271,設定!$G$8:$G$27,0),""))</f>
        <v/>
      </c>
      <c r="R271" s="8">
        <f>IF(Q271="","",COUNTIF($Q$3:Q271,Q271))</f>
        <v/>
      </c>
      <c r="S271" s="8">
        <f>IF(Q271="","",Q271*1000+R271)</f>
        <v/>
      </c>
    </row>
    <row r="272">
      <c r="A272" s="23">
        <f>IF(N272="","",IFERROR(INDEX(設定!$C$8:$C$23,INT(INDEX(児童名簿!$G$2:$G$301,N272)/1000)),M272&amp;INDEX(児童名簿!$B$2:$B$301,N272)))</f>
        <v/>
      </c>
      <c r="B272" s="23">
        <f>IF(N272="","",INDEX(児童名簿!$C$2:$C$301,N272))</f>
        <v/>
      </c>
      <c r="C272" s="3">
        <f>IF(N272="","",INDEX(児童名簿!$D$2:$D$301,N272))</f>
        <v/>
      </c>
      <c r="D272" s="23">
        <f>IF(O272="","",INDEX(希望入力!$D$2:$D$401,O272)&amp;"")</f>
        <v/>
      </c>
      <c r="E272" s="23">
        <f>IF(O272="","",INDEX(希望入力!$E$2:$E$401,O272)&amp;"")</f>
        <v/>
      </c>
      <c r="F272" s="23">
        <f>IF(O272="","",INDEX(希望入力!$F$2:$F$401,O272)&amp;"")</f>
        <v/>
      </c>
      <c r="G272" s="23">
        <f>IF(O272="","",IF(D272="","要調整",IFERROR(IF(COUNTIFS($M$3:$M$302,M272,$D$3:$D$302,D272)&lt;=INDEX(設定!$H$8:$I$27,MATCH(D272,設定!$G$8:$G$27,0),IF($M272=設定!$H$6&amp;"",1,2)),D272,"要調整"),"要調整")))</f>
        <v/>
      </c>
      <c r="H272" s="15" t="n"/>
      <c r="I272" s="24">
        <f>IF(N272="","",IF(H272&lt;&gt;"",H272,IF(OR(G272="",G272="要調整"),"",G272)))</f>
        <v/>
      </c>
      <c r="J272" s="23">
        <f>IF(N272="","",IF(I272&lt;&gt;"","決定",IF(O272="","未提出","要調整")))</f>
        <v/>
      </c>
      <c r="K272" s="23">
        <f>IF(OR(J272&lt;&gt;"要調整",E272=""),"",IFERROR(INDEX(設定!$H$8:$I$27,MATCH(E272,設定!$G$8:$G$27,0),IF($M272=設定!$H$6&amp;"",1,2))-COUNTIFS($M$3:$M$302,M272,$I$3:$I$302,E272),""))</f>
        <v/>
      </c>
      <c r="L272" s="23">
        <f>IF(OR(J272&lt;&gt;"要調整",F272=""),"",IFERROR(INDEX(設定!$H$8:$I$27,MATCH(F272,設定!$G$8:$G$27,0),IF($M272=設定!$H$6&amp;"",1,2))-COUNTIFS($M$3:$M$302,M272,$I$3:$I$302,F272),""))</f>
        <v/>
      </c>
      <c r="M272" s="8">
        <f>IF(N272="","",INDEX(児童名簿!$A$2:$A$301,N272)&amp;"")</f>
        <v/>
      </c>
      <c r="N272" s="8">
        <f>IFERROR(MATCH(SMALL(児童名簿!$G$2:$G$301,270),児童名簿!$G$2:$G$301,0),"")</f>
        <v/>
      </c>
      <c r="O272" s="8">
        <f>IF(P272="","",IFERROR(MATCH(P272,希望入力!$K$2:$K$401,0),""))</f>
        <v/>
      </c>
      <c r="P272" s="8">
        <f>IF(N272="","",INDEX(児童名簿!$F$2:$F$301,N272))</f>
        <v/>
      </c>
      <c r="Q272" s="8">
        <f>IF(I272="","",IFERROR(MATCH(I272,設定!$G$8:$G$27,0),""))</f>
        <v/>
      </c>
      <c r="R272" s="8">
        <f>IF(Q272="","",COUNTIF($Q$3:Q272,Q272))</f>
        <v/>
      </c>
      <c r="S272" s="8">
        <f>IF(Q272="","",Q272*1000+R272)</f>
        <v/>
      </c>
    </row>
    <row r="273">
      <c r="A273" s="23">
        <f>IF(N273="","",IFERROR(INDEX(設定!$C$8:$C$23,INT(INDEX(児童名簿!$G$2:$G$301,N273)/1000)),M273&amp;INDEX(児童名簿!$B$2:$B$301,N273)))</f>
        <v/>
      </c>
      <c r="B273" s="23">
        <f>IF(N273="","",INDEX(児童名簿!$C$2:$C$301,N273))</f>
        <v/>
      </c>
      <c r="C273" s="3">
        <f>IF(N273="","",INDEX(児童名簿!$D$2:$D$301,N273))</f>
        <v/>
      </c>
      <c r="D273" s="23">
        <f>IF(O273="","",INDEX(希望入力!$D$2:$D$401,O273)&amp;"")</f>
        <v/>
      </c>
      <c r="E273" s="23">
        <f>IF(O273="","",INDEX(希望入力!$E$2:$E$401,O273)&amp;"")</f>
        <v/>
      </c>
      <c r="F273" s="23">
        <f>IF(O273="","",INDEX(希望入力!$F$2:$F$401,O273)&amp;"")</f>
        <v/>
      </c>
      <c r="G273" s="23">
        <f>IF(O273="","",IF(D273="","要調整",IFERROR(IF(COUNTIFS($M$3:$M$302,M273,$D$3:$D$302,D273)&lt;=INDEX(設定!$H$8:$I$27,MATCH(D273,設定!$G$8:$G$27,0),IF($M273=設定!$H$6&amp;"",1,2)),D273,"要調整"),"要調整")))</f>
        <v/>
      </c>
      <c r="H273" s="15" t="n"/>
      <c r="I273" s="24">
        <f>IF(N273="","",IF(H273&lt;&gt;"",H273,IF(OR(G273="",G273="要調整"),"",G273)))</f>
        <v/>
      </c>
      <c r="J273" s="23">
        <f>IF(N273="","",IF(I273&lt;&gt;"","決定",IF(O273="","未提出","要調整")))</f>
        <v/>
      </c>
      <c r="K273" s="23">
        <f>IF(OR(J273&lt;&gt;"要調整",E273=""),"",IFERROR(INDEX(設定!$H$8:$I$27,MATCH(E273,設定!$G$8:$G$27,0),IF($M273=設定!$H$6&amp;"",1,2))-COUNTIFS($M$3:$M$302,M273,$I$3:$I$302,E273),""))</f>
        <v/>
      </c>
      <c r="L273" s="23">
        <f>IF(OR(J273&lt;&gt;"要調整",F273=""),"",IFERROR(INDEX(設定!$H$8:$I$27,MATCH(F273,設定!$G$8:$G$27,0),IF($M273=設定!$H$6&amp;"",1,2))-COUNTIFS($M$3:$M$302,M273,$I$3:$I$302,F273),""))</f>
        <v/>
      </c>
      <c r="M273" s="8">
        <f>IF(N273="","",INDEX(児童名簿!$A$2:$A$301,N273)&amp;"")</f>
        <v/>
      </c>
      <c r="N273" s="8">
        <f>IFERROR(MATCH(SMALL(児童名簿!$G$2:$G$301,271),児童名簿!$G$2:$G$301,0),"")</f>
        <v/>
      </c>
      <c r="O273" s="8">
        <f>IF(P273="","",IFERROR(MATCH(P273,希望入力!$K$2:$K$401,0),""))</f>
        <v/>
      </c>
      <c r="P273" s="8">
        <f>IF(N273="","",INDEX(児童名簿!$F$2:$F$301,N273))</f>
        <v/>
      </c>
      <c r="Q273" s="8">
        <f>IF(I273="","",IFERROR(MATCH(I273,設定!$G$8:$G$27,0),""))</f>
        <v/>
      </c>
      <c r="R273" s="8">
        <f>IF(Q273="","",COUNTIF($Q$3:Q273,Q273))</f>
        <v/>
      </c>
      <c r="S273" s="8">
        <f>IF(Q273="","",Q273*1000+R273)</f>
        <v/>
      </c>
    </row>
    <row r="274">
      <c r="A274" s="23">
        <f>IF(N274="","",IFERROR(INDEX(設定!$C$8:$C$23,INT(INDEX(児童名簿!$G$2:$G$301,N274)/1000)),M274&amp;INDEX(児童名簿!$B$2:$B$301,N274)))</f>
        <v/>
      </c>
      <c r="B274" s="23">
        <f>IF(N274="","",INDEX(児童名簿!$C$2:$C$301,N274))</f>
        <v/>
      </c>
      <c r="C274" s="3">
        <f>IF(N274="","",INDEX(児童名簿!$D$2:$D$301,N274))</f>
        <v/>
      </c>
      <c r="D274" s="23">
        <f>IF(O274="","",INDEX(希望入力!$D$2:$D$401,O274)&amp;"")</f>
        <v/>
      </c>
      <c r="E274" s="23">
        <f>IF(O274="","",INDEX(希望入力!$E$2:$E$401,O274)&amp;"")</f>
        <v/>
      </c>
      <c r="F274" s="23">
        <f>IF(O274="","",INDEX(希望入力!$F$2:$F$401,O274)&amp;"")</f>
        <v/>
      </c>
      <c r="G274" s="23">
        <f>IF(O274="","",IF(D274="","要調整",IFERROR(IF(COUNTIFS($M$3:$M$302,M274,$D$3:$D$302,D274)&lt;=INDEX(設定!$H$8:$I$27,MATCH(D274,設定!$G$8:$G$27,0),IF($M274=設定!$H$6&amp;"",1,2)),D274,"要調整"),"要調整")))</f>
        <v/>
      </c>
      <c r="H274" s="15" t="n"/>
      <c r="I274" s="24">
        <f>IF(N274="","",IF(H274&lt;&gt;"",H274,IF(OR(G274="",G274="要調整"),"",G274)))</f>
        <v/>
      </c>
      <c r="J274" s="23">
        <f>IF(N274="","",IF(I274&lt;&gt;"","決定",IF(O274="","未提出","要調整")))</f>
        <v/>
      </c>
      <c r="K274" s="23">
        <f>IF(OR(J274&lt;&gt;"要調整",E274=""),"",IFERROR(INDEX(設定!$H$8:$I$27,MATCH(E274,設定!$G$8:$G$27,0),IF($M274=設定!$H$6&amp;"",1,2))-COUNTIFS($M$3:$M$302,M274,$I$3:$I$302,E274),""))</f>
        <v/>
      </c>
      <c r="L274" s="23">
        <f>IF(OR(J274&lt;&gt;"要調整",F274=""),"",IFERROR(INDEX(設定!$H$8:$I$27,MATCH(F274,設定!$G$8:$G$27,0),IF($M274=設定!$H$6&amp;"",1,2))-COUNTIFS($M$3:$M$302,M274,$I$3:$I$302,F274),""))</f>
        <v/>
      </c>
      <c r="M274" s="8">
        <f>IF(N274="","",INDEX(児童名簿!$A$2:$A$301,N274)&amp;"")</f>
        <v/>
      </c>
      <c r="N274" s="8">
        <f>IFERROR(MATCH(SMALL(児童名簿!$G$2:$G$301,272),児童名簿!$G$2:$G$301,0),"")</f>
        <v/>
      </c>
      <c r="O274" s="8">
        <f>IF(P274="","",IFERROR(MATCH(P274,希望入力!$K$2:$K$401,0),""))</f>
        <v/>
      </c>
      <c r="P274" s="8">
        <f>IF(N274="","",INDEX(児童名簿!$F$2:$F$301,N274))</f>
        <v/>
      </c>
      <c r="Q274" s="8">
        <f>IF(I274="","",IFERROR(MATCH(I274,設定!$G$8:$G$27,0),""))</f>
        <v/>
      </c>
      <c r="R274" s="8">
        <f>IF(Q274="","",COUNTIF($Q$3:Q274,Q274))</f>
        <v/>
      </c>
      <c r="S274" s="8">
        <f>IF(Q274="","",Q274*1000+R274)</f>
        <v/>
      </c>
    </row>
    <row r="275">
      <c r="A275" s="23">
        <f>IF(N275="","",IFERROR(INDEX(設定!$C$8:$C$23,INT(INDEX(児童名簿!$G$2:$G$301,N275)/1000)),M275&amp;INDEX(児童名簿!$B$2:$B$301,N275)))</f>
        <v/>
      </c>
      <c r="B275" s="23">
        <f>IF(N275="","",INDEX(児童名簿!$C$2:$C$301,N275))</f>
        <v/>
      </c>
      <c r="C275" s="3">
        <f>IF(N275="","",INDEX(児童名簿!$D$2:$D$301,N275))</f>
        <v/>
      </c>
      <c r="D275" s="23">
        <f>IF(O275="","",INDEX(希望入力!$D$2:$D$401,O275)&amp;"")</f>
        <v/>
      </c>
      <c r="E275" s="23">
        <f>IF(O275="","",INDEX(希望入力!$E$2:$E$401,O275)&amp;"")</f>
        <v/>
      </c>
      <c r="F275" s="23">
        <f>IF(O275="","",INDEX(希望入力!$F$2:$F$401,O275)&amp;"")</f>
        <v/>
      </c>
      <c r="G275" s="23">
        <f>IF(O275="","",IF(D275="","要調整",IFERROR(IF(COUNTIFS($M$3:$M$302,M275,$D$3:$D$302,D275)&lt;=INDEX(設定!$H$8:$I$27,MATCH(D275,設定!$G$8:$G$27,0),IF($M275=設定!$H$6&amp;"",1,2)),D275,"要調整"),"要調整")))</f>
        <v/>
      </c>
      <c r="H275" s="15" t="n"/>
      <c r="I275" s="24">
        <f>IF(N275="","",IF(H275&lt;&gt;"",H275,IF(OR(G275="",G275="要調整"),"",G275)))</f>
        <v/>
      </c>
      <c r="J275" s="23">
        <f>IF(N275="","",IF(I275&lt;&gt;"","決定",IF(O275="","未提出","要調整")))</f>
        <v/>
      </c>
      <c r="K275" s="23">
        <f>IF(OR(J275&lt;&gt;"要調整",E275=""),"",IFERROR(INDEX(設定!$H$8:$I$27,MATCH(E275,設定!$G$8:$G$27,0),IF($M275=設定!$H$6&amp;"",1,2))-COUNTIFS($M$3:$M$302,M275,$I$3:$I$302,E275),""))</f>
        <v/>
      </c>
      <c r="L275" s="23">
        <f>IF(OR(J275&lt;&gt;"要調整",F275=""),"",IFERROR(INDEX(設定!$H$8:$I$27,MATCH(F275,設定!$G$8:$G$27,0),IF($M275=設定!$H$6&amp;"",1,2))-COUNTIFS($M$3:$M$302,M275,$I$3:$I$302,F275),""))</f>
        <v/>
      </c>
      <c r="M275" s="8">
        <f>IF(N275="","",INDEX(児童名簿!$A$2:$A$301,N275)&amp;"")</f>
        <v/>
      </c>
      <c r="N275" s="8">
        <f>IFERROR(MATCH(SMALL(児童名簿!$G$2:$G$301,273),児童名簿!$G$2:$G$301,0),"")</f>
        <v/>
      </c>
      <c r="O275" s="8">
        <f>IF(P275="","",IFERROR(MATCH(P275,希望入力!$K$2:$K$401,0),""))</f>
        <v/>
      </c>
      <c r="P275" s="8">
        <f>IF(N275="","",INDEX(児童名簿!$F$2:$F$301,N275))</f>
        <v/>
      </c>
      <c r="Q275" s="8">
        <f>IF(I275="","",IFERROR(MATCH(I275,設定!$G$8:$G$27,0),""))</f>
        <v/>
      </c>
      <c r="R275" s="8">
        <f>IF(Q275="","",COUNTIF($Q$3:Q275,Q275))</f>
        <v/>
      </c>
      <c r="S275" s="8">
        <f>IF(Q275="","",Q275*1000+R275)</f>
        <v/>
      </c>
    </row>
    <row r="276">
      <c r="A276" s="23">
        <f>IF(N276="","",IFERROR(INDEX(設定!$C$8:$C$23,INT(INDEX(児童名簿!$G$2:$G$301,N276)/1000)),M276&amp;INDEX(児童名簿!$B$2:$B$301,N276)))</f>
        <v/>
      </c>
      <c r="B276" s="23">
        <f>IF(N276="","",INDEX(児童名簿!$C$2:$C$301,N276))</f>
        <v/>
      </c>
      <c r="C276" s="3">
        <f>IF(N276="","",INDEX(児童名簿!$D$2:$D$301,N276))</f>
        <v/>
      </c>
      <c r="D276" s="23">
        <f>IF(O276="","",INDEX(希望入力!$D$2:$D$401,O276)&amp;"")</f>
        <v/>
      </c>
      <c r="E276" s="23">
        <f>IF(O276="","",INDEX(希望入力!$E$2:$E$401,O276)&amp;"")</f>
        <v/>
      </c>
      <c r="F276" s="23">
        <f>IF(O276="","",INDEX(希望入力!$F$2:$F$401,O276)&amp;"")</f>
        <v/>
      </c>
      <c r="G276" s="23">
        <f>IF(O276="","",IF(D276="","要調整",IFERROR(IF(COUNTIFS($M$3:$M$302,M276,$D$3:$D$302,D276)&lt;=INDEX(設定!$H$8:$I$27,MATCH(D276,設定!$G$8:$G$27,0),IF($M276=設定!$H$6&amp;"",1,2)),D276,"要調整"),"要調整")))</f>
        <v/>
      </c>
      <c r="H276" s="15" t="n"/>
      <c r="I276" s="24">
        <f>IF(N276="","",IF(H276&lt;&gt;"",H276,IF(OR(G276="",G276="要調整"),"",G276)))</f>
        <v/>
      </c>
      <c r="J276" s="23">
        <f>IF(N276="","",IF(I276&lt;&gt;"","決定",IF(O276="","未提出","要調整")))</f>
        <v/>
      </c>
      <c r="K276" s="23">
        <f>IF(OR(J276&lt;&gt;"要調整",E276=""),"",IFERROR(INDEX(設定!$H$8:$I$27,MATCH(E276,設定!$G$8:$G$27,0),IF($M276=設定!$H$6&amp;"",1,2))-COUNTIFS($M$3:$M$302,M276,$I$3:$I$302,E276),""))</f>
        <v/>
      </c>
      <c r="L276" s="23">
        <f>IF(OR(J276&lt;&gt;"要調整",F276=""),"",IFERROR(INDEX(設定!$H$8:$I$27,MATCH(F276,設定!$G$8:$G$27,0),IF($M276=設定!$H$6&amp;"",1,2))-COUNTIFS($M$3:$M$302,M276,$I$3:$I$302,F276),""))</f>
        <v/>
      </c>
      <c r="M276" s="8">
        <f>IF(N276="","",INDEX(児童名簿!$A$2:$A$301,N276)&amp;"")</f>
        <v/>
      </c>
      <c r="N276" s="8">
        <f>IFERROR(MATCH(SMALL(児童名簿!$G$2:$G$301,274),児童名簿!$G$2:$G$301,0),"")</f>
        <v/>
      </c>
      <c r="O276" s="8">
        <f>IF(P276="","",IFERROR(MATCH(P276,希望入力!$K$2:$K$401,0),""))</f>
        <v/>
      </c>
      <c r="P276" s="8">
        <f>IF(N276="","",INDEX(児童名簿!$F$2:$F$301,N276))</f>
        <v/>
      </c>
      <c r="Q276" s="8">
        <f>IF(I276="","",IFERROR(MATCH(I276,設定!$G$8:$G$27,0),""))</f>
        <v/>
      </c>
      <c r="R276" s="8">
        <f>IF(Q276="","",COUNTIF($Q$3:Q276,Q276))</f>
        <v/>
      </c>
      <c r="S276" s="8">
        <f>IF(Q276="","",Q276*1000+R276)</f>
        <v/>
      </c>
    </row>
    <row r="277">
      <c r="A277" s="23">
        <f>IF(N277="","",IFERROR(INDEX(設定!$C$8:$C$23,INT(INDEX(児童名簿!$G$2:$G$301,N277)/1000)),M277&amp;INDEX(児童名簿!$B$2:$B$301,N277)))</f>
        <v/>
      </c>
      <c r="B277" s="23">
        <f>IF(N277="","",INDEX(児童名簿!$C$2:$C$301,N277))</f>
        <v/>
      </c>
      <c r="C277" s="3">
        <f>IF(N277="","",INDEX(児童名簿!$D$2:$D$301,N277))</f>
        <v/>
      </c>
      <c r="D277" s="23">
        <f>IF(O277="","",INDEX(希望入力!$D$2:$D$401,O277)&amp;"")</f>
        <v/>
      </c>
      <c r="E277" s="23">
        <f>IF(O277="","",INDEX(希望入力!$E$2:$E$401,O277)&amp;"")</f>
        <v/>
      </c>
      <c r="F277" s="23">
        <f>IF(O277="","",INDEX(希望入力!$F$2:$F$401,O277)&amp;"")</f>
        <v/>
      </c>
      <c r="G277" s="23">
        <f>IF(O277="","",IF(D277="","要調整",IFERROR(IF(COUNTIFS($M$3:$M$302,M277,$D$3:$D$302,D277)&lt;=INDEX(設定!$H$8:$I$27,MATCH(D277,設定!$G$8:$G$27,0),IF($M277=設定!$H$6&amp;"",1,2)),D277,"要調整"),"要調整")))</f>
        <v/>
      </c>
      <c r="H277" s="15" t="n"/>
      <c r="I277" s="24">
        <f>IF(N277="","",IF(H277&lt;&gt;"",H277,IF(OR(G277="",G277="要調整"),"",G277)))</f>
        <v/>
      </c>
      <c r="J277" s="23">
        <f>IF(N277="","",IF(I277&lt;&gt;"","決定",IF(O277="","未提出","要調整")))</f>
        <v/>
      </c>
      <c r="K277" s="23">
        <f>IF(OR(J277&lt;&gt;"要調整",E277=""),"",IFERROR(INDEX(設定!$H$8:$I$27,MATCH(E277,設定!$G$8:$G$27,0),IF($M277=設定!$H$6&amp;"",1,2))-COUNTIFS($M$3:$M$302,M277,$I$3:$I$302,E277),""))</f>
        <v/>
      </c>
      <c r="L277" s="23">
        <f>IF(OR(J277&lt;&gt;"要調整",F277=""),"",IFERROR(INDEX(設定!$H$8:$I$27,MATCH(F277,設定!$G$8:$G$27,0),IF($M277=設定!$H$6&amp;"",1,2))-COUNTIFS($M$3:$M$302,M277,$I$3:$I$302,F277),""))</f>
        <v/>
      </c>
      <c r="M277" s="8">
        <f>IF(N277="","",INDEX(児童名簿!$A$2:$A$301,N277)&amp;"")</f>
        <v/>
      </c>
      <c r="N277" s="8">
        <f>IFERROR(MATCH(SMALL(児童名簿!$G$2:$G$301,275),児童名簿!$G$2:$G$301,0),"")</f>
        <v/>
      </c>
      <c r="O277" s="8">
        <f>IF(P277="","",IFERROR(MATCH(P277,希望入力!$K$2:$K$401,0),""))</f>
        <v/>
      </c>
      <c r="P277" s="8">
        <f>IF(N277="","",INDEX(児童名簿!$F$2:$F$301,N277))</f>
        <v/>
      </c>
      <c r="Q277" s="8">
        <f>IF(I277="","",IFERROR(MATCH(I277,設定!$G$8:$G$27,0),""))</f>
        <v/>
      </c>
      <c r="R277" s="8">
        <f>IF(Q277="","",COUNTIF($Q$3:Q277,Q277))</f>
        <v/>
      </c>
      <c r="S277" s="8">
        <f>IF(Q277="","",Q277*1000+R277)</f>
        <v/>
      </c>
    </row>
    <row r="278">
      <c r="A278" s="23">
        <f>IF(N278="","",IFERROR(INDEX(設定!$C$8:$C$23,INT(INDEX(児童名簿!$G$2:$G$301,N278)/1000)),M278&amp;INDEX(児童名簿!$B$2:$B$301,N278)))</f>
        <v/>
      </c>
      <c r="B278" s="23">
        <f>IF(N278="","",INDEX(児童名簿!$C$2:$C$301,N278))</f>
        <v/>
      </c>
      <c r="C278" s="3">
        <f>IF(N278="","",INDEX(児童名簿!$D$2:$D$301,N278))</f>
        <v/>
      </c>
      <c r="D278" s="23">
        <f>IF(O278="","",INDEX(希望入力!$D$2:$D$401,O278)&amp;"")</f>
        <v/>
      </c>
      <c r="E278" s="23">
        <f>IF(O278="","",INDEX(希望入力!$E$2:$E$401,O278)&amp;"")</f>
        <v/>
      </c>
      <c r="F278" s="23">
        <f>IF(O278="","",INDEX(希望入力!$F$2:$F$401,O278)&amp;"")</f>
        <v/>
      </c>
      <c r="G278" s="23">
        <f>IF(O278="","",IF(D278="","要調整",IFERROR(IF(COUNTIFS($M$3:$M$302,M278,$D$3:$D$302,D278)&lt;=INDEX(設定!$H$8:$I$27,MATCH(D278,設定!$G$8:$G$27,0),IF($M278=設定!$H$6&amp;"",1,2)),D278,"要調整"),"要調整")))</f>
        <v/>
      </c>
      <c r="H278" s="15" t="n"/>
      <c r="I278" s="24">
        <f>IF(N278="","",IF(H278&lt;&gt;"",H278,IF(OR(G278="",G278="要調整"),"",G278)))</f>
        <v/>
      </c>
      <c r="J278" s="23">
        <f>IF(N278="","",IF(I278&lt;&gt;"","決定",IF(O278="","未提出","要調整")))</f>
        <v/>
      </c>
      <c r="K278" s="23">
        <f>IF(OR(J278&lt;&gt;"要調整",E278=""),"",IFERROR(INDEX(設定!$H$8:$I$27,MATCH(E278,設定!$G$8:$G$27,0),IF($M278=設定!$H$6&amp;"",1,2))-COUNTIFS($M$3:$M$302,M278,$I$3:$I$302,E278),""))</f>
        <v/>
      </c>
      <c r="L278" s="23">
        <f>IF(OR(J278&lt;&gt;"要調整",F278=""),"",IFERROR(INDEX(設定!$H$8:$I$27,MATCH(F278,設定!$G$8:$G$27,0),IF($M278=設定!$H$6&amp;"",1,2))-COUNTIFS($M$3:$M$302,M278,$I$3:$I$302,F278),""))</f>
        <v/>
      </c>
      <c r="M278" s="8">
        <f>IF(N278="","",INDEX(児童名簿!$A$2:$A$301,N278)&amp;"")</f>
        <v/>
      </c>
      <c r="N278" s="8">
        <f>IFERROR(MATCH(SMALL(児童名簿!$G$2:$G$301,276),児童名簿!$G$2:$G$301,0),"")</f>
        <v/>
      </c>
      <c r="O278" s="8">
        <f>IF(P278="","",IFERROR(MATCH(P278,希望入力!$K$2:$K$401,0),""))</f>
        <v/>
      </c>
      <c r="P278" s="8">
        <f>IF(N278="","",INDEX(児童名簿!$F$2:$F$301,N278))</f>
        <v/>
      </c>
      <c r="Q278" s="8">
        <f>IF(I278="","",IFERROR(MATCH(I278,設定!$G$8:$G$27,0),""))</f>
        <v/>
      </c>
      <c r="R278" s="8">
        <f>IF(Q278="","",COUNTIF($Q$3:Q278,Q278))</f>
        <v/>
      </c>
      <c r="S278" s="8">
        <f>IF(Q278="","",Q278*1000+R278)</f>
        <v/>
      </c>
    </row>
    <row r="279">
      <c r="A279" s="23">
        <f>IF(N279="","",IFERROR(INDEX(設定!$C$8:$C$23,INT(INDEX(児童名簿!$G$2:$G$301,N279)/1000)),M279&amp;INDEX(児童名簿!$B$2:$B$301,N279)))</f>
        <v/>
      </c>
      <c r="B279" s="23">
        <f>IF(N279="","",INDEX(児童名簿!$C$2:$C$301,N279))</f>
        <v/>
      </c>
      <c r="C279" s="3">
        <f>IF(N279="","",INDEX(児童名簿!$D$2:$D$301,N279))</f>
        <v/>
      </c>
      <c r="D279" s="23">
        <f>IF(O279="","",INDEX(希望入力!$D$2:$D$401,O279)&amp;"")</f>
        <v/>
      </c>
      <c r="E279" s="23">
        <f>IF(O279="","",INDEX(希望入力!$E$2:$E$401,O279)&amp;"")</f>
        <v/>
      </c>
      <c r="F279" s="23">
        <f>IF(O279="","",INDEX(希望入力!$F$2:$F$401,O279)&amp;"")</f>
        <v/>
      </c>
      <c r="G279" s="23">
        <f>IF(O279="","",IF(D279="","要調整",IFERROR(IF(COUNTIFS($M$3:$M$302,M279,$D$3:$D$302,D279)&lt;=INDEX(設定!$H$8:$I$27,MATCH(D279,設定!$G$8:$G$27,0),IF($M279=設定!$H$6&amp;"",1,2)),D279,"要調整"),"要調整")))</f>
        <v/>
      </c>
      <c r="H279" s="15" t="n"/>
      <c r="I279" s="24">
        <f>IF(N279="","",IF(H279&lt;&gt;"",H279,IF(OR(G279="",G279="要調整"),"",G279)))</f>
        <v/>
      </c>
      <c r="J279" s="23">
        <f>IF(N279="","",IF(I279&lt;&gt;"","決定",IF(O279="","未提出","要調整")))</f>
        <v/>
      </c>
      <c r="K279" s="23">
        <f>IF(OR(J279&lt;&gt;"要調整",E279=""),"",IFERROR(INDEX(設定!$H$8:$I$27,MATCH(E279,設定!$G$8:$G$27,0),IF($M279=設定!$H$6&amp;"",1,2))-COUNTIFS($M$3:$M$302,M279,$I$3:$I$302,E279),""))</f>
        <v/>
      </c>
      <c r="L279" s="23">
        <f>IF(OR(J279&lt;&gt;"要調整",F279=""),"",IFERROR(INDEX(設定!$H$8:$I$27,MATCH(F279,設定!$G$8:$G$27,0),IF($M279=設定!$H$6&amp;"",1,2))-COUNTIFS($M$3:$M$302,M279,$I$3:$I$302,F279),""))</f>
        <v/>
      </c>
      <c r="M279" s="8">
        <f>IF(N279="","",INDEX(児童名簿!$A$2:$A$301,N279)&amp;"")</f>
        <v/>
      </c>
      <c r="N279" s="8">
        <f>IFERROR(MATCH(SMALL(児童名簿!$G$2:$G$301,277),児童名簿!$G$2:$G$301,0),"")</f>
        <v/>
      </c>
      <c r="O279" s="8">
        <f>IF(P279="","",IFERROR(MATCH(P279,希望入力!$K$2:$K$401,0),""))</f>
        <v/>
      </c>
      <c r="P279" s="8">
        <f>IF(N279="","",INDEX(児童名簿!$F$2:$F$301,N279))</f>
        <v/>
      </c>
      <c r="Q279" s="8">
        <f>IF(I279="","",IFERROR(MATCH(I279,設定!$G$8:$G$27,0),""))</f>
        <v/>
      </c>
      <c r="R279" s="8">
        <f>IF(Q279="","",COUNTIF($Q$3:Q279,Q279))</f>
        <v/>
      </c>
      <c r="S279" s="8">
        <f>IF(Q279="","",Q279*1000+R279)</f>
        <v/>
      </c>
    </row>
    <row r="280">
      <c r="A280" s="23">
        <f>IF(N280="","",IFERROR(INDEX(設定!$C$8:$C$23,INT(INDEX(児童名簿!$G$2:$G$301,N280)/1000)),M280&amp;INDEX(児童名簿!$B$2:$B$301,N280)))</f>
        <v/>
      </c>
      <c r="B280" s="23">
        <f>IF(N280="","",INDEX(児童名簿!$C$2:$C$301,N280))</f>
        <v/>
      </c>
      <c r="C280" s="3">
        <f>IF(N280="","",INDEX(児童名簿!$D$2:$D$301,N280))</f>
        <v/>
      </c>
      <c r="D280" s="23">
        <f>IF(O280="","",INDEX(希望入力!$D$2:$D$401,O280)&amp;"")</f>
        <v/>
      </c>
      <c r="E280" s="23">
        <f>IF(O280="","",INDEX(希望入力!$E$2:$E$401,O280)&amp;"")</f>
        <v/>
      </c>
      <c r="F280" s="23">
        <f>IF(O280="","",INDEX(希望入力!$F$2:$F$401,O280)&amp;"")</f>
        <v/>
      </c>
      <c r="G280" s="23">
        <f>IF(O280="","",IF(D280="","要調整",IFERROR(IF(COUNTIFS($M$3:$M$302,M280,$D$3:$D$302,D280)&lt;=INDEX(設定!$H$8:$I$27,MATCH(D280,設定!$G$8:$G$27,0),IF($M280=設定!$H$6&amp;"",1,2)),D280,"要調整"),"要調整")))</f>
        <v/>
      </c>
      <c r="H280" s="15" t="n"/>
      <c r="I280" s="24">
        <f>IF(N280="","",IF(H280&lt;&gt;"",H280,IF(OR(G280="",G280="要調整"),"",G280)))</f>
        <v/>
      </c>
      <c r="J280" s="23">
        <f>IF(N280="","",IF(I280&lt;&gt;"","決定",IF(O280="","未提出","要調整")))</f>
        <v/>
      </c>
      <c r="K280" s="23">
        <f>IF(OR(J280&lt;&gt;"要調整",E280=""),"",IFERROR(INDEX(設定!$H$8:$I$27,MATCH(E280,設定!$G$8:$G$27,0),IF($M280=設定!$H$6&amp;"",1,2))-COUNTIFS($M$3:$M$302,M280,$I$3:$I$302,E280),""))</f>
        <v/>
      </c>
      <c r="L280" s="23">
        <f>IF(OR(J280&lt;&gt;"要調整",F280=""),"",IFERROR(INDEX(設定!$H$8:$I$27,MATCH(F280,設定!$G$8:$G$27,0),IF($M280=設定!$H$6&amp;"",1,2))-COUNTIFS($M$3:$M$302,M280,$I$3:$I$302,F280),""))</f>
        <v/>
      </c>
      <c r="M280" s="8">
        <f>IF(N280="","",INDEX(児童名簿!$A$2:$A$301,N280)&amp;"")</f>
        <v/>
      </c>
      <c r="N280" s="8">
        <f>IFERROR(MATCH(SMALL(児童名簿!$G$2:$G$301,278),児童名簿!$G$2:$G$301,0),"")</f>
        <v/>
      </c>
      <c r="O280" s="8">
        <f>IF(P280="","",IFERROR(MATCH(P280,希望入力!$K$2:$K$401,0),""))</f>
        <v/>
      </c>
      <c r="P280" s="8">
        <f>IF(N280="","",INDEX(児童名簿!$F$2:$F$301,N280))</f>
        <v/>
      </c>
      <c r="Q280" s="8">
        <f>IF(I280="","",IFERROR(MATCH(I280,設定!$G$8:$G$27,0),""))</f>
        <v/>
      </c>
      <c r="R280" s="8">
        <f>IF(Q280="","",COUNTIF($Q$3:Q280,Q280))</f>
        <v/>
      </c>
      <c r="S280" s="8">
        <f>IF(Q280="","",Q280*1000+R280)</f>
        <v/>
      </c>
    </row>
    <row r="281">
      <c r="A281" s="23">
        <f>IF(N281="","",IFERROR(INDEX(設定!$C$8:$C$23,INT(INDEX(児童名簿!$G$2:$G$301,N281)/1000)),M281&amp;INDEX(児童名簿!$B$2:$B$301,N281)))</f>
        <v/>
      </c>
      <c r="B281" s="23">
        <f>IF(N281="","",INDEX(児童名簿!$C$2:$C$301,N281))</f>
        <v/>
      </c>
      <c r="C281" s="3">
        <f>IF(N281="","",INDEX(児童名簿!$D$2:$D$301,N281))</f>
        <v/>
      </c>
      <c r="D281" s="23">
        <f>IF(O281="","",INDEX(希望入力!$D$2:$D$401,O281)&amp;"")</f>
        <v/>
      </c>
      <c r="E281" s="23">
        <f>IF(O281="","",INDEX(希望入力!$E$2:$E$401,O281)&amp;"")</f>
        <v/>
      </c>
      <c r="F281" s="23">
        <f>IF(O281="","",INDEX(希望入力!$F$2:$F$401,O281)&amp;"")</f>
        <v/>
      </c>
      <c r="G281" s="23">
        <f>IF(O281="","",IF(D281="","要調整",IFERROR(IF(COUNTIFS($M$3:$M$302,M281,$D$3:$D$302,D281)&lt;=INDEX(設定!$H$8:$I$27,MATCH(D281,設定!$G$8:$G$27,0),IF($M281=設定!$H$6&amp;"",1,2)),D281,"要調整"),"要調整")))</f>
        <v/>
      </c>
      <c r="H281" s="15" t="n"/>
      <c r="I281" s="24">
        <f>IF(N281="","",IF(H281&lt;&gt;"",H281,IF(OR(G281="",G281="要調整"),"",G281)))</f>
        <v/>
      </c>
      <c r="J281" s="23">
        <f>IF(N281="","",IF(I281&lt;&gt;"","決定",IF(O281="","未提出","要調整")))</f>
        <v/>
      </c>
      <c r="K281" s="23">
        <f>IF(OR(J281&lt;&gt;"要調整",E281=""),"",IFERROR(INDEX(設定!$H$8:$I$27,MATCH(E281,設定!$G$8:$G$27,0),IF($M281=設定!$H$6&amp;"",1,2))-COUNTIFS($M$3:$M$302,M281,$I$3:$I$302,E281),""))</f>
        <v/>
      </c>
      <c r="L281" s="23">
        <f>IF(OR(J281&lt;&gt;"要調整",F281=""),"",IFERROR(INDEX(設定!$H$8:$I$27,MATCH(F281,設定!$G$8:$G$27,0),IF($M281=設定!$H$6&amp;"",1,2))-COUNTIFS($M$3:$M$302,M281,$I$3:$I$302,F281),""))</f>
        <v/>
      </c>
      <c r="M281" s="8">
        <f>IF(N281="","",INDEX(児童名簿!$A$2:$A$301,N281)&amp;"")</f>
        <v/>
      </c>
      <c r="N281" s="8">
        <f>IFERROR(MATCH(SMALL(児童名簿!$G$2:$G$301,279),児童名簿!$G$2:$G$301,0),"")</f>
        <v/>
      </c>
      <c r="O281" s="8">
        <f>IF(P281="","",IFERROR(MATCH(P281,希望入力!$K$2:$K$401,0),""))</f>
        <v/>
      </c>
      <c r="P281" s="8">
        <f>IF(N281="","",INDEX(児童名簿!$F$2:$F$301,N281))</f>
        <v/>
      </c>
      <c r="Q281" s="8">
        <f>IF(I281="","",IFERROR(MATCH(I281,設定!$G$8:$G$27,0),""))</f>
        <v/>
      </c>
      <c r="R281" s="8">
        <f>IF(Q281="","",COUNTIF($Q$3:Q281,Q281))</f>
        <v/>
      </c>
      <c r="S281" s="8">
        <f>IF(Q281="","",Q281*1000+R281)</f>
        <v/>
      </c>
    </row>
    <row r="282">
      <c r="A282" s="23">
        <f>IF(N282="","",IFERROR(INDEX(設定!$C$8:$C$23,INT(INDEX(児童名簿!$G$2:$G$301,N282)/1000)),M282&amp;INDEX(児童名簿!$B$2:$B$301,N282)))</f>
        <v/>
      </c>
      <c r="B282" s="23">
        <f>IF(N282="","",INDEX(児童名簿!$C$2:$C$301,N282))</f>
        <v/>
      </c>
      <c r="C282" s="3">
        <f>IF(N282="","",INDEX(児童名簿!$D$2:$D$301,N282))</f>
        <v/>
      </c>
      <c r="D282" s="23">
        <f>IF(O282="","",INDEX(希望入力!$D$2:$D$401,O282)&amp;"")</f>
        <v/>
      </c>
      <c r="E282" s="23">
        <f>IF(O282="","",INDEX(希望入力!$E$2:$E$401,O282)&amp;"")</f>
        <v/>
      </c>
      <c r="F282" s="23">
        <f>IF(O282="","",INDEX(希望入力!$F$2:$F$401,O282)&amp;"")</f>
        <v/>
      </c>
      <c r="G282" s="23">
        <f>IF(O282="","",IF(D282="","要調整",IFERROR(IF(COUNTIFS($M$3:$M$302,M282,$D$3:$D$302,D282)&lt;=INDEX(設定!$H$8:$I$27,MATCH(D282,設定!$G$8:$G$27,0),IF($M282=設定!$H$6&amp;"",1,2)),D282,"要調整"),"要調整")))</f>
        <v/>
      </c>
      <c r="H282" s="15" t="n"/>
      <c r="I282" s="24">
        <f>IF(N282="","",IF(H282&lt;&gt;"",H282,IF(OR(G282="",G282="要調整"),"",G282)))</f>
        <v/>
      </c>
      <c r="J282" s="23">
        <f>IF(N282="","",IF(I282&lt;&gt;"","決定",IF(O282="","未提出","要調整")))</f>
        <v/>
      </c>
      <c r="K282" s="23">
        <f>IF(OR(J282&lt;&gt;"要調整",E282=""),"",IFERROR(INDEX(設定!$H$8:$I$27,MATCH(E282,設定!$G$8:$G$27,0),IF($M282=設定!$H$6&amp;"",1,2))-COUNTIFS($M$3:$M$302,M282,$I$3:$I$302,E282),""))</f>
        <v/>
      </c>
      <c r="L282" s="23">
        <f>IF(OR(J282&lt;&gt;"要調整",F282=""),"",IFERROR(INDEX(設定!$H$8:$I$27,MATCH(F282,設定!$G$8:$G$27,0),IF($M282=設定!$H$6&amp;"",1,2))-COUNTIFS($M$3:$M$302,M282,$I$3:$I$302,F282),""))</f>
        <v/>
      </c>
      <c r="M282" s="8">
        <f>IF(N282="","",INDEX(児童名簿!$A$2:$A$301,N282)&amp;"")</f>
        <v/>
      </c>
      <c r="N282" s="8">
        <f>IFERROR(MATCH(SMALL(児童名簿!$G$2:$G$301,280),児童名簿!$G$2:$G$301,0),"")</f>
        <v/>
      </c>
      <c r="O282" s="8">
        <f>IF(P282="","",IFERROR(MATCH(P282,希望入力!$K$2:$K$401,0),""))</f>
        <v/>
      </c>
      <c r="P282" s="8">
        <f>IF(N282="","",INDEX(児童名簿!$F$2:$F$301,N282))</f>
        <v/>
      </c>
      <c r="Q282" s="8">
        <f>IF(I282="","",IFERROR(MATCH(I282,設定!$G$8:$G$27,0),""))</f>
        <v/>
      </c>
      <c r="R282" s="8">
        <f>IF(Q282="","",COUNTIF($Q$3:Q282,Q282))</f>
        <v/>
      </c>
      <c r="S282" s="8">
        <f>IF(Q282="","",Q282*1000+R282)</f>
        <v/>
      </c>
    </row>
    <row r="283">
      <c r="A283" s="23">
        <f>IF(N283="","",IFERROR(INDEX(設定!$C$8:$C$23,INT(INDEX(児童名簿!$G$2:$G$301,N283)/1000)),M283&amp;INDEX(児童名簿!$B$2:$B$301,N283)))</f>
        <v/>
      </c>
      <c r="B283" s="23">
        <f>IF(N283="","",INDEX(児童名簿!$C$2:$C$301,N283))</f>
        <v/>
      </c>
      <c r="C283" s="3">
        <f>IF(N283="","",INDEX(児童名簿!$D$2:$D$301,N283))</f>
        <v/>
      </c>
      <c r="D283" s="23">
        <f>IF(O283="","",INDEX(希望入力!$D$2:$D$401,O283)&amp;"")</f>
        <v/>
      </c>
      <c r="E283" s="23">
        <f>IF(O283="","",INDEX(希望入力!$E$2:$E$401,O283)&amp;"")</f>
        <v/>
      </c>
      <c r="F283" s="23">
        <f>IF(O283="","",INDEX(希望入力!$F$2:$F$401,O283)&amp;"")</f>
        <v/>
      </c>
      <c r="G283" s="23">
        <f>IF(O283="","",IF(D283="","要調整",IFERROR(IF(COUNTIFS($M$3:$M$302,M283,$D$3:$D$302,D283)&lt;=INDEX(設定!$H$8:$I$27,MATCH(D283,設定!$G$8:$G$27,0),IF($M283=設定!$H$6&amp;"",1,2)),D283,"要調整"),"要調整")))</f>
        <v/>
      </c>
      <c r="H283" s="15" t="n"/>
      <c r="I283" s="24">
        <f>IF(N283="","",IF(H283&lt;&gt;"",H283,IF(OR(G283="",G283="要調整"),"",G283)))</f>
        <v/>
      </c>
      <c r="J283" s="23">
        <f>IF(N283="","",IF(I283&lt;&gt;"","決定",IF(O283="","未提出","要調整")))</f>
        <v/>
      </c>
      <c r="K283" s="23">
        <f>IF(OR(J283&lt;&gt;"要調整",E283=""),"",IFERROR(INDEX(設定!$H$8:$I$27,MATCH(E283,設定!$G$8:$G$27,0),IF($M283=設定!$H$6&amp;"",1,2))-COUNTIFS($M$3:$M$302,M283,$I$3:$I$302,E283),""))</f>
        <v/>
      </c>
      <c r="L283" s="23">
        <f>IF(OR(J283&lt;&gt;"要調整",F283=""),"",IFERROR(INDEX(設定!$H$8:$I$27,MATCH(F283,設定!$G$8:$G$27,0),IF($M283=設定!$H$6&amp;"",1,2))-COUNTIFS($M$3:$M$302,M283,$I$3:$I$302,F283),""))</f>
        <v/>
      </c>
      <c r="M283" s="8">
        <f>IF(N283="","",INDEX(児童名簿!$A$2:$A$301,N283)&amp;"")</f>
        <v/>
      </c>
      <c r="N283" s="8">
        <f>IFERROR(MATCH(SMALL(児童名簿!$G$2:$G$301,281),児童名簿!$G$2:$G$301,0),"")</f>
        <v/>
      </c>
      <c r="O283" s="8">
        <f>IF(P283="","",IFERROR(MATCH(P283,希望入力!$K$2:$K$401,0),""))</f>
        <v/>
      </c>
      <c r="P283" s="8">
        <f>IF(N283="","",INDEX(児童名簿!$F$2:$F$301,N283))</f>
        <v/>
      </c>
      <c r="Q283" s="8">
        <f>IF(I283="","",IFERROR(MATCH(I283,設定!$G$8:$G$27,0),""))</f>
        <v/>
      </c>
      <c r="R283" s="8">
        <f>IF(Q283="","",COUNTIF($Q$3:Q283,Q283))</f>
        <v/>
      </c>
      <c r="S283" s="8">
        <f>IF(Q283="","",Q283*1000+R283)</f>
        <v/>
      </c>
    </row>
    <row r="284">
      <c r="A284" s="23">
        <f>IF(N284="","",IFERROR(INDEX(設定!$C$8:$C$23,INT(INDEX(児童名簿!$G$2:$G$301,N284)/1000)),M284&amp;INDEX(児童名簿!$B$2:$B$301,N284)))</f>
        <v/>
      </c>
      <c r="B284" s="23">
        <f>IF(N284="","",INDEX(児童名簿!$C$2:$C$301,N284))</f>
        <v/>
      </c>
      <c r="C284" s="3">
        <f>IF(N284="","",INDEX(児童名簿!$D$2:$D$301,N284))</f>
        <v/>
      </c>
      <c r="D284" s="23">
        <f>IF(O284="","",INDEX(希望入力!$D$2:$D$401,O284)&amp;"")</f>
        <v/>
      </c>
      <c r="E284" s="23">
        <f>IF(O284="","",INDEX(希望入力!$E$2:$E$401,O284)&amp;"")</f>
        <v/>
      </c>
      <c r="F284" s="23">
        <f>IF(O284="","",INDEX(希望入力!$F$2:$F$401,O284)&amp;"")</f>
        <v/>
      </c>
      <c r="G284" s="23">
        <f>IF(O284="","",IF(D284="","要調整",IFERROR(IF(COUNTIFS($M$3:$M$302,M284,$D$3:$D$302,D284)&lt;=INDEX(設定!$H$8:$I$27,MATCH(D284,設定!$G$8:$G$27,0),IF($M284=設定!$H$6&amp;"",1,2)),D284,"要調整"),"要調整")))</f>
        <v/>
      </c>
      <c r="H284" s="15" t="n"/>
      <c r="I284" s="24">
        <f>IF(N284="","",IF(H284&lt;&gt;"",H284,IF(OR(G284="",G284="要調整"),"",G284)))</f>
        <v/>
      </c>
      <c r="J284" s="23">
        <f>IF(N284="","",IF(I284&lt;&gt;"","決定",IF(O284="","未提出","要調整")))</f>
        <v/>
      </c>
      <c r="K284" s="23">
        <f>IF(OR(J284&lt;&gt;"要調整",E284=""),"",IFERROR(INDEX(設定!$H$8:$I$27,MATCH(E284,設定!$G$8:$G$27,0),IF($M284=設定!$H$6&amp;"",1,2))-COUNTIFS($M$3:$M$302,M284,$I$3:$I$302,E284),""))</f>
        <v/>
      </c>
      <c r="L284" s="23">
        <f>IF(OR(J284&lt;&gt;"要調整",F284=""),"",IFERROR(INDEX(設定!$H$8:$I$27,MATCH(F284,設定!$G$8:$G$27,0),IF($M284=設定!$H$6&amp;"",1,2))-COUNTIFS($M$3:$M$302,M284,$I$3:$I$302,F284),""))</f>
        <v/>
      </c>
      <c r="M284" s="8">
        <f>IF(N284="","",INDEX(児童名簿!$A$2:$A$301,N284)&amp;"")</f>
        <v/>
      </c>
      <c r="N284" s="8">
        <f>IFERROR(MATCH(SMALL(児童名簿!$G$2:$G$301,282),児童名簿!$G$2:$G$301,0),"")</f>
        <v/>
      </c>
      <c r="O284" s="8">
        <f>IF(P284="","",IFERROR(MATCH(P284,希望入力!$K$2:$K$401,0),""))</f>
        <v/>
      </c>
      <c r="P284" s="8">
        <f>IF(N284="","",INDEX(児童名簿!$F$2:$F$301,N284))</f>
        <v/>
      </c>
      <c r="Q284" s="8">
        <f>IF(I284="","",IFERROR(MATCH(I284,設定!$G$8:$G$27,0),""))</f>
        <v/>
      </c>
      <c r="R284" s="8">
        <f>IF(Q284="","",COUNTIF($Q$3:Q284,Q284))</f>
        <v/>
      </c>
      <c r="S284" s="8">
        <f>IF(Q284="","",Q284*1000+R284)</f>
        <v/>
      </c>
    </row>
    <row r="285">
      <c r="A285" s="23">
        <f>IF(N285="","",IFERROR(INDEX(設定!$C$8:$C$23,INT(INDEX(児童名簿!$G$2:$G$301,N285)/1000)),M285&amp;INDEX(児童名簿!$B$2:$B$301,N285)))</f>
        <v/>
      </c>
      <c r="B285" s="23">
        <f>IF(N285="","",INDEX(児童名簿!$C$2:$C$301,N285))</f>
        <v/>
      </c>
      <c r="C285" s="3">
        <f>IF(N285="","",INDEX(児童名簿!$D$2:$D$301,N285))</f>
        <v/>
      </c>
      <c r="D285" s="23">
        <f>IF(O285="","",INDEX(希望入力!$D$2:$D$401,O285)&amp;"")</f>
        <v/>
      </c>
      <c r="E285" s="23">
        <f>IF(O285="","",INDEX(希望入力!$E$2:$E$401,O285)&amp;"")</f>
        <v/>
      </c>
      <c r="F285" s="23">
        <f>IF(O285="","",INDEX(希望入力!$F$2:$F$401,O285)&amp;"")</f>
        <v/>
      </c>
      <c r="G285" s="23">
        <f>IF(O285="","",IF(D285="","要調整",IFERROR(IF(COUNTIFS($M$3:$M$302,M285,$D$3:$D$302,D285)&lt;=INDEX(設定!$H$8:$I$27,MATCH(D285,設定!$G$8:$G$27,0),IF($M285=設定!$H$6&amp;"",1,2)),D285,"要調整"),"要調整")))</f>
        <v/>
      </c>
      <c r="H285" s="15" t="n"/>
      <c r="I285" s="24">
        <f>IF(N285="","",IF(H285&lt;&gt;"",H285,IF(OR(G285="",G285="要調整"),"",G285)))</f>
        <v/>
      </c>
      <c r="J285" s="23">
        <f>IF(N285="","",IF(I285&lt;&gt;"","決定",IF(O285="","未提出","要調整")))</f>
        <v/>
      </c>
      <c r="K285" s="23">
        <f>IF(OR(J285&lt;&gt;"要調整",E285=""),"",IFERROR(INDEX(設定!$H$8:$I$27,MATCH(E285,設定!$G$8:$G$27,0),IF($M285=設定!$H$6&amp;"",1,2))-COUNTIFS($M$3:$M$302,M285,$I$3:$I$302,E285),""))</f>
        <v/>
      </c>
      <c r="L285" s="23">
        <f>IF(OR(J285&lt;&gt;"要調整",F285=""),"",IFERROR(INDEX(設定!$H$8:$I$27,MATCH(F285,設定!$G$8:$G$27,0),IF($M285=設定!$H$6&amp;"",1,2))-COUNTIFS($M$3:$M$302,M285,$I$3:$I$302,F285),""))</f>
        <v/>
      </c>
      <c r="M285" s="8">
        <f>IF(N285="","",INDEX(児童名簿!$A$2:$A$301,N285)&amp;"")</f>
        <v/>
      </c>
      <c r="N285" s="8">
        <f>IFERROR(MATCH(SMALL(児童名簿!$G$2:$G$301,283),児童名簿!$G$2:$G$301,0),"")</f>
        <v/>
      </c>
      <c r="O285" s="8">
        <f>IF(P285="","",IFERROR(MATCH(P285,希望入力!$K$2:$K$401,0),""))</f>
        <v/>
      </c>
      <c r="P285" s="8">
        <f>IF(N285="","",INDEX(児童名簿!$F$2:$F$301,N285))</f>
        <v/>
      </c>
      <c r="Q285" s="8">
        <f>IF(I285="","",IFERROR(MATCH(I285,設定!$G$8:$G$27,0),""))</f>
        <v/>
      </c>
      <c r="R285" s="8">
        <f>IF(Q285="","",COUNTIF($Q$3:Q285,Q285))</f>
        <v/>
      </c>
      <c r="S285" s="8">
        <f>IF(Q285="","",Q285*1000+R285)</f>
        <v/>
      </c>
    </row>
    <row r="286">
      <c r="A286" s="23">
        <f>IF(N286="","",IFERROR(INDEX(設定!$C$8:$C$23,INT(INDEX(児童名簿!$G$2:$G$301,N286)/1000)),M286&amp;INDEX(児童名簿!$B$2:$B$301,N286)))</f>
        <v/>
      </c>
      <c r="B286" s="23">
        <f>IF(N286="","",INDEX(児童名簿!$C$2:$C$301,N286))</f>
        <v/>
      </c>
      <c r="C286" s="3">
        <f>IF(N286="","",INDEX(児童名簿!$D$2:$D$301,N286))</f>
        <v/>
      </c>
      <c r="D286" s="23">
        <f>IF(O286="","",INDEX(希望入力!$D$2:$D$401,O286)&amp;"")</f>
        <v/>
      </c>
      <c r="E286" s="23">
        <f>IF(O286="","",INDEX(希望入力!$E$2:$E$401,O286)&amp;"")</f>
        <v/>
      </c>
      <c r="F286" s="23">
        <f>IF(O286="","",INDEX(希望入力!$F$2:$F$401,O286)&amp;"")</f>
        <v/>
      </c>
      <c r="G286" s="23">
        <f>IF(O286="","",IF(D286="","要調整",IFERROR(IF(COUNTIFS($M$3:$M$302,M286,$D$3:$D$302,D286)&lt;=INDEX(設定!$H$8:$I$27,MATCH(D286,設定!$G$8:$G$27,0),IF($M286=設定!$H$6&amp;"",1,2)),D286,"要調整"),"要調整")))</f>
        <v/>
      </c>
      <c r="H286" s="15" t="n"/>
      <c r="I286" s="24">
        <f>IF(N286="","",IF(H286&lt;&gt;"",H286,IF(OR(G286="",G286="要調整"),"",G286)))</f>
        <v/>
      </c>
      <c r="J286" s="23">
        <f>IF(N286="","",IF(I286&lt;&gt;"","決定",IF(O286="","未提出","要調整")))</f>
        <v/>
      </c>
      <c r="K286" s="23">
        <f>IF(OR(J286&lt;&gt;"要調整",E286=""),"",IFERROR(INDEX(設定!$H$8:$I$27,MATCH(E286,設定!$G$8:$G$27,0),IF($M286=設定!$H$6&amp;"",1,2))-COUNTIFS($M$3:$M$302,M286,$I$3:$I$302,E286),""))</f>
        <v/>
      </c>
      <c r="L286" s="23">
        <f>IF(OR(J286&lt;&gt;"要調整",F286=""),"",IFERROR(INDEX(設定!$H$8:$I$27,MATCH(F286,設定!$G$8:$G$27,0),IF($M286=設定!$H$6&amp;"",1,2))-COUNTIFS($M$3:$M$302,M286,$I$3:$I$302,F286),""))</f>
        <v/>
      </c>
      <c r="M286" s="8">
        <f>IF(N286="","",INDEX(児童名簿!$A$2:$A$301,N286)&amp;"")</f>
        <v/>
      </c>
      <c r="N286" s="8">
        <f>IFERROR(MATCH(SMALL(児童名簿!$G$2:$G$301,284),児童名簿!$G$2:$G$301,0),"")</f>
        <v/>
      </c>
      <c r="O286" s="8">
        <f>IF(P286="","",IFERROR(MATCH(P286,希望入力!$K$2:$K$401,0),""))</f>
        <v/>
      </c>
      <c r="P286" s="8">
        <f>IF(N286="","",INDEX(児童名簿!$F$2:$F$301,N286))</f>
        <v/>
      </c>
      <c r="Q286" s="8">
        <f>IF(I286="","",IFERROR(MATCH(I286,設定!$G$8:$G$27,0),""))</f>
        <v/>
      </c>
      <c r="R286" s="8">
        <f>IF(Q286="","",COUNTIF($Q$3:Q286,Q286))</f>
        <v/>
      </c>
      <c r="S286" s="8">
        <f>IF(Q286="","",Q286*1000+R286)</f>
        <v/>
      </c>
    </row>
    <row r="287">
      <c r="A287" s="23">
        <f>IF(N287="","",IFERROR(INDEX(設定!$C$8:$C$23,INT(INDEX(児童名簿!$G$2:$G$301,N287)/1000)),M287&amp;INDEX(児童名簿!$B$2:$B$301,N287)))</f>
        <v/>
      </c>
      <c r="B287" s="23">
        <f>IF(N287="","",INDEX(児童名簿!$C$2:$C$301,N287))</f>
        <v/>
      </c>
      <c r="C287" s="3">
        <f>IF(N287="","",INDEX(児童名簿!$D$2:$D$301,N287))</f>
        <v/>
      </c>
      <c r="D287" s="23">
        <f>IF(O287="","",INDEX(希望入力!$D$2:$D$401,O287)&amp;"")</f>
        <v/>
      </c>
      <c r="E287" s="23">
        <f>IF(O287="","",INDEX(希望入力!$E$2:$E$401,O287)&amp;"")</f>
        <v/>
      </c>
      <c r="F287" s="23">
        <f>IF(O287="","",INDEX(希望入力!$F$2:$F$401,O287)&amp;"")</f>
        <v/>
      </c>
      <c r="G287" s="23">
        <f>IF(O287="","",IF(D287="","要調整",IFERROR(IF(COUNTIFS($M$3:$M$302,M287,$D$3:$D$302,D287)&lt;=INDEX(設定!$H$8:$I$27,MATCH(D287,設定!$G$8:$G$27,0),IF($M287=設定!$H$6&amp;"",1,2)),D287,"要調整"),"要調整")))</f>
        <v/>
      </c>
      <c r="H287" s="15" t="n"/>
      <c r="I287" s="24">
        <f>IF(N287="","",IF(H287&lt;&gt;"",H287,IF(OR(G287="",G287="要調整"),"",G287)))</f>
        <v/>
      </c>
      <c r="J287" s="23">
        <f>IF(N287="","",IF(I287&lt;&gt;"","決定",IF(O287="","未提出","要調整")))</f>
        <v/>
      </c>
      <c r="K287" s="23">
        <f>IF(OR(J287&lt;&gt;"要調整",E287=""),"",IFERROR(INDEX(設定!$H$8:$I$27,MATCH(E287,設定!$G$8:$G$27,0),IF($M287=設定!$H$6&amp;"",1,2))-COUNTIFS($M$3:$M$302,M287,$I$3:$I$302,E287),""))</f>
        <v/>
      </c>
      <c r="L287" s="23">
        <f>IF(OR(J287&lt;&gt;"要調整",F287=""),"",IFERROR(INDEX(設定!$H$8:$I$27,MATCH(F287,設定!$G$8:$G$27,0),IF($M287=設定!$H$6&amp;"",1,2))-COUNTIFS($M$3:$M$302,M287,$I$3:$I$302,F287),""))</f>
        <v/>
      </c>
      <c r="M287" s="8">
        <f>IF(N287="","",INDEX(児童名簿!$A$2:$A$301,N287)&amp;"")</f>
        <v/>
      </c>
      <c r="N287" s="8">
        <f>IFERROR(MATCH(SMALL(児童名簿!$G$2:$G$301,285),児童名簿!$G$2:$G$301,0),"")</f>
        <v/>
      </c>
      <c r="O287" s="8">
        <f>IF(P287="","",IFERROR(MATCH(P287,希望入力!$K$2:$K$401,0),""))</f>
        <v/>
      </c>
      <c r="P287" s="8">
        <f>IF(N287="","",INDEX(児童名簿!$F$2:$F$301,N287))</f>
        <v/>
      </c>
      <c r="Q287" s="8">
        <f>IF(I287="","",IFERROR(MATCH(I287,設定!$G$8:$G$27,0),""))</f>
        <v/>
      </c>
      <c r="R287" s="8">
        <f>IF(Q287="","",COUNTIF($Q$3:Q287,Q287))</f>
        <v/>
      </c>
      <c r="S287" s="8">
        <f>IF(Q287="","",Q287*1000+R287)</f>
        <v/>
      </c>
    </row>
    <row r="288">
      <c r="A288" s="23">
        <f>IF(N288="","",IFERROR(INDEX(設定!$C$8:$C$23,INT(INDEX(児童名簿!$G$2:$G$301,N288)/1000)),M288&amp;INDEX(児童名簿!$B$2:$B$301,N288)))</f>
        <v/>
      </c>
      <c r="B288" s="23">
        <f>IF(N288="","",INDEX(児童名簿!$C$2:$C$301,N288))</f>
        <v/>
      </c>
      <c r="C288" s="3">
        <f>IF(N288="","",INDEX(児童名簿!$D$2:$D$301,N288))</f>
        <v/>
      </c>
      <c r="D288" s="23">
        <f>IF(O288="","",INDEX(希望入力!$D$2:$D$401,O288)&amp;"")</f>
        <v/>
      </c>
      <c r="E288" s="23">
        <f>IF(O288="","",INDEX(希望入力!$E$2:$E$401,O288)&amp;"")</f>
        <v/>
      </c>
      <c r="F288" s="23">
        <f>IF(O288="","",INDEX(希望入力!$F$2:$F$401,O288)&amp;"")</f>
        <v/>
      </c>
      <c r="G288" s="23">
        <f>IF(O288="","",IF(D288="","要調整",IFERROR(IF(COUNTIFS($M$3:$M$302,M288,$D$3:$D$302,D288)&lt;=INDEX(設定!$H$8:$I$27,MATCH(D288,設定!$G$8:$G$27,0),IF($M288=設定!$H$6&amp;"",1,2)),D288,"要調整"),"要調整")))</f>
        <v/>
      </c>
      <c r="H288" s="15" t="n"/>
      <c r="I288" s="24">
        <f>IF(N288="","",IF(H288&lt;&gt;"",H288,IF(OR(G288="",G288="要調整"),"",G288)))</f>
        <v/>
      </c>
      <c r="J288" s="23">
        <f>IF(N288="","",IF(I288&lt;&gt;"","決定",IF(O288="","未提出","要調整")))</f>
        <v/>
      </c>
      <c r="K288" s="23">
        <f>IF(OR(J288&lt;&gt;"要調整",E288=""),"",IFERROR(INDEX(設定!$H$8:$I$27,MATCH(E288,設定!$G$8:$G$27,0),IF($M288=設定!$H$6&amp;"",1,2))-COUNTIFS($M$3:$M$302,M288,$I$3:$I$302,E288),""))</f>
        <v/>
      </c>
      <c r="L288" s="23">
        <f>IF(OR(J288&lt;&gt;"要調整",F288=""),"",IFERROR(INDEX(設定!$H$8:$I$27,MATCH(F288,設定!$G$8:$G$27,0),IF($M288=設定!$H$6&amp;"",1,2))-COUNTIFS($M$3:$M$302,M288,$I$3:$I$302,F288),""))</f>
        <v/>
      </c>
      <c r="M288" s="8">
        <f>IF(N288="","",INDEX(児童名簿!$A$2:$A$301,N288)&amp;"")</f>
        <v/>
      </c>
      <c r="N288" s="8">
        <f>IFERROR(MATCH(SMALL(児童名簿!$G$2:$G$301,286),児童名簿!$G$2:$G$301,0),"")</f>
        <v/>
      </c>
      <c r="O288" s="8">
        <f>IF(P288="","",IFERROR(MATCH(P288,希望入力!$K$2:$K$401,0),""))</f>
        <v/>
      </c>
      <c r="P288" s="8">
        <f>IF(N288="","",INDEX(児童名簿!$F$2:$F$301,N288))</f>
        <v/>
      </c>
      <c r="Q288" s="8">
        <f>IF(I288="","",IFERROR(MATCH(I288,設定!$G$8:$G$27,0),""))</f>
        <v/>
      </c>
      <c r="R288" s="8">
        <f>IF(Q288="","",COUNTIF($Q$3:Q288,Q288))</f>
        <v/>
      </c>
      <c r="S288" s="8">
        <f>IF(Q288="","",Q288*1000+R288)</f>
        <v/>
      </c>
    </row>
    <row r="289">
      <c r="A289" s="23">
        <f>IF(N289="","",IFERROR(INDEX(設定!$C$8:$C$23,INT(INDEX(児童名簿!$G$2:$G$301,N289)/1000)),M289&amp;INDEX(児童名簿!$B$2:$B$301,N289)))</f>
        <v/>
      </c>
      <c r="B289" s="23">
        <f>IF(N289="","",INDEX(児童名簿!$C$2:$C$301,N289))</f>
        <v/>
      </c>
      <c r="C289" s="3">
        <f>IF(N289="","",INDEX(児童名簿!$D$2:$D$301,N289))</f>
        <v/>
      </c>
      <c r="D289" s="23">
        <f>IF(O289="","",INDEX(希望入力!$D$2:$D$401,O289)&amp;"")</f>
        <v/>
      </c>
      <c r="E289" s="23">
        <f>IF(O289="","",INDEX(希望入力!$E$2:$E$401,O289)&amp;"")</f>
        <v/>
      </c>
      <c r="F289" s="23">
        <f>IF(O289="","",INDEX(希望入力!$F$2:$F$401,O289)&amp;"")</f>
        <v/>
      </c>
      <c r="G289" s="23">
        <f>IF(O289="","",IF(D289="","要調整",IFERROR(IF(COUNTIFS($M$3:$M$302,M289,$D$3:$D$302,D289)&lt;=INDEX(設定!$H$8:$I$27,MATCH(D289,設定!$G$8:$G$27,0),IF($M289=設定!$H$6&amp;"",1,2)),D289,"要調整"),"要調整")))</f>
        <v/>
      </c>
      <c r="H289" s="15" t="n"/>
      <c r="I289" s="24">
        <f>IF(N289="","",IF(H289&lt;&gt;"",H289,IF(OR(G289="",G289="要調整"),"",G289)))</f>
        <v/>
      </c>
      <c r="J289" s="23">
        <f>IF(N289="","",IF(I289&lt;&gt;"","決定",IF(O289="","未提出","要調整")))</f>
        <v/>
      </c>
      <c r="K289" s="23">
        <f>IF(OR(J289&lt;&gt;"要調整",E289=""),"",IFERROR(INDEX(設定!$H$8:$I$27,MATCH(E289,設定!$G$8:$G$27,0),IF($M289=設定!$H$6&amp;"",1,2))-COUNTIFS($M$3:$M$302,M289,$I$3:$I$302,E289),""))</f>
        <v/>
      </c>
      <c r="L289" s="23">
        <f>IF(OR(J289&lt;&gt;"要調整",F289=""),"",IFERROR(INDEX(設定!$H$8:$I$27,MATCH(F289,設定!$G$8:$G$27,0),IF($M289=設定!$H$6&amp;"",1,2))-COUNTIFS($M$3:$M$302,M289,$I$3:$I$302,F289),""))</f>
        <v/>
      </c>
      <c r="M289" s="8">
        <f>IF(N289="","",INDEX(児童名簿!$A$2:$A$301,N289)&amp;"")</f>
        <v/>
      </c>
      <c r="N289" s="8">
        <f>IFERROR(MATCH(SMALL(児童名簿!$G$2:$G$301,287),児童名簿!$G$2:$G$301,0),"")</f>
        <v/>
      </c>
      <c r="O289" s="8">
        <f>IF(P289="","",IFERROR(MATCH(P289,希望入力!$K$2:$K$401,0),""))</f>
        <v/>
      </c>
      <c r="P289" s="8">
        <f>IF(N289="","",INDEX(児童名簿!$F$2:$F$301,N289))</f>
        <v/>
      </c>
      <c r="Q289" s="8">
        <f>IF(I289="","",IFERROR(MATCH(I289,設定!$G$8:$G$27,0),""))</f>
        <v/>
      </c>
      <c r="R289" s="8">
        <f>IF(Q289="","",COUNTIF($Q$3:Q289,Q289))</f>
        <v/>
      </c>
      <c r="S289" s="8">
        <f>IF(Q289="","",Q289*1000+R289)</f>
        <v/>
      </c>
    </row>
    <row r="290">
      <c r="A290" s="23">
        <f>IF(N290="","",IFERROR(INDEX(設定!$C$8:$C$23,INT(INDEX(児童名簿!$G$2:$G$301,N290)/1000)),M290&amp;INDEX(児童名簿!$B$2:$B$301,N290)))</f>
        <v/>
      </c>
      <c r="B290" s="23">
        <f>IF(N290="","",INDEX(児童名簿!$C$2:$C$301,N290))</f>
        <v/>
      </c>
      <c r="C290" s="3">
        <f>IF(N290="","",INDEX(児童名簿!$D$2:$D$301,N290))</f>
        <v/>
      </c>
      <c r="D290" s="23">
        <f>IF(O290="","",INDEX(希望入力!$D$2:$D$401,O290)&amp;"")</f>
        <v/>
      </c>
      <c r="E290" s="23">
        <f>IF(O290="","",INDEX(希望入力!$E$2:$E$401,O290)&amp;"")</f>
        <v/>
      </c>
      <c r="F290" s="23">
        <f>IF(O290="","",INDEX(希望入力!$F$2:$F$401,O290)&amp;"")</f>
        <v/>
      </c>
      <c r="G290" s="23">
        <f>IF(O290="","",IF(D290="","要調整",IFERROR(IF(COUNTIFS($M$3:$M$302,M290,$D$3:$D$302,D290)&lt;=INDEX(設定!$H$8:$I$27,MATCH(D290,設定!$G$8:$G$27,0),IF($M290=設定!$H$6&amp;"",1,2)),D290,"要調整"),"要調整")))</f>
        <v/>
      </c>
      <c r="H290" s="15" t="n"/>
      <c r="I290" s="24">
        <f>IF(N290="","",IF(H290&lt;&gt;"",H290,IF(OR(G290="",G290="要調整"),"",G290)))</f>
        <v/>
      </c>
      <c r="J290" s="23">
        <f>IF(N290="","",IF(I290&lt;&gt;"","決定",IF(O290="","未提出","要調整")))</f>
        <v/>
      </c>
      <c r="K290" s="23">
        <f>IF(OR(J290&lt;&gt;"要調整",E290=""),"",IFERROR(INDEX(設定!$H$8:$I$27,MATCH(E290,設定!$G$8:$G$27,0),IF($M290=設定!$H$6&amp;"",1,2))-COUNTIFS($M$3:$M$302,M290,$I$3:$I$302,E290),""))</f>
        <v/>
      </c>
      <c r="L290" s="23">
        <f>IF(OR(J290&lt;&gt;"要調整",F290=""),"",IFERROR(INDEX(設定!$H$8:$I$27,MATCH(F290,設定!$G$8:$G$27,0),IF($M290=設定!$H$6&amp;"",1,2))-COUNTIFS($M$3:$M$302,M290,$I$3:$I$302,F290),""))</f>
        <v/>
      </c>
      <c r="M290" s="8">
        <f>IF(N290="","",INDEX(児童名簿!$A$2:$A$301,N290)&amp;"")</f>
        <v/>
      </c>
      <c r="N290" s="8">
        <f>IFERROR(MATCH(SMALL(児童名簿!$G$2:$G$301,288),児童名簿!$G$2:$G$301,0),"")</f>
        <v/>
      </c>
      <c r="O290" s="8">
        <f>IF(P290="","",IFERROR(MATCH(P290,希望入力!$K$2:$K$401,0),""))</f>
        <v/>
      </c>
      <c r="P290" s="8">
        <f>IF(N290="","",INDEX(児童名簿!$F$2:$F$301,N290))</f>
        <v/>
      </c>
      <c r="Q290" s="8">
        <f>IF(I290="","",IFERROR(MATCH(I290,設定!$G$8:$G$27,0),""))</f>
        <v/>
      </c>
      <c r="R290" s="8">
        <f>IF(Q290="","",COUNTIF($Q$3:Q290,Q290))</f>
        <v/>
      </c>
      <c r="S290" s="8">
        <f>IF(Q290="","",Q290*1000+R290)</f>
        <v/>
      </c>
    </row>
    <row r="291">
      <c r="A291" s="23">
        <f>IF(N291="","",IFERROR(INDEX(設定!$C$8:$C$23,INT(INDEX(児童名簿!$G$2:$G$301,N291)/1000)),M291&amp;INDEX(児童名簿!$B$2:$B$301,N291)))</f>
        <v/>
      </c>
      <c r="B291" s="23">
        <f>IF(N291="","",INDEX(児童名簿!$C$2:$C$301,N291))</f>
        <v/>
      </c>
      <c r="C291" s="3">
        <f>IF(N291="","",INDEX(児童名簿!$D$2:$D$301,N291))</f>
        <v/>
      </c>
      <c r="D291" s="23">
        <f>IF(O291="","",INDEX(希望入力!$D$2:$D$401,O291)&amp;"")</f>
        <v/>
      </c>
      <c r="E291" s="23">
        <f>IF(O291="","",INDEX(希望入力!$E$2:$E$401,O291)&amp;"")</f>
        <v/>
      </c>
      <c r="F291" s="23">
        <f>IF(O291="","",INDEX(希望入力!$F$2:$F$401,O291)&amp;"")</f>
        <v/>
      </c>
      <c r="G291" s="23">
        <f>IF(O291="","",IF(D291="","要調整",IFERROR(IF(COUNTIFS($M$3:$M$302,M291,$D$3:$D$302,D291)&lt;=INDEX(設定!$H$8:$I$27,MATCH(D291,設定!$G$8:$G$27,0),IF($M291=設定!$H$6&amp;"",1,2)),D291,"要調整"),"要調整")))</f>
        <v/>
      </c>
      <c r="H291" s="15" t="n"/>
      <c r="I291" s="24">
        <f>IF(N291="","",IF(H291&lt;&gt;"",H291,IF(OR(G291="",G291="要調整"),"",G291)))</f>
        <v/>
      </c>
      <c r="J291" s="23">
        <f>IF(N291="","",IF(I291&lt;&gt;"","決定",IF(O291="","未提出","要調整")))</f>
        <v/>
      </c>
      <c r="K291" s="23">
        <f>IF(OR(J291&lt;&gt;"要調整",E291=""),"",IFERROR(INDEX(設定!$H$8:$I$27,MATCH(E291,設定!$G$8:$G$27,0),IF($M291=設定!$H$6&amp;"",1,2))-COUNTIFS($M$3:$M$302,M291,$I$3:$I$302,E291),""))</f>
        <v/>
      </c>
      <c r="L291" s="23">
        <f>IF(OR(J291&lt;&gt;"要調整",F291=""),"",IFERROR(INDEX(設定!$H$8:$I$27,MATCH(F291,設定!$G$8:$G$27,0),IF($M291=設定!$H$6&amp;"",1,2))-COUNTIFS($M$3:$M$302,M291,$I$3:$I$302,F291),""))</f>
        <v/>
      </c>
      <c r="M291" s="8">
        <f>IF(N291="","",INDEX(児童名簿!$A$2:$A$301,N291)&amp;"")</f>
        <v/>
      </c>
      <c r="N291" s="8">
        <f>IFERROR(MATCH(SMALL(児童名簿!$G$2:$G$301,289),児童名簿!$G$2:$G$301,0),"")</f>
        <v/>
      </c>
      <c r="O291" s="8">
        <f>IF(P291="","",IFERROR(MATCH(P291,希望入力!$K$2:$K$401,0),""))</f>
        <v/>
      </c>
      <c r="P291" s="8">
        <f>IF(N291="","",INDEX(児童名簿!$F$2:$F$301,N291))</f>
        <v/>
      </c>
      <c r="Q291" s="8">
        <f>IF(I291="","",IFERROR(MATCH(I291,設定!$G$8:$G$27,0),""))</f>
        <v/>
      </c>
      <c r="R291" s="8">
        <f>IF(Q291="","",COUNTIF($Q$3:Q291,Q291))</f>
        <v/>
      </c>
      <c r="S291" s="8">
        <f>IF(Q291="","",Q291*1000+R291)</f>
        <v/>
      </c>
    </row>
    <row r="292">
      <c r="A292" s="23">
        <f>IF(N292="","",IFERROR(INDEX(設定!$C$8:$C$23,INT(INDEX(児童名簿!$G$2:$G$301,N292)/1000)),M292&amp;INDEX(児童名簿!$B$2:$B$301,N292)))</f>
        <v/>
      </c>
      <c r="B292" s="23">
        <f>IF(N292="","",INDEX(児童名簿!$C$2:$C$301,N292))</f>
        <v/>
      </c>
      <c r="C292" s="3">
        <f>IF(N292="","",INDEX(児童名簿!$D$2:$D$301,N292))</f>
        <v/>
      </c>
      <c r="D292" s="23">
        <f>IF(O292="","",INDEX(希望入力!$D$2:$D$401,O292)&amp;"")</f>
        <v/>
      </c>
      <c r="E292" s="23">
        <f>IF(O292="","",INDEX(希望入力!$E$2:$E$401,O292)&amp;"")</f>
        <v/>
      </c>
      <c r="F292" s="23">
        <f>IF(O292="","",INDEX(希望入力!$F$2:$F$401,O292)&amp;"")</f>
        <v/>
      </c>
      <c r="G292" s="23">
        <f>IF(O292="","",IF(D292="","要調整",IFERROR(IF(COUNTIFS($M$3:$M$302,M292,$D$3:$D$302,D292)&lt;=INDEX(設定!$H$8:$I$27,MATCH(D292,設定!$G$8:$G$27,0),IF($M292=設定!$H$6&amp;"",1,2)),D292,"要調整"),"要調整")))</f>
        <v/>
      </c>
      <c r="H292" s="15" t="n"/>
      <c r="I292" s="24">
        <f>IF(N292="","",IF(H292&lt;&gt;"",H292,IF(OR(G292="",G292="要調整"),"",G292)))</f>
        <v/>
      </c>
      <c r="J292" s="23">
        <f>IF(N292="","",IF(I292&lt;&gt;"","決定",IF(O292="","未提出","要調整")))</f>
        <v/>
      </c>
      <c r="K292" s="23">
        <f>IF(OR(J292&lt;&gt;"要調整",E292=""),"",IFERROR(INDEX(設定!$H$8:$I$27,MATCH(E292,設定!$G$8:$G$27,0),IF($M292=設定!$H$6&amp;"",1,2))-COUNTIFS($M$3:$M$302,M292,$I$3:$I$302,E292),""))</f>
        <v/>
      </c>
      <c r="L292" s="23">
        <f>IF(OR(J292&lt;&gt;"要調整",F292=""),"",IFERROR(INDEX(設定!$H$8:$I$27,MATCH(F292,設定!$G$8:$G$27,0),IF($M292=設定!$H$6&amp;"",1,2))-COUNTIFS($M$3:$M$302,M292,$I$3:$I$302,F292),""))</f>
        <v/>
      </c>
      <c r="M292" s="8">
        <f>IF(N292="","",INDEX(児童名簿!$A$2:$A$301,N292)&amp;"")</f>
        <v/>
      </c>
      <c r="N292" s="8">
        <f>IFERROR(MATCH(SMALL(児童名簿!$G$2:$G$301,290),児童名簿!$G$2:$G$301,0),"")</f>
        <v/>
      </c>
      <c r="O292" s="8">
        <f>IF(P292="","",IFERROR(MATCH(P292,希望入力!$K$2:$K$401,0),""))</f>
        <v/>
      </c>
      <c r="P292" s="8">
        <f>IF(N292="","",INDEX(児童名簿!$F$2:$F$301,N292))</f>
        <v/>
      </c>
      <c r="Q292" s="8">
        <f>IF(I292="","",IFERROR(MATCH(I292,設定!$G$8:$G$27,0),""))</f>
        <v/>
      </c>
      <c r="R292" s="8">
        <f>IF(Q292="","",COUNTIF($Q$3:Q292,Q292))</f>
        <v/>
      </c>
      <c r="S292" s="8">
        <f>IF(Q292="","",Q292*1000+R292)</f>
        <v/>
      </c>
    </row>
    <row r="293">
      <c r="A293" s="23">
        <f>IF(N293="","",IFERROR(INDEX(設定!$C$8:$C$23,INT(INDEX(児童名簿!$G$2:$G$301,N293)/1000)),M293&amp;INDEX(児童名簿!$B$2:$B$301,N293)))</f>
        <v/>
      </c>
      <c r="B293" s="23">
        <f>IF(N293="","",INDEX(児童名簿!$C$2:$C$301,N293))</f>
        <v/>
      </c>
      <c r="C293" s="3">
        <f>IF(N293="","",INDEX(児童名簿!$D$2:$D$301,N293))</f>
        <v/>
      </c>
      <c r="D293" s="23">
        <f>IF(O293="","",INDEX(希望入力!$D$2:$D$401,O293)&amp;"")</f>
        <v/>
      </c>
      <c r="E293" s="23">
        <f>IF(O293="","",INDEX(希望入力!$E$2:$E$401,O293)&amp;"")</f>
        <v/>
      </c>
      <c r="F293" s="23">
        <f>IF(O293="","",INDEX(希望入力!$F$2:$F$401,O293)&amp;"")</f>
        <v/>
      </c>
      <c r="G293" s="23">
        <f>IF(O293="","",IF(D293="","要調整",IFERROR(IF(COUNTIFS($M$3:$M$302,M293,$D$3:$D$302,D293)&lt;=INDEX(設定!$H$8:$I$27,MATCH(D293,設定!$G$8:$G$27,0),IF($M293=設定!$H$6&amp;"",1,2)),D293,"要調整"),"要調整")))</f>
        <v/>
      </c>
      <c r="H293" s="15" t="n"/>
      <c r="I293" s="24">
        <f>IF(N293="","",IF(H293&lt;&gt;"",H293,IF(OR(G293="",G293="要調整"),"",G293)))</f>
        <v/>
      </c>
      <c r="J293" s="23">
        <f>IF(N293="","",IF(I293&lt;&gt;"","決定",IF(O293="","未提出","要調整")))</f>
        <v/>
      </c>
      <c r="K293" s="23">
        <f>IF(OR(J293&lt;&gt;"要調整",E293=""),"",IFERROR(INDEX(設定!$H$8:$I$27,MATCH(E293,設定!$G$8:$G$27,0),IF($M293=設定!$H$6&amp;"",1,2))-COUNTIFS($M$3:$M$302,M293,$I$3:$I$302,E293),""))</f>
        <v/>
      </c>
      <c r="L293" s="23">
        <f>IF(OR(J293&lt;&gt;"要調整",F293=""),"",IFERROR(INDEX(設定!$H$8:$I$27,MATCH(F293,設定!$G$8:$G$27,0),IF($M293=設定!$H$6&amp;"",1,2))-COUNTIFS($M$3:$M$302,M293,$I$3:$I$302,F293),""))</f>
        <v/>
      </c>
      <c r="M293" s="8">
        <f>IF(N293="","",INDEX(児童名簿!$A$2:$A$301,N293)&amp;"")</f>
        <v/>
      </c>
      <c r="N293" s="8">
        <f>IFERROR(MATCH(SMALL(児童名簿!$G$2:$G$301,291),児童名簿!$G$2:$G$301,0),"")</f>
        <v/>
      </c>
      <c r="O293" s="8">
        <f>IF(P293="","",IFERROR(MATCH(P293,希望入力!$K$2:$K$401,0),""))</f>
        <v/>
      </c>
      <c r="P293" s="8">
        <f>IF(N293="","",INDEX(児童名簿!$F$2:$F$301,N293))</f>
        <v/>
      </c>
      <c r="Q293" s="8">
        <f>IF(I293="","",IFERROR(MATCH(I293,設定!$G$8:$G$27,0),""))</f>
        <v/>
      </c>
      <c r="R293" s="8">
        <f>IF(Q293="","",COUNTIF($Q$3:Q293,Q293))</f>
        <v/>
      </c>
      <c r="S293" s="8">
        <f>IF(Q293="","",Q293*1000+R293)</f>
        <v/>
      </c>
    </row>
    <row r="294">
      <c r="A294" s="23">
        <f>IF(N294="","",IFERROR(INDEX(設定!$C$8:$C$23,INT(INDEX(児童名簿!$G$2:$G$301,N294)/1000)),M294&amp;INDEX(児童名簿!$B$2:$B$301,N294)))</f>
        <v/>
      </c>
      <c r="B294" s="23">
        <f>IF(N294="","",INDEX(児童名簿!$C$2:$C$301,N294))</f>
        <v/>
      </c>
      <c r="C294" s="3">
        <f>IF(N294="","",INDEX(児童名簿!$D$2:$D$301,N294))</f>
        <v/>
      </c>
      <c r="D294" s="23">
        <f>IF(O294="","",INDEX(希望入力!$D$2:$D$401,O294)&amp;"")</f>
        <v/>
      </c>
      <c r="E294" s="23">
        <f>IF(O294="","",INDEX(希望入力!$E$2:$E$401,O294)&amp;"")</f>
        <v/>
      </c>
      <c r="F294" s="23">
        <f>IF(O294="","",INDEX(希望入力!$F$2:$F$401,O294)&amp;"")</f>
        <v/>
      </c>
      <c r="G294" s="23">
        <f>IF(O294="","",IF(D294="","要調整",IFERROR(IF(COUNTIFS($M$3:$M$302,M294,$D$3:$D$302,D294)&lt;=INDEX(設定!$H$8:$I$27,MATCH(D294,設定!$G$8:$G$27,0),IF($M294=設定!$H$6&amp;"",1,2)),D294,"要調整"),"要調整")))</f>
        <v/>
      </c>
      <c r="H294" s="15" t="n"/>
      <c r="I294" s="24">
        <f>IF(N294="","",IF(H294&lt;&gt;"",H294,IF(OR(G294="",G294="要調整"),"",G294)))</f>
        <v/>
      </c>
      <c r="J294" s="23">
        <f>IF(N294="","",IF(I294&lt;&gt;"","決定",IF(O294="","未提出","要調整")))</f>
        <v/>
      </c>
      <c r="K294" s="23">
        <f>IF(OR(J294&lt;&gt;"要調整",E294=""),"",IFERROR(INDEX(設定!$H$8:$I$27,MATCH(E294,設定!$G$8:$G$27,0),IF($M294=設定!$H$6&amp;"",1,2))-COUNTIFS($M$3:$M$302,M294,$I$3:$I$302,E294),""))</f>
        <v/>
      </c>
      <c r="L294" s="23">
        <f>IF(OR(J294&lt;&gt;"要調整",F294=""),"",IFERROR(INDEX(設定!$H$8:$I$27,MATCH(F294,設定!$G$8:$G$27,0),IF($M294=設定!$H$6&amp;"",1,2))-COUNTIFS($M$3:$M$302,M294,$I$3:$I$302,F294),""))</f>
        <v/>
      </c>
      <c r="M294" s="8">
        <f>IF(N294="","",INDEX(児童名簿!$A$2:$A$301,N294)&amp;"")</f>
        <v/>
      </c>
      <c r="N294" s="8">
        <f>IFERROR(MATCH(SMALL(児童名簿!$G$2:$G$301,292),児童名簿!$G$2:$G$301,0),"")</f>
        <v/>
      </c>
      <c r="O294" s="8">
        <f>IF(P294="","",IFERROR(MATCH(P294,希望入力!$K$2:$K$401,0),""))</f>
        <v/>
      </c>
      <c r="P294" s="8">
        <f>IF(N294="","",INDEX(児童名簿!$F$2:$F$301,N294))</f>
        <v/>
      </c>
      <c r="Q294" s="8">
        <f>IF(I294="","",IFERROR(MATCH(I294,設定!$G$8:$G$27,0),""))</f>
        <v/>
      </c>
      <c r="R294" s="8">
        <f>IF(Q294="","",COUNTIF($Q$3:Q294,Q294))</f>
        <v/>
      </c>
      <c r="S294" s="8">
        <f>IF(Q294="","",Q294*1000+R294)</f>
        <v/>
      </c>
    </row>
    <row r="295">
      <c r="A295" s="23">
        <f>IF(N295="","",IFERROR(INDEX(設定!$C$8:$C$23,INT(INDEX(児童名簿!$G$2:$G$301,N295)/1000)),M295&amp;INDEX(児童名簿!$B$2:$B$301,N295)))</f>
        <v/>
      </c>
      <c r="B295" s="23">
        <f>IF(N295="","",INDEX(児童名簿!$C$2:$C$301,N295))</f>
        <v/>
      </c>
      <c r="C295" s="3">
        <f>IF(N295="","",INDEX(児童名簿!$D$2:$D$301,N295))</f>
        <v/>
      </c>
      <c r="D295" s="23">
        <f>IF(O295="","",INDEX(希望入力!$D$2:$D$401,O295)&amp;"")</f>
        <v/>
      </c>
      <c r="E295" s="23">
        <f>IF(O295="","",INDEX(希望入力!$E$2:$E$401,O295)&amp;"")</f>
        <v/>
      </c>
      <c r="F295" s="23">
        <f>IF(O295="","",INDEX(希望入力!$F$2:$F$401,O295)&amp;"")</f>
        <v/>
      </c>
      <c r="G295" s="23">
        <f>IF(O295="","",IF(D295="","要調整",IFERROR(IF(COUNTIFS($M$3:$M$302,M295,$D$3:$D$302,D295)&lt;=INDEX(設定!$H$8:$I$27,MATCH(D295,設定!$G$8:$G$27,0),IF($M295=設定!$H$6&amp;"",1,2)),D295,"要調整"),"要調整")))</f>
        <v/>
      </c>
      <c r="H295" s="15" t="n"/>
      <c r="I295" s="24">
        <f>IF(N295="","",IF(H295&lt;&gt;"",H295,IF(OR(G295="",G295="要調整"),"",G295)))</f>
        <v/>
      </c>
      <c r="J295" s="23">
        <f>IF(N295="","",IF(I295&lt;&gt;"","決定",IF(O295="","未提出","要調整")))</f>
        <v/>
      </c>
      <c r="K295" s="23">
        <f>IF(OR(J295&lt;&gt;"要調整",E295=""),"",IFERROR(INDEX(設定!$H$8:$I$27,MATCH(E295,設定!$G$8:$G$27,0),IF($M295=設定!$H$6&amp;"",1,2))-COUNTIFS($M$3:$M$302,M295,$I$3:$I$302,E295),""))</f>
        <v/>
      </c>
      <c r="L295" s="23">
        <f>IF(OR(J295&lt;&gt;"要調整",F295=""),"",IFERROR(INDEX(設定!$H$8:$I$27,MATCH(F295,設定!$G$8:$G$27,0),IF($M295=設定!$H$6&amp;"",1,2))-COUNTIFS($M$3:$M$302,M295,$I$3:$I$302,F295),""))</f>
        <v/>
      </c>
      <c r="M295" s="8">
        <f>IF(N295="","",INDEX(児童名簿!$A$2:$A$301,N295)&amp;"")</f>
        <v/>
      </c>
      <c r="N295" s="8">
        <f>IFERROR(MATCH(SMALL(児童名簿!$G$2:$G$301,293),児童名簿!$G$2:$G$301,0),"")</f>
        <v/>
      </c>
      <c r="O295" s="8">
        <f>IF(P295="","",IFERROR(MATCH(P295,希望入力!$K$2:$K$401,0),""))</f>
        <v/>
      </c>
      <c r="P295" s="8">
        <f>IF(N295="","",INDEX(児童名簿!$F$2:$F$301,N295))</f>
        <v/>
      </c>
      <c r="Q295" s="8">
        <f>IF(I295="","",IFERROR(MATCH(I295,設定!$G$8:$G$27,0),""))</f>
        <v/>
      </c>
      <c r="R295" s="8">
        <f>IF(Q295="","",COUNTIF($Q$3:Q295,Q295))</f>
        <v/>
      </c>
      <c r="S295" s="8">
        <f>IF(Q295="","",Q295*1000+R295)</f>
        <v/>
      </c>
    </row>
    <row r="296">
      <c r="A296" s="23">
        <f>IF(N296="","",IFERROR(INDEX(設定!$C$8:$C$23,INT(INDEX(児童名簿!$G$2:$G$301,N296)/1000)),M296&amp;INDEX(児童名簿!$B$2:$B$301,N296)))</f>
        <v/>
      </c>
      <c r="B296" s="23">
        <f>IF(N296="","",INDEX(児童名簿!$C$2:$C$301,N296))</f>
        <v/>
      </c>
      <c r="C296" s="3">
        <f>IF(N296="","",INDEX(児童名簿!$D$2:$D$301,N296))</f>
        <v/>
      </c>
      <c r="D296" s="23">
        <f>IF(O296="","",INDEX(希望入力!$D$2:$D$401,O296)&amp;"")</f>
        <v/>
      </c>
      <c r="E296" s="23">
        <f>IF(O296="","",INDEX(希望入力!$E$2:$E$401,O296)&amp;"")</f>
        <v/>
      </c>
      <c r="F296" s="23">
        <f>IF(O296="","",INDEX(希望入力!$F$2:$F$401,O296)&amp;"")</f>
        <v/>
      </c>
      <c r="G296" s="23">
        <f>IF(O296="","",IF(D296="","要調整",IFERROR(IF(COUNTIFS($M$3:$M$302,M296,$D$3:$D$302,D296)&lt;=INDEX(設定!$H$8:$I$27,MATCH(D296,設定!$G$8:$G$27,0),IF($M296=設定!$H$6&amp;"",1,2)),D296,"要調整"),"要調整")))</f>
        <v/>
      </c>
      <c r="H296" s="15" t="n"/>
      <c r="I296" s="24">
        <f>IF(N296="","",IF(H296&lt;&gt;"",H296,IF(OR(G296="",G296="要調整"),"",G296)))</f>
        <v/>
      </c>
      <c r="J296" s="23">
        <f>IF(N296="","",IF(I296&lt;&gt;"","決定",IF(O296="","未提出","要調整")))</f>
        <v/>
      </c>
      <c r="K296" s="23">
        <f>IF(OR(J296&lt;&gt;"要調整",E296=""),"",IFERROR(INDEX(設定!$H$8:$I$27,MATCH(E296,設定!$G$8:$G$27,0),IF($M296=設定!$H$6&amp;"",1,2))-COUNTIFS($M$3:$M$302,M296,$I$3:$I$302,E296),""))</f>
        <v/>
      </c>
      <c r="L296" s="23">
        <f>IF(OR(J296&lt;&gt;"要調整",F296=""),"",IFERROR(INDEX(設定!$H$8:$I$27,MATCH(F296,設定!$G$8:$G$27,0),IF($M296=設定!$H$6&amp;"",1,2))-COUNTIFS($M$3:$M$302,M296,$I$3:$I$302,F296),""))</f>
        <v/>
      </c>
      <c r="M296" s="8">
        <f>IF(N296="","",INDEX(児童名簿!$A$2:$A$301,N296)&amp;"")</f>
        <v/>
      </c>
      <c r="N296" s="8">
        <f>IFERROR(MATCH(SMALL(児童名簿!$G$2:$G$301,294),児童名簿!$G$2:$G$301,0),"")</f>
        <v/>
      </c>
      <c r="O296" s="8">
        <f>IF(P296="","",IFERROR(MATCH(P296,希望入力!$K$2:$K$401,0),""))</f>
        <v/>
      </c>
      <c r="P296" s="8">
        <f>IF(N296="","",INDEX(児童名簿!$F$2:$F$301,N296))</f>
        <v/>
      </c>
      <c r="Q296" s="8">
        <f>IF(I296="","",IFERROR(MATCH(I296,設定!$G$8:$G$27,0),""))</f>
        <v/>
      </c>
      <c r="R296" s="8">
        <f>IF(Q296="","",COUNTIF($Q$3:Q296,Q296))</f>
        <v/>
      </c>
      <c r="S296" s="8">
        <f>IF(Q296="","",Q296*1000+R296)</f>
        <v/>
      </c>
    </row>
    <row r="297">
      <c r="A297" s="23">
        <f>IF(N297="","",IFERROR(INDEX(設定!$C$8:$C$23,INT(INDEX(児童名簿!$G$2:$G$301,N297)/1000)),M297&amp;INDEX(児童名簿!$B$2:$B$301,N297)))</f>
        <v/>
      </c>
      <c r="B297" s="23">
        <f>IF(N297="","",INDEX(児童名簿!$C$2:$C$301,N297))</f>
        <v/>
      </c>
      <c r="C297" s="3">
        <f>IF(N297="","",INDEX(児童名簿!$D$2:$D$301,N297))</f>
        <v/>
      </c>
      <c r="D297" s="23">
        <f>IF(O297="","",INDEX(希望入力!$D$2:$D$401,O297)&amp;"")</f>
        <v/>
      </c>
      <c r="E297" s="23">
        <f>IF(O297="","",INDEX(希望入力!$E$2:$E$401,O297)&amp;"")</f>
        <v/>
      </c>
      <c r="F297" s="23">
        <f>IF(O297="","",INDEX(希望入力!$F$2:$F$401,O297)&amp;"")</f>
        <v/>
      </c>
      <c r="G297" s="23">
        <f>IF(O297="","",IF(D297="","要調整",IFERROR(IF(COUNTIFS($M$3:$M$302,M297,$D$3:$D$302,D297)&lt;=INDEX(設定!$H$8:$I$27,MATCH(D297,設定!$G$8:$G$27,0),IF($M297=設定!$H$6&amp;"",1,2)),D297,"要調整"),"要調整")))</f>
        <v/>
      </c>
      <c r="H297" s="15" t="n"/>
      <c r="I297" s="24">
        <f>IF(N297="","",IF(H297&lt;&gt;"",H297,IF(OR(G297="",G297="要調整"),"",G297)))</f>
        <v/>
      </c>
      <c r="J297" s="23">
        <f>IF(N297="","",IF(I297&lt;&gt;"","決定",IF(O297="","未提出","要調整")))</f>
        <v/>
      </c>
      <c r="K297" s="23">
        <f>IF(OR(J297&lt;&gt;"要調整",E297=""),"",IFERROR(INDEX(設定!$H$8:$I$27,MATCH(E297,設定!$G$8:$G$27,0),IF($M297=設定!$H$6&amp;"",1,2))-COUNTIFS($M$3:$M$302,M297,$I$3:$I$302,E297),""))</f>
        <v/>
      </c>
      <c r="L297" s="23">
        <f>IF(OR(J297&lt;&gt;"要調整",F297=""),"",IFERROR(INDEX(設定!$H$8:$I$27,MATCH(F297,設定!$G$8:$G$27,0),IF($M297=設定!$H$6&amp;"",1,2))-COUNTIFS($M$3:$M$302,M297,$I$3:$I$302,F297),""))</f>
        <v/>
      </c>
      <c r="M297" s="8">
        <f>IF(N297="","",INDEX(児童名簿!$A$2:$A$301,N297)&amp;"")</f>
        <v/>
      </c>
      <c r="N297" s="8">
        <f>IFERROR(MATCH(SMALL(児童名簿!$G$2:$G$301,295),児童名簿!$G$2:$G$301,0),"")</f>
        <v/>
      </c>
      <c r="O297" s="8">
        <f>IF(P297="","",IFERROR(MATCH(P297,希望入力!$K$2:$K$401,0),""))</f>
        <v/>
      </c>
      <c r="P297" s="8">
        <f>IF(N297="","",INDEX(児童名簿!$F$2:$F$301,N297))</f>
        <v/>
      </c>
      <c r="Q297" s="8">
        <f>IF(I297="","",IFERROR(MATCH(I297,設定!$G$8:$G$27,0),""))</f>
        <v/>
      </c>
      <c r="R297" s="8">
        <f>IF(Q297="","",COUNTIF($Q$3:Q297,Q297))</f>
        <v/>
      </c>
      <c r="S297" s="8">
        <f>IF(Q297="","",Q297*1000+R297)</f>
        <v/>
      </c>
    </row>
    <row r="298">
      <c r="A298" s="23">
        <f>IF(N298="","",IFERROR(INDEX(設定!$C$8:$C$23,INT(INDEX(児童名簿!$G$2:$G$301,N298)/1000)),M298&amp;INDEX(児童名簿!$B$2:$B$301,N298)))</f>
        <v/>
      </c>
      <c r="B298" s="23">
        <f>IF(N298="","",INDEX(児童名簿!$C$2:$C$301,N298))</f>
        <v/>
      </c>
      <c r="C298" s="3">
        <f>IF(N298="","",INDEX(児童名簿!$D$2:$D$301,N298))</f>
        <v/>
      </c>
      <c r="D298" s="23">
        <f>IF(O298="","",INDEX(希望入力!$D$2:$D$401,O298)&amp;"")</f>
        <v/>
      </c>
      <c r="E298" s="23">
        <f>IF(O298="","",INDEX(希望入力!$E$2:$E$401,O298)&amp;"")</f>
        <v/>
      </c>
      <c r="F298" s="23">
        <f>IF(O298="","",INDEX(希望入力!$F$2:$F$401,O298)&amp;"")</f>
        <v/>
      </c>
      <c r="G298" s="23">
        <f>IF(O298="","",IF(D298="","要調整",IFERROR(IF(COUNTIFS($M$3:$M$302,M298,$D$3:$D$302,D298)&lt;=INDEX(設定!$H$8:$I$27,MATCH(D298,設定!$G$8:$G$27,0),IF($M298=設定!$H$6&amp;"",1,2)),D298,"要調整"),"要調整")))</f>
        <v/>
      </c>
      <c r="H298" s="15" t="n"/>
      <c r="I298" s="24">
        <f>IF(N298="","",IF(H298&lt;&gt;"",H298,IF(OR(G298="",G298="要調整"),"",G298)))</f>
        <v/>
      </c>
      <c r="J298" s="23">
        <f>IF(N298="","",IF(I298&lt;&gt;"","決定",IF(O298="","未提出","要調整")))</f>
        <v/>
      </c>
      <c r="K298" s="23">
        <f>IF(OR(J298&lt;&gt;"要調整",E298=""),"",IFERROR(INDEX(設定!$H$8:$I$27,MATCH(E298,設定!$G$8:$G$27,0),IF($M298=設定!$H$6&amp;"",1,2))-COUNTIFS($M$3:$M$302,M298,$I$3:$I$302,E298),""))</f>
        <v/>
      </c>
      <c r="L298" s="23">
        <f>IF(OR(J298&lt;&gt;"要調整",F298=""),"",IFERROR(INDEX(設定!$H$8:$I$27,MATCH(F298,設定!$G$8:$G$27,0),IF($M298=設定!$H$6&amp;"",1,2))-COUNTIFS($M$3:$M$302,M298,$I$3:$I$302,F298),""))</f>
        <v/>
      </c>
      <c r="M298" s="8">
        <f>IF(N298="","",INDEX(児童名簿!$A$2:$A$301,N298)&amp;"")</f>
        <v/>
      </c>
      <c r="N298" s="8">
        <f>IFERROR(MATCH(SMALL(児童名簿!$G$2:$G$301,296),児童名簿!$G$2:$G$301,0),"")</f>
        <v/>
      </c>
      <c r="O298" s="8">
        <f>IF(P298="","",IFERROR(MATCH(P298,希望入力!$K$2:$K$401,0),""))</f>
        <v/>
      </c>
      <c r="P298" s="8">
        <f>IF(N298="","",INDEX(児童名簿!$F$2:$F$301,N298))</f>
        <v/>
      </c>
      <c r="Q298" s="8">
        <f>IF(I298="","",IFERROR(MATCH(I298,設定!$G$8:$G$27,0),""))</f>
        <v/>
      </c>
      <c r="R298" s="8">
        <f>IF(Q298="","",COUNTIF($Q$3:Q298,Q298))</f>
        <v/>
      </c>
      <c r="S298" s="8">
        <f>IF(Q298="","",Q298*1000+R298)</f>
        <v/>
      </c>
    </row>
    <row r="299">
      <c r="A299" s="23">
        <f>IF(N299="","",IFERROR(INDEX(設定!$C$8:$C$23,INT(INDEX(児童名簿!$G$2:$G$301,N299)/1000)),M299&amp;INDEX(児童名簿!$B$2:$B$301,N299)))</f>
        <v/>
      </c>
      <c r="B299" s="23">
        <f>IF(N299="","",INDEX(児童名簿!$C$2:$C$301,N299))</f>
        <v/>
      </c>
      <c r="C299" s="3">
        <f>IF(N299="","",INDEX(児童名簿!$D$2:$D$301,N299))</f>
        <v/>
      </c>
      <c r="D299" s="23">
        <f>IF(O299="","",INDEX(希望入力!$D$2:$D$401,O299)&amp;"")</f>
        <v/>
      </c>
      <c r="E299" s="23">
        <f>IF(O299="","",INDEX(希望入力!$E$2:$E$401,O299)&amp;"")</f>
        <v/>
      </c>
      <c r="F299" s="23">
        <f>IF(O299="","",INDEX(希望入力!$F$2:$F$401,O299)&amp;"")</f>
        <v/>
      </c>
      <c r="G299" s="23">
        <f>IF(O299="","",IF(D299="","要調整",IFERROR(IF(COUNTIFS($M$3:$M$302,M299,$D$3:$D$302,D299)&lt;=INDEX(設定!$H$8:$I$27,MATCH(D299,設定!$G$8:$G$27,0),IF($M299=設定!$H$6&amp;"",1,2)),D299,"要調整"),"要調整")))</f>
        <v/>
      </c>
      <c r="H299" s="15" t="n"/>
      <c r="I299" s="24">
        <f>IF(N299="","",IF(H299&lt;&gt;"",H299,IF(OR(G299="",G299="要調整"),"",G299)))</f>
        <v/>
      </c>
      <c r="J299" s="23">
        <f>IF(N299="","",IF(I299&lt;&gt;"","決定",IF(O299="","未提出","要調整")))</f>
        <v/>
      </c>
      <c r="K299" s="23">
        <f>IF(OR(J299&lt;&gt;"要調整",E299=""),"",IFERROR(INDEX(設定!$H$8:$I$27,MATCH(E299,設定!$G$8:$G$27,0),IF($M299=設定!$H$6&amp;"",1,2))-COUNTIFS($M$3:$M$302,M299,$I$3:$I$302,E299),""))</f>
        <v/>
      </c>
      <c r="L299" s="23">
        <f>IF(OR(J299&lt;&gt;"要調整",F299=""),"",IFERROR(INDEX(設定!$H$8:$I$27,MATCH(F299,設定!$G$8:$G$27,0),IF($M299=設定!$H$6&amp;"",1,2))-COUNTIFS($M$3:$M$302,M299,$I$3:$I$302,F299),""))</f>
        <v/>
      </c>
      <c r="M299" s="8">
        <f>IF(N299="","",INDEX(児童名簿!$A$2:$A$301,N299)&amp;"")</f>
        <v/>
      </c>
      <c r="N299" s="8">
        <f>IFERROR(MATCH(SMALL(児童名簿!$G$2:$G$301,297),児童名簿!$G$2:$G$301,0),"")</f>
        <v/>
      </c>
      <c r="O299" s="8">
        <f>IF(P299="","",IFERROR(MATCH(P299,希望入力!$K$2:$K$401,0),""))</f>
        <v/>
      </c>
      <c r="P299" s="8">
        <f>IF(N299="","",INDEX(児童名簿!$F$2:$F$301,N299))</f>
        <v/>
      </c>
      <c r="Q299" s="8">
        <f>IF(I299="","",IFERROR(MATCH(I299,設定!$G$8:$G$27,0),""))</f>
        <v/>
      </c>
      <c r="R299" s="8">
        <f>IF(Q299="","",COUNTIF($Q$3:Q299,Q299))</f>
        <v/>
      </c>
      <c r="S299" s="8">
        <f>IF(Q299="","",Q299*1000+R299)</f>
        <v/>
      </c>
    </row>
    <row r="300">
      <c r="A300" s="23">
        <f>IF(N300="","",IFERROR(INDEX(設定!$C$8:$C$23,INT(INDEX(児童名簿!$G$2:$G$301,N300)/1000)),M300&amp;INDEX(児童名簿!$B$2:$B$301,N300)))</f>
        <v/>
      </c>
      <c r="B300" s="23">
        <f>IF(N300="","",INDEX(児童名簿!$C$2:$C$301,N300))</f>
        <v/>
      </c>
      <c r="C300" s="3">
        <f>IF(N300="","",INDEX(児童名簿!$D$2:$D$301,N300))</f>
        <v/>
      </c>
      <c r="D300" s="23">
        <f>IF(O300="","",INDEX(希望入力!$D$2:$D$401,O300)&amp;"")</f>
        <v/>
      </c>
      <c r="E300" s="23">
        <f>IF(O300="","",INDEX(希望入力!$E$2:$E$401,O300)&amp;"")</f>
        <v/>
      </c>
      <c r="F300" s="23">
        <f>IF(O300="","",INDEX(希望入力!$F$2:$F$401,O300)&amp;"")</f>
        <v/>
      </c>
      <c r="G300" s="23">
        <f>IF(O300="","",IF(D300="","要調整",IFERROR(IF(COUNTIFS($M$3:$M$302,M300,$D$3:$D$302,D300)&lt;=INDEX(設定!$H$8:$I$27,MATCH(D300,設定!$G$8:$G$27,0),IF($M300=設定!$H$6&amp;"",1,2)),D300,"要調整"),"要調整")))</f>
        <v/>
      </c>
      <c r="H300" s="15" t="n"/>
      <c r="I300" s="24">
        <f>IF(N300="","",IF(H300&lt;&gt;"",H300,IF(OR(G300="",G300="要調整"),"",G300)))</f>
        <v/>
      </c>
      <c r="J300" s="23">
        <f>IF(N300="","",IF(I300&lt;&gt;"","決定",IF(O300="","未提出","要調整")))</f>
        <v/>
      </c>
      <c r="K300" s="23">
        <f>IF(OR(J300&lt;&gt;"要調整",E300=""),"",IFERROR(INDEX(設定!$H$8:$I$27,MATCH(E300,設定!$G$8:$G$27,0),IF($M300=設定!$H$6&amp;"",1,2))-COUNTIFS($M$3:$M$302,M300,$I$3:$I$302,E300),""))</f>
        <v/>
      </c>
      <c r="L300" s="23">
        <f>IF(OR(J300&lt;&gt;"要調整",F300=""),"",IFERROR(INDEX(設定!$H$8:$I$27,MATCH(F300,設定!$G$8:$G$27,0),IF($M300=設定!$H$6&amp;"",1,2))-COUNTIFS($M$3:$M$302,M300,$I$3:$I$302,F300),""))</f>
        <v/>
      </c>
      <c r="M300" s="8">
        <f>IF(N300="","",INDEX(児童名簿!$A$2:$A$301,N300)&amp;"")</f>
        <v/>
      </c>
      <c r="N300" s="8">
        <f>IFERROR(MATCH(SMALL(児童名簿!$G$2:$G$301,298),児童名簿!$G$2:$G$301,0),"")</f>
        <v/>
      </c>
      <c r="O300" s="8">
        <f>IF(P300="","",IFERROR(MATCH(P300,希望入力!$K$2:$K$401,0),""))</f>
        <v/>
      </c>
      <c r="P300" s="8">
        <f>IF(N300="","",INDEX(児童名簿!$F$2:$F$301,N300))</f>
        <v/>
      </c>
      <c r="Q300" s="8">
        <f>IF(I300="","",IFERROR(MATCH(I300,設定!$G$8:$G$27,0),""))</f>
        <v/>
      </c>
      <c r="R300" s="8">
        <f>IF(Q300="","",COUNTIF($Q$3:Q300,Q300))</f>
        <v/>
      </c>
      <c r="S300" s="8">
        <f>IF(Q300="","",Q300*1000+R300)</f>
        <v/>
      </c>
    </row>
    <row r="301">
      <c r="A301" s="23">
        <f>IF(N301="","",IFERROR(INDEX(設定!$C$8:$C$23,INT(INDEX(児童名簿!$G$2:$G$301,N301)/1000)),M301&amp;INDEX(児童名簿!$B$2:$B$301,N301)))</f>
        <v/>
      </c>
      <c r="B301" s="23">
        <f>IF(N301="","",INDEX(児童名簿!$C$2:$C$301,N301))</f>
        <v/>
      </c>
      <c r="C301" s="3">
        <f>IF(N301="","",INDEX(児童名簿!$D$2:$D$301,N301))</f>
        <v/>
      </c>
      <c r="D301" s="23">
        <f>IF(O301="","",INDEX(希望入力!$D$2:$D$401,O301)&amp;"")</f>
        <v/>
      </c>
      <c r="E301" s="23">
        <f>IF(O301="","",INDEX(希望入力!$E$2:$E$401,O301)&amp;"")</f>
        <v/>
      </c>
      <c r="F301" s="23">
        <f>IF(O301="","",INDEX(希望入力!$F$2:$F$401,O301)&amp;"")</f>
        <v/>
      </c>
      <c r="G301" s="23">
        <f>IF(O301="","",IF(D301="","要調整",IFERROR(IF(COUNTIFS($M$3:$M$302,M301,$D$3:$D$302,D301)&lt;=INDEX(設定!$H$8:$I$27,MATCH(D301,設定!$G$8:$G$27,0),IF($M301=設定!$H$6&amp;"",1,2)),D301,"要調整"),"要調整")))</f>
        <v/>
      </c>
      <c r="H301" s="15" t="n"/>
      <c r="I301" s="24">
        <f>IF(N301="","",IF(H301&lt;&gt;"",H301,IF(OR(G301="",G301="要調整"),"",G301)))</f>
        <v/>
      </c>
      <c r="J301" s="23">
        <f>IF(N301="","",IF(I301&lt;&gt;"","決定",IF(O301="","未提出","要調整")))</f>
        <v/>
      </c>
      <c r="K301" s="23">
        <f>IF(OR(J301&lt;&gt;"要調整",E301=""),"",IFERROR(INDEX(設定!$H$8:$I$27,MATCH(E301,設定!$G$8:$G$27,0),IF($M301=設定!$H$6&amp;"",1,2))-COUNTIFS($M$3:$M$302,M301,$I$3:$I$302,E301),""))</f>
        <v/>
      </c>
      <c r="L301" s="23">
        <f>IF(OR(J301&lt;&gt;"要調整",F301=""),"",IFERROR(INDEX(設定!$H$8:$I$27,MATCH(F301,設定!$G$8:$G$27,0),IF($M301=設定!$H$6&amp;"",1,2))-COUNTIFS($M$3:$M$302,M301,$I$3:$I$302,F301),""))</f>
        <v/>
      </c>
      <c r="M301" s="8">
        <f>IF(N301="","",INDEX(児童名簿!$A$2:$A$301,N301)&amp;"")</f>
        <v/>
      </c>
      <c r="N301" s="8">
        <f>IFERROR(MATCH(SMALL(児童名簿!$G$2:$G$301,299),児童名簿!$G$2:$G$301,0),"")</f>
        <v/>
      </c>
      <c r="O301" s="8">
        <f>IF(P301="","",IFERROR(MATCH(P301,希望入力!$K$2:$K$401,0),""))</f>
        <v/>
      </c>
      <c r="P301" s="8">
        <f>IF(N301="","",INDEX(児童名簿!$F$2:$F$301,N301))</f>
        <v/>
      </c>
      <c r="Q301" s="8">
        <f>IF(I301="","",IFERROR(MATCH(I301,設定!$G$8:$G$27,0),""))</f>
        <v/>
      </c>
      <c r="R301" s="8">
        <f>IF(Q301="","",COUNTIF($Q$3:Q301,Q301))</f>
        <v/>
      </c>
      <c r="S301" s="8">
        <f>IF(Q301="","",Q301*1000+R301)</f>
        <v/>
      </c>
    </row>
    <row r="302">
      <c r="A302" s="23">
        <f>IF(N302="","",IFERROR(INDEX(設定!$C$8:$C$23,INT(INDEX(児童名簿!$G$2:$G$301,N302)/1000)),M302&amp;INDEX(児童名簿!$B$2:$B$301,N302)))</f>
        <v/>
      </c>
      <c r="B302" s="23">
        <f>IF(N302="","",INDEX(児童名簿!$C$2:$C$301,N302))</f>
        <v/>
      </c>
      <c r="C302" s="3">
        <f>IF(N302="","",INDEX(児童名簿!$D$2:$D$301,N302))</f>
        <v/>
      </c>
      <c r="D302" s="23">
        <f>IF(O302="","",INDEX(希望入力!$D$2:$D$401,O302)&amp;"")</f>
        <v/>
      </c>
      <c r="E302" s="23">
        <f>IF(O302="","",INDEX(希望入力!$E$2:$E$401,O302)&amp;"")</f>
        <v/>
      </c>
      <c r="F302" s="23">
        <f>IF(O302="","",INDEX(希望入力!$F$2:$F$401,O302)&amp;"")</f>
        <v/>
      </c>
      <c r="G302" s="23">
        <f>IF(O302="","",IF(D302="","要調整",IFERROR(IF(COUNTIFS($M$3:$M$302,M302,$D$3:$D$302,D302)&lt;=INDEX(設定!$H$8:$I$27,MATCH(D302,設定!$G$8:$G$27,0),IF($M302=設定!$H$6&amp;"",1,2)),D302,"要調整"),"要調整")))</f>
        <v/>
      </c>
      <c r="H302" s="15" t="n"/>
      <c r="I302" s="24">
        <f>IF(N302="","",IF(H302&lt;&gt;"",H302,IF(OR(G302="",G302="要調整"),"",G302)))</f>
        <v/>
      </c>
      <c r="J302" s="23">
        <f>IF(N302="","",IF(I302&lt;&gt;"","決定",IF(O302="","未提出","要調整")))</f>
        <v/>
      </c>
      <c r="K302" s="23">
        <f>IF(OR(J302&lt;&gt;"要調整",E302=""),"",IFERROR(INDEX(設定!$H$8:$I$27,MATCH(E302,設定!$G$8:$G$27,0),IF($M302=設定!$H$6&amp;"",1,2))-COUNTIFS($M$3:$M$302,M302,$I$3:$I$302,E302),""))</f>
        <v/>
      </c>
      <c r="L302" s="23">
        <f>IF(OR(J302&lt;&gt;"要調整",F302=""),"",IFERROR(INDEX(設定!$H$8:$I$27,MATCH(F302,設定!$G$8:$G$27,0),IF($M302=設定!$H$6&amp;"",1,2))-COUNTIFS($M$3:$M$302,M302,$I$3:$I$302,F302),""))</f>
        <v/>
      </c>
      <c r="M302" s="8">
        <f>IF(N302="","",INDEX(児童名簿!$A$2:$A$301,N302)&amp;"")</f>
        <v/>
      </c>
      <c r="N302" s="8">
        <f>IFERROR(MATCH(SMALL(児童名簿!$G$2:$G$301,300),児童名簿!$G$2:$G$301,0),"")</f>
        <v/>
      </c>
      <c r="O302" s="8">
        <f>IF(P302="","",IFERROR(MATCH(P302,希望入力!$K$2:$K$401,0),""))</f>
        <v/>
      </c>
      <c r="P302" s="8">
        <f>IF(N302="","",INDEX(児童名簿!$F$2:$F$301,N302))</f>
        <v/>
      </c>
      <c r="Q302" s="8">
        <f>IF(I302="","",IFERROR(MATCH(I302,設定!$G$8:$G$27,0),""))</f>
        <v/>
      </c>
      <c r="R302" s="8">
        <f>IF(Q302="","",COUNTIF($Q$3:Q302,Q302))</f>
        <v/>
      </c>
      <c r="S302" s="8">
        <f>IF(Q302="","",Q302*1000+R302)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L302"/>
  <conditionalFormatting sqref="A3:L302">
    <cfRule type="expression" priority="1" dxfId="8">
      <formula>$J3="要調整"</formula>
    </cfRule>
    <cfRule type="expression" priority="2" dxfId="9">
      <formula>$J3="未提出"</formula>
    </cfRule>
  </conditionalFormatting>
  <conditionalFormatting sqref="H3:H302">
    <cfRule type="expression" priority="3" dxfId="10">
      <formula>H3&lt;&gt;""</formula>
    </cfRule>
  </conditionalFormatting>
  <dataValidations count="1">
    <dataValidation sqref="H3:H302" showDropDown="0" showInputMessage="0" showErrorMessage="0" allowBlank="1" type="list">
      <formula1>設定!$G$8:$G$27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9" customWidth="1" min="4" max="4"/>
    <col width="8" customWidth="1" min="5" max="5"/>
    <col width="8" customWidth="1" min="6" max="6"/>
    <col width="8" customWidth="1" min="7" max="7"/>
    <col width="9" customWidth="1" min="8" max="8"/>
    <col width="8" customWidth="1" min="9" max="9"/>
    <col width="8" customWidth="1" min="10" max="10"/>
    <col width="34" customWidth="1" min="11" max="11"/>
  </cols>
  <sheetData>
    <row r="1">
      <c r="A1" s="4" t="inlineStr">
        <is>
          <t>定員チェック</t>
        </is>
      </c>
    </row>
    <row r="3">
      <c r="B3" s="5" t="inlineStr">
        <is>
          <t>未提出</t>
        </is>
      </c>
      <c r="D3" s="25">
        <f>COUNTIF(振り分け!$J$3:$J$302,"未提出")</f>
        <v/>
      </c>
      <c r="G3" s="5" t="inlineStr">
        <is>
          <t>定員オーバーの委員会</t>
        </is>
      </c>
      <c r="J3" s="25">
        <f>COUNTIF($K$7:$K$26,"*オーバー*")</f>
        <v/>
      </c>
    </row>
    <row r="4">
      <c r="B4" s="5" t="inlineStr">
        <is>
          <t>要調整</t>
        </is>
      </c>
      <c r="D4" s="25">
        <f>COUNTIF(振り分け!$J$3:$J$302,"要調整")</f>
        <v/>
      </c>
      <c r="G4" s="5" t="inlineStr">
        <is>
          <t>希望入力のチェック 要確認</t>
        </is>
      </c>
      <c r="J4" s="25">
        <f>SUMPRODUCT((希望入力!$H$2:$H$401&lt;&gt;"")*(希望入力!$H$2:$H$401&lt;&gt;"OK"))</f>
        <v/>
      </c>
    </row>
    <row r="5">
      <c r="C5" s="11">
        <f>設定!H6&amp;"年"</f>
        <v/>
      </c>
      <c r="D5" s="26" t="n"/>
      <c r="E5" s="26" t="n"/>
      <c r="F5" s="27" t="n"/>
      <c r="G5" s="11">
        <f>設定!I6&amp;"年"</f>
        <v/>
      </c>
      <c r="H5" s="26" t="n"/>
      <c r="I5" s="26" t="n"/>
      <c r="J5" s="27" t="n"/>
    </row>
    <row r="6">
      <c r="A6" s="11" t="inlineStr">
        <is>
          <t>No.</t>
        </is>
      </c>
      <c r="B6" s="11" t="inlineStr">
        <is>
          <t>委員会</t>
        </is>
      </c>
      <c r="C6" s="11" t="inlineStr">
        <is>
          <t>定員</t>
        </is>
      </c>
      <c r="D6" s="11" t="inlineStr">
        <is>
          <t>第1希望</t>
        </is>
      </c>
      <c r="E6" s="11" t="inlineStr">
        <is>
          <t>決定</t>
        </is>
      </c>
      <c r="F6" s="11" t="inlineStr">
        <is>
          <t>残り</t>
        </is>
      </c>
      <c r="G6" s="11" t="inlineStr">
        <is>
          <t>定員</t>
        </is>
      </c>
      <c r="H6" s="11" t="inlineStr">
        <is>
          <t>第1希望</t>
        </is>
      </c>
      <c r="I6" s="11" t="inlineStr">
        <is>
          <t>決定</t>
        </is>
      </c>
      <c r="J6" s="11" t="inlineStr">
        <is>
          <t>残り</t>
        </is>
      </c>
      <c r="K6" s="11" t="inlineStr">
        <is>
          <t>状態</t>
        </is>
      </c>
    </row>
    <row r="7">
      <c r="A7" s="28" t="n">
        <v>1</v>
      </c>
      <c r="B7" s="28">
        <f>IF(設定!G8="","",設定!G8)</f>
        <v/>
      </c>
      <c r="C7" s="28">
        <f>IF($B7="","",N(設定!H8))</f>
        <v/>
      </c>
      <c r="D7" s="28">
        <f>IF($B7="","",COUNTIFS(振り分け!$M$3:$M$302,設定!$H$6&amp;"",振り分け!$D$3:$D$302,$B7))</f>
        <v/>
      </c>
      <c r="E7" s="28">
        <f>IF($B7="","",COUNTIFS(振り分け!$M$3:$M$302,設定!$H$6&amp;"",振り分け!$I$3:$I$302,$B7))</f>
        <v/>
      </c>
      <c r="F7" s="28">
        <f>IF($B7="","",C7-E7)</f>
        <v/>
      </c>
      <c r="G7" s="28">
        <f>IF($B7="","",N(設定!I8))</f>
        <v/>
      </c>
      <c r="H7" s="28">
        <f>IF($B7="","",COUNTIFS(振り分け!$M$3:$M$302,設定!$I$6&amp;"",振り分け!$D$3:$D$302,$B7))</f>
        <v/>
      </c>
      <c r="I7" s="28">
        <f>IF($B7="","",COUNTIFS(振り分け!$M$3:$M$302,設定!$I$6&amp;"",振り分け!$I$3:$I$302,$B7))</f>
        <v/>
      </c>
      <c r="J7" s="28">
        <f>IF($B7="","",G7-I7)</f>
        <v/>
      </c>
      <c r="K7" s="29">
        <f>IF(B7="","",IF(OR(F7&lt;0,J7&lt;0),IF(F7&lt;0,設定!$H$6&amp;"年 "&amp;-F7&amp;"人オーバー　","")&amp;IF(J7&lt;0,設定!$I$6&amp;"年 "&amp;-J7&amp;"人オーバー",""),IF(COUNTIFS(振り分け!$J$3:$J$302,"要調整",振り分け!$D$3:$D$302,B7)&gt;0,"調整中（第1希望の要調整 "&amp;COUNTIFS(振り分け!$J$3:$J$302,"要調整",振り分け!$D$3:$D$302,B7)&amp;"人）",IF(OR(F7&gt;0,J7&gt;0),"空きあり "&amp;(MAX(0,F7)+MAX(0,J7))&amp;"人","OK"))))</f>
        <v/>
      </c>
    </row>
    <row r="8">
      <c r="A8" s="28" t="n">
        <v>2</v>
      </c>
      <c r="B8" s="28">
        <f>IF(設定!G9="","",設定!G9)</f>
        <v/>
      </c>
      <c r="C8" s="28">
        <f>IF($B8="","",N(設定!H9))</f>
        <v/>
      </c>
      <c r="D8" s="28">
        <f>IF($B8="","",COUNTIFS(振り分け!$M$3:$M$302,設定!$H$6&amp;"",振り分け!$D$3:$D$302,$B8))</f>
        <v/>
      </c>
      <c r="E8" s="28">
        <f>IF($B8="","",COUNTIFS(振り分け!$M$3:$M$302,設定!$H$6&amp;"",振り分け!$I$3:$I$302,$B8))</f>
        <v/>
      </c>
      <c r="F8" s="28">
        <f>IF($B8="","",C8-E8)</f>
        <v/>
      </c>
      <c r="G8" s="28">
        <f>IF($B8="","",N(設定!I9))</f>
        <v/>
      </c>
      <c r="H8" s="28">
        <f>IF($B8="","",COUNTIFS(振り分け!$M$3:$M$302,設定!$I$6&amp;"",振り分け!$D$3:$D$302,$B8))</f>
        <v/>
      </c>
      <c r="I8" s="28">
        <f>IF($B8="","",COUNTIFS(振り分け!$M$3:$M$302,設定!$I$6&amp;"",振り分け!$I$3:$I$302,$B8))</f>
        <v/>
      </c>
      <c r="J8" s="28">
        <f>IF($B8="","",G8-I8)</f>
        <v/>
      </c>
      <c r="K8" s="29">
        <f>IF(B8="","",IF(OR(F8&lt;0,J8&lt;0),IF(F8&lt;0,設定!$H$6&amp;"年 "&amp;-F8&amp;"人オーバー　","")&amp;IF(J8&lt;0,設定!$I$6&amp;"年 "&amp;-J8&amp;"人オーバー",""),IF(COUNTIFS(振り分け!$J$3:$J$302,"要調整",振り分け!$D$3:$D$302,B8)&gt;0,"調整中（第1希望の要調整 "&amp;COUNTIFS(振り分け!$J$3:$J$302,"要調整",振り分け!$D$3:$D$302,B8)&amp;"人）",IF(OR(F8&gt;0,J8&gt;0),"空きあり "&amp;(MAX(0,F8)+MAX(0,J8))&amp;"人","OK"))))</f>
        <v/>
      </c>
    </row>
    <row r="9">
      <c r="A9" s="28" t="n">
        <v>3</v>
      </c>
      <c r="B9" s="28">
        <f>IF(設定!G10="","",設定!G10)</f>
        <v/>
      </c>
      <c r="C9" s="28">
        <f>IF($B9="","",N(設定!H10))</f>
        <v/>
      </c>
      <c r="D9" s="28">
        <f>IF($B9="","",COUNTIFS(振り分け!$M$3:$M$302,設定!$H$6&amp;"",振り分け!$D$3:$D$302,$B9))</f>
        <v/>
      </c>
      <c r="E9" s="28">
        <f>IF($B9="","",COUNTIFS(振り分け!$M$3:$M$302,設定!$H$6&amp;"",振り分け!$I$3:$I$302,$B9))</f>
        <v/>
      </c>
      <c r="F9" s="28">
        <f>IF($B9="","",C9-E9)</f>
        <v/>
      </c>
      <c r="G9" s="28">
        <f>IF($B9="","",N(設定!I10))</f>
        <v/>
      </c>
      <c r="H9" s="28">
        <f>IF($B9="","",COUNTIFS(振り分け!$M$3:$M$302,設定!$I$6&amp;"",振り分け!$D$3:$D$302,$B9))</f>
        <v/>
      </c>
      <c r="I9" s="28">
        <f>IF($B9="","",COUNTIFS(振り分け!$M$3:$M$302,設定!$I$6&amp;"",振り分け!$I$3:$I$302,$B9))</f>
        <v/>
      </c>
      <c r="J9" s="28">
        <f>IF($B9="","",G9-I9)</f>
        <v/>
      </c>
      <c r="K9" s="29">
        <f>IF(B9="","",IF(OR(F9&lt;0,J9&lt;0),IF(F9&lt;0,設定!$H$6&amp;"年 "&amp;-F9&amp;"人オーバー　","")&amp;IF(J9&lt;0,設定!$I$6&amp;"年 "&amp;-J9&amp;"人オーバー",""),IF(COUNTIFS(振り分け!$J$3:$J$302,"要調整",振り分け!$D$3:$D$302,B9)&gt;0,"調整中（第1希望の要調整 "&amp;COUNTIFS(振り分け!$J$3:$J$302,"要調整",振り分け!$D$3:$D$302,B9)&amp;"人）",IF(OR(F9&gt;0,J9&gt;0),"空きあり "&amp;(MAX(0,F9)+MAX(0,J9))&amp;"人","OK"))))</f>
        <v/>
      </c>
    </row>
    <row r="10">
      <c r="A10" s="28" t="n">
        <v>4</v>
      </c>
      <c r="B10" s="28">
        <f>IF(設定!G11="","",設定!G11)</f>
        <v/>
      </c>
      <c r="C10" s="28">
        <f>IF($B10="","",N(設定!H11))</f>
        <v/>
      </c>
      <c r="D10" s="28">
        <f>IF($B10="","",COUNTIFS(振り分け!$M$3:$M$302,設定!$H$6&amp;"",振り分け!$D$3:$D$302,$B10))</f>
        <v/>
      </c>
      <c r="E10" s="28">
        <f>IF($B10="","",COUNTIFS(振り分け!$M$3:$M$302,設定!$H$6&amp;"",振り分け!$I$3:$I$302,$B10))</f>
        <v/>
      </c>
      <c r="F10" s="28">
        <f>IF($B10="","",C10-E10)</f>
        <v/>
      </c>
      <c r="G10" s="28">
        <f>IF($B10="","",N(設定!I11))</f>
        <v/>
      </c>
      <c r="H10" s="28">
        <f>IF($B10="","",COUNTIFS(振り分け!$M$3:$M$302,設定!$I$6&amp;"",振り分け!$D$3:$D$302,$B10))</f>
        <v/>
      </c>
      <c r="I10" s="28">
        <f>IF($B10="","",COUNTIFS(振り分け!$M$3:$M$302,設定!$I$6&amp;"",振り分け!$I$3:$I$302,$B10))</f>
        <v/>
      </c>
      <c r="J10" s="28">
        <f>IF($B10="","",G10-I10)</f>
        <v/>
      </c>
      <c r="K10" s="29">
        <f>IF(B10="","",IF(OR(F10&lt;0,J10&lt;0),IF(F10&lt;0,設定!$H$6&amp;"年 "&amp;-F10&amp;"人オーバー　","")&amp;IF(J10&lt;0,設定!$I$6&amp;"年 "&amp;-J10&amp;"人オーバー",""),IF(COUNTIFS(振り分け!$J$3:$J$302,"要調整",振り分け!$D$3:$D$302,B10)&gt;0,"調整中（第1希望の要調整 "&amp;COUNTIFS(振り分け!$J$3:$J$302,"要調整",振り分け!$D$3:$D$302,B10)&amp;"人）",IF(OR(F10&gt;0,J10&gt;0),"空きあり "&amp;(MAX(0,F10)+MAX(0,J10))&amp;"人","OK"))))</f>
        <v/>
      </c>
    </row>
    <row r="11">
      <c r="A11" s="28" t="n">
        <v>5</v>
      </c>
      <c r="B11" s="28">
        <f>IF(設定!G12="","",設定!G12)</f>
        <v/>
      </c>
      <c r="C11" s="28">
        <f>IF($B11="","",N(設定!H12))</f>
        <v/>
      </c>
      <c r="D11" s="28">
        <f>IF($B11="","",COUNTIFS(振り分け!$M$3:$M$302,設定!$H$6&amp;"",振り分け!$D$3:$D$302,$B11))</f>
        <v/>
      </c>
      <c r="E11" s="28">
        <f>IF($B11="","",COUNTIFS(振り分け!$M$3:$M$302,設定!$H$6&amp;"",振り分け!$I$3:$I$302,$B11))</f>
        <v/>
      </c>
      <c r="F11" s="28">
        <f>IF($B11="","",C11-E11)</f>
        <v/>
      </c>
      <c r="G11" s="28">
        <f>IF($B11="","",N(設定!I12))</f>
        <v/>
      </c>
      <c r="H11" s="28">
        <f>IF($B11="","",COUNTIFS(振り分け!$M$3:$M$302,設定!$I$6&amp;"",振り分け!$D$3:$D$302,$B11))</f>
        <v/>
      </c>
      <c r="I11" s="28">
        <f>IF($B11="","",COUNTIFS(振り分け!$M$3:$M$302,設定!$I$6&amp;"",振り分け!$I$3:$I$302,$B11))</f>
        <v/>
      </c>
      <c r="J11" s="28">
        <f>IF($B11="","",G11-I11)</f>
        <v/>
      </c>
      <c r="K11" s="29">
        <f>IF(B11="","",IF(OR(F11&lt;0,J11&lt;0),IF(F11&lt;0,設定!$H$6&amp;"年 "&amp;-F11&amp;"人オーバー　","")&amp;IF(J11&lt;0,設定!$I$6&amp;"年 "&amp;-J11&amp;"人オーバー",""),IF(COUNTIFS(振り分け!$J$3:$J$302,"要調整",振り分け!$D$3:$D$302,B11)&gt;0,"調整中（第1希望の要調整 "&amp;COUNTIFS(振り分け!$J$3:$J$302,"要調整",振り分け!$D$3:$D$302,B11)&amp;"人）",IF(OR(F11&gt;0,J11&gt;0),"空きあり "&amp;(MAX(0,F11)+MAX(0,J11))&amp;"人","OK"))))</f>
        <v/>
      </c>
    </row>
    <row r="12">
      <c r="A12" s="28" t="n">
        <v>6</v>
      </c>
      <c r="B12" s="28">
        <f>IF(設定!G13="","",設定!G13)</f>
        <v/>
      </c>
      <c r="C12" s="28">
        <f>IF($B12="","",N(設定!H13))</f>
        <v/>
      </c>
      <c r="D12" s="28">
        <f>IF($B12="","",COUNTIFS(振り分け!$M$3:$M$302,設定!$H$6&amp;"",振り分け!$D$3:$D$302,$B12))</f>
        <v/>
      </c>
      <c r="E12" s="28">
        <f>IF($B12="","",COUNTIFS(振り分け!$M$3:$M$302,設定!$H$6&amp;"",振り分け!$I$3:$I$302,$B12))</f>
        <v/>
      </c>
      <c r="F12" s="28">
        <f>IF($B12="","",C12-E12)</f>
        <v/>
      </c>
      <c r="G12" s="28">
        <f>IF($B12="","",N(設定!I13))</f>
        <v/>
      </c>
      <c r="H12" s="28">
        <f>IF($B12="","",COUNTIFS(振り分け!$M$3:$M$302,設定!$I$6&amp;"",振り分け!$D$3:$D$302,$B12))</f>
        <v/>
      </c>
      <c r="I12" s="28">
        <f>IF($B12="","",COUNTIFS(振り分け!$M$3:$M$302,設定!$I$6&amp;"",振り分け!$I$3:$I$302,$B12))</f>
        <v/>
      </c>
      <c r="J12" s="28">
        <f>IF($B12="","",G12-I12)</f>
        <v/>
      </c>
      <c r="K12" s="29">
        <f>IF(B12="","",IF(OR(F12&lt;0,J12&lt;0),IF(F12&lt;0,設定!$H$6&amp;"年 "&amp;-F12&amp;"人オーバー　","")&amp;IF(J12&lt;0,設定!$I$6&amp;"年 "&amp;-J12&amp;"人オーバー",""),IF(COUNTIFS(振り分け!$J$3:$J$302,"要調整",振り分け!$D$3:$D$302,B12)&gt;0,"調整中（第1希望の要調整 "&amp;COUNTIFS(振り分け!$J$3:$J$302,"要調整",振り分け!$D$3:$D$302,B12)&amp;"人）",IF(OR(F12&gt;0,J12&gt;0),"空きあり "&amp;(MAX(0,F12)+MAX(0,J12))&amp;"人","OK"))))</f>
        <v/>
      </c>
    </row>
    <row r="13">
      <c r="A13" s="28" t="n">
        <v>7</v>
      </c>
      <c r="B13" s="28">
        <f>IF(設定!G14="","",設定!G14)</f>
        <v/>
      </c>
      <c r="C13" s="28">
        <f>IF($B13="","",N(設定!H14))</f>
        <v/>
      </c>
      <c r="D13" s="28">
        <f>IF($B13="","",COUNTIFS(振り分け!$M$3:$M$302,設定!$H$6&amp;"",振り分け!$D$3:$D$302,$B13))</f>
        <v/>
      </c>
      <c r="E13" s="28">
        <f>IF($B13="","",COUNTIFS(振り分け!$M$3:$M$302,設定!$H$6&amp;"",振り分け!$I$3:$I$302,$B13))</f>
        <v/>
      </c>
      <c r="F13" s="28">
        <f>IF($B13="","",C13-E13)</f>
        <v/>
      </c>
      <c r="G13" s="28">
        <f>IF($B13="","",N(設定!I14))</f>
        <v/>
      </c>
      <c r="H13" s="28">
        <f>IF($B13="","",COUNTIFS(振り分け!$M$3:$M$302,設定!$I$6&amp;"",振り分け!$D$3:$D$302,$B13))</f>
        <v/>
      </c>
      <c r="I13" s="28">
        <f>IF($B13="","",COUNTIFS(振り分け!$M$3:$M$302,設定!$I$6&amp;"",振り分け!$I$3:$I$302,$B13))</f>
        <v/>
      </c>
      <c r="J13" s="28">
        <f>IF($B13="","",G13-I13)</f>
        <v/>
      </c>
      <c r="K13" s="29">
        <f>IF(B13="","",IF(OR(F13&lt;0,J13&lt;0),IF(F13&lt;0,設定!$H$6&amp;"年 "&amp;-F13&amp;"人オーバー　","")&amp;IF(J13&lt;0,設定!$I$6&amp;"年 "&amp;-J13&amp;"人オーバー",""),IF(COUNTIFS(振り分け!$J$3:$J$302,"要調整",振り分け!$D$3:$D$302,B13)&gt;0,"調整中（第1希望の要調整 "&amp;COUNTIFS(振り分け!$J$3:$J$302,"要調整",振り分け!$D$3:$D$302,B13)&amp;"人）",IF(OR(F13&gt;0,J13&gt;0),"空きあり "&amp;(MAX(0,F13)+MAX(0,J13))&amp;"人","OK"))))</f>
        <v/>
      </c>
    </row>
    <row r="14">
      <c r="A14" s="28" t="n">
        <v>8</v>
      </c>
      <c r="B14" s="28">
        <f>IF(設定!G15="","",設定!G15)</f>
        <v/>
      </c>
      <c r="C14" s="28">
        <f>IF($B14="","",N(設定!H15))</f>
        <v/>
      </c>
      <c r="D14" s="28">
        <f>IF($B14="","",COUNTIFS(振り分け!$M$3:$M$302,設定!$H$6&amp;"",振り分け!$D$3:$D$302,$B14))</f>
        <v/>
      </c>
      <c r="E14" s="28">
        <f>IF($B14="","",COUNTIFS(振り分け!$M$3:$M$302,設定!$H$6&amp;"",振り分け!$I$3:$I$302,$B14))</f>
        <v/>
      </c>
      <c r="F14" s="28">
        <f>IF($B14="","",C14-E14)</f>
        <v/>
      </c>
      <c r="G14" s="28">
        <f>IF($B14="","",N(設定!I15))</f>
        <v/>
      </c>
      <c r="H14" s="28">
        <f>IF($B14="","",COUNTIFS(振り分け!$M$3:$M$302,設定!$I$6&amp;"",振り分け!$D$3:$D$302,$B14))</f>
        <v/>
      </c>
      <c r="I14" s="28">
        <f>IF($B14="","",COUNTIFS(振り分け!$M$3:$M$302,設定!$I$6&amp;"",振り分け!$I$3:$I$302,$B14))</f>
        <v/>
      </c>
      <c r="J14" s="28">
        <f>IF($B14="","",G14-I14)</f>
        <v/>
      </c>
      <c r="K14" s="29">
        <f>IF(B14="","",IF(OR(F14&lt;0,J14&lt;0),IF(F14&lt;0,設定!$H$6&amp;"年 "&amp;-F14&amp;"人オーバー　","")&amp;IF(J14&lt;0,設定!$I$6&amp;"年 "&amp;-J14&amp;"人オーバー",""),IF(COUNTIFS(振り分け!$J$3:$J$302,"要調整",振り分け!$D$3:$D$302,B14)&gt;0,"調整中（第1希望の要調整 "&amp;COUNTIFS(振り分け!$J$3:$J$302,"要調整",振り分け!$D$3:$D$302,B14)&amp;"人）",IF(OR(F14&gt;0,J14&gt;0),"空きあり "&amp;(MAX(0,F14)+MAX(0,J14))&amp;"人","OK"))))</f>
        <v/>
      </c>
    </row>
    <row r="15">
      <c r="A15" s="28" t="n">
        <v>9</v>
      </c>
      <c r="B15" s="28">
        <f>IF(設定!G16="","",設定!G16)</f>
        <v/>
      </c>
      <c r="C15" s="28">
        <f>IF($B15="","",N(設定!H16))</f>
        <v/>
      </c>
      <c r="D15" s="28">
        <f>IF($B15="","",COUNTIFS(振り分け!$M$3:$M$302,設定!$H$6&amp;"",振り分け!$D$3:$D$302,$B15))</f>
        <v/>
      </c>
      <c r="E15" s="28">
        <f>IF($B15="","",COUNTIFS(振り分け!$M$3:$M$302,設定!$H$6&amp;"",振り分け!$I$3:$I$302,$B15))</f>
        <v/>
      </c>
      <c r="F15" s="28">
        <f>IF($B15="","",C15-E15)</f>
        <v/>
      </c>
      <c r="G15" s="28">
        <f>IF($B15="","",N(設定!I16))</f>
        <v/>
      </c>
      <c r="H15" s="28">
        <f>IF($B15="","",COUNTIFS(振り分け!$M$3:$M$302,設定!$I$6&amp;"",振り分け!$D$3:$D$302,$B15))</f>
        <v/>
      </c>
      <c r="I15" s="28">
        <f>IF($B15="","",COUNTIFS(振り分け!$M$3:$M$302,設定!$I$6&amp;"",振り分け!$I$3:$I$302,$B15))</f>
        <v/>
      </c>
      <c r="J15" s="28">
        <f>IF($B15="","",G15-I15)</f>
        <v/>
      </c>
      <c r="K15" s="29">
        <f>IF(B15="","",IF(OR(F15&lt;0,J15&lt;0),IF(F15&lt;0,設定!$H$6&amp;"年 "&amp;-F15&amp;"人オーバー　","")&amp;IF(J15&lt;0,設定!$I$6&amp;"年 "&amp;-J15&amp;"人オーバー",""),IF(COUNTIFS(振り分け!$J$3:$J$302,"要調整",振り分け!$D$3:$D$302,B15)&gt;0,"調整中（第1希望の要調整 "&amp;COUNTIFS(振り分け!$J$3:$J$302,"要調整",振り分け!$D$3:$D$302,B15)&amp;"人）",IF(OR(F15&gt;0,J15&gt;0),"空きあり "&amp;(MAX(0,F15)+MAX(0,J15))&amp;"人","OK"))))</f>
        <v/>
      </c>
    </row>
    <row r="16">
      <c r="A16" s="28" t="n">
        <v>10</v>
      </c>
      <c r="B16" s="28">
        <f>IF(設定!G17="","",設定!G17)</f>
        <v/>
      </c>
      <c r="C16" s="28">
        <f>IF($B16="","",N(設定!H17))</f>
        <v/>
      </c>
      <c r="D16" s="28">
        <f>IF($B16="","",COUNTIFS(振り分け!$M$3:$M$302,設定!$H$6&amp;"",振り分け!$D$3:$D$302,$B16))</f>
        <v/>
      </c>
      <c r="E16" s="28">
        <f>IF($B16="","",COUNTIFS(振り分け!$M$3:$M$302,設定!$H$6&amp;"",振り分け!$I$3:$I$302,$B16))</f>
        <v/>
      </c>
      <c r="F16" s="28">
        <f>IF($B16="","",C16-E16)</f>
        <v/>
      </c>
      <c r="G16" s="28">
        <f>IF($B16="","",N(設定!I17))</f>
        <v/>
      </c>
      <c r="H16" s="28">
        <f>IF($B16="","",COUNTIFS(振り分け!$M$3:$M$302,設定!$I$6&amp;"",振り分け!$D$3:$D$302,$B16))</f>
        <v/>
      </c>
      <c r="I16" s="28">
        <f>IF($B16="","",COUNTIFS(振り分け!$M$3:$M$302,設定!$I$6&amp;"",振り分け!$I$3:$I$302,$B16))</f>
        <v/>
      </c>
      <c r="J16" s="28">
        <f>IF($B16="","",G16-I16)</f>
        <v/>
      </c>
      <c r="K16" s="29">
        <f>IF(B16="","",IF(OR(F16&lt;0,J16&lt;0),IF(F16&lt;0,設定!$H$6&amp;"年 "&amp;-F16&amp;"人オーバー　","")&amp;IF(J16&lt;0,設定!$I$6&amp;"年 "&amp;-J16&amp;"人オーバー",""),IF(COUNTIFS(振り分け!$J$3:$J$302,"要調整",振り分け!$D$3:$D$302,B16)&gt;0,"調整中（第1希望の要調整 "&amp;COUNTIFS(振り分け!$J$3:$J$302,"要調整",振り分け!$D$3:$D$302,B16)&amp;"人）",IF(OR(F16&gt;0,J16&gt;0),"空きあり "&amp;(MAX(0,F16)+MAX(0,J16))&amp;"人","OK"))))</f>
        <v/>
      </c>
    </row>
    <row r="17">
      <c r="A17" s="28" t="n">
        <v>11</v>
      </c>
      <c r="B17" s="28">
        <f>IF(設定!G18="","",設定!G18)</f>
        <v/>
      </c>
      <c r="C17" s="28">
        <f>IF($B17="","",N(設定!H18))</f>
        <v/>
      </c>
      <c r="D17" s="28">
        <f>IF($B17="","",COUNTIFS(振り分け!$M$3:$M$302,設定!$H$6&amp;"",振り分け!$D$3:$D$302,$B17))</f>
        <v/>
      </c>
      <c r="E17" s="28">
        <f>IF($B17="","",COUNTIFS(振り分け!$M$3:$M$302,設定!$H$6&amp;"",振り分け!$I$3:$I$302,$B17))</f>
        <v/>
      </c>
      <c r="F17" s="28">
        <f>IF($B17="","",C17-E17)</f>
        <v/>
      </c>
      <c r="G17" s="28">
        <f>IF($B17="","",N(設定!I18))</f>
        <v/>
      </c>
      <c r="H17" s="28">
        <f>IF($B17="","",COUNTIFS(振り分け!$M$3:$M$302,設定!$I$6&amp;"",振り分け!$D$3:$D$302,$B17))</f>
        <v/>
      </c>
      <c r="I17" s="28">
        <f>IF($B17="","",COUNTIFS(振り分け!$M$3:$M$302,設定!$I$6&amp;"",振り分け!$I$3:$I$302,$B17))</f>
        <v/>
      </c>
      <c r="J17" s="28">
        <f>IF($B17="","",G17-I17)</f>
        <v/>
      </c>
      <c r="K17" s="29">
        <f>IF(B17="","",IF(OR(F17&lt;0,J17&lt;0),IF(F17&lt;0,設定!$H$6&amp;"年 "&amp;-F17&amp;"人オーバー　","")&amp;IF(J17&lt;0,設定!$I$6&amp;"年 "&amp;-J17&amp;"人オーバー",""),IF(COUNTIFS(振り分け!$J$3:$J$302,"要調整",振り分け!$D$3:$D$302,B17)&gt;0,"調整中（第1希望の要調整 "&amp;COUNTIFS(振り分け!$J$3:$J$302,"要調整",振り分け!$D$3:$D$302,B17)&amp;"人）",IF(OR(F17&gt;0,J17&gt;0),"空きあり "&amp;(MAX(0,F17)+MAX(0,J17))&amp;"人","OK"))))</f>
        <v/>
      </c>
    </row>
    <row r="18">
      <c r="A18" s="28" t="n">
        <v>12</v>
      </c>
      <c r="B18" s="28">
        <f>IF(設定!G19="","",設定!G19)</f>
        <v/>
      </c>
      <c r="C18" s="28">
        <f>IF($B18="","",N(設定!H19))</f>
        <v/>
      </c>
      <c r="D18" s="28">
        <f>IF($B18="","",COUNTIFS(振り分け!$M$3:$M$302,設定!$H$6&amp;"",振り分け!$D$3:$D$302,$B18))</f>
        <v/>
      </c>
      <c r="E18" s="28">
        <f>IF($B18="","",COUNTIFS(振り分け!$M$3:$M$302,設定!$H$6&amp;"",振り分け!$I$3:$I$302,$B18))</f>
        <v/>
      </c>
      <c r="F18" s="28">
        <f>IF($B18="","",C18-E18)</f>
        <v/>
      </c>
      <c r="G18" s="28">
        <f>IF($B18="","",N(設定!I19))</f>
        <v/>
      </c>
      <c r="H18" s="28">
        <f>IF($B18="","",COUNTIFS(振り分け!$M$3:$M$302,設定!$I$6&amp;"",振り分け!$D$3:$D$302,$B18))</f>
        <v/>
      </c>
      <c r="I18" s="28">
        <f>IF($B18="","",COUNTIFS(振り分け!$M$3:$M$302,設定!$I$6&amp;"",振り分け!$I$3:$I$302,$B18))</f>
        <v/>
      </c>
      <c r="J18" s="28">
        <f>IF($B18="","",G18-I18)</f>
        <v/>
      </c>
      <c r="K18" s="29">
        <f>IF(B18="","",IF(OR(F18&lt;0,J18&lt;0),IF(F18&lt;0,設定!$H$6&amp;"年 "&amp;-F18&amp;"人オーバー　","")&amp;IF(J18&lt;0,設定!$I$6&amp;"年 "&amp;-J18&amp;"人オーバー",""),IF(COUNTIFS(振り分け!$J$3:$J$302,"要調整",振り分け!$D$3:$D$302,B18)&gt;0,"調整中（第1希望の要調整 "&amp;COUNTIFS(振り分け!$J$3:$J$302,"要調整",振り分け!$D$3:$D$302,B18)&amp;"人）",IF(OR(F18&gt;0,J18&gt;0),"空きあり "&amp;(MAX(0,F18)+MAX(0,J18))&amp;"人","OK"))))</f>
        <v/>
      </c>
    </row>
    <row r="19">
      <c r="A19" s="28" t="n">
        <v>13</v>
      </c>
      <c r="B19" s="28">
        <f>IF(設定!G20="","",設定!G20)</f>
        <v/>
      </c>
      <c r="C19" s="28">
        <f>IF($B19="","",N(設定!H20))</f>
        <v/>
      </c>
      <c r="D19" s="28">
        <f>IF($B19="","",COUNTIFS(振り分け!$M$3:$M$302,設定!$H$6&amp;"",振り分け!$D$3:$D$302,$B19))</f>
        <v/>
      </c>
      <c r="E19" s="28">
        <f>IF($B19="","",COUNTIFS(振り分け!$M$3:$M$302,設定!$H$6&amp;"",振り分け!$I$3:$I$302,$B19))</f>
        <v/>
      </c>
      <c r="F19" s="28">
        <f>IF($B19="","",C19-E19)</f>
        <v/>
      </c>
      <c r="G19" s="28">
        <f>IF($B19="","",N(設定!I20))</f>
        <v/>
      </c>
      <c r="H19" s="28">
        <f>IF($B19="","",COUNTIFS(振り分け!$M$3:$M$302,設定!$I$6&amp;"",振り分け!$D$3:$D$302,$B19))</f>
        <v/>
      </c>
      <c r="I19" s="28">
        <f>IF($B19="","",COUNTIFS(振り分け!$M$3:$M$302,設定!$I$6&amp;"",振り分け!$I$3:$I$302,$B19))</f>
        <v/>
      </c>
      <c r="J19" s="28">
        <f>IF($B19="","",G19-I19)</f>
        <v/>
      </c>
      <c r="K19" s="29">
        <f>IF(B19="","",IF(OR(F19&lt;0,J19&lt;0),IF(F19&lt;0,設定!$H$6&amp;"年 "&amp;-F19&amp;"人オーバー　","")&amp;IF(J19&lt;0,設定!$I$6&amp;"年 "&amp;-J19&amp;"人オーバー",""),IF(COUNTIFS(振り分け!$J$3:$J$302,"要調整",振り分け!$D$3:$D$302,B19)&gt;0,"調整中（第1希望の要調整 "&amp;COUNTIFS(振り分け!$J$3:$J$302,"要調整",振り分け!$D$3:$D$302,B19)&amp;"人）",IF(OR(F19&gt;0,J19&gt;0),"空きあり "&amp;(MAX(0,F19)+MAX(0,J19))&amp;"人","OK"))))</f>
        <v/>
      </c>
    </row>
    <row r="20">
      <c r="A20" s="28" t="n">
        <v>14</v>
      </c>
      <c r="B20" s="28">
        <f>IF(設定!G21="","",設定!G21)</f>
        <v/>
      </c>
      <c r="C20" s="28">
        <f>IF($B20="","",N(設定!H21))</f>
        <v/>
      </c>
      <c r="D20" s="28">
        <f>IF($B20="","",COUNTIFS(振り分け!$M$3:$M$302,設定!$H$6&amp;"",振り分け!$D$3:$D$302,$B20))</f>
        <v/>
      </c>
      <c r="E20" s="28">
        <f>IF($B20="","",COUNTIFS(振り分け!$M$3:$M$302,設定!$H$6&amp;"",振り分け!$I$3:$I$302,$B20))</f>
        <v/>
      </c>
      <c r="F20" s="28">
        <f>IF($B20="","",C20-E20)</f>
        <v/>
      </c>
      <c r="G20" s="28">
        <f>IF($B20="","",N(設定!I21))</f>
        <v/>
      </c>
      <c r="H20" s="28">
        <f>IF($B20="","",COUNTIFS(振り分け!$M$3:$M$302,設定!$I$6&amp;"",振り分け!$D$3:$D$302,$B20))</f>
        <v/>
      </c>
      <c r="I20" s="28">
        <f>IF($B20="","",COUNTIFS(振り分け!$M$3:$M$302,設定!$I$6&amp;"",振り分け!$I$3:$I$302,$B20))</f>
        <v/>
      </c>
      <c r="J20" s="28">
        <f>IF($B20="","",G20-I20)</f>
        <v/>
      </c>
      <c r="K20" s="29">
        <f>IF(B20="","",IF(OR(F20&lt;0,J20&lt;0),IF(F20&lt;0,設定!$H$6&amp;"年 "&amp;-F20&amp;"人オーバー　","")&amp;IF(J20&lt;0,設定!$I$6&amp;"年 "&amp;-J20&amp;"人オーバー",""),IF(COUNTIFS(振り分け!$J$3:$J$302,"要調整",振り分け!$D$3:$D$302,B20)&gt;0,"調整中（第1希望の要調整 "&amp;COUNTIFS(振り分け!$J$3:$J$302,"要調整",振り分け!$D$3:$D$302,B20)&amp;"人）",IF(OR(F20&gt;0,J20&gt;0),"空きあり "&amp;(MAX(0,F20)+MAX(0,J20))&amp;"人","OK"))))</f>
        <v/>
      </c>
    </row>
    <row r="21">
      <c r="A21" s="28" t="n">
        <v>15</v>
      </c>
      <c r="B21" s="28">
        <f>IF(設定!G22="","",設定!G22)</f>
        <v/>
      </c>
      <c r="C21" s="28">
        <f>IF($B21="","",N(設定!H22))</f>
        <v/>
      </c>
      <c r="D21" s="28">
        <f>IF($B21="","",COUNTIFS(振り分け!$M$3:$M$302,設定!$H$6&amp;"",振り分け!$D$3:$D$302,$B21))</f>
        <v/>
      </c>
      <c r="E21" s="28">
        <f>IF($B21="","",COUNTIFS(振り分け!$M$3:$M$302,設定!$H$6&amp;"",振り分け!$I$3:$I$302,$B21))</f>
        <v/>
      </c>
      <c r="F21" s="28">
        <f>IF($B21="","",C21-E21)</f>
        <v/>
      </c>
      <c r="G21" s="28">
        <f>IF($B21="","",N(設定!I22))</f>
        <v/>
      </c>
      <c r="H21" s="28">
        <f>IF($B21="","",COUNTIFS(振り分け!$M$3:$M$302,設定!$I$6&amp;"",振り分け!$D$3:$D$302,$B21))</f>
        <v/>
      </c>
      <c r="I21" s="28">
        <f>IF($B21="","",COUNTIFS(振り分け!$M$3:$M$302,設定!$I$6&amp;"",振り分け!$I$3:$I$302,$B21))</f>
        <v/>
      </c>
      <c r="J21" s="28">
        <f>IF($B21="","",G21-I21)</f>
        <v/>
      </c>
      <c r="K21" s="29">
        <f>IF(B21="","",IF(OR(F21&lt;0,J21&lt;0),IF(F21&lt;0,設定!$H$6&amp;"年 "&amp;-F21&amp;"人オーバー　","")&amp;IF(J21&lt;0,設定!$I$6&amp;"年 "&amp;-J21&amp;"人オーバー",""),IF(COUNTIFS(振り分け!$J$3:$J$302,"要調整",振り分け!$D$3:$D$302,B21)&gt;0,"調整中（第1希望の要調整 "&amp;COUNTIFS(振り分け!$J$3:$J$302,"要調整",振り分け!$D$3:$D$302,B21)&amp;"人）",IF(OR(F21&gt;0,J21&gt;0),"空きあり "&amp;(MAX(0,F21)+MAX(0,J21))&amp;"人","OK"))))</f>
        <v/>
      </c>
    </row>
    <row r="22">
      <c r="A22" s="28" t="n">
        <v>16</v>
      </c>
      <c r="B22" s="28">
        <f>IF(設定!G23="","",設定!G23)</f>
        <v/>
      </c>
      <c r="C22" s="28">
        <f>IF($B22="","",N(設定!H23))</f>
        <v/>
      </c>
      <c r="D22" s="28">
        <f>IF($B22="","",COUNTIFS(振り分け!$M$3:$M$302,設定!$H$6&amp;"",振り分け!$D$3:$D$302,$B22))</f>
        <v/>
      </c>
      <c r="E22" s="28">
        <f>IF($B22="","",COUNTIFS(振り分け!$M$3:$M$302,設定!$H$6&amp;"",振り分け!$I$3:$I$302,$B22))</f>
        <v/>
      </c>
      <c r="F22" s="28">
        <f>IF($B22="","",C22-E22)</f>
        <v/>
      </c>
      <c r="G22" s="28">
        <f>IF($B22="","",N(設定!I23))</f>
        <v/>
      </c>
      <c r="H22" s="28">
        <f>IF($B22="","",COUNTIFS(振り分け!$M$3:$M$302,設定!$I$6&amp;"",振り分け!$D$3:$D$302,$B22))</f>
        <v/>
      </c>
      <c r="I22" s="28">
        <f>IF($B22="","",COUNTIFS(振り分け!$M$3:$M$302,設定!$I$6&amp;"",振り分け!$I$3:$I$302,$B22))</f>
        <v/>
      </c>
      <c r="J22" s="28">
        <f>IF($B22="","",G22-I22)</f>
        <v/>
      </c>
      <c r="K22" s="29">
        <f>IF(B22="","",IF(OR(F22&lt;0,J22&lt;0),IF(F22&lt;0,設定!$H$6&amp;"年 "&amp;-F22&amp;"人オーバー　","")&amp;IF(J22&lt;0,設定!$I$6&amp;"年 "&amp;-J22&amp;"人オーバー",""),IF(COUNTIFS(振り分け!$J$3:$J$302,"要調整",振り分け!$D$3:$D$302,B22)&gt;0,"調整中（第1希望の要調整 "&amp;COUNTIFS(振り分け!$J$3:$J$302,"要調整",振り分け!$D$3:$D$302,B22)&amp;"人）",IF(OR(F22&gt;0,J22&gt;0),"空きあり "&amp;(MAX(0,F22)+MAX(0,J22))&amp;"人","OK"))))</f>
        <v/>
      </c>
    </row>
    <row r="23">
      <c r="A23" s="28" t="n">
        <v>17</v>
      </c>
      <c r="B23" s="28">
        <f>IF(設定!G24="","",設定!G24)</f>
        <v/>
      </c>
      <c r="C23" s="28">
        <f>IF($B23="","",N(設定!H24))</f>
        <v/>
      </c>
      <c r="D23" s="28">
        <f>IF($B23="","",COUNTIFS(振り分け!$M$3:$M$302,設定!$H$6&amp;"",振り分け!$D$3:$D$302,$B23))</f>
        <v/>
      </c>
      <c r="E23" s="28">
        <f>IF($B23="","",COUNTIFS(振り分け!$M$3:$M$302,設定!$H$6&amp;"",振り分け!$I$3:$I$302,$B23))</f>
        <v/>
      </c>
      <c r="F23" s="28">
        <f>IF($B23="","",C23-E23)</f>
        <v/>
      </c>
      <c r="G23" s="28">
        <f>IF($B23="","",N(設定!I24))</f>
        <v/>
      </c>
      <c r="H23" s="28">
        <f>IF($B23="","",COUNTIFS(振り分け!$M$3:$M$302,設定!$I$6&amp;"",振り分け!$D$3:$D$302,$B23))</f>
        <v/>
      </c>
      <c r="I23" s="28">
        <f>IF($B23="","",COUNTIFS(振り分け!$M$3:$M$302,設定!$I$6&amp;"",振り分け!$I$3:$I$302,$B23))</f>
        <v/>
      </c>
      <c r="J23" s="28">
        <f>IF($B23="","",G23-I23)</f>
        <v/>
      </c>
      <c r="K23" s="29">
        <f>IF(B23="","",IF(OR(F23&lt;0,J23&lt;0),IF(F23&lt;0,設定!$H$6&amp;"年 "&amp;-F23&amp;"人オーバー　","")&amp;IF(J23&lt;0,設定!$I$6&amp;"年 "&amp;-J23&amp;"人オーバー",""),IF(COUNTIFS(振り分け!$J$3:$J$302,"要調整",振り分け!$D$3:$D$302,B23)&gt;0,"調整中（第1希望の要調整 "&amp;COUNTIFS(振り分け!$J$3:$J$302,"要調整",振り分け!$D$3:$D$302,B23)&amp;"人）",IF(OR(F23&gt;0,J23&gt;0),"空きあり "&amp;(MAX(0,F23)+MAX(0,J23))&amp;"人","OK"))))</f>
        <v/>
      </c>
    </row>
    <row r="24">
      <c r="A24" s="28" t="n">
        <v>18</v>
      </c>
      <c r="B24" s="28">
        <f>IF(設定!G25="","",設定!G25)</f>
        <v/>
      </c>
      <c r="C24" s="28">
        <f>IF($B24="","",N(設定!H25))</f>
        <v/>
      </c>
      <c r="D24" s="28">
        <f>IF($B24="","",COUNTIFS(振り分け!$M$3:$M$302,設定!$H$6&amp;"",振り分け!$D$3:$D$302,$B24))</f>
        <v/>
      </c>
      <c r="E24" s="28">
        <f>IF($B24="","",COUNTIFS(振り分け!$M$3:$M$302,設定!$H$6&amp;"",振り分け!$I$3:$I$302,$B24))</f>
        <v/>
      </c>
      <c r="F24" s="28">
        <f>IF($B24="","",C24-E24)</f>
        <v/>
      </c>
      <c r="G24" s="28">
        <f>IF($B24="","",N(設定!I25))</f>
        <v/>
      </c>
      <c r="H24" s="28">
        <f>IF($B24="","",COUNTIFS(振り分け!$M$3:$M$302,設定!$I$6&amp;"",振り分け!$D$3:$D$302,$B24))</f>
        <v/>
      </c>
      <c r="I24" s="28">
        <f>IF($B24="","",COUNTIFS(振り分け!$M$3:$M$302,設定!$I$6&amp;"",振り分け!$I$3:$I$302,$B24))</f>
        <v/>
      </c>
      <c r="J24" s="28">
        <f>IF($B24="","",G24-I24)</f>
        <v/>
      </c>
      <c r="K24" s="29">
        <f>IF(B24="","",IF(OR(F24&lt;0,J24&lt;0),IF(F24&lt;0,設定!$H$6&amp;"年 "&amp;-F24&amp;"人オーバー　","")&amp;IF(J24&lt;0,設定!$I$6&amp;"年 "&amp;-J24&amp;"人オーバー",""),IF(COUNTIFS(振り分け!$J$3:$J$302,"要調整",振り分け!$D$3:$D$302,B24)&gt;0,"調整中（第1希望の要調整 "&amp;COUNTIFS(振り分け!$J$3:$J$302,"要調整",振り分け!$D$3:$D$302,B24)&amp;"人）",IF(OR(F24&gt;0,J24&gt;0),"空きあり "&amp;(MAX(0,F24)+MAX(0,J24))&amp;"人","OK"))))</f>
        <v/>
      </c>
    </row>
    <row r="25">
      <c r="A25" s="28" t="n">
        <v>19</v>
      </c>
      <c r="B25" s="28">
        <f>IF(設定!G26="","",設定!G26)</f>
        <v/>
      </c>
      <c r="C25" s="28">
        <f>IF($B25="","",N(設定!H26))</f>
        <v/>
      </c>
      <c r="D25" s="28">
        <f>IF($B25="","",COUNTIFS(振り分け!$M$3:$M$302,設定!$H$6&amp;"",振り分け!$D$3:$D$302,$B25))</f>
        <v/>
      </c>
      <c r="E25" s="28">
        <f>IF($B25="","",COUNTIFS(振り分け!$M$3:$M$302,設定!$H$6&amp;"",振り分け!$I$3:$I$302,$B25))</f>
        <v/>
      </c>
      <c r="F25" s="28">
        <f>IF($B25="","",C25-E25)</f>
        <v/>
      </c>
      <c r="G25" s="28">
        <f>IF($B25="","",N(設定!I26))</f>
        <v/>
      </c>
      <c r="H25" s="28">
        <f>IF($B25="","",COUNTIFS(振り分け!$M$3:$M$302,設定!$I$6&amp;"",振り分け!$D$3:$D$302,$B25))</f>
        <v/>
      </c>
      <c r="I25" s="28">
        <f>IF($B25="","",COUNTIFS(振り分け!$M$3:$M$302,設定!$I$6&amp;"",振り分け!$I$3:$I$302,$B25))</f>
        <v/>
      </c>
      <c r="J25" s="28">
        <f>IF($B25="","",G25-I25)</f>
        <v/>
      </c>
      <c r="K25" s="29">
        <f>IF(B25="","",IF(OR(F25&lt;0,J25&lt;0),IF(F25&lt;0,設定!$H$6&amp;"年 "&amp;-F25&amp;"人オーバー　","")&amp;IF(J25&lt;0,設定!$I$6&amp;"年 "&amp;-J25&amp;"人オーバー",""),IF(COUNTIFS(振り分け!$J$3:$J$302,"要調整",振り分け!$D$3:$D$302,B25)&gt;0,"調整中（第1希望の要調整 "&amp;COUNTIFS(振り分け!$J$3:$J$302,"要調整",振り分け!$D$3:$D$302,B25)&amp;"人）",IF(OR(F25&gt;0,J25&gt;0),"空きあり "&amp;(MAX(0,F25)+MAX(0,J25))&amp;"人","OK"))))</f>
        <v/>
      </c>
    </row>
    <row r="26">
      <c r="A26" s="28" t="n">
        <v>20</v>
      </c>
      <c r="B26" s="28">
        <f>IF(設定!G27="","",設定!G27)</f>
        <v/>
      </c>
      <c r="C26" s="28">
        <f>IF($B26="","",N(設定!H27))</f>
        <v/>
      </c>
      <c r="D26" s="28">
        <f>IF($B26="","",COUNTIFS(振り分け!$M$3:$M$302,設定!$H$6&amp;"",振り分け!$D$3:$D$302,$B26))</f>
        <v/>
      </c>
      <c r="E26" s="28">
        <f>IF($B26="","",COUNTIFS(振り分け!$M$3:$M$302,設定!$H$6&amp;"",振り分け!$I$3:$I$302,$B26))</f>
        <v/>
      </c>
      <c r="F26" s="28">
        <f>IF($B26="","",C26-E26)</f>
        <v/>
      </c>
      <c r="G26" s="28">
        <f>IF($B26="","",N(設定!I27))</f>
        <v/>
      </c>
      <c r="H26" s="28">
        <f>IF($B26="","",COUNTIFS(振り分け!$M$3:$M$302,設定!$I$6&amp;"",振り分け!$D$3:$D$302,$B26))</f>
        <v/>
      </c>
      <c r="I26" s="28">
        <f>IF($B26="","",COUNTIFS(振り分け!$M$3:$M$302,設定!$I$6&amp;"",振り分け!$I$3:$I$302,$B26))</f>
        <v/>
      </c>
      <c r="J26" s="28">
        <f>IF($B26="","",G26-I26)</f>
        <v/>
      </c>
      <c r="K26" s="29">
        <f>IF(B26="","",IF(OR(F26&lt;0,J26&lt;0),IF(F26&lt;0,設定!$H$6&amp;"年 "&amp;-F26&amp;"人オーバー　","")&amp;IF(J26&lt;0,設定!$I$6&amp;"年 "&amp;-J26&amp;"人オーバー",""),IF(COUNTIFS(振り分け!$J$3:$J$302,"要調整",振り分け!$D$3:$D$302,B26)&gt;0,"調整中（第1希望の要調整 "&amp;COUNTIFS(振り分け!$J$3:$J$302,"要調整",振り分け!$D$3:$D$302,B26)&amp;"人）",IF(OR(F26&gt;0,J26&gt;0),"空きあり "&amp;(MAX(0,F26)+MAX(0,J26))&amp;"人","OK"))))</f>
        <v/>
      </c>
    </row>
    <row r="28">
      <c r="A28" s="8" t="inlineStr">
        <is>
          <t>※「第1希望」が赤い所は、第1希望だけで定員を超えている委員会です（＝その委員会を希望した子は要調整になります）。</t>
        </is>
      </c>
    </row>
    <row r="29">
      <c r="A29" s="8" t="inlineStr">
        <is>
          <t>※「残り」がマイナス（赤）は決定人数が定員を超えています。黄色は空きがあります。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5:F5"/>
    <mergeCell ref="G5:J5"/>
  </mergeCells>
  <conditionalFormatting sqref="D3:D4">
    <cfRule type="expression" priority="1" dxfId="8">
      <formula>D3&gt;0</formula>
    </cfRule>
  </conditionalFormatting>
  <conditionalFormatting sqref="J3:J4">
    <cfRule type="expression" priority="2" dxfId="8">
      <formula>J3&gt;0</formula>
    </cfRule>
  </conditionalFormatting>
  <conditionalFormatting sqref="D7">
    <cfRule type="expression" priority="3" dxfId="8">
      <formula>AND($B7&lt;&gt;"",D7&gt;C7)</formula>
    </cfRule>
  </conditionalFormatting>
  <conditionalFormatting sqref="F7">
    <cfRule type="expression" priority="4" dxfId="8">
      <formula>AND($B7&lt;&gt;"",F7&lt;0)</formula>
    </cfRule>
    <cfRule type="expression" priority="5" dxfId="11">
      <formula>AND($B7&lt;&gt;"",F7&gt;0)</formula>
    </cfRule>
  </conditionalFormatting>
  <conditionalFormatting sqref="H7">
    <cfRule type="expression" priority="6" dxfId="8">
      <formula>AND($B7&lt;&gt;"",H7&gt;G7)</formula>
    </cfRule>
  </conditionalFormatting>
  <conditionalFormatting sqref="J7">
    <cfRule type="expression" priority="7" dxfId="8">
      <formula>AND($B7&lt;&gt;"",J7&lt;0)</formula>
    </cfRule>
    <cfRule type="expression" priority="8" dxfId="11">
      <formula>AND($B7&lt;&gt;"",J7&gt;0)</formula>
    </cfRule>
  </conditionalFormatting>
  <conditionalFormatting sqref="D8">
    <cfRule type="expression" priority="9" dxfId="8">
      <formula>AND($B8&lt;&gt;"",D8&gt;C8)</formula>
    </cfRule>
  </conditionalFormatting>
  <conditionalFormatting sqref="F8">
    <cfRule type="expression" priority="10" dxfId="8">
      <formula>AND($B8&lt;&gt;"",F8&lt;0)</formula>
    </cfRule>
    <cfRule type="expression" priority="11" dxfId="11">
      <formula>AND($B8&lt;&gt;"",F8&gt;0)</formula>
    </cfRule>
  </conditionalFormatting>
  <conditionalFormatting sqref="H8">
    <cfRule type="expression" priority="12" dxfId="8">
      <formula>AND($B8&lt;&gt;"",H8&gt;G8)</formula>
    </cfRule>
  </conditionalFormatting>
  <conditionalFormatting sqref="J8">
    <cfRule type="expression" priority="13" dxfId="8">
      <formula>AND($B8&lt;&gt;"",J8&lt;0)</formula>
    </cfRule>
    <cfRule type="expression" priority="14" dxfId="11">
      <formula>AND($B8&lt;&gt;"",J8&gt;0)</formula>
    </cfRule>
  </conditionalFormatting>
  <conditionalFormatting sqref="D9">
    <cfRule type="expression" priority="15" dxfId="8">
      <formula>AND($B9&lt;&gt;"",D9&gt;C9)</formula>
    </cfRule>
  </conditionalFormatting>
  <conditionalFormatting sqref="F9">
    <cfRule type="expression" priority="16" dxfId="8">
      <formula>AND($B9&lt;&gt;"",F9&lt;0)</formula>
    </cfRule>
    <cfRule type="expression" priority="17" dxfId="11">
      <formula>AND($B9&lt;&gt;"",F9&gt;0)</formula>
    </cfRule>
  </conditionalFormatting>
  <conditionalFormatting sqref="H9">
    <cfRule type="expression" priority="18" dxfId="8">
      <formula>AND($B9&lt;&gt;"",H9&gt;G9)</formula>
    </cfRule>
  </conditionalFormatting>
  <conditionalFormatting sqref="J9">
    <cfRule type="expression" priority="19" dxfId="8">
      <formula>AND($B9&lt;&gt;"",J9&lt;0)</formula>
    </cfRule>
    <cfRule type="expression" priority="20" dxfId="11">
      <formula>AND($B9&lt;&gt;"",J9&gt;0)</formula>
    </cfRule>
  </conditionalFormatting>
  <conditionalFormatting sqref="D10">
    <cfRule type="expression" priority="21" dxfId="8">
      <formula>AND($B10&lt;&gt;"",D10&gt;C10)</formula>
    </cfRule>
  </conditionalFormatting>
  <conditionalFormatting sqref="F10">
    <cfRule type="expression" priority="22" dxfId="8">
      <formula>AND($B10&lt;&gt;"",F10&lt;0)</formula>
    </cfRule>
    <cfRule type="expression" priority="23" dxfId="11">
      <formula>AND($B10&lt;&gt;"",F10&gt;0)</formula>
    </cfRule>
  </conditionalFormatting>
  <conditionalFormatting sqref="H10">
    <cfRule type="expression" priority="24" dxfId="8">
      <formula>AND($B10&lt;&gt;"",H10&gt;G10)</formula>
    </cfRule>
  </conditionalFormatting>
  <conditionalFormatting sqref="J10">
    <cfRule type="expression" priority="25" dxfId="8">
      <formula>AND($B10&lt;&gt;"",J10&lt;0)</formula>
    </cfRule>
    <cfRule type="expression" priority="26" dxfId="11">
      <formula>AND($B10&lt;&gt;"",J10&gt;0)</formula>
    </cfRule>
  </conditionalFormatting>
  <conditionalFormatting sqref="D11">
    <cfRule type="expression" priority="27" dxfId="8">
      <formula>AND($B11&lt;&gt;"",D11&gt;C11)</formula>
    </cfRule>
  </conditionalFormatting>
  <conditionalFormatting sqref="F11">
    <cfRule type="expression" priority="28" dxfId="8">
      <formula>AND($B11&lt;&gt;"",F11&lt;0)</formula>
    </cfRule>
    <cfRule type="expression" priority="29" dxfId="11">
      <formula>AND($B11&lt;&gt;"",F11&gt;0)</formula>
    </cfRule>
  </conditionalFormatting>
  <conditionalFormatting sqref="H11">
    <cfRule type="expression" priority="30" dxfId="8">
      <formula>AND($B11&lt;&gt;"",H11&gt;G11)</formula>
    </cfRule>
  </conditionalFormatting>
  <conditionalFormatting sqref="J11">
    <cfRule type="expression" priority="31" dxfId="8">
      <formula>AND($B11&lt;&gt;"",J11&lt;0)</formula>
    </cfRule>
    <cfRule type="expression" priority="32" dxfId="11">
      <formula>AND($B11&lt;&gt;"",J11&gt;0)</formula>
    </cfRule>
  </conditionalFormatting>
  <conditionalFormatting sqref="D12">
    <cfRule type="expression" priority="33" dxfId="8">
      <formula>AND($B12&lt;&gt;"",D12&gt;C12)</formula>
    </cfRule>
  </conditionalFormatting>
  <conditionalFormatting sqref="F12">
    <cfRule type="expression" priority="34" dxfId="8">
      <formula>AND($B12&lt;&gt;"",F12&lt;0)</formula>
    </cfRule>
    <cfRule type="expression" priority="35" dxfId="11">
      <formula>AND($B12&lt;&gt;"",F12&gt;0)</formula>
    </cfRule>
  </conditionalFormatting>
  <conditionalFormatting sqref="H12">
    <cfRule type="expression" priority="36" dxfId="8">
      <formula>AND($B12&lt;&gt;"",H12&gt;G12)</formula>
    </cfRule>
  </conditionalFormatting>
  <conditionalFormatting sqref="J12">
    <cfRule type="expression" priority="37" dxfId="8">
      <formula>AND($B12&lt;&gt;"",J12&lt;0)</formula>
    </cfRule>
    <cfRule type="expression" priority="38" dxfId="11">
      <formula>AND($B12&lt;&gt;"",J12&gt;0)</formula>
    </cfRule>
  </conditionalFormatting>
  <conditionalFormatting sqref="D13">
    <cfRule type="expression" priority="39" dxfId="8">
      <formula>AND($B13&lt;&gt;"",D13&gt;C13)</formula>
    </cfRule>
  </conditionalFormatting>
  <conditionalFormatting sqref="F13">
    <cfRule type="expression" priority="40" dxfId="8">
      <formula>AND($B13&lt;&gt;"",F13&lt;0)</formula>
    </cfRule>
    <cfRule type="expression" priority="41" dxfId="11">
      <formula>AND($B13&lt;&gt;"",F13&gt;0)</formula>
    </cfRule>
  </conditionalFormatting>
  <conditionalFormatting sqref="H13">
    <cfRule type="expression" priority="42" dxfId="8">
      <formula>AND($B13&lt;&gt;"",H13&gt;G13)</formula>
    </cfRule>
  </conditionalFormatting>
  <conditionalFormatting sqref="J13">
    <cfRule type="expression" priority="43" dxfId="8">
      <formula>AND($B13&lt;&gt;"",J13&lt;0)</formula>
    </cfRule>
    <cfRule type="expression" priority="44" dxfId="11">
      <formula>AND($B13&lt;&gt;"",J13&gt;0)</formula>
    </cfRule>
  </conditionalFormatting>
  <conditionalFormatting sqref="D14">
    <cfRule type="expression" priority="45" dxfId="8">
      <formula>AND($B14&lt;&gt;"",D14&gt;C14)</formula>
    </cfRule>
  </conditionalFormatting>
  <conditionalFormatting sqref="F14">
    <cfRule type="expression" priority="46" dxfId="8">
      <formula>AND($B14&lt;&gt;"",F14&lt;0)</formula>
    </cfRule>
    <cfRule type="expression" priority="47" dxfId="11">
      <formula>AND($B14&lt;&gt;"",F14&gt;0)</formula>
    </cfRule>
  </conditionalFormatting>
  <conditionalFormatting sqref="H14">
    <cfRule type="expression" priority="48" dxfId="8">
      <formula>AND($B14&lt;&gt;"",H14&gt;G14)</formula>
    </cfRule>
  </conditionalFormatting>
  <conditionalFormatting sqref="J14">
    <cfRule type="expression" priority="49" dxfId="8">
      <formula>AND($B14&lt;&gt;"",J14&lt;0)</formula>
    </cfRule>
    <cfRule type="expression" priority="50" dxfId="11">
      <formula>AND($B14&lt;&gt;"",J14&gt;0)</formula>
    </cfRule>
  </conditionalFormatting>
  <conditionalFormatting sqref="D15">
    <cfRule type="expression" priority="51" dxfId="8">
      <formula>AND($B15&lt;&gt;"",D15&gt;C15)</formula>
    </cfRule>
  </conditionalFormatting>
  <conditionalFormatting sqref="F15">
    <cfRule type="expression" priority="52" dxfId="8">
      <formula>AND($B15&lt;&gt;"",F15&lt;0)</formula>
    </cfRule>
    <cfRule type="expression" priority="53" dxfId="11">
      <formula>AND($B15&lt;&gt;"",F15&gt;0)</formula>
    </cfRule>
  </conditionalFormatting>
  <conditionalFormatting sqref="H15">
    <cfRule type="expression" priority="54" dxfId="8">
      <formula>AND($B15&lt;&gt;"",H15&gt;G15)</formula>
    </cfRule>
  </conditionalFormatting>
  <conditionalFormatting sqref="J15">
    <cfRule type="expression" priority="55" dxfId="8">
      <formula>AND($B15&lt;&gt;"",J15&lt;0)</formula>
    </cfRule>
    <cfRule type="expression" priority="56" dxfId="11">
      <formula>AND($B15&lt;&gt;"",J15&gt;0)</formula>
    </cfRule>
  </conditionalFormatting>
  <conditionalFormatting sqref="D16">
    <cfRule type="expression" priority="57" dxfId="8">
      <formula>AND($B16&lt;&gt;"",D16&gt;C16)</formula>
    </cfRule>
  </conditionalFormatting>
  <conditionalFormatting sqref="F16">
    <cfRule type="expression" priority="58" dxfId="8">
      <formula>AND($B16&lt;&gt;"",F16&lt;0)</formula>
    </cfRule>
    <cfRule type="expression" priority="59" dxfId="11">
      <formula>AND($B16&lt;&gt;"",F16&gt;0)</formula>
    </cfRule>
  </conditionalFormatting>
  <conditionalFormatting sqref="H16">
    <cfRule type="expression" priority="60" dxfId="8">
      <formula>AND($B16&lt;&gt;"",H16&gt;G16)</formula>
    </cfRule>
  </conditionalFormatting>
  <conditionalFormatting sqref="J16">
    <cfRule type="expression" priority="61" dxfId="8">
      <formula>AND($B16&lt;&gt;"",J16&lt;0)</formula>
    </cfRule>
    <cfRule type="expression" priority="62" dxfId="11">
      <formula>AND($B16&lt;&gt;"",J16&gt;0)</formula>
    </cfRule>
  </conditionalFormatting>
  <conditionalFormatting sqref="D17">
    <cfRule type="expression" priority="63" dxfId="8">
      <formula>AND($B17&lt;&gt;"",D17&gt;C17)</formula>
    </cfRule>
  </conditionalFormatting>
  <conditionalFormatting sqref="F17">
    <cfRule type="expression" priority="64" dxfId="8">
      <formula>AND($B17&lt;&gt;"",F17&lt;0)</formula>
    </cfRule>
    <cfRule type="expression" priority="65" dxfId="11">
      <formula>AND($B17&lt;&gt;"",F17&gt;0)</formula>
    </cfRule>
  </conditionalFormatting>
  <conditionalFormatting sqref="H17">
    <cfRule type="expression" priority="66" dxfId="8">
      <formula>AND($B17&lt;&gt;"",H17&gt;G17)</formula>
    </cfRule>
  </conditionalFormatting>
  <conditionalFormatting sqref="J17">
    <cfRule type="expression" priority="67" dxfId="8">
      <formula>AND($B17&lt;&gt;"",J17&lt;0)</formula>
    </cfRule>
    <cfRule type="expression" priority="68" dxfId="11">
      <formula>AND($B17&lt;&gt;"",J17&gt;0)</formula>
    </cfRule>
  </conditionalFormatting>
  <conditionalFormatting sqref="D18">
    <cfRule type="expression" priority="69" dxfId="8">
      <formula>AND($B18&lt;&gt;"",D18&gt;C18)</formula>
    </cfRule>
  </conditionalFormatting>
  <conditionalFormatting sqref="F18">
    <cfRule type="expression" priority="70" dxfId="8">
      <formula>AND($B18&lt;&gt;"",F18&lt;0)</formula>
    </cfRule>
    <cfRule type="expression" priority="71" dxfId="11">
      <formula>AND($B18&lt;&gt;"",F18&gt;0)</formula>
    </cfRule>
  </conditionalFormatting>
  <conditionalFormatting sqref="H18">
    <cfRule type="expression" priority="72" dxfId="8">
      <formula>AND($B18&lt;&gt;"",H18&gt;G18)</formula>
    </cfRule>
  </conditionalFormatting>
  <conditionalFormatting sqref="J18">
    <cfRule type="expression" priority="73" dxfId="8">
      <formula>AND($B18&lt;&gt;"",J18&lt;0)</formula>
    </cfRule>
    <cfRule type="expression" priority="74" dxfId="11">
      <formula>AND($B18&lt;&gt;"",J18&gt;0)</formula>
    </cfRule>
  </conditionalFormatting>
  <conditionalFormatting sqref="D19">
    <cfRule type="expression" priority="75" dxfId="8">
      <formula>AND($B19&lt;&gt;"",D19&gt;C19)</formula>
    </cfRule>
  </conditionalFormatting>
  <conditionalFormatting sqref="F19">
    <cfRule type="expression" priority="76" dxfId="8">
      <formula>AND($B19&lt;&gt;"",F19&lt;0)</formula>
    </cfRule>
    <cfRule type="expression" priority="77" dxfId="11">
      <formula>AND($B19&lt;&gt;"",F19&gt;0)</formula>
    </cfRule>
  </conditionalFormatting>
  <conditionalFormatting sqref="H19">
    <cfRule type="expression" priority="78" dxfId="8">
      <formula>AND($B19&lt;&gt;"",H19&gt;G19)</formula>
    </cfRule>
  </conditionalFormatting>
  <conditionalFormatting sqref="J19">
    <cfRule type="expression" priority="79" dxfId="8">
      <formula>AND($B19&lt;&gt;"",J19&lt;0)</formula>
    </cfRule>
    <cfRule type="expression" priority="80" dxfId="11">
      <formula>AND($B19&lt;&gt;"",J19&gt;0)</formula>
    </cfRule>
  </conditionalFormatting>
  <conditionalFormatting sqref="D20">
    <cfRule type="expression" priority="81" dxfId="8">
      <formula>AND($B20&lt;&gt;"",D20&gt;C20)</formula>
    </cfRule>
  </conditionalFormatting>
  <conditionalFormatting sqref="F20">
    <cfRule type="expression" priority="82" dxfId="8">
      <formula>AND($B20&lt;&gt;"",F20&lt;0)</formula>
    </cfRule>
    <cfRule type="expression" priority="83" dxfId="11">
      <formula>AND($B20&lt;&gt;"",F20&gt;0)</formula>
    </cfRule>
  </conditionalFormatting>
  <conditionalFormatting sqref="H20">
    <cfRule type="expression" priority="84" dxfId="8">
      <formula>AND($B20&lt;&gt;"",H20&gt;G20)</formula>
    </cfRule>
  </conditionalFormatting>
  <conditionalFormatting sqref="J20">
    <cfRule type="expression" priority="85" dxfId="8">
      <formula>AND($B20&lt;&gt;"",J20&lt;0)</formula>
    </cfRule>
    <cfRule type="expression" priority="86" dxfId="11">
      <formula>AND($B20&lt;&gt;"",J20&gt;0)</formula>
    </cfRule>
  </conditionalFormatting>
  <conditionalFormatting sqref="D21">
    <cfRule type="expression" priority="87" dxfId="8">
      <formula>AND($B21&lt;&gt;"",D21&gt;C21)</formula>
    </cfRule>
  </conditionalFormatting>
  <conditionalFormatting sqref="F21">
    <cfRule type="expression" priority="88" dxfId="8">
      <formula>AND($B21&lt;&gt;"",F21&lt;0)</formula>
    </cfRule>
    <cfRule type="expression" priority="89" dxfId="11">
      <formula>AND($B21&lt;&gt;"",F21&gt;0)</formula>
    </cfRule>
  </conditionalFormatting>
  <conditionalFormatting sqref="H21">
    <cfRule type="expression" priority="90" dxfId="8">
      <formula>AND($B21&lt;&gt;"",H21&gt;G21)</formula>
    </cfRule>
  </conditionalFormatting>
  <conditionalFormatting sqref="J21">
    <cfRule type="expression" priority="91" dxfId="8">
      <formula>AND($B21&lt;&gt;"",J21&lt;0)</formula>
    </cfRule>
    <cfRule type="expression" priority="92" dxfId="11">
      <formula>AND($B21&lt;&gt;"",J21&gt;0)</formula>
    </cfRule>
  </conditionalFormatting>
  <conditionalFormatting sqref="D22">
    <cfRule type="expression" priority="93" dxfId="8">
      <formula>AND($B22&lt;&gt;"",D22&gt;C22)</formula>
    </cfRule>
  </conditionalFormatting>
  <conditionalFormatting sqref="F22">
    <cfRule type="expression" priority="94" dxfId="8">
      <formula>AND($B22&lt;&gt;"",F22&lt;0)</formula>
    </cfRule>
    <cfRule type="expression" priority="95" dxfId="11">
      <formula>AND($B22&lt;&gt;"",F22&gt;0)</formula>
    </cfRule>
  </conditionalFormatting>
  <conditionalFormatting sqref="H22">
    <cfRule type="expression" priority="96" dxfId="8">
      <formula>AND($B22&lt;&gt;"",H22&gt;G22)</formula>
    </cfRule>
  </conditionalFormatting>
  <conditionalFormatting sqref="J22">
    <cfRule type="expression" priority="97" dxfId="8">
      <formula>AND($B22&lt;&gt;"",J22&lt;0)</formula>
    </cfRule>
    <cfRule type="expression" priority="98" dxfId="11">
      <formula>AND($B22&lt;&gt;"",J22&gt;0)</formula>
    </cfRule>
  </conditionalFormatting>
  <conditionalFormatting sqref="D23">
    <cfRule type="expression" priority="99" dxfId="8">
      <formula>AND($B23&lt;&gt;"",D23&gt;C23)</formula>
    </cfRule>
  </conditionalFormatting>
  <conditionalFormatting sqref="F23">
    <cfRule type="expression" priority="100" dxfId="8">
      <formula>AND($B23&lt;&gt;"",F23&lt;0)</formula>
    </cfRule>
    <cfRule type="expression" priority="101" dxfId="11">
      <formula>AND($B23&lt;&gt;"",F23&gt;0)</formula>
    </cfRule>
  </conditionalFormatting>
  <conditionalFormatting sqref="H23">
    <cfRule type="expression" priority="102" dxfId="8">
      <formula>AND($B23&lt;&gt;"",H23&gt;G23)</formula>
    </cfRule>
  </conditionalFormatting>
  <conditionalFormatting sqref="J23">
    <cfRule type="expression" priority="103" dxfId="8">
      <formula>AND($B23&lt;&gt;"",J23&lt;0)</formula>
    </cfRule>
    <cfRule type="expression" priority="104" dxfId="11">
      <formula>AND($B23&lt;&gt;"",J23&gt;0)</formula>
    </cfRule>
  </conditionalFormatting>
  <conditionalFormatting sqref="D24">
    <cfRule type="expression" priority="105" dxfId="8">
      <formula>AND($B24&lt;&gt;"",D24&gt;C24)</formula>
    </cfRule>
  </conditionalFormatting>
  <conditionalFormatting sqref="F24">
    <cfRule type="expression" priority="106" dxfId="8">
      <formula>AND($B24&lt;&gt;"",F24&lt;0)</formula>
    </cfRule>
    <cfRule type="expression" priority="107" dxfId="11">
      <formula>AND($B24&lt;&gt;"",F24&gt;0)</formula>
    </cfRule>
  </conditionalFormatting>
  <conditionalFormatting sqref="H24">
    <cfRule type="expression" priority="108" dxfId="8">
      <formula>AND($B24&lt;&gt;"",H24&gt;G24)</formula>
    </cfRule>
  </conditionalFormatting>
  <conditionalFormatting sqref="J24">
    <cfRule type="expression" priority="109" dxfId="8">
      <formula>AND($B24&lt;&gt;"",J24&lt;0)</formula>
    </cfRule>
    <cfRule type="expression" priority="110" dxfId="11">
      <formula>AND($B24&lt;&gt;"",J24&gt;0)</formula>
    </cfRule>
  </conditionalFormatting>
  <conditionalFormatting sqref="D25">
    <cfRule type="expression" priority="111" dxfId="8">
      <formula>AND($B25&lt;&gt;"",D25&gt;C25)</formula>
    </cfRule>
  </conditionalFormatting>
  <conditionalFormatting sqref="F25">
    <cfRule type="expression" priority="112" dxfId="8">
      <formula>AND($B25&lt;&gt;"",F25&lt;0)</formula>
    </cfRule>
    <cfRule type="expression" priority="113" dxfId="11">
      <formula>AND($B25&lt;&gt;"",F25&gt;0)</formula>
    </cfRule>
  </conditionalFormatting>
  <conditionalFormatting sqref="H25">
    <cfRule type="expression" priority="114" dxfId="8">
      <formula>AND($B25&lt;&gt;"",H25&gt;G25)</formula>
    </cfRule>
  </conditionalFormatting>
  <conditionalFormatting sqref="J25">
    <cfRule type="expression" priority="115" dxfId="8">
      <formula>AND($B25&lt;&gt;"",J25&lt;0)</formula>
    </cfRule>
    <cfRule type="expression" priority="116" dxfId="11">
      <formula>AND($B25&lt;&gt;"",J25&gt;0)</formula>
    </cfRule>
  </conditionalFormatting>
  <conditionalFormatting sqref="D26">
    <cfRule type="expression" priority="117" dxfId="8">
      <formula>AND($B26&lt;&gt;"",D26&gt;C26)</formula>
    </cfRule>
  </conditionalFormatting>
  <conditionalFormatting sqref="F26">
    <cfRule type="expression" priority="118" dxfId="8">
      <formula>AND($B26&lt;&gt;"",F26&lt;0)</formula>
    </cfRule>
    <cfRule type="expression" priority="119" dxfId="11">
      <formula>AND($B26&lt;&gt;"",F26&gt;0)</formula>
    </cfRule>
  </conditionalFormatting>
  <conditionalFormatting sqref="H26">
    <cfRule type="expression" priority="120" dxfId="8">
      <formula>AND($B26&lt;&gt;"",H26&gt;G26)</formula>
    </cfRule>
  </conditionalFormatting>
  <conditionalFormatting sqref="J26">
    <cfRule type="expression" priority="121" dxfId="8">
      <formula>AND($B26&lt;&gt;"",J26&lt;0)</formula>
    </cfRule>
    <cfRule type="expression" priority="122" dxfId="11">
      <formula>AND($B26&lt;&gt;"",J26&gt;0)</formula>
    </cfRule>
  </conditionalFormatting>
  <conditionalFormatting sqref="K7:K26">
    <cfRule type="expression" priority="123" dxfId="8">
      <formula>ISNUMBER(SEARCH("オーバー",K7))</formula>
    </cfRule>
    <cfRule type="expression" priority="124" dxfId="12">
      <formula>ISNUMBER(SEARCH("調整中",K7))</formula>
    </cfRule>
  </conditionalFormatting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9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</cols>
  <sheetData>
    <row r="1">
      <c r="A1" s="1">
        <f>設定!B3&amp;"　全"&amp;設定!B4&amp;"担当者および児童名簿"</f>
        <v/>
      </c>
    </row>
    <row r="3">
      <c r="A3" s="11">
        <f>IF(設定!$G$8="","",設定!$G$8&amp;"（"&amp;COUNTIF(振り分け!$I$3:$I$302,設定!$G$8)&amp;"名）")</f>
        <v/>
      </c>
      <c r="B3" s="30" t="n"/>
      <c r="C3" s="11">
        <f>IF(設定!$G$9="","",設定!$G$9&amp;"（"&amp;COUNTIF(振り分け!$I$3:$I$302,設定!$G$9)&amp;"名）")</f>
        <v/>
      </c>
      <c r="D3" s="30" t="n"/>
      <c r="E3" s="11">
        <f>IF(設定!$G$10="","",設定!$G$10&amp;"（"&amp;COUNTIF(振り分け!$I$3:$I$302,設定!$G$10)&amp;"名）")</f>
        <v/>
      </c>
      <c r="F3" s="30" t="n"/>
      <c r="G3" s="11">
        <f>IF(設定!$G$11="","",設定!$G$11&amp;"（"&amp;COUNTIF(振り分け!$I$3:$I$302,設定!$G$11)&amp;"名）")</f>
        <v/>
      </c>
      <c r="H3" s="30" t="n"/>
      <c r="I3" s="11">
        <f>IF(設定!$G$12="","",設定!$G$12&amp;"（"&amp;COUNTIF(振り分け!$I$3:$I$302,設定!$G$12)&amp;"名）")</f>
        <v/>
      </c>
      <c r="J3" s="30" t="n"/>
      <c r="K3" s="11">
        <f>IF(設定!$G$13="","",設定!$G$13&amp;"（"&amp;COUNTIF(振り分け!$I$3:$I$302,設定!$G$13)&amp;"名）")</f>
        <v/>
      </c>
      <c r="L3" s="30" t="n"/>
      <c r="M3" s="11">
        <f>IF(設定!$G$14="","",設定!$G$14&amp;"（"&amp;COUNTIF(振り分け!$I$3:$I$302,設定!$G$14)&amp;"名）")</f>
        <v/>
      </c>
      <c r="N3" s="30" t="n"/>
      <c r="O3" s="11">
        <f>IF(設定!$G$15="","",設定!$G$15&amp;"（"&amp;COUNTIF(振り分け!$I$3:$I$302,設定!$G$15)&amp;"名）")</f>
        <v/>
      </c>
      <c r="P3" s="30" t="n"/>
      <c r="Q3" s="11">
        <f>IF(設定!$G$16="","",設定!$G$16&amp;"（"&amp;COUNTIF(振り分け!$I$3:$I$302,設定!$G$16)&amp;"名）")</f>
        <v/>
      </c>
      <c r="R3" s="30" t="n"/>
      <c r="S3" s="11">
        <f>IF(設定!$G$17="","",設定!$G$17&amp;"（"&amp;COUNTIF(振り分け!$I$3:$I$302,設定!$G$17)&amp;"名）")</f>
        <v/>
      </c>
      <c r="T3" s="30" t="n"/>
    </row>
    <row r="4">
      <c r="A4" s="31">
        <f>IF(設定!$G$8="","","担当："&amp;設定!$J$8)</f>
        <v/>
      </c>
      <c r="B4" s="30" t="n"/>
      <c r="C4" s="31">
        <f>IF(設定!$G$9="","","担当："&amp;設定!$J$9)</f>
        <v/>
      </c>
      <c r="D4" s="30" t="n"/>
      <c r="E4" s="31">
        <f>IF(設定!$G$10="","","担当："&amp;設定!$J$10)</f>
        <v/>
      </c>
      <c r="F4" s="30" t="n"/>
      <c r="G4" s="31">
        <f>IF(設定!$G$11="","","担当："&amp;設定!$J$11)</f>
        <v/>
      </c>
      <c r="H4" s="30" t="n"/>
      <c r="I4" s="31">
        <f>IF(設定!$G$12="","","担当："&amp;設定!$J$12)</f>
        <v/>
      </c>
      <c r="J4" s="30" t="n"/>
      <c r="K4" s="31">
        <f>IF(設定!$G$13="","","担当："&amp;設定!$J$13)</f>
        <v/>
      </c>
      <c r="L4" s="30" t="n"/>
      <c r="M4" s="31">
        <f>IF(設定!$G$14="","","担当："&amp;設定!$J$14)</f>
        <v/>
      </c>
      <c r="N4" s="30" t="n"/>
      <c r="O4" s="31">
        <f>IF(設定!$G$15="","","担当："&amp;設定!$J$15)</f>
        <v/>
      </c>
      <c r="P4" s="30" t="n"/>
      <c r="Q4" s="31">
        <f>IF(設定!$G$16="","","担当："&amp;設定!$J$16)</f>
        <v/>
      </c>
      <c r="R4" s="30" t="n"/>
      <c r="S4" s="31">
        <f>IF(設定!$G$17="","","担当："&amp;設定!$J$17)</f>
        <v/>
      </c>
      <c r="T4" s="30" t="n"/>
    </row>
    <row r="5">
      <c r="A5" s="31">
        <f>IF(設定!$G$8="","","場所："&amp;設定!$K$8)</f>
        <v/>
      </c>
      <c r="B5" s="30" t="n"/>
      <c r="C5" s="31">
        <f>IF(設定!$G$9="","","場所："&amp;設定!$K$9)</f>
        <v/>
      </c>
      <c r="D5" s="30" t="n"/>
      <c r="E5" s="31">
        <f>IF(設定!$G$10="","","場所："&amp;設定!$K$10)</f>
        <v/>
      </c>
      <c r="F5" s="30" t="n"/>
      <c r="G5" s="31">
        <f>IF(設定!$G$11="","","場所："&amp;設定!$K$11)</f>
        <v/>
      </c>
      <c r="H5" s="30" t="n"/>
      <c r="I5" s="31">
        <f>IF(設定!$G$12="","","場所："&amp;設定!$K$12)</f>
        <v/>
      </c>
      <c r="J5" s="30" t="n"/>
      <c r="K5" s="31">
        <f>IF(設定!$G$13="","","場所："&amp;設定!$K$13)</f>
        <v/>
      </c>
      <c r="L5" s="30" t="n"/>
      <c r="M5" s="31">
        <f>IF(設定!$G$14="","","場所："&amp;設定!$K$14)</f>
        <v/>
      </c>
      <c r="N5" s="30" t="n"/>
      <c r="O5" s="31">
        <f>IF(設定!$G$15="","","場所："&amp;設定!$K$15)</f>
        <v/>
      </c>
      <c r="P5" s="30" t="n"/>
      <c r="Q5" s="31">
        <f>IF(設定!$G$16="","","場所："&amp;設定!$K$16)</f>
        <v/>
      </c>
      <c r="R5" s="30" t="n"/>
      <c r="S5" s="31">
        <f>IF(設定!$G$17="","","場所："&amp;設定!$K$17)</f>
        <v/>
      </c>
      <c r="T5" s="30" t="n"/>
    </row>
    <row r="6">
      <c r="A6" s="32" t="inlineStr">
        <is>
          <t>組</t>
        </is>
      </c>
      <c r="B6" s="32" t="inlineStr">
        <is>
          <t>名前</t>
        </is>
      </c>
      <c r="C6" s="32" t="inlineStr">
        <is>
          <t>組</t>
        </is>
      </c>
      <c r="D6" s="32" t="inlineStr">
        <is>
          <t>名前</t>
        </is>
      </c>
      <c r="E6" s="32" t="inlineStr">
        <is>
          <t>組</t>
        </is>
      </c>
      <c r="F6" s="32" t="inlineStr">
        <is>
          <t>名前</t>
        </is>
      </c>
      <c r="G6" s="32" t="inlineStr">
        <is>
          <t>組</t>
        </is>
      </c>
      <c r="H6" s="32" t="inlineStr">
        <is>
          <t>名前</t>
        </is>
      </c>
      <c r="I6" s="32" t="inlineStr">
        <is>
          <t>組</t>
        </is>
      </c>
      <c r="J6" s="32" t="inlineStr">
        <is>
          <t>名前</t>
        </is>
      </c>
      <c r="K6" s="32" t="inlineStr">
        <is>
          <t>組</t>
        </is>
      </c>
      <c r="L6" s="32" t="inlineStr">
        <is>
          <t>名前</t>
        </is>
      </c>
      <c r="M6" s="32" t="inlineStr">
        <is>
          <t>組</t>
        </is>
      </c>
      <c r="N6" s="32" t="inlineStr">
        <is>
          <t>名前</t>
        </is>
      </c>
      <c r="O6" s="32" t="inlineStr">
        <is>
          <t>組</t>
        </is>
      </c>
      <c r="P6" s="32" t="inlineStr">
        <is>
          <t>名前</t>
        </is>
      </c>
      <c r="Q6" s="32" t="inlineStr">
        <is>
          <t>組</t>
        </is>
      </c>
      <c r="R6" s="32" t="inlineStr">
        <is>
          <t>名前</t>
        </is>
      </c>
      <c r="S6" s="32" t="inlineStr">
        <is>
          <t>組</t>
        </is>
      </c>
      <c r="T6" s="32" t="inlineStr">
        <is>
          <t>名前</t>
        </is>
      </c>
    </row>
    <row r="7">
      <c r="A7" s="31">
        <f>IF(計算用!$A$2="","",INDEX(振り分け!$A$3:$A$302,計算用!$A$2))</f>
        <v/>
      </c>
      <c r="B7" s="33">
        <f>IF(計算用!$A$2="","",INDEX(振り分け!$C$3:$C$302,計算用!$A$2))</f>
        <v/>
      </c>
      <c r="C7" s="31">
        <f>IF(計算用!$B$2="","",INDEX(振り分け!$A$3:$A$302,計算用!$B$2))</f>
        <v/>
      </c>
      <c r="D7" s="33">
        <f>IF(計算用!$B$2="","",INDEX(振り分け!$C$3:$C$302,計算用!$B$2))</f>
        <v/>
      </c>
      <c r="E7" s="31">
        <f>IF(計算用!$C$2="","",INDEX(振り分け!$A$3:$A$302,計算用!$C$2))</f>
        <v/>
      </c>
      <c r="F7" s="33">
        <f>IF(計算用!$C$2="","",INDEX(振り分け!$C$3:$C$302,計算用!$C$2))</f>
        <v/>
      </c>
      <c r="G7" s="31">
        <f>IF(計算用!$D$2="","",INDEX(振り分け!$A$3:$A$302,計算用!$D$2))</f>
        <v/>
      </c>
      <c r="H7" s="33">
        <f>IF(計算用!$D$2="","",INDEX(振り分け!$C$3:$C$302,計算用!$D$2))</f>
        <v/>
      </c>
      <c r="I7" s="31">
        <f>IF(計算用!$E$2="","",INDEX(振り分け!$A$3:$A$302,計算用!$E$2))</f>
        <v/>
      </c>
      <c r="J7" s="33">
        <f>IF(計算用!$E$2="","",INDEX(振り分け!$C$3:$C$302,計算用!$E$2))</f>
        <v/>
      </c>
      <c r="K7" s="31">
        <f>IF(計算用!$F$2="","",INDEX(振り分け!$A$3:$A$302,計算用!$F$2))</f>
        <v/>
      </c>
      <c r="L7" s="33">
        <f>IF(計算用!$F$2="","",INDEX(振り分け!$C$3:$C$302,計算用!$F$2))</f>
        <v/>
      </c>
      <c r="M7" s="31">
        <f>IF(計算用!$G$2="","",INDEX(振り分け!$A$3:$A$302,計算用!$G$2))</f>
        <v/>
      </c>
      <c r="N7" s="33">
        <f>IF(計算用!$G$2="","",INDEX(振り分け!$C$3:$C$302,計算用!$G$2))</f>
        <v/>
      </c>
      <c r="O7" s="31">
        <f>IF(計算用!$H$2="","",INDEX(振り分け!$A$3:$A$302,計算用!$H$2))</f>
        <v/>
      </c>
      <c r="P7" s="33">
        <f>IF(計算用!$H$2="","",INDEX(振り分け!$C$3:$C$302,計算用!$H$2))</f>
        <v/>
      </c>
      <c r="Q7" s="31">
        <f>IF(計算用!$I$2="","",INDEX(振り分け!$A$3:$A$302,計算用!$I$2))</f>
        <v/>
      </c>
      <c r="R7" s="33">
        <f>IF(計算用!$I$2="","",INDEX(振り分け!$C$3:$C$302,計算用!$I$2))</f>
        <v/>
      </c>
      <c r="S7" s="31">
        <f>IF(計算用!$J$2="","",INDEX(振り分け!$A$3:$A$302,計算用!$J$2))</f>
        <v/>
      </c>
      <c r="T7" s="33">
        <f>IF(計算用!$J$2="","",INDEX(振り分け!$C$3:$C$302,計算用!$J$2))</f>
        <v/>
      </c>
    </row>
    <row r="8">
      <c r="A8" s="31">
        <f>IF(計算用!$A$3="","",INDEX(振り分け!$A$3:$A$302,計算用!$A$3))</f>
        <v/>
      </c>
      <c r="B8" s="33">
        <f>IF(計算用!$A$3="","",INDEX(振り分け!$C$3:$C$302,計算用!$A$3))</f>
        <v/>
      </c>
      <c r="C8" s="31">
        <f>IF(計算用!$B$3="","",INDEX(振り分け!$A$3:$A$302,計算用!$B$3))</f>
        <v/>
      </c>
      <c r="D8" s="33">
        <f>IF(計算用!$B$3="","",INDEX(振り分け!$C$3:$C$302,計算用!$B$3))</f>
        <v/>
      </c>
      <c r="E8" s="31">
        <f>IF(計算用!$C$3="","",INDEX(振り分け!$A$3:$A$302,計算用!$C$3))</f>
        <v/>
      </c>
      <c r="F8" s="33">
        <f>IF(計算用!$C$3="","",INDEX(振り分け!$C$3:$C$302,計算用!$C$3))</f>
        <v/>
      </c>
      <c r="G8" s="31">
        <f>IF(計算用!$D$3="","",INDEX(振り分け!$A$3:$A$302,計算用!$D$3))</f>
        <v/>
      </c>
      <c r="H8" s="33">
        <f>IF(計算用!$D$3="","",INDEX(振り分け!$C$3:$C$302,計算用!$D$3))</f>
        <v/>
      </c>
      <c r="I8" s="31">
        <f>IF(計算用!$E$3="","",INDEX(振り分け!$A$3:$A$302,計算用!$E$3))</f>
        <v/>
      </c>
      <c r="J8" s="33">
        <f>IF(計算用!$E$3="","",INDEX(振り分け!$C$3:$C$302,計算用!$E$3))</f>
        <v/>
      </c>
      <c r="K8" s="31">
        <f>IF(計算用!$F$3="","",INDEX(振り分け!$A$3:$A$302,計算用!$F$3))</f>
        <v/>
      </c>
      <c r="L8" s="33">
        <f>IF(計算用!$F$3="","",INDEX(振り分け!$C$3:$C$302,計算用!$F$3))</f>
        <v/>
      </c>
      <c r="M8" s="31">
        <f>IF(計算用!$G$3="","",INDEX(振り分け!$A$3:$A$302,計算用!$G$3))</f>
        <v/>
      </c>
      <c r="N8" s="33">
        <f>IF(計算用!$G$3="","",INDEX(振り分け!$C$3:$C$302,計算用!$G$3))</f>
        <v/>
      </c>
      <c r="O8" s="31">
        <f>IF(計算用!$H$3="","",INDEX(振り分け!$A$3:$A$302,計算用!$H$3))</f>
        <v/>
      </c>
      <c r="P8" s="33">
        <f>IF(計算用!$H$3="","",INDEX(振り分け!$C$3:$C$302,計算用!$H$3))</f>
        <v/>
      </c>
      <c r="Q8" s="31">
        <f>IF(計算用!$I$3="","",INDEX(振り分け!$A$3:$A$302,計算用!$I$3))</f>
        <v/>
      </c>
      <c r="R8" s="33">
        <f>IF(計算用!$I$3="","",INDEX(振り分け!$C$3:$C$302,計算用!$I$3))</f>
        <v/>
      </c>
      <c r="S8" s="31">
        <f>IF(計算用!$J$3="","",INDEX(振り分け!$A$3:$A$302,計算用!$J$3))</f>
        <v/>
      </c>
      <c r="T8" s="33">
        <f>IF(計算用!$J$3="","",INDEX(振り分け!$C$3:$C$302,計算用!$J$3))</f>
        <v/>
      </c>
    </row>
    <row r="9">
      <c r="A9" s="31">
        <f>IF(計算用!$A$4="","",INDEX(振り分け!$A$3:$A$302,計算用!$A$4))</f>
        <v/>
      </c>
      <c r="B9" s="33">
        <f>IF(計算用!$A$4="","",INDEX(振り分け!$C$3:$C$302,計算用!$A$4))</f>
        <v/>
      </c>
      <c r="C9" s="31">
        <f>IF(計算用!$B$4="","",INDEX(振り分け!$A$3:$A$302,計算用!$B$4))</f>
        <v/>
      </c>
      <c r="D9" s="33">
        <f>IF(計算用!$B$4="","",INDEX(振り分け!$C$3:$C$302,計算用!$B$4))</f>
        <v/>
      </c>
      <c r="E9" s="31">
        <f>IF(計算用!$C$4="","",INDEX(振り分け!$A$3:$A$302,計算用!$C$4))</f>
        <v/>
      </c>
      <c r="F9" s="33">
        <f>IF(計算用!$C$4="","",INDEX(振り分け!$C$3:$C$302,計算用!$C$4))</f>
        <v/>
      </c>
      <c r="G9" s="31">
        <f>IF(計算用!$D$4="","",INDEX(振り分け!$A$3:$A$302,計算用!$D$4))</f>
        <v/>
      </c>
      <c r="H9" s="33">
        <f>IF(計算用!$D$4="","",INDEX(振り分け!$C$3:$C$302,計算用!$D$4))</f>
        <v/>
      </c>
      <c r="I9" s="31">
        <f>IF(計算用!$E$4="","",INDEX(振り分け!$A$3:$A$302,計算用!$E$4))</f>
        <v/>
      </c>
      <c r="J9" s="33">
        <f>IF(計算用!$E$4="","",INDEX(振り分け!$C$3:$C$302,計算用!$E$4))</f>
        <v/>
      </c>
      <c r="K9" s="31">
        <f>IF(計算用!$F$4="","",INDEX(振り分け!$A$3:$A$302,計算用!$F$4))</f>
        <v/>
      </c>
      <c r="L9" s="33">
        <f>IF(計算用!$F$4="","",INDEX(振り分け!$C$3:$C$302,計算用!$F$4))</f>
        <v/>
      </c>
      <c r="M9" s="31">
        <f>IF(計算用!$G$4="","",INDEX(振り分け!$A$3:$A$302,計算用!$G$4))</f>
        <v/>
      </c>
      <c r="N9" s="33">
        <f>IF(計算用!$G$4="","",INDEX(振り分け!$C$3:$C$302,計算用!$G$4))</f>
        <v/>
      </c>
      <c r="O9" s="31">
        <f>IF(計算用!$H$4="","",INDEX(振り分け!$A$3:$A$302,計算用!$H$4))</f>
        <v/>
      </c>
      <c r="P9" s="33">
        <f>IF(計算用!$H$4="","",INDEX(振り分け!$C$3:$C$302,計算用!$H$4))</f>
        <v/>
      </c>
      <c r="Q9" s="31">
        <f>IF(計算用!$I$4="","",INDEX(振り分け!$A$3:$A$302,計算用!$I$4))</f>
        <v/>
      </c>
      <c r="R9" s="33">
        <f>IF(計算用!$I$4="","",INDEX(振り分け!$C$3:$C$302,計算用!$I$4))</f>
        <v/>
      </c>
      <c r="S9" s="31">
        <f>IF(計算用!$J$4="","",INDEX(振り分け!$A$3:$A$302,計算用!$J$4))</f>
        <v/>
      </c>
      <c r="T9" s="33">
        <f>IF(計算用!$J$4="","",INDEX(振り分け!$C$3:$C$302,計算用!$J$4))</f>
        <v/>
      </c>
    </row>
    <row r="10">
      <c r="A10" s="31">
        <f>IF(計算用!$A$5="","",INDEX(振り分け!$A$3:$A$302,計算用!$A$5))</f>
        <v/>
      </c>
      <c r="B10" s="33">
        <f>IF(計算用!$A$5="","",INDEX(振り分け!$C$3:$C$302,計算用!$A$5))</f>
        <v/>
      </c>
      <c r="C10" s="31">
        <f>IF(計算用!$B$5="","",INDEX(振り分け!$A$3:$A$302,計算用!$B$5))</f>
        <v/>
      </c>
      <c r="D10" s="33">
        <f>IF(計算用!$B$5="","",INDEX(振り分け!$C$3:$C$302,計算用!$B$5))</f>
        <v/>
      </c>
      <c r="E10" s="31">
        <f>IF(計算用!$C$5="","",INDEX(振り分け!$A$3:$A$302,計算用!$C$5))</f>
        <v/>
      </c>
      <c r="F10" s="33">
        <f>IF(計算用!$C$5="","",INDEX(振り分け!$C$3:$C$302,計算用!$C$5))</f>
        <v/>
      </c>
      <c r="G10" s="31">
        <f>IF(計算用!$D$5="","",INDEX(振り分け!$A$3:$A$302,計算用!$D$5))</f>
        <v/>
      </c>
      <c r="H10" s="33">
        <f>IF(計算用!$D$5="","",INDEX(振り分け!$C$3:$C$302,計算用!$D$5))</f>
        <v/>
      </c>
      <c r="I10" s="31">
        <f>IF(計算用!$E$5="","",INDEX(振り分け!$A$3:$A$302,計算用!$E$5))</f>
        <v/>
      </c>
      <c r="J10" s="33">
        <f>IF(計算用!$E$5="","",INDEX(振り分け!$C$3:$C$302,計算用!$E$5))</f>
        <v/>
      </c>
      <c r="K10" s="31">
        <f>IF(計算用!$F$5="","",INDEX(振り分け!$A$3:$A$302,計算用!$F$5))</f>
        <v/>
      </c>
      <c r="L10" s="33">
        <f>IF(計算用!$F$5="","",INDEX(振り分け!$C$3:$C$302,計算用!$F$5))</f>
        <v/>
      </c>
      <c r="M10" s="31">
        <f>IF(計算用!$G$5="","",INDEX(振り分け!$A$3:$A$302,計算用!$G$5))</f>
        <v/>
      </c>
      <c r="N10" s="33">
        <f>IF(計算用!$G$5="","",INDEX(振り分け!$C$3:$C$302,計算用!$G$5))</f>
        <v/>
      </c>
      <c r="O10" s="31">
        <f>IF(計算用!$H$5="","",INDEX(振り分け!$A$3:$A$302,計算用!$H$5))</f>
        <v/>
      </c>
      <c r="P10" s="33">
        <f>IF(計算用!$H$5="","",INDEX(振り分け!$C$3:$C$302,計算用!$H$5))</f>
        <v/>
      </c>
      <c r="Q10" s="31">
        <f>IF(計算用!$I$5="","",INDEX(振り分け!$A$3:$A$302,計算用!$I$5))</f>
        <v/>
      </c>
      <c r="R10" s="33">
        <f>IF(計算用!$I$5="","",INDEX(振り分け!$C$3:$C$302,計算用!$I$5))</f>
        <v/>
      </c>
      <c r="S10" s="31">
        <f>IF(計算用!$J$5="","",INDEX(振り分け!$A$3:$A$302,計算用!$J$5))</f>
        <v/>
      </c>
      <c r="T10" s="33">
        <f>IF(計算用!$J$5="","",INDEX(振り分け!$C$3:$C$302,計算用!$J$5))</f>
        <v/>
      </c>
    </row>
    <row r="11">
      <c r="A11" s="31">
        <f>IF(計算用!$A$6="","",INDEX(振り分け!$A$3:$A$302,計算用!$A$6))</f>
        <v/>
      </c>
      <c r="B11" s="33">
        <f>IF(計算用!$A$6="","",INDEX(振り分け!$C$3:$C$302,計算用!$A$6))</f>
        <v/>
      </c>
      <c r="C11" s="31">
        <f>IF(計算用!$B$6="","",INDEX(振り分け!$A$3:$A$302,計算用!$B$6))</f>
        <v/>
      </c>
      <c r="D11" s="33">
        <f>IF(計算用!$B$6="","",INDEX(振り分け!$C$3:$C$302,計算用!$B$6))</f>
        <v/>
      </c>
      <c r="E11" s="31">
        <f>IF(計算用!$C$6="","",INDEX(振り分け!$A$3:$A$302,計算用!$C$6))</f>
        <v/>
      </c>
      <c r="F11" s="33">
        <f>IF(計算用!$C$6="","",INDEX(振り分け!$C$3:$C$302,計算用!$C$6))</f>
        <v/>
      </c>
      <c r="G11" s="31">
        <f>IF(計算用!$D$6="","",INDEX(振り分け!$A$3:$A$302,計算用!$D$6))</f>
        <v/>
      </c>
      <c r="H11" s="33">
        <f>IF(計算用!$D$6="","",INDEX(振り分け!$C$3:$C$302,計算用!$D$6))</f>
        <v/>
      </c>
      <c r="I11" s="31">
        <f>IF(計算用!$E$6="","",INDEX(振り分け!$A$3:$A$302,計算用!$E$6))</f>
        <v/>
      </c>
      <c r="J11" s="33">
        <f>IF(計算用!$E$6="","",INDEX(振り分け!$C$3:$C$302,計算用!$E$6))</f>
        <v/>
      </c>
      <c r="K11" s="31">
        <f>IF(計算用!$F$6="","",INDEX(振り分け!$A$3:$A$302,計算用!$F$6))</f>
        <v/>
      </c>
      <c r="L11" s="33">
        <f>IF(計算用!$F$6="","",INDEX(振り分け!$C$3:$C$302,計算用!$F$6))</f>
        <v/>
      </c>
      <c r="M11" s="31">
        <f>IF(計算用!$G$6="","",INDEX(振り分け!$A$3:$A$302,計算用!$G$6))</f>
        <v/>
      </c>
      <c r="N11" s="33">
        <f>IF(計算用!$G$6="","",INDEX(振り分け!$C$3:$C$302,計算用!$G$6))</f>
        <v/>
      </c>
      <c r="O11" s="31">
        <f>IF(計算用!$H$6="","",INDEX(振り分け!$A$3:$A$302,計算用!$H$6))</f>
        <v/>
      </c>
      <c r="P11" s="33">
        <f>IF(計算用!$H$6="","",INDEX(振り分け!$C$3:$C$302,計算用!$H$6))</f>
        <v/>
      </c>
      <c r="Q11" s="31">
        <f>IF(計算用!$I$6="","",INDEX(振り分け!$A$3:$A$302,計算用!$I$6))</f>
        <v/>
      </c>
      <c r="R11" s="33">
        <f>IF(計算用!$I$6="","",INDEX(振り分け!$C$3:$C$302,計算用!$I$6))</f>
        <v/>
      </c>
      <c r="S11" s="31">
        <f>IF(計算用!$J$6="","",INDEX(振り分け!$A$3:$A$302,計算用!$J$6))</f>
        <v/>
      </c>
      <c r="T11" s="33">
        <f>IF(計算用!$J$6="","",INDEX(振り分け!$C$3:$C$302,計算用!$J$6))</f>
        <v/>
      </c>
    </row>
    <row r="12">
      <c r="A12" s="31">
        <f>IF(計算用!$A$7="","",INDEX(振り分け!$A$3:$A$302,計算用!$A$7))</f>
        <v/>
      </c>
      <c r="B12" s="33">
        <f>IF(計算用!$A$7="","",INDEX(振り分け!$C$3:$C$302,計算用!$A$7))</f>
        <v/>
      </c>
      <c r="C12" s="31">
        <f>IF(計算用!$B$7="","",INDEX(振り分け!$A$3:$A$302,計算用!$B$7))</f>
        <v/>
      </c>
      <c r="D12" s="33">
        <f>IF(計算用!$B$7="","",INDEX(振り分け!$C$3:$C$302,計算用!$B$7))</f>
        <v/>
      </c>
      <c r="E12" s="31">
        <f>IF(計算用!$C$7="","",INDEX(振り分け!$A$3:$A$302,計算用!$C$7))</f>
        <v/>
      </c>
      <c r="F12" s="33">
        <f>IF(計算用!$C$7="","",INDEX(振り分け!$C$3:$C$302,計算用!$C$7))</f>
        <v/>
      </c>
      <c r="G12" s="31">
        <f>IF(計算用!$D$7="","",INDEX(振り分け!$A$3:$A$302,計算用!$D$7))</f>
        <v/>
      </c>
      <c r="H12" s="33">
        <f>IF(計算用!$D$7="","",INDEX(振り分け!$C$3:$C$302,計算用!$D$7))</f>
        <v/>
      </c>
      <c r="I12" s="31">
        <f>IF(計算用!$E$7="","",INDEX(振り分け!$A$3:$A$302,計算用!$E$7))</f>
        <v/>
      </c>
      <c r="J12" s="33">
        <f>IF(計算用!$E$7="","",INDEX(振り分け!$C$3:$C$302,計算用!$E$7))</f>
        <v/>
      </c>
      <c r="K12" s="31">
        <f>IF(計算用!$F$7="","",INDEX(振り分け!$A$3:$A$302,計算用!$F$7))</f>
        <v/>
      </c>
      <c r="L12" s="33">
        <f>IF(計算用!$F$7="","",INDEX(振り分け!$C$3:$C$302,計算用!$F$7))</f>
        <v/>
      </c>
      <c r="M12" s="31">
        <f>IF(計算用!$G$7="","",INDEX(振り分け!$A$3:$A$302,計算用!$G$7))</f>
        <v/>
      </c>
      <c r="N12" s="33">
        <f>IF(計算用!$G$7="","",INDEX(振り分け!$C$3:$C$302,計算用!$G$7))</f>
        <v/>
      </c>
      <c r="O12" s="31">
        <f>IF(計算用!$H$7="","",INDEX(振り分け!$A$3:$A$302,計算用!$H$7))</f>
        <v/>
      </c>
      <c r="P12" s="33">
        <f>IF(計算用!$H$7="","",INDEX(振り分け!$C$3:$C$302,計算用!$H$7))</f>
        <v/>
      </c>
      <c r="Q12" s="31">
        <f>IF(計算用!$I$7="","",INDEX(振り分け!$A$3:$A$302,計算用!$I$7))</f>
        <v/>
      </c>
      <c r="R12" s="33">
        <f>IF(計算用!$I$7="","",INDEX(振り分け!$C$3:$C$302,計算用!$I$7))</f>
        <v/>
      </c>
      <c r="S12" s="31">
        <f>IF(計算用!$J$7="","",INDEX(振り分け!$A$3:$A$302,計算用!$J$7))</f>
        <v/>
      </c>
      <c r="T12" s="33">
        <f>IF(計算用!$J$7="","",INDEX(振り分け!$C$3:$C$302,計算用!$J$7))</f>
        <v/>
      </c>
    </row>
    <row r="13">
      <c r="A13" s="31">
        <f>IF(計算用!$A$8="","",INDEX(振り分け!$A$3:$A$302,計算用!$A$8))</f>
        <v/>
      </c>
      <c r="B13" s="33">
        <f>IF(計算用!$A$8="","",INDEX(振り分け!$C$3:$C$302,計算用!$A$8))</f>
        <v/>
      </c>
      <c r="C13" s="31">
        <f>IF(計算用!$B$8="","",INDEX(振り分け!$A$3:$A$302,計算用!$B$8))</f>
        <v/>
      </c>
      <c r="D13" s="33">
        <f>IF(計算用!$B$8="","",INDEX(振り分け!$C$3:$C$302,計算用!$B$8))</f>
        <v/>
      </c>
      <c r="E13" s="31">
        <f>IF(計算用!$C$8="","",INDEX(振り分け!$A$3:$A$302,計算用!$C$8))</f>
        <v/>
      </c>
      <c r="F13" s="33">
        <f>IF(計算用!$C$8="","",INDEX(振り分け!$C$3:$C$302,計算用!$C$8))</f>
        <v/>
      </c>
      <c r="G13" s="31">
        <f>IF(計算用!$D$8="","",INDEX(振り分け!$A$3:$A$302,計算用!$D$8))</f>
        <v/>
      </c>
      <c r="H13" s="33">
        <f>IF(計算用!$D$8="","",INDEX(振り分け!$C$3:$C$302,計算用!$D$8))</f>
        <v/>
      </c>
      <c r="I13" s="31">
        <f>IF(計算用!$E$8="","",INDEX(振り分け!$A$3:$A$302,計算用!$E$8))</f>
        <v/>
      </c>
      <c r="J13" s="33">
        <f>IF(計算用!$E$8="","",INDEX(振り分け!$C$3:$C$302,計算用!$E$8))</f>
        <v/>
      </c>
      <c r="K13" s="31">
        <f>IF(計算用!$F$8="","",INDEX(振り分け!$A$3:$A$302,計算用!$F$8))</f>
        <v/>
      </c>
      <c r="L13" s="33">
        <f>IF(計算用!$F$8="","",INDEX(振り分け!$C$3:$C$302,計算用!$F$8))</f>
        <v/>
      </c>
      <c r="M13" s="31">
        <f>IF(計算用!$G$8="","",INDEX(振り分け!$A$3:$A$302,計算用!$G$8))</f>
        <v/>
      </c>
      <c r="N13" s="33">
        <f>IF(計算用!$G$8="","",INDEX(振り分け!$C$3:$C$302,計算用!$G$8))</f>
        <v/>
      </c>
      <c r="O13" s="31">
        <f>IF(計算用!$H$8="","",INDEX(振り分け!$A$3:$A$302,計算用!$H$8))</f>
        <v/>
      </c>
      <c r="P13" s="33">
        <f>IF(計算用!$H$8="","",INDEX(振り分け!$C$3:$C$302,計算用!$H$8))</f>
        <v/>
      </c>
      <c r="Q13" s="31">
        <f>IF(計算用!$I$8="","",INDEX(振り分け!$A$3:$A$302,計算用!$I$8))</f>
        <v/>
      </c>
      <c r="R13" s="33">
        <f>IF(計算用!$I$8="","",INDEX(振り分け!$C$3:$C$302,計算用!$I$8))</f>
        <v/>
      </c>
      <c r="S13" s="31">
        <f>IF(計算用!$J$8="","",INDEX(振り分け!$A$3:$A$302,計算用!$J$8))</f>
        <v/>
      </c>
      <c r="T13" s="33">
        <f>IF(計算用!$J$8="","",INDEX(振り分け!$C$3:$C$302,計算用!$J$8))</f>
        <v/>
      </c>
    </row>
    <row r="14">
      <c r="A14" s="31">
        <f>IF(計算用!$A$9="","",INDEX(振り分け!$A$3:$A$302,計算用!$A$9))</f>
        <v/>
      </c>
      <c r="B14" s="33">
        <f>IF(計算用!$A$9="","",INDEX(振り分け!$C$3:$C$302,計算用!$A$9))</f>
        <v/>
      </c>
      <c r="C14" s="31">
        <f>IF(計算用!$B$9="","",INDEX(振り分け!$A$3:$A$302,計算用!$B$9))</f>
        <v/>
      </c>
      <c r="D14" s="33">
        <f>IF(計算用!$B$9="","",INDEX(振り分け!$C$3:$C$302,計算用!$B$9))</f>
        <v/>
      </c>
      <c r="E14" s="31">
        <f>IF(計算用!$C$9="","",INDEX(振り分け!$A$3:$A$302,計算用!$C$9))</f>
        <v/>
      </c>
      <c r="F14" s="33">
        <f>IF(計算用!$C$9="","",INDEX(振り分け!$C$3:$C$302,計算用!$C$9))</f>
        <v/>
      </c>
      <c r="G14" s="31">
        <f>IF(計算用!$D$9="","",INDEX(振り分け!$A$3:$A$302,計算用!$D$9))</f>
        <v/>
      </c>
      <c r="H14" s="33">
        <f>IF(計算用!$D$9="","",INDEX(振り分け!$C$3:$C$302,計算用!$D$9))</f>
        <v/>
      </c>
      <c r="I14" s="31">
        <f>IF(計算用!$E$9="","",INDEX(振り分け!$A$3:$A$302,計算用!$E$9))</f>
        <v/>
      </c>
      <c r="J14" s="33">
        <f>IF(計算用!$E$9="","",INDEX(振り分け!$C$3:$C$302,計算用!$E$9))</f>
        <v/>
      </c>
      <c r="K14" s="31">
        <f>IF(計算用!$F$9="","",INDEX(振り分け!$A$3:$A$302,計算用!$F$9))</f>
        <v/>
      </c>
      <c r="L14" s="33">
        <f>IF(計算用!$F$9="","",INDEX(振り分け!$C$3:$C$302,計算用!$F$9))</f>
        <v/>
      </c>
      <c r="M14" s="31">
        <f>IF(計算用!$G$9="","",INDEX(振り分け!$A$3:$A$302,計算用!$G$9))</f>
        <v/>
      </c>
      <c r="N14" s="33">
        <f>IF(計算用!$G$9="","",INDEX(振り分け!$C$3:$C$302,計算用!$G$9))</f>
        <v/>
      </c>
      <c r="O14" s="31">
        <f>IF(計算用!$H$9="","",INDEX(振り分け!$A$3:$A$302,計算用!$H$9))</f>
        <v/>
      </c>
      <c r="P14" s="33">
        <f>IF(計算用!$H$9="","",INDEX(振り分け!$C$3:$C$302,計算用!$H$9))</f>
        <v/>
      </c>
      <c r="Q14" s="31">
        <f>IF(計算用!$I$9="","",INDEX(振り分け!$A$3:$A$302,計算用!$I$9))</f>
        <v/>
      </c>
      <c r="R14" s="33">
        <f>IF(計算用!$I$9="","",INDEX(振り分け!$C$3:$C$302,計算用!$I$9))</f>
        <v/>
      </c>
      <c r="S14" s="31">
        <f>IF(計算用!$J$9="","",INDEX(振り分け!$A$3:$A$302,計算用!$J$9))</f>
        <v/>
      </c>
      <c r="T14" s="33">
        <f>IF(計算用!$J$9="","",INDEX(振り分け!$C$3:$C$302,計算用!$J$9))</f>
        <v/>
      </c>
    </row>
    <row r="15">
      <c r="A15" s="31">
        <f>IF(計算用!$A$10="","",INDEX(振り分け!$A$3:$A$302,計算用!$A$10))</f>
        <v/>
      </c>
      <c r="B15" s="33">
        <f>IF(計算用!$A$10="","",INDEX(振り分け!$C$3:$C$302,計算用!$A$10))</f>
        <v/>
      </c>
      <c r="C15" s="31">
        <f>IF(計算用!$B$10="","",INDEX(振り分け!$A$3:$A$302,計算用!$B$10))</f>
        <v/>
      </c>
      <c r="D15" s="33">
        <f>IF(計算用!$B$10="","",INDEX(振り分け!$C$3:$C$302,計算用!$B$10))</f>
        <v/>
      </c>
      <c r="E15" s="31">
        <f>IF(計算用!$C$10="","",INDEX(振り分け!$A$3:$A$302,計算用!$C$10))</f>
        <v/>
      </c>
      <c r="F15" s="33">
        <f>IF(計算用!$C$10="","",INDEX(振り分け!$C$3:$C$302,計算用!$C$10))</f>
        <v/>
      </c>
      <c r="G15" s="31">
        <f>IF(計算用!$D$10="","",INDEX(振り分け!$A$3:$A$302,計算用!$D$10))</f>
        <v/>
      </c>
      <c r="H15" s="33">
        <f>IF(計算用!$D$10="","",INDEX(振り分け!$C$3:$C$302,計算用!$D$10))</f>
        <v/>
      </c>
      <c r="I15" s="31">
        <f>IF(計算用!$E$10="","",INDEX(振り分け!$A$3:$A$302,計算用!$E$10))</f>
        <v/>
      </c>
      <c r="J15" s="33">
        <f>IF(計算用!$E$10="","",INDEX(振り分け!$C$3:$C$302,計算用!$E$10))</f>
        <v/>
      </c>
      <c r="K15" s="31">
        <f>IF(計算用!$F$10="","",INDEX(振り分け!$A$3:$A$302,計算用!$F$10))</f>
        <v/>
      </c>
      <c r="L15" s="33">
        <f>IF(計算用!$F$10="","",INDEX(振り分け!$C$3:$C$302,計算用!$F$10))</f>
        <v/>
      </c>
      <c r="M15" s="31">
        <f>IF(計算用!$G$10="","",INDEX(振り分け!$A$3:$A$302,計算用!$G$10))</f>
        <v/>
      </c>
      <c r="N15" s="33">
        <f>IF(計算用!$G$10="","",INDEX(振り分け!$C$3:$C$302,計算用!$G$10))</f>
        <v/>
      </c>
      <c r="O15" s="31">
        <f>IF(計算用!$H$10="","",INDEX(振り分け!$A$3:$A$302,計算用!$H$10))</f>
        <v/>
      </c>
      <c r="P15" s="33">
        <f>IF(計算用!$H$10="","",INDEX(振り分け!$C$3:$C$302,計算用!$H$10))</f>
        <v/>
      </c>
      <c r="Q15" s="31">
        <f>IF(計算用!$I$10="","",INDEX(振り分け!$A$3:$A$302,計算用!$I$10))</f>
        <v/>
      </c>
      <c r="R15" s="33">
        <f>IF(計算用!$I$10="","",INDEX(振り分け!$C$3:$C$302,計算用!$I$10))</f>
        <v/>
      </c>
      <c r="S15" s="31">
        <f>IF(計算用!$J$10="","",INDEX(振り分け!$A$3:$A$302,計算用!$J$10))</f>
        <v/>
      </c>
      <c r="T15" s="33">
        <f>IF(計算用!$J$10="","",INDEX(振り分け!$C$3:$C$302,計算用!$J$10))</f>
        <v/>
      </c>
    </row>
    <row r="16">
      <c r="A16" s="31">
        <f>IF(計算用!$A$11="","",INDEX(振り分け!$A$3:$A$302,計算用!$A$11))</f>
        <v/>
      </c>
      <c r="B16" s="33">
        <f>IF(計算用!$A$11="","",INDEX(振り分け!$C$3:$C$302,計算用!$A$11))</f>
        <v/>
      </c>
      <c r="C16" s="31">
        <f>IF(計算用!$B$11="","",INDEX(振り分け!$A$3:$A$302,計算用!$B$11))</f>
        <v/>
      </c>
      <c r="D16" s="33">
        <f>IF(計算用!$B$11="","",INDEX(振り分け!$C$3:$C$302,計算用!$B$11))</f>
        <v/>
      </c>
      <c r="E16" s="31">
        <f>IF(計算用!$C$11="","",INDEX(振り分け!$A$3:$A$302,計算用!$C$11))</f>
        <v/>
      </c>
      <c r="F16" s="33">
        <f>IF(計算用!$C$11="","",INDEX(振り分け!$C$3:$C$302,計算用!$C$11))</f>
        <v/>
      </c>
      <c r="G16" s="31">
        <f>IF(計算用!$D$11="","",INDEX(振り分け!$A$3:$A$302,計算用!$D$11))</f>
        <v/>
      </c>
      <c r="H16" s="33">
        <f>IF(計算用!$D$11="","",INDEX(振り分け!$C$3:$C$302,計算用!$D$11))</f>
        <v/>
      </c>
      <c r="I16" s="31">
        <f>IF(計算用!$E$11="","",INDEX(振り分け!$A$3:$A$302,計算用!$E$11))</f>
        <v/>
      </c>
      <c r="J16" s="33">
        <f>IF(計算用!$E$11="","",INDEX(振り分け!$C$3:$C$302,計算用!$E$11))</f>
        <v/>
      </c>
      <c r="K16" s="31">
        <f>IF(計算用!$F$11="","",INDEX(振り分け!$A$3:$A$302,計算用!$F$11))</f>
        <v/>
      </c>
      <c r="L16" s="33">
        <f>IF(計算用!$F$11="","",INDEX(振り分け!$C$3:$C$302,計算用!$F$11))</f>
        <v/>
      </c>
      <c r="M16" s="31">
        <f>IF(計算用!$G$11="","",INDEX(振り分け!$A$3:$A$302,計算用!$G$11))</f>
        <v/>
      </c>
      <c r="N16" s="33">
        <f>IF(計算用!$G$11="","",INDEX(振り分け!$C$3:$C$302,計算用!$G$11))</f>
        <v/>
      </c>
      <c r="O16" s="31">
        <f>IF(計算用!$H$11="","",INDEX(振り分け!$A$3:$A$302,計算用!$H$11))</f>
        <v/>
      </c>
      <c r="P16" s="33">
        <f>IF(計算用!$H$11="","",INDEX(振り分け!$C$3:$C$302,計算用!$H$11))</f>
        <v/>
      </c>
      <c r="Q16" s="31">
        <f>IF(計算用!$I$11="","",INDEX(振り分け!$A$3:$A$302,計算用!$I$11))</f>
        <v/>
      </c>
      <c r="R16" s="33">
        <f>IF(計算用!$I$11="","",INDEX(振り分け!$C$3:$C$302,計算用!$I$11))</f>
        <v/>
      </c>
      <c r="S16" s="31">
        <f>IF(計算用!$J$11="","",INDEX(振り分け!$A$3:$A$302,計算用!$J$11))</f>
        <v/>
      </c>
      <c r="T16" s="33">
        <f>IF(計算用!$J$11="","",INDEX(振り分け!$C$3:$C$302,計算用!$J$11))</f>
        <v/>
      </c>
    </row>
    <row r="17">
      <c r="A17" s="31">
        <f>IF(計算用!$A$12="","",INDEX(振り分け!$A$3:$A$302,計算用!$A$12))</f>
        <v/>
      </c>
      <c r="B17" s="33">
        <f>IF(計算用!$A$12="","",INDEX(振り分け!$C$3:$C$302,計算用!$A$12))</f>
        <v/>
      </c>
      <c r="C17" s="31">
        <f>IF(計算用!$B$12="","",INDEX(振り分け!$A$3:$A$302,計算用!$B$12))</f>
        <v/>
      </c>
      <c r="D17" s="33">
        <f>IF(計算用!$B$12="","",INDEX(振り分け!$C$3:$C$302,計算用!$B$12))</f>
        <v/>
      </c>
      <c r="E17" s="31">
        <f>IF(計算用!$C$12="","",INDEX(振り分け!$A$3:$A$302,計算用!$C$12))</f>
        <v/>
      </c>
      <c r="F17" s="33">
        <f>IF(計算用!$C$12="","",INDEX(振り分け!$C$3:$C$302,計算用!$C$12))</f>
        <v/>
      </c>
      <c r="G17" s="31">
        <f>IF(計算用!$D$12="","",INDEX(振り分け!$A$3:$A$302,計算用!$D$12))</f>
        <v/>
      </c>
      <c r="H17" s="33">
        <f>IF(計算用!$D$12="","",INDEX(振り分け!$C$3:$C$302,計算用!$D$12))</f>
        <v/>
      </c>
      <c r="I17" s="31">
        <f>IF(計算用!$E$12="","",INDEX(振り分け!$A$3:$A$302,計算用!$E$12))</f>
        <v/>
      </c>
      <c r="J17" s="33">
        <f>IF(計算用!$E$12="","",INDEX(振り分け!$C$3:$C$302,計算用!$E$12))</f>
        <v/>
      </c>
      <c r="K17" s="31">
        <f>IF(計算用!$F$12="","",INDEX(振り分け!$A$3:$A$302,計算用!$F$12))</f>
        <v/>
      </c>
      <c r="L17" s="33">
        <f>IF(計算用!$F$12="","",INDEX(振り分け!$C$3:$C$302,計算用!$F$12))</f>
        <v/>
      </c>
      <c r="M17" s="31">
        <f>IF(計算用!$G$12="","",INDEX(振り分け!$A$3:$A$302,計算用!$G$12))</f>
        <v/>
      </c>
      <c r="N17" s="33">
        <f>IF(計算用!$G$12="","",INDEX(振り分け!$C$3:$C$302,計算用!$G$12))</f>
        <v/>
      </c>
      <c r="O17" s="31">
        <f>IF(計算用!$H$12="","",INDEX(振り分け!$A$3:$A$302,計算用!$H$12))</f>
        <v/>
      </c>
      <c r="P17" s="33">
        <f>IF(計算用!$H$12="","",INDEX(振り分け!$C$3:$C$302,計算用!$H$12))</f>
        <v/>
      </c>
      <c r="Q17" s="31">
        <f>IF(計算用!$I$12="","",INDEX(振り分け!$A$3:$A$302,計算用!$I$12))</f>
        <v/>
      </c>
      <c r="R17" s="33">
        <f>IF(計算用!$I$12="","",INDEX(振り分け!$C$3:$C$302,計算用!$I$12))</f>
        <v/>
      </c>
      <c r="S17" s="31">
        <f>IF(計算用!$J$12="","",INDEX(振り分け!$A$3:$A$302,計算用!$J$12))</f>
        <v/>
      </c>
      <c r="T17" s="33">
        <f>IF(計算用!$J$12="","",INDEX(振り分け!$C$3:$C$302,計算用!$J$12))</f>
        <v/>
      </c>
    </row>
    <row r="18">
      <c r="A18" s="31">
        <f>IF(計算用!$A$13="","",INDEX(振り分け!$A$3:$A$302,計算用!$A$13))</f>
        <v/>
      </c>
      <c r="B18" s="33">
        <f>IF(計算用!$A$13="","",INDEX(振り分け!$C$3:$C$302,計算用!$A$13))</f>
        <v/>
      </c>
      <c r="C18" s="31">
        <f>IF(計算用!$B$13="","",INDEX(振り分け!$A$3:$A$302,計算用!$B$13))</f>
        <v/>
      </c>
      <c r="D18" s="33">
        <f>IF(計算用!$B$13="","",INDEX(振り分け!$C$3:$C$302,計算用!$B$13))</f>
        <v/>
      </c>
      <c r="E18" s="31">
        <f>IF(計算用!$C$13="","",INDEX(振り分け!$A$3:$A$302,計算用!$C$13))</f>
        <v/>
      </c>
      <c r="F18" s="33">
        <f>IF(計算用!$C$13="","",INDEX(振り分け!$C$3:$C$302,計算用!$C$13))</f>
        <v/>
      </c>
      <c r="G18" s="31">
        <f>IF(計算用!$D$13="","",INDEX(振り分け!$A$3:$A$302,計算用!$D$13))</f>
        <v/>
      </c>
      <c r="H18" s="33">
        <f>IF(計算用!$D$13="","",INDEX(振り分け!$C$3:$C$302,計算用!$D$13))</f>
        <v/>
      </c>
      <c r="I18" s="31">
        <f>IF(計算用!$E$13="","",INDEX(振り分け!$A$3:$A$302,計算用!$E$13))</f>
        <v/>
      </c>
      <c r="J18" s="33">
        <f>IF(計算用!$E$13="","",INDEX(振り分け!$C$3:$C$302,計算用!$E$13))</f>
        <v/>
      </c>
      <c r="K18" s="31">
        <f>IF(計算用!$F$13="","",INDEX(振り分け!$A$3:$A$302,計算用!$F$13))</f>
        <v/>
      </c>
      <c r="L18" s="33">
        <f>IF(計算用!$F$13="","",INDEX(振り分け!$C$3:$C$302,計算用!$F$13))</f>
        <v/>
      </c>
      <c r="M18" s="31">
        <f>IF(計算用!$G$13="","",INDEX(振り分け!$A$3:$A$302,計算用!$G$13))</f>
        <v/>
      </c>
      <c r="N18" s="33">
        <f>IF(計算用!$G$13="","",INDEX(振り分け!$C$3:$C$302,計算用!$G$13))</f>
        <v/>
      </c>
      <c r="O18" s="31">
        <f>IF(計算用!$H$13="","",INDEX(振り分け!$A$3:$A$302,計算用!$H$13))</f>
        <v/>
      </c>
      <c r="P18" s="33">
        <f>IF(計算用!$H$13="","",INDEX(振り分け!$C$3:$C$302,計算用!$H$13))</f>
        <v/>
      </c>
      <c r="Q18" s="31">
        <f>IF(計算用!$I$13="","",INDEX(振り分け!$A$3:$A$302,計算用!$I$13))</f>
        <v/>
      </c>
      <c r="R18" s="33">
        <f>IF(計算用!$I$13="","",INDEX(振り分け!$C$3:$C$302,計算用!$I$13))</f>
        <v/>
      </c>
      <c r="S18" s="31">
        <f>IF(計算用!$J$13="","",INDEX(振り分け!$A$3:$A$302,計算用!$J$13))</f>
        <v/>
      </c>
      <c r="T18" s="33">
        <f>IF(計算用!$J$13="","",INDEX(振り分け!$C$3:$C$302,計算用!$J$13))</f>
        <v/>
      </c>
    </row>
    <row r="19">
      <c r="A19" s="31">
        <f>IF(計算用!$A$14="","",INDEX(振り分け!$A$3:$A$302,計算用!$A$14))</f>
        <v/>
      </c>
      <c r="B19" s="33">
        <f>IF(計算用!$A$14="","",INDEX(振り分け!$C$3:$C$302,計算用!$A$14))</f>
        <v/>
      </c>
      <c r="C19" s="31">
        <f>IF(計算用!$B$14="","",INDEX(振り分け!$A$3:$A$302,計算用!$B$14))</f>
        <v/>
      </c>
      <c r="D19" s="33">
        <f>IF(計算用!$B$14="","",INDEX(振り分け!$C$3:$C$302,計算用!$B$14))</f>
        <v/>
      </c>
      <c r="E19" s="31">
        <f>IF(計算用!$C$14="","",INDEX(振り分け!$A$3:$A$302,計算用!$C$14))</f>
        <v/>
      </c>
      <c r="F19" s="33">
        <f>IF(計算用!$C$14="","",INDEX(振り分け!$C$3:$C$302,計算用!$C$14))</f>
        <v/>
      </c>
      <c r="G19" s="31">
        <f>IF(計算用!$D$14="","",INDEX(振り分け!$A$3:$A$302,計算用!$D$14))</f>
        <v/>
      </c>
      <c r="H19" s="33">
        <f>IF(計算用!$D$14="","",INDEX(振り分け!$C$3:$C$302,計算用!$D$14))</f>
        <v/>
      </c>
      <c r="I19" s="31">
        <f>IF(計算用!$E$14="","",INDEX(振り分け!$A$3:$A$302,計算用!$E$14))</f>
        <v/>
      </c>
      <c r="J19" s="33">
        <f>IF(計算用!$E$14="","",INDEX(振り分け!$C$3:$C$302,計算用!$E$14))</f>
        <v/>
      </c>
      <c r="K19" s="31">
        <f>IF(計算用!$F$14="","",INDEX(振り分け!$A$3:$A$302,計算用!$F$14))</f>
        <v/>
      </c>
      <c r="L19" s="33">
        <f>IF(計算用!$F$14="","",INDEX(振り分け!$C$3:$C$302,計算用!$F$14))</f>
        <v/>
      </c>
      <c r="M19" s="31">
        <f>IF(計算用!$G$14="","",INDEX(振り分け!$A$3:$A$302,計算用!$G$14))</f>
        <v/>
      </c>
      <c r="N19" s="33">
        <f>IF(計算用!$G$14="","",INDEX(振り分け!$C$3:$C$302,計算用!$G$14))</f>
        <v/>
      </c>
      <c r="O19" s="31">
        <f>IF(計算用!$H$14="","",INDEX(振り分け!$A$3:$A$302,計算用!$H$14))</f>
        <v/>
      </c>
      <c r="P19" s="33">
        <f>IF(計算用!$H$14="","",INDEX(振り分け!$C$3:$C$302,計算用!$H$14))</f>
        <v/>
      </c>
      <c r="Q19" s="31">
        <f>IF(計算用!$I$14="","",INDEX(振り分け!$A$3:$A$302,計算用!$I$14))</f>
        <v/>
      </c>
      <c r="R19" s="33">
        <f>IF(計算用!$I$14="","",INDEX(振り分け!$C$3:$C$302,計算用!$I$14))</f>
        <v/>
      </c>
      <c r="S19" s="31">
        <f>IF(計算用!$J$14="","",INDEX(振り分け!$A$3:$A$302,計算用!$J$14))</f>
        <v/>
      </c>
      <c r="T19" s="33">
        <f>IF(計算用!$J$14="","",INDEX(振り分け!$C$3:$C$302,計算用!$J$14))</f>
        <v/>
      </c>
    </row>
    <row r="20">
      <c r="A20" s="31">
        <f>IF(計算用!$A$15="","",INDEX(振り分け!$A$3:$A$302,計算用!$A$15))</f>
        <v/>
      </c>
      <c r="B20" s="33">
        <f>IF(計算用!$A$15="","",INDEX(振り分け!$C$3:$C$302,計算用!$A$15))</f>
        <v/>
      </c>
      <c r="C20" s="31">
        <f>IF(計算用!$B$15="","",INDEX(振り分け!$A$3:$A$302,計算用!$B$15))</f>
        <v/>
      </c>
      <c r="D20" s="33">
        <f>IF(計算用!$B$15="","",INDEX(振り分け!$C$3:$C$302,計算用!$B$15))</f>
        <v/>
      </c>
      <c r="E20" s="31">
        <f>IF(計算用!$C$15="","",INDEX(振り分け!$A$3:$A$302,計算用!$C$15))</f>
        <v/>
      </c>
      <c r="F20" s="33">
        <f>IF(計算用!$C$15="","",INDEX(振り分け!$C$3:$C$302,計算用!$C$15))</f>
        <v/>
      </c>
      <c r="G20" s="31">
        <f>IF(計算用!$D$15="","",INDEX(振り分け!$A$3:$A$302,計算用!$D$15))</f>
        <v/>
      </c>
      <c r="H20" s="33">
        <f>IF(計算用!$D$15="","",INDEX(振り分け!$C$3:$C$302,計算用!$D$15))</f>
        <v/>
      </c>
      <c r="I20" s="31">
        <f>IF(計算用!$E$15="","",INDEX(振り分け!$A$3:$A$302,計算用!$E$15))</f>
        <v/>
      </c>
      <c r="J20" s="33">
        <f>IF(計算用!$E$15="","",INDEX(振り分け!$C$3:$C$302,計算用!$E$15))</f>
        <v/>
      </c>
      <c r="K20" s="31">
        <f>IF(計算用!$F$15="","",INDEX(振り分け!$A$3:$A$302,計算用!$F$15))</f>
        <v/>
      </c>
      <c r="L20" s="33">
        <f>IF(計算用!$F$15="","",INDEX(振り分け!$C$3:$C$302,計算用!$F$15))</f>
        <v/>
      </c>
      <c r="M20" s="31">
        <f>IF(計算用!$G$15="","",INDEX(振り分け!$A$3:$A$302,計算用!$G$15))</f>
        <v/>
      </c>
      <c r="N20" s="33">
        <f>IF(計算用!$G$15="","",INDEX(振り分け!$C$3:$C$302,計算用!$G$15))</f>
        <v/>
      </c>
      <c r="O20" s="31">
        <f>IF(計算用!$H$15="","",INDEX(振り分け!$A$3:$A$302,計算用!$H$15))</f>
        <v/>
      </c>
      <c r="P20" s="33">
        <f>IF(計算用!$H$15="","",INDEX(振り分け!$C$3:$C$302,計算用!$H$15))</f>
        <v/>
      </c>
      <c r="Q20" s="31">
        <f>IF(計算用!$I$15="","",INDEX(振り分け!$A$3:$A$302,計算用!$I$15))</f>
        <v/>
      </c>
      <c r="R20" s="33">
        <f>IF(計算用!$I$15="","",INDEX(振り分け!$C$3:$C$302,計算用!$I$15))</f>
        <v/>
      </c>
      <c r="S20" s="31">
        <f>IF(計算用!$J$15="","",INDEX(振り分け!$A$3:$A$302,計算用!$J$15))</f>
        <v/>
      </c>
      <c r="T20" s="33">
        <f>IF(計算用!$J$15="","",INDEX(振り分け!$C$3:$C$302,計算用!$J$15))</f>
        <v/>
      </c>
    </row>
    <row r="21">
      <c r="A21" s="31">
        <f>IF(計算用!$A$16="","",INDEX(振り分け!$A$3:$A$302,計算用!$A$16))</f>
        <v/>
      </c>
      <c r="B21" s="33">
        <f>IF(計算用!$A$16="","",INDEX(振り分け!$C$3:$C$302,計算用!$A$16))</f>
        <v/>
      </c>
      <c r="C21" s="31">
        <f>IF(計算用!$B$16="","",INDEX(振り分け!$A$3:$A$302,計算用!$B$16))</f>
        <v/>
      </c>
      <c r="D21" s="33">
        <f>IF(計算用!$B$16="","",INDEX(振り分け!$C$3:$C$302,計算用!$B$16))</f>
        <v/>
      </c>
      <c r="E21" s="31">
        <f>IF(計算用!$C$16="","",INDEX(振り分け!$A$3:$A$302,計算用!$C$16))</f>
        <v/>
      </c>
      <c r="F21" s="33">
        <f>IF(計算用!$C$16="","",INDEX(振り分け!$C$3:$C$302,計算用!$C$16))</f>
        <v/>
      </c>
      <c r="G21" s="31">
        <f>IF(計算用!$D$16="","",INDEX(振り分け!$A$3:$A$302,計算用!$D$16))</f>
        <v/>
      </c>
      <c r="H21" s="33">
        <f>IF(計算用!$D$16="","",INDEX(振り分け!$C$3:$C$302,計算用!$D$16))</f>
        <v/>
      </c>
      <c r="I21" s="31">
        <f>IF(計算用!$E$16="","",INDEX(振り分け!$A$3:$A$302,計算用!$E$16))</f>
        <v/>
      </c>
      <c r="J21" s="33">
        <f>IF(計算用!$E$16="","",INDEX(振り分け!$C$3:$C$302,計算用!$E$16))</f>
        <v/>
      </c>
      <c r="K21" s="31">
        <f>IF(計算用!$F$16="","",INDEX(振り分け!$A$3:$A$302,計算用!$F$16))</f>
        <v/>
      </c>
      <c r="L21" s="33">
        <f>IF(計算用!$F$16="","",INDEX(振り分け!$C$3:$C$302,計算用!$F$16))</f>
        <v/>
      </c>
      <c r="M21" s="31">
        <f>IF(計算用!$G$16="","",INDEX(振り分け!$A$3:$A$302,計算用!$G$16))</f>
        <v/>
      </c>
      <c r="N21" s="33">
        <f>IF(計算用!$G$16="","",INDEX(振り分け!$C$3:$C$302,計算用!$G$16))</f>
        <v/>
      </c>
      <c r="O21" s="31">
        <f>IF(計算用!$H$16="","",INDEX(振り分け!$A$3:$A$302,計算用!$H$16))</f>
        <v/>
      </c>
      <c r="P21" s="33">
        <f>IF(計算用!$H$16="","",INDEX(振り分け!$C$3:$C$302,計算用!$H$16))</f>
        <v/>
      </c>
      <c r="Q21" s="31">
        <f>IF(計算用!$I$16="","",INDEX(振り分け!$A$3:$A$302,計算用!$I$16))</f>
        <v/>
      </c>
      <c r="R21" s="33">
        <f>IF(計算用!$I$16="","",INDEX(振り分け!$C$3:$C$302,計算用!$I$16))</f>
        <v/>
      </c>
      <c r="S21" s="31">
        <f>IF(計算用!$J$16="","",INDEX(振り分け!$A$3:$A$302,計算用!$J$16))</f>
        <v/>
      </c>
      <c r="T21" s="33">
        <f>IF(計算用!$J$16="","",INDEX(振り分け!$C$3:$C$302,計算用!$J$16))</f>
        <v/>
      </c>
    </row>
    <row r="22">
      <c r="A22" s="31">
        <f>IF(計算用!$A$17="","",INDEX(振り分け!$A$3:$A$302,計算用!$A$17))</f>
        <v/>
      </c>
      <c r="B22" s="33">
        <f>IF(計算用!$A$17="","",INDEX(振り分け!$C$3:$C$302,計算用!$A$17))</f>
        <v/>
      </c>
      <c r="C22" s="31">
        <f>IF(計算用!$B$17="","",INDEX(振り分け!$A$3:$A$302,計算用!$B$17))</f>
        <v/>
      </c>
      <c r="D22" s="33">
        <f>IF(計算用!$B$17="","",INDEX(振り分け!$C$3:$C$302,計算用!$B$17))</f>
        <v/>
      </c>
      <c r="E22" s="31">
        <f>IF(計算用!$C$17="","",INDEX(振り分け!$A$3:$A$302,計算用!$C$17))</f>
        <v/>
      </c>
      <c r="F22" s="33">
        <f>IF(計算用!$C$17="","",INDEX(振り分け!$C$3:$C$302,計算用!$C$17))</f>
        <v/>
      </c>
      <c r="G22" s="31">
        <f>IF(計算用!$D$17="","",INDEX(振り分け!$A$3:$A$302,計算用!$D$17))</f>
        <v/>
      </c>
      <c r="H22" s="33">
        <f>IF(計算用!$D$17="","",INDEX(振り分け!$C$3:$C$302,計算用!$D$17))</f>
        <v/>
      </c>
      <c r="I22" s="31">
        <f>IF(計算用!$E$17="","",INDEX(振り分け!$A$3:$A$302,計算用!$E$17))</f>
        <v/>
      </c>
      <c r="J22" s="33">
        <f>IF(計算用!$E$17="","",INDEX(振り分け!$C$3:$C$302,計算用!$E$17))</f>
        <v/>
      </c>
      <c r="K22" s="31">
        <f>IF(計算用!$F$17="","",INDEX(振り分け!$A$3:$A$302,計算用!$F$17))</f>
        <v/>
      </c>
      <c r="L22" s="33">
        <f>IF(計算用!$F$17="","",INDEX(振り分け!$C$3:$C$302,計算用!$F$17))</f>
        <v/>
      </c>
      <c r="M22" s="31">
        <f>IF(計算用!$G$17="","",INDEX(振り分け!$A$3:$A$302,計算用!$G$17))</f>
        <v/>
      </c>
      <c r="N22" s="33">
        <f>IF(計算用!$G$17="","",INDEX(振り分け!$C$3:$C$302,計算用!$G$17))</f>
        <v/>
      </c>
      <c r="O22" s="31">
        <f>IF(計算用!$H$17="","",INDEX(振り分け!$A$3:$A$302,計算用!$H$17))</f>
        <v/>
      </c>
      <c r="P22" s="33">
        <f>IF(計算用!$H$17="","",INDEX(振り分け!$C$3:$C$302,計算用!$H$17))</f>
        <v/>
      </c>
      <c r="Q22" s="31">
        <f>IF(計算用!$I$17="","",INDEX(振り分け!$A$3:$A$302,計算用!$I$17))</f>
        <v/>
      </c>
      <c r="R22" s="33">
        <f>IF(計算用!$I$17="","",INDEX(振り分け!$C$3:$C$302,計算用!$I$17))</f>
        <v/>
      </c>
      <c r="S22" s="31">
        <f>IF(計算用!$J$17="","",INDEX(振り分け!$A$3:$A$302,計算用!$J$17))</f>
        <v/>
      </c>
      <c r="T22" s="33">
        <f>IF(計算用!$J$17="","",INDEX(振り分け!$C$3:$C$302,計算用!$J$17))</f>
        <v/>
      </c>
    </row>
    <row r="23">
      <c r="A23" s="31">
        <f>IF(計算用!$A$18="","",INDEX(振り分け!$A$3:$A$302,計算用!$A$18))</f>
        <v/>
      </c>
      <c r="B23" s="33">
        <f>IF(計算用!$A$18="","",INDEX(振り分け!$C$3:$C$302,計算用!$A$18))</f>
        <v/>
      </c>
      <c r="C23" s="31">
        <f>IF(計算用!$B$18="","",INDEX(振り分け!$A$3:$A$302,計算用!$B$18))</f>
        <v/>
      </c>
      <c r="D23" s="33">
        <f>IF(計算用!$B$18="","",INDEX(振り分け!$C$3:$C$302,計算用!$B$18))</f>
        <v/>
      </c>
      <c r="E23" s="31">
        <f>IF(計算用!$C$18="","",INDEX(振り分け!$A$3:$A$302,計算用!$C$18))</f>
        <v/>
      </c>
      <c r="F23" s="33">
        <f>IF(計算用!$C$18="","",INDEX(振り分け!$C$3:$C$302,計算用!$C$18))</f>
        <v/>
      </c>
      <c r="G23" s="31">
        <f>IF(計算用!$D$18="","",INDEX(振り分け!$A$3:$A$302,計算用!$D$18))</f>
        <v/>
      </c>
      <c r="H23" s="33">
        <f>IF(計算用!$D$18="","",INDEX(振り分け!$C$3:$C$302,計算用!$D$18))</f>
        <v/>
      </c>
      <c r="I23" s="31">
        <f>IF(計算用!$E$18="","",INDEX(振り分け!$A$3:$A$302,計算用!$E$18))</f>
        <v/>
      </c>
      <c r="J23" s="33">
        <f>IF(計算用!$E$18="","",INDEX(振り分け!$C$3:$C$302,計算用!$E$18))</f>
        <v/>
      </c>
      <c r="K23" s="31">
        <f>IF(計算用!$F$18="","",INDEX(振り分け!$A$3:$A$302,計算用!$F$18))</f>
        <v/>
      </c>
      <c r="L23" s="33">
        <f>IF(計算用!$F$18="","",INDEX(振り分け!$C$3:$C$302,計算用!$F$18))</f>
        <v/>
      </c>
      <c r="M23" s="31">
        <f>IF(計算用!$G$18="","",INDEX(振り分け!$A$3:$A$302,計算用!$G$18))</f>
        <v/>
      </c>
      <c r="N23" s="33">
        <f>IF(計算用!$G$18="","",INDEX(振り分け!$C$3:$C$302,計算用!$G$18))</f>
        <v/>
      </c>
      <c r="O23" s="31">
        <f>IF(計算用!$H$18="","",INDEX(振り分け!$A$3:$A$302,計算用!$H$18))</f>
        <v/>
      </c>
      <c r="P23" s="33">
        <f>IF(計算用!$H$18="","",INDEX(振り分け!$C$3:$C$302,計算用!$H$18))</f>
        <v/>
      </c>
      <c r="Q23" s="31">
        <f>IF(計算用!$I$18="","",INDEX(振り分け!$A$3:$A$302,計算用!$I$18))</f>
        <v/>
      </c>
      <c r="R23" s="33">
        <f>IF(計算用!$I$18="","",INDEX(振り分け!$C$3:$C$302,計算用!$I$18))</f>
        <v/>
      </c>
      <c r="S23" s="31">
        <f>IF(計算用!$J$18="","",INDEX(振り分け!$A$3:$A$302,計算用!$J$18))</f>
        <v/>
      </c>
      <c r="T23" s="33">
        <f>IF(計算用!$J$18="","",INDEX(振り分け!$C$3:$C$302,計算用!$J$18))</f>
        <v/>
      </c>
    </row>
    <row r="24">
      <c r="A24" s="31">
        <f>IF(計算用!$A$19="","",INDEX(振り分け!$A$3:$A$302,計算用!$A$19))</f>
        <v/>
      </c>
      <c r="B24" s="33">
        <f>IF(計算用!$A$19="","",INDEX(振り分け!$C$3:$C$302,計算用!$A$19))</f>
        <v/>
      </c>
      <c r="C24" s="31">
        <f>IF(計算用!$B$19="","",INDEX(振り分け!$A$3:$A$302,計算用!$B$19))</f>
        <v/>
      </c>
      <c r="D24" s="33">
        <f>IF(計算用!$B$19="","",INDEX(振り分け!$C$3:$C$302,計算用!$B$19))</f>
        <v/>
      </c>
      <c r="E24" s="31">
        <f>IF(計算用!$C$19="","",INDEX(振り分け!$A$3:$A$302,計算用!$C$19))</f>
        <v/>
      </c>
      <c r="F24" s="33">
        <f>IF(計算用!$C$19="","",INDEX(振り分け!$C$3:$C$302,計算用!$C$19))</f>
        <v/>
      </c>
      <c r="G24" s="31">
        <f>IF(計算用!$D$19="","",INDEX(振り分け!$A$3:$A$302,計算用!$D$19))</f>
        <v/>
      </c>
      <c r="H24" s="33">
        <f>IF(計算用!$D$19="","",INDEX(振り分け!$C$3:$C$302,計算用!$D$19))</f>
        <v/>
      </c>
      <c r="I24" s="31">
        <f>IF(計算用!$E$19="","",INDEX(振り分け!$A$3:$A$302,計算用!$E$19))</f>
        <v/>
      </c>
      <c r="J24" s="33">
        <f>IF(計算用!$E$19="","",INDEX(振り分け!$C$3:$C$302,計算用!$E$19))</f>
        <v/>
      </c>
      <c r="K24" s="31">
        <f>IF(計算用!$F$19="","",INDEX(振り分け!$A$3:$A$302,計算用!$F$19))</f>
        <v/>
      </c>
      <c r="L24" s="33">
        <f>IF(計算用!$F$19="","",INDEX(振り分け!$C$3:$C$302,計算用!$F$19))</f>
        <v/>
      </c>
      <c r="M24" s="31">
        <f>IF(計算用!$G$19="","",INDEX(振り分け!$A$3:$A$302,計算用!$G$19))</f>
        <v/>
      </c>
      <c r="N24" s="33">
        <f>IF(計算用!$G$19="","",INDEX(振り分け!$C$3:$C$302,計算用!$G$19))</f>
        <v/>
      </c>
      <c r="O24" s="31">
        <f>IF(計算用!$H$19="","",INDEX(振り分け!$A$3:$A$302,計算用!$H$19))</f>
        <v/>
      </c>
      <c r="P24" s="33">
        <f>IF(計算用!$H$19="","",INDEX(振り分け!$C$3:$C$302,計算用!$H$19))</f>
        <v/>
      </c>
      <c r="Q24" s="31">
        <f>IF(計算用!$I$19="","",INDEX(振り分け!$A$3:$A$302,計算用!$I$19))</f>
        <v/>
      </c>
      <c r="R24" s="33">
        <f>IF(計算用!$I$19="","",INDEX(振り分け!$C$3:$C$302,計算用!$I$19))</f>
        <v/>
      </c>
      <c r="S24" s="31">
        <f>IF(計算用!$J$19="","",INDEX(振り分け!$A$3:$A$302,計算用!$J$19))</f>
        <v/>
      </c>
      <c r="T24" s="33">
        <f>IF(計算用!$J$19="","",INDEX(振り分け!$C$3:$C$302,計算用!$J$19))</f>
        <v/>
      </c>
    </row>
    <row r="25">
      <c r="A25" s="31">
        <f>IF(計算用!$A$20="","",INDEX(振り分け!$A$3:$A$302,計算用!$A$20))</f>
        <v/>
      </c>
      <c r="B25" s="33">
        <f>IF(計算用!$A$20="","",INDEX(振り分け!$C$3:$C$302,計算用!$A$20))</f>
        <v/>
      </c>
      <c r="C25" s="31">
        <f>IF(計算用!$B$20="","",INDEX(振り分け!$A$3:$A$302,計算用!$B$20))</f>
        <v/>
      </c>
      <c r="D25" s="33">
        <f>IF(計算用!$B$20="","",INDEX(振り分け!$C$3:$C$302,計算用!$B$20))</f>
        <v/>
      </c>
      <c r="E25" s="31">
        <f>IF(計算用!$C$20="","",INDEX(振り分け!$A$3:$A$302,計算用!$C$20))</f>
        <v/>
      </c>
      <c r="F25" s="33">
        <f>IF(計算用!$C$20="","",INDEX(振り分け!$C$3:$C$302,計算用!$C$20))</f>
        <v/>
      </c>
      <c r="G25" s="31">
        <f>IF(計算用!$D$20="","",INDEX(振り分け!$A$3:$A$302,計算用!$D$20))</f>
        <v/>
      </c>
      <c r="H25" s="33">
        <f>IF(計算用!$D$20="","",INDEX(振り分け!$C$3:$C$302,計算用!$D$20))</f>
        <v/>
      </c>
      <c r="I25" s="31">
        <f>IF(計算用!$E$20="","",INDEX(振り分け!$A$3:$A$302,計算用!$E$20))</f>
        <v/>
      </c>
      <c r="J25" s="33">
        <f>IF(計算用!$E$20="","",INDEX(振り分け!$C$3:$C$302,計算用!$E$20))</f>
        <v/>
      </c>
      <c r="K25" s="31">
        <f>IF(計算用!$F$20="","",INDEX(振り分け!$A$3:$A$302,計算用!$F$20))</f>
        <v/>
      </c>
      <c r="L25" s="33">
        <f>IF(計算用!$F$20="","",INDEX(振り分け!$C$3:$C$302,計算用!$F$20))</f>
        <v/>
      </c>
      <c r="M25" s="31">
        <f>IF(計算用!$G$20="","",INDEX(振り分け!$A$3:$A$302,計算用!$G$20))</f>
        <v/>
      </c>
      <c r="N25" s="33">
        <f>IF(計算用!$G$20="","",INDEX(振り分け!$C$3:$C$302,計算用!$G$20))</f>
        <v/>
      </c>
      <c r="O25" s="31">
        <f>IF(計算用!$H$20="","",INDEX(振り分け!$A$3:$A$302,計算用!$H$20))</f>
        <v/>
      </c>
      <c r="P25" s="33">
        <f>IF(計算用!$H$20="","",INDEX(振り分け!$C$3:$C$302,計算用!$H$20))</f>
        <v/>
      </c>
      <c r="Q25" s="31">
        <f>IF(計算用!$I$20="","",INDEX(振り分け!$A$3:$A$302,計算用!$I$20))</f>
        <v/>
      </c>
      <c r="R25" s="33">
        <f>IF(計算用!$I$20="","",INDEX(振り分け!$C$3:$C$302,計算用!$I$20))</f>
        <v/>
      </c>
      <c r="S25" s="31">
        <f>IF(計算用!$J$20="","",INDEX(振り分け!$A$3:$A$302,計算用!$J$20))</f>
        <v/>
      </c>
      <c r="T25" s="33">
        <f>IF(計算用!$J$20="","",INDEX(振り分け!$C$3:$C$302,計算用!$J$20))</f>
        <v/>
      </c>
    </row>
    <row r="26">
      <c r="A26" s="31">
        <f>IF(計算用!$A$21="","",INDEX(振り分け!$A$3:$A$302,計算用!$A$21))</f>
        <v/>
      </c>
      <c r="B26" s="33">
        <f>IF(計算用!$A$21="","",INDEX(振り分け!$C$3:$C$302,計算用!$A$21))</f>
        <v/>
      </c>
      <c r="C26" s="31">
        <f>IF(計算用!$B$21="","",INDEX(振り分け!$A$3:$A$302,計算用!$B$21))</f>
        <v/>
      </c>
      <c r="D26" s="33">
        <f>IF(計算用!$B$21="","",INDEX(振り分け!$C$3:$C$302,計算用!$B$21))</f>
        <v/>
      </c>
      <c r="E26" s="31">
        <f>IF(計算用!$C$21="","",INDEX(振り分け!$A$3:$A$302,計算用!$C$21))</f>
        <v/>
      </c>
      <c r="F26" s="33">
        <f>IF(計算用!$C$21="","",INDEX(振り分け!$C$3:$C$302,計算用!$C$21))</f>
        <v/>
      </c>
      <c r="G26" s="31">
        <f>IF(計算用!$D$21="","",INDEX(振り分け!$A$3:$A$302,計算用!$D$21))</f>
        <v/>
      </c>
      <c r="H26" s="33">
        <f>IF(計算用!$D$21="","",INDEX(振り分け!$C$3:$C$302,計算用!$D$21))</f>
        <v/>
      </c>
      <c r="I26" s="31">
        <f>IF(計算用!$E$21="","",INDEX(振り分け!$A$3:$A$302,計算用!$E$21))</f>
        <v/>
      </c>
      <c r="J26" s="33">
        <f>IF(計算用!$E$21="","",INDEX(振り分け!$C$3:$C$302,計算用!$E$21))</f>
        <v/>
      </c>
      <c r="K26" s="31">
        <f>IF(計算用!$F$21="","",INDEX(振り分け!$A$3:$A$302,計算用!$F$21))</f>
        <v/>
      </c>
      <c r="L26" s="33">
        <f>IF(計算用!$F$21="","",INDEX(振り分け!$C$3:$C$302,計算用!$F$21))</f>
        <v/>
      </c>
      <c r="M26" s="31">
        <f>IF(計算用!$G$21="","",INDEX(振り分け!$A$3:$A$302,計算用!$G$21))</f>
        <v/>
      </c>
      <c r="N26" s="33">
        <f>IF(計算用!$G$21="","",INDEX(振り分け!$C$3:$C$302,計算用!$G$21))</f>
        <v/>
      </c>
      <c r="O26" s="31">
        <f>IF(計算用!$H$21="","",INDEX(振り分け!$A$3:$A$302,計算用!$H$21))</f>
        <v/>
      </c>
      <c r="P26" s="33">
        <f>IF(計算用!$H$21="","",INDEX(振り分け!$C$3:$C$302,計算用!$H$21))</f>
        <v/>
      </c>
      <c r="Q26" s="31">
        <f>IF(計算用!$I$21="","",INDEX(振り分け!$A$3:$A$302,計算用!$I$21))</f>
        <v/>
      </c>
      <c r="R26" s="33">
        <f>IF(計算用!$I$21="","",INDEX(振り分け!$C$3:$C$302,計算用!$I$21))</f>
        <v/>
      </c>
      <c r="S26" s="31">
        <f>IF(計算用!$J$21="","",INDEX(振り分け!$A$3:$A$302,計算用!$J$21))</f>
        <v/>
      </c>
      <c r="T26" s="33">
        <f>IF(計算用!$J$21="","",INDEX(振り分け!$C$3:$C$302,計算用!$J$21))</f>
        <v/>
      </c>
    </row>
    <row r="27">
      <c r="A27" s="31">
        <f>IF(計算用!$A$22="","",INDEX(振り分け!$A$3:$A$302,計算用!$A$22))</f>
        <v/>
      </c>
      <c r="B27" s="33">
        <f>IF(計算用!$A$22="","",INDEX(振り分け!$C$3:$C$302,計算用!$A$22))</f>
        <v/>
      </c>
      <c r="C27" s="31">
        <f>IF(計算用!$B$22="","",INDEX(振り分け!$A$3:$A$302,計算用!$B$22))</f>
        <v/>
      </c>
      <c r="D27" s="33">
        <f>IF(計算用!$B$22="","",INDEX(振り分け!$C$3:$C$302,計算用!$B$22))</f>
        <v/>
      </c>
      <c r="E27" s="31">
        <f>IF(計算用!$C$22="","",INDEX(振り分け!$A$3:$A$302,計算用!$C$22))</f>
        <v/>
      </c>
      <c r="F27" s="33">
        <f>IF(計算用!$C$22="","",INDEX(振り分け!$C$3:$C$302,計算用!$C$22))</f>
        <v/>
      </c>
      <c r="G27" s="31">
        <f>IF(計算用!$D$22="","",INDEX(振り分け!$A$3:$A$302,計算用!$D$22))</f>
        <v/>
      </c>
      <c r="H27" s="33">
        <f>IF(計算用!$D$22="","",INDEX(振り分け!$C$3:$C$302,計算用!$D$22))</f>
        <v/>
      </c>
      <c r="I27" s="31">
        <f>IF(計算用!$E$22="","",INDEX(振り分け!$A$3:$A$302,計算用!$E$22))</f>
        <v/>
      </c>
      <c r="J27" s="33">
        <f>IF(計算用!$E$22="","",INDEX(振り分け!$C$3:$C$302,計算用!$E$22))</f>
        <v/>
      </c>
      <c r="K27" s="31">
        <f>IF(計算用!$F$22="","",INDEX(振り分け!$A$3:$A$302,計算用!$F$22))</f>
        <v/>
      </c>
      <c r="L27" s="33">
        <f>IF(計算用!$F$22="","",INDEX(振り分け!$C$3:$C$302,計算用!$F$22))</f>
        <v/>
      </c>
      <c r="M27" s="31">
        <f>IF(計算用!$G$22="","",INDEX(振り分け!$A$3:$A$302,計算用!$G$22))</f>
        <v/>
      </c>
      <c r="N27" s="33">
        <f>IF(計算用!$G$22="","",INDEX(振り分け!$C$3:$C$302,計算用!$G$22))</f>
        <v/>
      </c>
      <c r="O27" s="31">
        <f>IF(計算用!$H$22="","",INDEX(振り分け!$A$3:$A$302,計算用!$H$22))</f>
        <v/>
      </c>
      <c r="P27" s="33">
        <f>IF(計算用!$H$22="","",INDEX(振り分け!$C$3:$C$302,計算用!$H$22))</f>
        <v/>
      </c>
      <c r="Q27" s="31">
        <f>IF(計算用!$I$22="","",INDEX(振り分け!$A$3:$A$302,計算用!$I$22))</f>
        <v/>
      </c>
      <c r="R27" s="33">
        <f>IF(計算用!$I$22="","",INDEX(振り分け!$C$3:$C$302,計算用!$I$22))</f>
        <v/>
      </c>
      <c r="S27" s="31">
        <f>IF(計算用!$J$22="","",INDEX(振り分け!$A$3:$A$302,計算用!$J$22))</f>
        <v/>
      </c>
      <c r="T27" s="33">
        <f>IF(計算用!$J$22="","",INDEX(振り分け!$C$3:$C$302,計算用!$J$22))</f>
        <v/>
      </c>
    </row>
    <row r="28">
      <c r="A28" s="31">
        <f>IF(計算用!$A$23="","",INDEX(振り分け!$A$3:$A$302,計算用!$A$23))</f>
        <v/>
      </c>
      <c r="B28" s="33">
        <f>IF(計算用!$A$23="","",INDEX(振り分け!$C$3:$C$302,計算用!$A$23))</f>
        <v/>
      </c>
      <c r="C28" s="31">
        <f>IF(計算用!$B$23="","",INDEX(振り分け!$A$3:$A$302,計算用!$B$23))</f>
        <v/>
      </c>
      <c r="D28" s="33">
        <f>IF(計算用!$B$23="","",INDEX(振り分け!$C$3:$C$302,計算用!$B$23))</f>
        <v/>
      </c>
      <c r="E28" s="31">
        <f>IF(計算用!$C$23="","",INDEX(振り分け!$A$3:$A$302,計算用!$C$23))</f>
        <v/>
      </c>
      <c r="F28" s="33">
        <f>IF(計算用!$C$23="","",INDEX(振り分け!$C$3:$C$302,計算用!$C$23))</f>
        <v/>
      </c>
      <c r="G28" s="31">
        <f>IF(計算用!$D$23="","",INDEX(振り分け!$A$3:$A$302,計算用!$D$23))</f>
        <v/>
      </c>
      <c r="H28" s="33">
        <f>IF(計算用!$D$23="","",INDEX(振り分け!$C$3:$C$302,計算用!$D$23))</f>
        <v/>
      </c>
      <c r="I28" s="31">
        <f>IF(計算用!$E$23="","",INDEX(振り分け!$A$3:$A$302,計算用!$E$23))</f>
        <v/>
      </c>
      <c r="J28" s="33">
        <f>IF(計算用!$E$23="","",INDEX(振り分け!$C$3:$C$302,計算用!$E$23))</f>
        <v/>
      </c>
      <c r="K28" s="31">
        <f>IF(計算用!$F$23="","",INDEX(振り分け!$A$3:$A$302,計算用!$F$23))</f>
        <v/>
      </c>
      <c r="L28" s="33">
        <f>IF(計算用!$F$23="","",INDEX(振り分け!$C$3:$C$302,計算用!$F$23))</f>
        <v/>
      </c>
      <c r="M28" s="31">
        <f>IF(計算用!$G$23="","",INDEX(振り分け!$A$3:$A$302,計算用!$G$23))</f>
        <v/>
      </c>
      <c r="N28" s="33">
        <f>IF(計算用!$G$23="","",INDEX(振り分け!$C$3:$C$302,計算用!$G$23))</f>
        <v/>
      </c>
      <c r="O28" s="31">
        <f>IF(計算用!$H$23="","",INDEX(振り分け!$A$3:$A$302,計算用!$H$23))</f>
        <v/>
      </c>
      <c r="P28" s="33">
        <f>IF(計算用!$H$23="","",INDEX(振り分け!$C$3:$C$302,計算用!$H$23))</f>
        <v/>
      </c>
      <c r="Q28" s="31">
        <f>IF(計算用!$I$23="","",INDEX(振り分け!$A$3:$A$302,計算用!$I$23))</f>
        <v/>
      </c>
      <c r="R28" s="33">
        <f>IF(計算用!$I$23="","",INDEX(振り分け!$C$3:$C$302,計算用!$I$23))</f>
        <v/>
      </c>
      <c r="S28" s="31">
        <f>IF(計算用!$J$23="","",INDEX(振り分け!$A$3:$A$302,計算用!$J$23))</f>
        <v/>
      </c>
      <c r="T28" s="33">
        <f>IF(計算用!$J$23="","",INDEX(振り分け!$C$3:$C$302,計算用!$J$23))</f>
        <v/>
      </c>
    </row>
    <row r="29">
      <c r="A29" s="31">
        <f>IF(計算用!$A$24="","",INDEX(振り分け!$A$3:$A$302,計算用!$A$24))</f>
        <v/>
      </c>
      <c r="B29" s="33">
        <f>IF(計算用!$A$24="","",INDEX(振り分け!$C$3:$C$302,計算用!$A$24))</f>
        <v/>
      </c>
      <c r="C29" s="31">
        <f>IF(計算用!$B$24="","",INDEX(振り分け!$A$3:$A$302,計算用!$B$24))</f>
        <v/>
      </c>
      <c r="D29" s="33">
        <f>IF(計算用!$B$24="","",INDEX(振り分け!$C$3:$C$302,計算用!$B$24))</f>
        <v/>
      </c>
      <c r="E29" s="31">
        <f>IF(計算用!$C$24="","",INDEX(振り分け!$A$3:$A$302,計算用!$C$24))</f>
        <v/>
      </c>
      <c r="F29" s="33">
        <f>IF(計算用!$C$24="","",INDEX(振り分け!$C$3:$C$302,計算用!$C$24))</f>
        <v/>
      </c>
      <c r="G29" s="31">
        <f>IF(計算用!$D$24="","",INDEX(振り分け!$A$3:$A$302,計算用!$D$24))</f>
        <v/>
      </c>
      <c r="H29" s="33">
        <f>IF(計算用!$D$24="","",INDEX(振り分け!$C$3:$C$302,計算用!$D$24))</f>
        <v/>
      </c>
      <c r="I29" s="31">
        <f>IF(計算用!$E$24="","",INDEX(振り分け!$A$3:$A$302,計算用!$E$24))</f>
        <v/>
      </c>
      <c r="J29" s="33">
        <f>IF(計算用!$E$24="","",INDEX(振り分け!$C$3:$C$302,計算用!$E$24))</f>
        <v/>
      </c>
      <c r="K29" s="31">
        <f>IF(計算用!$F$24="","",INDEX(振り分け!$A$3:$A$302,計算用!$F$24))</f>
        <v/>
      </c>
      <c r="L29" s="33">
        <f>IF(計算用!$F$24="","",INDEX(振り分け!$C$3:$C$302,計算用!$F$24))</f>
        <v/>
      </c>
      <c r="M29" s="31">
        <f>IF(計算用!$G$24="","",INDEX(振り分け!$A$3:$A$302,計算用!$G$24))</f>
        <v/>
      </c>
      <c r="N29" s="33">
        <f>IF(計算用!$G$24="","",INDEX(振り分け!$C$3:$C$302,計算用!$G$24))</f>
        <v/>
      </c>
      <c r="O29" s="31">
        <f>IF(計算用!$H$24="","",INDEX(振り分け!$A$3:$A$302,計算用!$H$24))</f>
        <v/>
      </c>
      <c r="P29" s="33">
        <f>IF(計算用!$H$24="","",INDEX(振り分け!$C$3:$C$302,計算用!$H$24))</f>
        <v/>
      </c>
      <c r="Q29" s="31">
        <f>IF(計算用!$I$24="","",INDEX(振り分け!$A$3:$A$302,計算用!$I$24))</f>
        <v/>
      </c>
      <c r="R29" s="33">
        <f>IF(計算用!$I$24="","",INDEX(振り分け!$C$3:$C$302,計算用!$I$24))</f>
        <v/>
      </c>
      <c r="S29" s="31">
        <f>IF(計算用!$J$24="","",INDEX(振り分け!$A$3:$A$302,計算用!$J$24))</f>
        <v/>
      </c>
      <c r="T29" s="33">
        <f>IF(計算用!$J$24="","",INDEX(振り分け!$C$3:$C$302,計算用!$J$24))</f>
        <v/>
      </c>
    </row>
    <row r="30">
      <c r="A30" s="31">
        <f>IF(計算用!$A$25="","",INDEX(振り分け!$A$3:$A$302,計算用!$A$25))</f>
        <v/>
      </c>
      <c r="B30" s="33">
        <f>IF(計算用!$A$25="","",INDEX(振り分け!$C$3:$C$302,計算用!$A$25))</f>
        <v/>
      </c>
      <c r="C30" s="31">
        <f>IF(計算用!$B$25="","",INDEX(振り分け!$A$3:$A$302,計算用!$B$25))</f>
        <v/>
      </c>
      <c r="D30" s="33">
        <f>IF(計算用!$B$25="","",INDEX(振り分け!$C$3:$C$302,計算用!$B$25))</f>
        <v/>
      </c>
      <c r="E30" s="31">
        <f>IF(計算用!$C$25="","",INDEX(振り分け!$A$3:$A$302,計算用!$C$25))</f>
        <v/>
      </c>
      <c r="F30" s="33">
        <f>IF(計算用!$C$25="","",INDEX(振り分け!$C$3:$C$302,計算用!$C$25))</f>
        <v/>
      </c>
      <c r="G30" s="31">
        <f>IF(計算用!$D$25="","",INDEX(振り分け!$A$3:$A$302,計算用!$D$25))</f>
        <v/>
      </c>
      <c r="H30" s="33">
        <f>IF(計算用!$D$25="","",INDEX(振り分け!$C$3:$C$302,計算用!$D$25))</f>
        <v/>
      </c>
      <c r="I30" s="31">
        <f>IF(計算用!$E$25="","",INDEX(振り分け!$A$3:$A$302,計算用!$E$25))</f>
        <v/>
      </c>
      <c r="J30" s="33">
        <f>IF(計算用!$E$25="","",INDEX(振り分け!$C$3:$C$302,計算用!$E$25))</f>
        <v/>
      </c>
      <c r="K30" s="31">
        <f>IF(計算用!$F$25="","",INDEX(振り分け!$A$3:$A$302,計算用!$F$25))</f>
        <v/>
      </c>
      <c r="L30" s="33">
        <f>IF(計算用!$F$25="","",INDEX(振り分け!$C$3:$C$302,計算用!$F$25))</f>
        <v/>
      </c>
      <c r="M30" s="31">
        <f>IF(計算用!$G$25="","",INDEX(振り分け!$A$3:$A$302,計算用!$G$25))</f>
        <v/>
      </c>
      <c r="N30" s="33">
        <f>IF(計算用!$G$25="","",INDEX(振り分け!$C$3:$C$302,計算用!$G$25))</f>
        <v/>
      </c>
      <c r="O30" s="31">
        <f>IF(計算用!$H$25="","",INDEX(振り分け!$A$3:$A$302,計算用!$H$25))</f>
        <v/>
      </c>
      <c r="P30" s="33">
        <f>IF(計算用!$H$25="","",INDEX(振り分け!$C$3:$C$302,計算用!$H$25))</f>
        <v/>
      </c>
      <c r="Q30" s="31">
        <f>IF(計算用!$I$25="","",INDEX(振り分け!$A$3:$A$302,計算用!$I$25))</f>
        <v/>
      </c>
      <c r="R30" s="33">
        <f>IF(計算用!$I$25="","",INDEX(振り分け!$C$3:$C$302,計算用!$I$25))</f>
        <v/>
      </c>
      <c r="S30" s="31">
        <f>IF(計算用!$J$25="","",INDEX(振り分け!$A$3:$A$302,計算用!$J$25))</f>
        <v/>
      </c>
      <c r="T30" s="33">
        <f>IF(計算用!$J$25="","",INDEX(振り分け!$C$3:$C$302,計算用!$J$25))</f>
        <v/>
      </c>
    </row>
    <row r="31">
      <c r="A31" s="31">
        <f>IF(計算用!$A$26="","",INDEX(振り分け!$A$3:$A$302,計算用!$A$26))</f>
        <v/>
      </c>
      <c r="B31" s="33">
        <f>IF(計算用!$A$26="","",INDEX(振り分け!$C$3:$C$302,計算用!$A$26))</f>
        <v/>
      </c>
      <c r="C31" s="31">
        <f>IF(計算用!$B$26="","",INDEX(振り分け!$A$3:$A$302,計算用!$B$26))</f>
        <v/>
      </c>
      <c r="D31" s="33">
        <f>IF(計算用!$B$26="","",INDEX(振り分け!$C$3:$C$302,計算用!$B$26))</f>
        <v/>
      </c>
      <c r="E31" s="31">
        <f>IF(計算用!$C$26="","",INDEX(振り分け!$A$3:$A$302,計算用!$C$26))</f>
        <v/>
      </c>
      <c r="F31" s="33">
        <f>IF(計算用!$C$26="","",INDEX(振り分け!$C$3:$C$302,計算用!$C$26))</f>
        <v/>
      </c>
      <c r="G31" s="31">
        <f>IF(計算用!$D$26="","",INDEX(振り分け!$A$3:$A$302,計算用!$D$26))</f>
        <v/>
      </c>
      <c r="H31" s="33">
        <f>IF(計算用!$D$26="","",INDEX(振り分け!$C$3:$C$302,計算用!$D$26))</f>
        <v/>
      </c>
      <c r="I31" s="31">
        <f>IF(計算用!$E$26="","",INDEX(振り分け!$A$3:$A$302,計算用!$E$26))</f>
        <v/>
      </c>
      <c r="J31" s="33">
        <f>IF(計算用!$E$26="","",INDEX(振り分け!$C$3:$C$302,計算用!$E$26))</f>
        <v/>
      </c>
      <c r="K31" s="31">
        <f>IF(計算用!$F$26="","",INDEX(振り分け!$A$3:$A$302,計算用!$F$26))</f>
        <v/>
      </c>
      <c r="L31" s="33">
        <f>IF(計算用!$F$26="","",INDEX(振り分け!$C$3:$C$302,計算用!$F$26))</f>
        <v/>
      </c>
      <c r="M31" s="31">
        <f>IF(計算用!$G$26="","",INDEX(振り分け!$A$3:$A$302,計算用!$G$26))</f>
        <v/>
      </c>
      <c r="N31" s="33">
        <f>IF(計算用!$G$26="","",INDEX(振り分け!$C$3:$C$302,計算用!$G$26))</f>
        <v/>
      </c>
      <c r="O31" s="31">
        <f>IF(計算用!$H$26="","",INDEX(振り分け!$A$3:$A$302,計算用!$H$26))</f>
        <v/>
      </c>
      <c r="P31" s="33">
        <f>IF(計算用!$H$26="","",INDEX(振り分け!$C$3:$C$302,計算用!$H$26))</f>
        <v/>
      </c>
      <c r="Q31" s="31">
        <f>IF(計算用!$I$26="","",INDEX(振り分け!$A$3:$A$302,計算用!$I$26))</f>
        <v/>
      </c>
      <c r="R31" s="33">
        <f>IF(計算用!$I$26="","",INDEX(振り分け!$C$3:$C$302,計算用!$I$26))</f>
        <v/>
      </c>
      <c r="S31" s="31">
        <f>IF(計算用!$J$26="","",INDEX(振り分け!$A$3:$A$302,計算用!$J$26))</f>
        <v/>
      </c>
      <c r="T31" s="33">
        <f>IF(計算用!$J$26="","",INDEX(振り分け!$C$3:$C$302,計算用!$J$26))</f>
        <v/>
      </c>
    </row>
    <row r="32">
      <c r="A32" s="31">
        <f>IF(計算用!$A$27="","",INDEX(振り分け!$A$3:$A$302,計算用!$A$27))</f>
        <v/>
      </c>
      <c r="B32" s="33">
        <f>IF(計算用!$A$27="","",INDEX(振り分け!$C$3:$C$302,計算用!$A$27))</f>
        <v/>
      </c>
      <c r="C32" s="31">
        <f>IF(計算用!$B$27="","",INDEX(振り分け!$A$3:$A$302,計算用!$B$27))</f>
        <v/>
      </c>
      <c r="D32" s="33">
        <f>IF(計算用!$B$27="","",INDEX(振り分け!$C$3:$C$302,計算用!$B$27))</f>
        <v/>
      </c>
      <c r="E32" s="31">
        <f>IF(計算用!$C$27="","",INDEX(振り分け!$A$3:$A$302,計算用!$C$27))</f>
        <v/>
      </c>
      <c r="F32" s="33">
        <f>IF(計算用!$C$27="","",INDEX(振り分け!$C$3:$C$302,計算用!$C$27))</f>
        <v/>
      </c>
      <c r="G32" s="31">
        <f>IF(計算用!$D$27="","",INDEX(振り分け!$A$3:$A$302,計算用!$D$27))</f>
        <v/>
      </c>
      <c r="H32" s="33">
        <f>IF(計算用!$D$27="","",INDEX(振り分け!$C$3:$C$302,計算用!$D$27))</f>
        <v/>
      </c>
      <c r="I32" s="31">
        <f>IF(計算用!$E$27="","",INDEX(振り分け!$A$3:$A$302,計算用!$E$27))</f>
        <v/>
      </c>
      <c r="J32" s="33">
        <f>IF(計算用!$E$27="","",INDEX(振り分け!$C$3:$C$302,計算用!$E$27))</f>
        <v/>
      </c>
      <c r="K32" s="31">
        <f>IF(計算用!$F$27="","",INDEX(振り分け!$A$3:$A$302,計算用!$F$27))</f>
        <v/>
      </c>
      <c r="L32" s="33">
        <f>IF(計算用!$F$27="","",INDEX(振り分け!$C$3:$C$302,計算用!$F$27))</f>
        <v/>
      </c>
      <c r="M32" s="31">
        <f>IF(計算用!$G$27="","",INDEX(振り分け!$A$3:$A$302,計算用!$G$27))</f>
        <v/>
      </c>
      <c r="N32" s="33">
        <f>IF(計算用!$G$27="","",INDEX(振り分け!$C$3:$C$302,計算用!$G$27))</f>
        <v/>
      </c>
      <c r="O32" s="31">
        <f>IF(計算用!$H$27="","",INDEX(振り分け!$A$3:$A$302,計算用!$H$27))</f>
        <v/>
      </c>
      <c r="P32" s="33">
        <f>IF(計算用!$H$27="","",INDEX(振り分け!$C$3:$C$302,計算用!$H$27))</f>
        <v/>
      </c>
      <c r="Q32" s="31">
        <f>IF(計算用!$I$27="","",INDEX(振り分け!$A$3:$A$302,計算用!$I$27))</f>
        <v/>
      </c>
      <c r="R32" s="33">
        <f>IF(計算用!$I$27="","",INDEX(振り分け!$C$3:$C$302,計算用!$I$27))</f>
        <v/>
      </c>
      <c r="S32" s="31">
        <f>IF(計算用!$J$27="","",INDEX(振り分け!$A$3:$A$302,計算用!$J$27))</f>
        <v/>
      </c>
      <c r="T32" s="33">
        <f>IF(計算用!$J$27="","",INDEX(振り分け!$C$3:$C$302,計算用!$J$27))</f>
        <v/>
      </c>
    </row>
    <row r="33">
      <c r="A33" s="31">
        <f>IF(計算用!$A$28="","",INDEX(振り分け!$A$3:$A$302,計算用!$A$28))</f>
        <v/>
      </c>
      <c r="B33" s="33">
        <f>IF(計算用!$A$28="","",INDEX(振り分け!$C$3:$C$302,計算用!$A$28))</f>
        <v/>
      </c>
      <c r="C33" s="31">
        <f>IF(計算用!$B$28="","",INDEX(振り分け!$A$3:$A$302,計算用!$B$28))</f>
        <v/>
      </c>
      <c r="D33" s="33">
        <f>IF(計算用!$B$28="","",INDEX(振り分け!$C$3:$C$302,計算用!$B$28))</f>
        <v/>
      </c>
      <c r="E33" s="31">
        <f>IF(計算用!$C$28="","",INDEX(振り分け!$A$3:$A$302,計算用!$C$28))</f>
        <v/>
      </c>
      <c r="F33" s="33">
        <f>IF(計算用!$C$28="","",INDEX(振り分け!$C$3:$C$302,計算用!$C$28))</f>
        <v/>
      </c>
      <c r="G33" s="31">
        <f>IF(計算用!$D$28="","",INDEX(振り分け!$A$3:$A$302,計算用!$D$28))</f>
        <v/>
      </c>
      <c r="H33" s="33">
        <f>IF(計算用!$D$28="","",INDEX(振り分け!$C$3:$C$302,計算用!$D$28))</f>
        <v/>
      </c>
      <c r="I33" s="31">
        <f>IF(計算用!$E$28="","",INDEX(振り分け!$A$3:$A$302,計算用!$E$28))</f>
        <v/>
      </c>
      <c r="J33" s="33">
        <f>IF(計算用!$E$28="","",INDEX(振り分け!$C$3:$C$302,計算用!$E$28))</f>
        <v/>
      </c>
      <c r="K33" s="31">
        <f>IF(計算用!$F$28="","",INDEX(振り分け!$A$3:$A$302,計算用!$F$28))</f>
        <v/>
      </c>
      <c r="L33" s="33">
        <f>IF(計算用!$F$28="","",INDEX(振り分け!$C$3:$C$302,計算用!$F$28))</f>
        <v/>
      </c>
      <c r="M33" s="31">
        <f>IF(計算用!$G$28="","",INDEX(振り分け!$A$3:$A$302,計算用!$G$28))</f>
        <v/>
      </c>
      <c r="N33" s="33">
        <f>IF(計算用!$G$28="","",INDEX(振り分け!$C$3:$C$302,計算用!$G$28))</f>
        <v/>
      </c>
      <c r="O33" s="31">
        <f>IF(計算用!$H$28="","",INDEX(振り分け!$A$3:$A$302,計算用!$H$28))</f>
        <v/>
      </c>
      <c r="P33" s="33">
        <f>IF(計算用!$H$28="","",INDEX(振り分け!$C$3:$C$302,計算用!$H$28))</f>
        <v/>
      </c>
      <c r="Q33" s="31">
        <f>IF(計算用!$I$28="","",INDEX(振り分け!$A$3:$A$302,計算用!$I$28))</f>
        <v/>
      </c>
      <c r="R33" s="33">
        <f>IF(計算用!$I$28="","",INDEX(振り分け!$C$3:$C$302,計算用!$I$28))</f>
        <v/>
      </c>
      <c r="S33" s="31">
        <f>IF(計算用!$J$28="","",INDEX(振り分け!$A$3:$A$302,計算用!$J$28))</f>
        <v/>
      </c>
      <c r="T33" s="33">
        <f>IF(計算用!$J$28="","",INDEX(振り分け!$C$3:$C$302,計算用!$J$28))</f>
        <v/>
      </c>
    </row>
    <row r="34">
      <c r="A34" s="31">
        <f>IF(計算用!$A$29="","",INDEX(振り分け!$A$3:$A$302,計算用!$A$29))</f>
        <v/>
      </c>
      <c r="B34" s="33">
        <f>IF(計算用!$A$29="","",INDEX(振り分け!$C$3:$C$302,計算用!$A$29))</f>
        <v/>
      </c>
      <c r="C34" s="31">
        <f>IF(計算用!$B$29="","",INDEX(振り分け!$A$3:$A$302,計算用!$B$29))</f>
        <v/>
      </c>
      <c r="D34" s="33">
        <f>IF(計算用!$B$29="","",INDEX(振り分け!$C$3:$C$302,計算用!$B$29))</f>
        <v/>
      </c>
      <c r="E34" s="31">
        <f>IF(計算用!$C$29="","",INDEX(振り分け!$A$3:$A$302,計算用!$C$29))</f>
        <v/>
      </c>
      <c r="F34" s="33">
        <f>IF(計算用!$C$29="","",INDEX(振り分け!$C$3:$C$302,計算用!$C$29))</f>
        <v/>
      </c>
      <c r="G34" s="31">
        <f>IF(計算用!$D$29="","",INDEX(振り分け!$A$3:$A$302,計算用!$D$29))</f>
        <v/>
      </c>
      <c r="H34" s="33">
        <f>IF(計算用!$D$29="","",INDEX(振り分け!$C$3:$C$302,計算用!$D$29))</f>
        <v/>
      </c>
      <c r="I34" s="31">
        <f>IF(計算用!$E$29="","",INDEX(振り分け!$A$3:$A$302,計算用!$E$29))</f>
        <v/>
      </c>
      <c r="J34" s="33">
        <f>IF(計算用!$E$29="","",INDEX(振り分け!$C$3:$C$302,計算用!$E$29))</f>
        <v/>
      </c>
      <c r="K34" s="31">
        <f>IF(計算用!$F$29="","",INDEX(振り分け!$A$3:$A$302,計算用!$F$29))</f>
        <v/>
      </c>
      <c r="L34" s="33">
        <f>IF(計算用!$F$29="","",INDEX(振り分け!$C$3:$C$302,計算用!$F$29))</f>
        <v/>
      </c>
      <c r="M34" s="31">
        <f>IF(計算用!$G$29="","",INDEX(振り分け!$A$3:$A$302,計算用!$G$29))</f>
        <v/>
      </c>
      <c r="N34" s="33">
        <f>IF(計算用!$G$29="","",INDEX(振り分け!$C$3:$C$302,計算用!$G$29))</f>
        <v/>
      </c>
      <c r="O34" s="31">
        <f>IF(計算用!$H$29="","",INDEX(振り分け!$A$3:$A$302,計算用!$H$29))</f>
        <v/>
      </c>
      <c r="P34" s="33">
        <f>IF(計算用!$H$29="","",INDEX(振り分け!$C$3:$C$302,計算用!$H$29))</f>
        <v/>
      </c>
      <c r="Q34" s="31">
        <f>IF(計算用!$I$29="","",INDEX(振り分け!$A$3:$A$302,計算用!$I$29))</f>
        <v/>
      </c>
      <c r="R34" s="33">
        <f>IF(計算用!$I$29="","",INDEX(振り分け!$C$3:$C$302,計算用!$I$29))</f>
        <v/>
      </c>
      <c r="S34" s="31">
        <f>IF(計算用!$J$29="","",INDEX(振り分け!$A$3:$A$302,計算用!$J$29))</f>
        <v/>
      </c>
      <c r="T34" s="33">
        <f>IF(計算用!$J$29="","",INDEX(振り分け!$C$3:$C$302,計算用!$J$29))</f>
        <v/>
      </c>
    </row>
    <row r="35">
      <c r="A35" s="31">
        <f>IF(計算用!$A$30="","",INDEX(振り分け!$A$3:$A$302,計算用!$A$30))</f>
        <v/>
      </c>
      <c r="B35" s="33">
        <f>IF(計算用!$A$30="","",INDEX(振り分け!$C$3:$C$302,計算用!$A$30))</f>
        <v/>
      </c>
      <c r="C35" s="31">
        <f>IF(計算用!$B$30="","",INDEX(振り分け!$A$3:$A$302,計算用!$B$30))</f>
        <v/>
      </c>
      <c r="D35" s="33">
        <f>IF(計算用!$B$30="","",INDEX(振り分け!$C$3:$C$302,計算用!$B$30))</f>
        <v/>
      </c>
      <c r="E35" s="31">
        <f>IF(計算用!$C$30="","",INDEX(振り分け!$A$3:$A$302,計算用!$C$30))</f>
        <v/>
      </c>
      <c r="F35" s="33">
        <f>IF(計算用!$C$30="","",INDEX(振り分け!$C$3:$C$302,計算用!$C$30))</f>
        <v/>
      </c>
      <c r="G35" s="31">
        <f>IF(計算用!$D$30="","",INDEX(振り分け!$A$3:$A$302,計算用!$D$30))</f>
        <v/>
      </c>
      <c r="H35" s="33">
        <f>IF(計算用!$D$30="","",INDEX(振り分け!$C$3:$C$302,計算用!$D$30))</f>
        <v/>
      </c>
      <c r="I35" s="31">
        <f>IF(計算用!$E$30="","",INDEX(振り分け!$A$3:$A$302,計算用!$E$30))</f>
        <v/>
      </c>
      <c r="J35" s="33">
        <f>IF(計算用!$E$30="","",INDEX(振り分け!$C$3:$C$302,計算用!$E$30))</f>
        <v/>
      </c>
      <c r="K35" s="31">
        <f>IF(計算用!$F$30="","",INDEX(振り分け!$A$3:$A$302,計算用!$F$30))</f>
        <v/>
      </c>
      <c r="L35" s="33">
        <f>IF(計算用!$F$30="","",INDEX(振り分け!$C$3:$C$302,計算用!$F$30))</f>
        <v/>
      </c>
      <c r="M35" s="31">
        <f>IF(計算用!$G$30="","",INDEX(振り分け!$A$3:$A$302,計算用!$G$30))</f>
        <v/>
      </c>
      <c r="N35" s="33">
        <f>IF(計算用!$G$30="","",INDEX(振り分け!$C$3:$C$302,計算用!$G$30))</f>
        <v/>
      </c>
      <c r="O35" s="31">
        <f>IF(計算用!$H$30="","",INDEX(振り分け!$A$3:$A$302,計算用!$H$30))</f>
        <v/>
      </c>
      <c r="P35" s="33">
        <f>IF(計算用!$H$30="","",INDEX(振り分け!$C$3:$C$302,計算用!$H$30))</f>
        <v/>
      </c>
      <c r="Q35" s="31">
        <f>IF(計算用!$I$30="","",INDEX(振り分け!$A$3:$A$302,計算用!$I$30))</f>
        <v/>
      </c>
      <c r="R35" s="33">
        <f>IF(計算用!$I$30="","",INDEX(振り分け!$C$3:$C$302,計算用!$I$30))</f>
        <v/>
      </c>
      <c r="S35" s="31">
        <f>IF(計算用!$J$30="","",INDEX(振り分け!$A$3:$A$302,計算用!$J$30))</f>
        <v/>
      </c>
      <c r="T35" s="33">
        <f>IF(計算用!$J$30="","",INDEX(振り分け!$C$3:$C$302,計算用!$J$30))</f>
        <v/>
      </c>
    </row>
    <row r="36">
      <c r="A36" s="31">
        <f>IF(計算用!$A$31="","",INDEX(振り分け!$A$3:$A$302,計算用!$A$31))</f>
        <v/>
      </c>
      <c r="B36" s="33">
        <f>IF(計算用!$A$31="","",INDEX(振り分け!$C$3:$C$302,計算用!$A$31))</f>
        <v/>
      </c>
      <c r="C36" s="31">
        <f>IF(計算用!$B$31="","",INDEX(振り分け!$A$3:$A$302,計算用!$B$31))</f>
        <v/>
      </c>
      <c r="D36" s="33">
        <f>IF(計算用!$B$31="","",INDEX(振り分け!$C$3:$C$302,計算用!$B$31))</f>
        <v/>
      </c>
      <c r="E36" s="31">
        <f>IF(計算用!$C$31="","",INDEX(振り分け!$A$3:$A$302,計算用!$C$31))</f>
        <v/>
      </c>
      <c r="F36" s="33">
        <f>IF(計算用!$C$31="","",INDEX(振り分け!$C$3:$C$302,計算用!$C$31))</f>
        <v/>
      </c>
      <c r="G36" s="31">
        <f>IF(計算用!$D$31="","",INDEX(振り分け!$A$3:$A$302,計算用!$D$31))</f>
        <v/>
      </c>
      <c r="H36" s="33">
        <f>IF(計算用!$D$31="","",INDEX(振り分け!$C$3:$C$302,計算用!$D$31))</f>
        <v/>
      </c>
      <c r="I36" s="31">
        <f>IF(計算用!$E$31="","",INDEX(振り分け!$A$3:$A$302,計算用!$E$31))</f>
        <v/>
      </c>
      <c r="J36" s="33">
        <f>IF(計算用!$E$31="","",INDEX(振り分け!$C$3:$C$302,計算用!$E$31))</f>
        <v/>
      </c>
      <c r="K36" s="31">
        <f>IF(計算用!$F$31="","",INDEX(振り分け!$A$3:$A$302,計算用!$F$31))</f>
        <v/>
      </c>
      <c r="L36" s="33">
        <f>IF(計算用!$F$31="","",INDEX(振り分け!$C$3:$C$302,計算用!$F$31))</f>
        <v/>
      </c>
      <c r="M36" s="31">
        <f>IF(計算用!$G$31="","",INDEX(振り分け!$A$3:$A$302,計算用!$G$31))</f>
        <v/>
      </c>
      <c r="N36" s="33">
        <f>IF(計算用!$G$31="","",INDEX(振り分け!$C$3:$C$302,計算用!$G$31))</f>
        <v/>
      </c>
      <c r="O36" s="31">
        <f>IF(計算用!$H$31="","",INDEX(振り分け!$A$3:$A$302,計算用!$H$31))</f>
        <v/>
      </c>
      <c r="P36" s="33">
        <f>IF(計算用!$H$31="","",INDEX(振り分け!$C$3:$C$302,計算用!$H$31))</f>
        <v/>
      </c>
      <c r="Q36" s="31">
        <f>IF(計算用!$I$31="","",INDEX(振り分け!$A$3:$A$302,計算用!$I$31))</f>
        <v/>
      </c>
      <c r="R36" s="33">
        <f>IF(計算用!$I$31="","",INDEX(振り分け!$C$3:$C$302,計算用!$I$31))</f>
        <v/>
      </c>
      <c r="S36" s="31">
        <f>IF(計算用!$J$31="","",INDEX(振り分け!$A$3:$A$302,計算用!$J$31))</f>
        <v/>
      </c>
      <c r="T36" s="33">
        <f>IF(計算用!$J$31="","",INDEX(振り分け!$C$3:$C$302,計算用!$J$31))</f>
        <v/>
      </c>
    </row>
    <row r="37">
      <c r="A37" s="31">
        <f>IF(計算用!$A$32="","",INDEX(振り分け!$A$3:$A$302,計算用!$A$32))</f>
        <v/>
      </c>
      <c r="B37" s="33">
        <f>IF(計算用!$A$32="","",INDEX(振り分け!$C$3:$C$302,計算用!$A$32))</f>
        <v/>
      </c>
      <c r="C37" s="31">
        <f>IF(計算用!$B$32="","",INDEX(振り分け!$A$3:$A$302,計算用!$B$32))</f>
        <v/>
      </c>
      <c r="D37" s="33">
        <f>IF(計算用!$B$32="","",INDEX(振り分け!$C$3:$C$302,計算用!$B$32))</f>
        <v/>
      </c>
      <c r="E37" s="31">
        <f>IF(計算用!$C$32="","",INDEX(振り分け!$A$3:$A$302,計算用!$C$32))</f>
        <v/>
      </c>
      <c r="F37" s="33">
        <f>IF(計算用!$C$32="","",INDEX(振り分け!$C$3:$C$302,計算用!$C$32))</f>
        <v/>
      </c>
      <c r="G37" s="31">
        <f>IF(計算用!$D$32="","",INDEX(振り分け!$A$3:$A$302,計算用!$D$32))</f>
        <v/>
      </c>
      <c r="H37" s="33">
        <f>IF(計算用!$D$32="","",INDEX(振り分け!$C$3:$C$302,計算用!$D$32))</f>
        <v/>
      </c>
      <c r="I37" s="31">
        <f>IF(計算用!$E$32="","",INDEX(振り分け!$A$3:$A$302,計算用!$E$32))</f>
        <v/>
      </c>
      <c r="J37" s="33">
        <f>IF(計算用!$E$32="","",INDEX(振り分け!$C$3:$C$302,計算用!$E$32))</f>
        <v/>
      </c>
      <c r="K37" s="31">
        <f>IF(計算用!$F$32="","",INDEX(振り分け!$A$3:$A$302,計算用!$F$32))</f>
        <v/>
      </c>
      <c r="L37" s="33">
        <f>IF(計算用!$F$32="","",INDEX(振り分け!$C$3:$C$302,計算用!$F$32))</f>
        <v/>
      </c>
      <c r="M37" s="31">
        <f>IF(計算用!$G$32="","",INDEX(振り分け!$A$3:$A$302,計算用!$G$32))</f>
        <v/>
      </c>
      <c r="N37" s="33">
        <f>IF(計算用!$G$32="","",INDEX(振り分け!$C$3:$C$302,計算用!$G$32))</f>
        <v/>
      </c>
      <c r="O37" s="31">
        <f>IF(計算用!$H$32="","",INDEX(振り分け!$A$3:$A$302,計算用!$H$32))</f>
        <v/>
      </c>
      <c r="P37" s="33">
        <f>IF(計算用!$H$32="","",INDEX(振り分け!$C$3:$C$302,計算用!$H$32))</f>
        <v/>
      </c>
      <c r="Q37" s="31">
        <f>IF(計算用!$I$32="","",INDEX(振り分け!$A$3:$A$302,計算用!$I$32))</f>
        <v/>
      </c>
      <c r="R37" s="33">
        <f>IF(計算用!$I$32="","",INDEX(振り分け!$C$3:$C$302,計算用!$I$32))</f>
        <v/>
      </c>
      <c r="S37" s="31">
        <f>IF(計算用!$J$32="","",INDEX(振り分け!$A$3:$A$302,計算用!$J$32))</f>
        <v/>
      </c>
      <c r="T37" s="33">
        <f>IF(計算用!$J$32="","",INDEX(振り分け!$C$3:$C$302,計算用!$J$32))</f>
        <v/>
      </c>
    </row>
    <row r="38">
      <c r="A38" s="31">
        <f>IF(計算用!$A$33="","",INDEX(振り分け!$A$3:$A$302,計算用!$A$33))</f>
        <v/>
      </c>
      <c r="B38" s="33">
        <f>IF(計算用!$A$33="","",INDEX(振り分け!$C$3:$C$302,計算用!$A$33))</f>
        <v/>
      </c>
      <c r="C38" s="31">
        <f>IF(計算用!$B$33="","",INDEX(振り分け!$A$3:$A$302,計算用!$B$33))</f>
        <v/>
      </c>
      <c r="D38" s="33">
        <f>IF(計算用!$B$33="","",INDEX(振り分け!$C$3:$C$302,計算用!$B$33))</f>
        <v/>
      </c>
      <c r="E38" s="31">
        <f>IF(計算用!$C$33="","",INDEX(振り分け!$A$3:$A$302,計算用!$C$33))</f>
        <v/>
      </c>
      <c r="F38" s="33">
        <f>IF(計算用!$C$33="","",INDEX(振り分け!$C$3:$C$302,計算用!$C$33))</f>
        <v/>
      </c>
      <c r="G38" s="31">
        <f>IF(計算用!$D$33="","",INDEX(振り分け!$A$3:$A$302,計算用!$D$33))</f>
        <v/>
      </c>
      <c r="H38" s="33">
        <f>IF(計算用!$D$33="","",INDEX(振り分け!$C$3:$C$302,計算用!$D$33))</f>
        <v/>
      </c>
      <c r="I38" s="31">
        <f>IF(計算用!$E$33="","",INDEX(振り分け!$A$3:$A$302,計算用!$E$33))</f>
        <v/>
      </c>
      <c r="J38" s="33">
        <f>IF(計算用!$E$33="","",INDEX(振り分け!$C$3:$C$302,計算用!$E$33))</f>
        <v/>
      </c>
      <c r="K38" s="31">
        <f>IF(計算用!$F$33="","",INDEX(振り分け!$A$3:$A$302,計算用!$F$33))</f>
        <v/>
      </c>
      <c r="L38" s="33">
        <f>IF(計算用!$F$33="","",INDEX(振り分け!$C$3:$C$302,計算用!$F$33))</f>
        <v/>
      </c>
      <c r="M38" s="31">
        <f>IF(計算用!$G$33="","",INDEX(振り分け!$A$3:$A$302,計算用!$G$33))</f>
        <v/>
      </c>
      <c r="N38" s="33">
        <f>IF(計算用!$G$33="","",INDEX(振り分け!$C$3:$C$302,計算用!$G$33))</f>
        <v/>
      </c>
      <c r="O38" s="31">
        <f>IF(計算用!$H$33="","",INDEX(振り分け!$A$3:$A$302,計算用!$H$33))</f>
        <v/>
      </c>
      <c r="P38" s="33">
        <f>IF(計算用!$H$33="","",INDEX(振り分け!$C$3:$C$302,計算用!$H$33))</f>
        <v/>
      </c>
      <c r="Q38" s="31">
        <f>IF(計算用!$I$33="","",INDEX(振り分け!$A$3:$A$302,計算用!$I$33))</f>
        <v/>
      </c>
      <c r="R38" s="33">
        <f>IF(計算用!$I$33="","",INDEX(振り分け!$C$3:$C$302,計算用!$I$33))</f>
        <v/>
      </c>
      <c r="S38" s="31">
        <f>IF(計算用!$J$33="","",INDEX(振り分け!$A$3:$A$302,計算用!$J$33))</f>
        <v/>
      </c>
      <c r="T38" s="33">
        <f>IF(計算用!$J$33="","",INDEX(振り分け!$C$3:$C$302,計算用!$J$33))</f>
        <v/>
      </c>
    </row>
    <row r="39">
      <c r="A39" s="31">
        <f>IF(計算用!$A$34="","",INDEX(振り分け!$A$3:$A$302,計算用!$A$34))</f>
        <v/>
      </c>
      <c r="B39" s="33">
        <f>IF(計算用!$A$34="","",INDEX(振り分け!$C$3:$C$302,計算用!$A$34))</f>
        <v/>
      </c>
      <c r="C39" s="31">
        <f>IF(計算用!$B$34="","",INDEX(振り分け!$A$3:$A$302,計算用!$B$34))</f>
        <v/>
      </c>
      <c r="D39" s="33">
        <f>IF(計算用!$B$34="","",INDEX(振り分け!$C$3:$C$302,計算用!$B$34))</f>
        <v/>
      </c>
      <c r="E39" s="31">
        <f>IF(計算用!$C$34="","",INDEX(振り分け!$A$3:$A$302,計算用!$C$34))</f>
        <v/>
      </c>
      <c r="F39" s="33">
        <f>IF(計算用!$C$34="","",INDEX(振り分け!$C$3:$C$302,計算用!$C$34))</f>
        <v/>
      </c>
      <c r="G39" s="31">
        <f>IF(計算用!$D$34="","",INDEX(振り分け!$A$3:$A$302,計算用!$D$34))</f>
        <v/>
      </c>
      <c r="H39" s="33">
        <f>IF(計算用!$D$34="","",INDEX(振り分け!$C$3:$C$302,計算用!$D$34))</f>
        <v/>
      </c>
      <c r="I39" s="31">
        <f>IF(計算用!$E$34="","",INDEX(振り分け!$A$3:$A$302,計算用!$E$34))</f>
        <v/>
      </c>
      <c r="J39" s="33">
        <f>IF(計算用!$E$34="","",INDEX(振り分け!$C$3:$C$302,計算用!$E$34))</f>
        <v/>
      </c>
      <c r="K39" s="31">
        <f>IF(計算用!$F$34="","",INDEX(振り分け!$A$3:$A$302,計算用!$F$34))</f>
        <v/>
      </c>
      <c r="L39" s="33">
        <f>IF(計算用!$F$34="","",INDEX(振り分け!$C$3:$C$302,計算用!$F$34))</f>
        <v/>
      </c>
      <c r="M39" s="31">
        <f>IF(計算用!$G$34="","",INDEX(振り分け!$A$3:$A$302,計算用!$G$34))</f>
        <v/>
      </c>
      <c r="N39" s="33">
        <f>IF(計算用!$G$34="","",INDEX(振り分け!$C$3:$C$302,計算用!$G$34))</f>
        <v/>
      </c>
      <c r="O39" s="31">
        <f>IF(計算用!$H$34="","",INDEX(振り分け!$A$3:$A$302,計算用!$H$34))</f>
        <v/>
      </c>
      <c r="P39" s="33">
        <f>IF(計算用!$H$34="","",INDEX(振り分け!$C$3:$C$302,計算用!$H$34))</f>
        <v/>
      </c>
      <c r="Q39" s="31">
        <f>IF(計算用!$I$34="","",INDEX(振り分け!$A$3:$A$302,計算用!$I$34))</f>
        <v/>
      </c>
      <c r="R39" s="33">
        <f>IF(計算用!$I$34="","",INDEX(振り分け!$C$3:$C$302,計算用!$I$34))</f>
        <v/>
      </c>
      <c r="S39" s="31">
        <f>IF(計算用!$J$34="","",INDEX(振り分け!$A$3:$A$302,計算用!$J$34))</f>
        <v/>
      </c>
      <c r="T39" s="33">
        <f>IF(計算用!$J$34="","",INDEX(振り分け!$C$3:$C$302,計算用!$J$34))</f>
        <v/>
      </c>
    </row>
    <row r="40">
      <c r="A40" s="31">
        <f>IF(計算用!$A$35="","",INDEX(振り分け!$A$3:$A$302,計算用!$A$35))</f>
        <v/>
      </c>
      <c r="B40" s="33">
        <f>IF(計算用!$A$35="","",INDEX(振り分け!$C$3:$C$302,計算用!$A$35))</f>
        <v/>
      </c>
      <c r="C40" s="31">
        <f>IF(計算用!$B$35="","",INDEX(振り分け!$A$3:$A$302,計算用!$B$35))</f>
        <v/>
      </c>
      <c r="D40" s="33">
        <f>IF(計算用!$B$35="","",INDEX(振り分け!$C$3:$C$302,計算用!$B$35))</f>
        <v/>
      </c>
      <c r="E40" s="31">
        <f>IF(計算用!$C$35="","",INDEX(振り分け!$A$3:$A$302,計算用!$C$35))</f>
        <v/>
      </c>
      <c r="F40" s="33">
        <f>IF(計算用!$C$35="","",INDEX(振り分け!$C$3:$C$302,計算用!$C$35))</f>
        <v/>
      </c>
      <c r="G40" s="31">
        <f>IF(計算用!$D$35="","",INDEX(振り分け!$A$3:$A$302,計算用!$D$35))</f>
        <v/>
      </c>
      <c r="H40" s="33">
        <f>IF(計算用!$D$35="","",INDEX(振り分け!$C$3:$C$302,計算用!$D$35))</f>
        <v/>
      </c>
      <c r="I40" s="31">
        <f>IF(計算用!$E$35="","",INDEX(振り分け!$A$3:$A$302,計算用!$E$35))</f>
        <v/>
      </c>
      <c r="J40" s="33">
        <f>IF(計算用!$E$35="","",INDEX(振り分け!$C$3:$C$302,計算用!$E$35))</f>
        <v/>
      </c>
      <c r="K40" s="31">
        <f>IF(計算用!$F$35="","",INDEX(振り分け!$A$3:$A$302,計算用!$F$35))</f>
        <v/>
      </c>
      <c r="L40" s="33">
        <f>IF(計算用!$F$35="","",INDEX(振り分け!$C$3:$C$302,計算用!$F$35))</f>
        <v/>
      </c>
      <c r="M40" s="31">
        <f>IF(計算用!$G$35="","",INDEX(振り分け!$A$3:$A$302,計算用!$G$35))</f>
        <v/>
      </c>
      <c r="N40" s="33">
        <f>IF(計算用!$G$35="","",INDEX(振り分け!$C$3:$C$302,計算用!$G$35))</f>
        <v/>
      </c>
      <c r="O40" s="31">
        <f>IF(計算用!$H$35="","",INDEX(振り分け!$A$3:$A$302,計算用!$H$35))</f>
        <v/>
      </c>
      <c r="P40" s="33">
        <f>IF(計算用!$H$35="","",INDEX(振り分け!$C$3:$C$302,計算用!$H$35))</f>
        <v/>
      </c>
      <c r="Q40" s="31">
        <f>IF(計算用!$I$35="","",INDEX(振り分け!$A$3:$A$302,計算用!$I$35))</f>
        <v/>
      </c>
      <c r="R40" s="33">
        <f>IF(計算用!$I$35="","",INDEX(振り分け!$C$3:$C$302,計算用!$I$35))</f>
        <v/>
      </c>
      <c r="S40" s="31">
        <f>IF(計算用!$J$35="","",INDEX(振り分け!$A$3:$A$302,計算用!$J$35))</f>
        <v/>
      </c>
      <c r="T40" s="33">
        <f>IF(計算用!$J$35="","",INDEX(振り分け!$C$3:$C$302,計算用!$J$35))</f>
        <v/>
      </c>
    </row>
    <row r="41">
      <c r="A41" s="31">
        <f>IF(計算用!$A$36="","",INDEX(振り分け!$A$3:$A$302,計算用!$A$36))</f>
        <v/>
      </c>
      <c r="B41" s="33">
        <f>IF(計算用!$A$36="","",INDEX(振り分け!$C$3:$C$302,計算用!$A$36))</f>
        <v/>
      </c>
      <c r="C41" s="31">
        <f>IF(計算用!$B$36="","",INDEX(振り分け!$A$3:$A$302,計算用!$B$36))</f>
        <v/>
      </c>
      <c r="D41" s="33">
        <f>IF(計算用!$B$36="","",INDEX(振り分け!$C$3:$C$302,計算用!$B$36))</f>
        <v/>
      </c>
      <c r="E41" s="31">
        <f>IF(計算用!$C$36="","",INDEX(振り分け!$A$3:$A$302,計算用!$C$36))</f>
        <v/>
      </c>
      <c r="F41" s="33">
        <f>IF(計算用!$C$36="","",INDEX(振り分け!$C$3:$C$302,計算用!$C$36))</f>
        <v/>
      </c>
      <c r="G41" s="31">
        <f>IF(計算用!$D$36="","",INDEX(振り分け!$A$3:$A$302,計算用!$D$36))</f>
        <v/>
      </c>
      <c r="H41" s="33">
        <f>IF(計算用!$D$36="","",INDEX(振り分け!$C$3:$C$302,計算用!$D$36))</f>
        <v/>
      </c>
      <c r="I41" s="31">
        <f>IF(計算用!$E$36="","",INDEX(振り分け!$A$3:$A$302,計算用!$E$36))</f>
        <v/>
      </c>
      <c r="J41" s="33">
        <f>IF(計算用!$E$36="","",INDEX(振り分け!$C$3:$C$302,計算用!$E$36))</f>
        <v/>
      </c>
      <c r="K41" s="31">
        <f>IF(計算用!$F$36="","",INDEX(振り分け!$A$3:$A$302,計算用!$F$36))</f>
        <v/>
      </c>
      <c r="L41" s="33">
        <f>IF(計算用!$F$36="","",INDEX(振り分け!$C$3:$C$302,計算用!$F$36))</f>
        <v/>
      </c>
      <c r="M41" s="31">
        <f>IF(計算用!$G$36="","",INDEX(振り分け!$A$3:$A$302,計算用!$G$36))</f>
        <v/>
      </c>
      <c r="N41" s="33">
        <f>IF(計算用!$G$36="","",INDEX(振り分け!$C$3:$C$302,計算用!$G$36))</f>
        <v/>
      </c>
      <c r="O41" s="31">
        <f>IF(計算用!$H$36="","",INDEX(振り分け!$A$3:$A$302,計算用!$H$36))</f>
        <v/>
      </c>
      <c r="P41" s="33">
        <f>IF(計算用!$H$36="","",INDEX(振り分け!$C$3:$C$302,計算用!$H$36))</f>
        <v/>
      </c>
      <c r="Q41" s="31">
        <f>IF(計算用!$I$36="","",INDEX(振り分け!$A$3:$A$302,計算用!$I$36))</f>
        <v/>
      </c>
      <c r="R41" s="33">
        <f>IF(計算用!$I$36="","",INDEX(振り分け!$C$3:$C$302,計算用!$I$36))</f>
        <v/>
      </c>
      <c r="S41" s="31">
        <f>IF(計算用!$J$36="","",INDEX(振り分け!$A$3:$A$302,計算用!$J$36))</f>
        <v/>
      </c>
      <c r="T41" s="33">
        <f>IF(計算用!$J$36="","",INDEX(振り分け!$C$3:$C$302,計算用!$J$36))</f>
        <v/>
      </c>
    </row>
    <row r="42">
      <c r="A42" s="31">
        <f>IF(計算用!$A$37="","",INDEX(振り分け!$A$3:$A$302,計算用!$A$37))</f>
        <v/>
      </c>
      <c r="B42" s="33">
        <f>IF(計算用!$A$37="","",INDEX(振り分け!$C$3:$C$302,計算用!$A$37))</f>
        <v/>
      </c>
      <c r="C42" s="31">
        <f>IF(計算用!$B$37="","",INDEX(振り分け!$A$3:$A$302,計算用!$B$37))</f>
        <v/>
      </c>
      <c r="D42" s="33">
        <f>IF(計算用!$B$37="","",INDEX(振り分け!$C$3:$C$302,計算用!$B$37))</f>
        <v/>
      </c>
      <c r="E42" s="31">
        <f>IF(計算用!$C$37="","",INDEX(振り分け!$A$3:$A$302,計算用!$C$37))</f>
        <v/>
      </c>
      <c r="F42" s="33">
        <f>IF(計算用!$C$37="","",INDEX(振り分け!$C$3:$C$302,計算用!$C$37))</f>
        <v/>
      </c>
      <c r="G42" s="31">
        <f>IF(計算用!$D$37="","",INDEX(振り分け!$A$3:$A$302,計算用!$D$37))</f>
        <v/>
      </c>
      <c r="H42" s="33">
        <f>IF(計算用!$D$37="","",INDEX(振り分け!$C$3:$C$302,計算用!$D$37))</f>
        <v/>
      </c>
      <c r="I42" s="31">
        <f>IF(計算用!$E$37="","",INDEX(振り分け!$A$3:$A$302,計算用!$E$37))</f>
        <v/>
      </c>
      <c r="J42" s="33">
        <f>IF(計算用!$E$37="","",INDEX(振り分け!$C$3:$C$302,計算用!$E$37))</f>
        <v/>
      </c>
      <c r="K42" s="31">
        <f>IF(計算用!$F$37="","",INDEX(振り分け!$A$3:$A$302,計算用!$F$37))</f>
        <v/>
      </c>
      <c r="L42" s="33">
        <f>IF(計算用!$F$37="","",INDEX(振り分け!$C$3:$C$302,計算用!$F$37))</f>
        <v/>
      </c>
      <c r="M42" s="31">
        <f>IF(計算用!$G$37="","",INDEX(振り分け!$A$3:$A$302,計算用!$G$37))</f>
        <v/>
      </c>
      <c r="N42" s="33">
        <f>IF(計算用!$G$37="","",INDEX(振り分け!$C$3:$C$302,計算用!$G$37))</f>
        <v/>
      </c>
      <c r="O42" s="31">
        <f>IF(計算用!$H$37="","",INDEX(振り分け!$A$3:$A$302,計算用!$H$37))</f>
        <v/>
      </c>
      <c r="P42" s="33">
        <f>IF(計算用!$H$37="","",INDEX(振り分け!$C$3:$C$302,計算用!$H$37))</f>
        <v/>
      </c>
      <c r="Q42" s="31">
        <f>IF(計算用!$I$37="","",INDEX(振り分け!$A$3:$A$302,計算用!$I$37))</f>
        <v/>
      </c>
      <c r="R42" s="33">
        <f>IF(計算用!$I$37="","",INDEX(振り分け!$C$3:$C$302,計算用!$I$37))</f>
        <v/>
      </c>
      <c r="S42" s="31">
        <f>IF(計算用!$J$37="","",INDEX(振り分け!$A$3:$A$302,計算用!$J$37))</f>
        <v/>
      </c>
      <c r="T42" s="33">
        <f>IF(計算用!$J$37="","",INDEX(振り分け!$C$3:$C$302,計算用!$J$37))</f>
        <v/>
      </c>
    </row>
    <row r="43">
      <c r="A43" s="31">
        <f>IF(計算用!$A$38="","",INDEX(振り分け!$A$3:$A$302,計算用!$A$38))</f>
        <v/>
      </c>
      <c r="B43" s="33">
        <f>IF(計算用!$A$38="","",INDEX(振り分け!$C$3:$C$302,計算用!$A$38))</f>
        <v/>
      </c>
      <c r="C43" s="31">
        <f>IF(計算用!$B$38="","",INDEX(振り分け!$A$3:$A$302,計算用!$B$38))</f>
        <v/>
      </c>
      <c r="D43" s="33">
        <f>IF(計算用!$B$38="","",INDEX(振り分け!$C$3:$C$302,計算用!$B$38))</f>
        <v/>
      </c>
      <c r="E43" s="31">
        <f>IF(計算用!$C$38="","",INDEX(振り分け!$A$3:$A$302,計算用!$C$38))</f>
        <v/>
      </c>
      <c r="F43" s="33">
        <f>IF(計算用!$C$38="","",INDEX(振り分け!$C$3:$C$302,計算用!$C$38))</f>
        <v/>
      </c>
      <c r="G43" s="31">
        <f>IF(計算用!$D$38="","",INDEX(振り分け!$A$3:$A$302,計算用!$D$38))</f>
        <v/>
      </c>
      <c r="H43" s="33">
        <f>IF(計算用!$D$38="","",INDEX(振り分け!$C$3:$C$302,計算用!$D$38))</f>
        <v/>
      </c>
      <c r="I43" s="31">
        <f>IF(計算用!$E$38="","",INDEX(振り分け!$A$3:$A$302,計算用!$E$38))</f>
        <v/>
      </c>
      <c r="J43" s="33">
        <f>IF(計算用!$E$38="","",INDEX(振り分け!$C$3:$C$302,計算用!$E$38))</f>
        <v/>
      </c>
      <c r="K43" s="31">
        <f>IF(計算用!$F$38="","",INDEX(振り分け!$A$3:$A$302,計算用!$F$38))</f>
        <v/>
      </c>
      <c r="L43" s="33">
        <f>IF(計算用!$F$38="","",INDEX(振り分け!$C$3:$C$302,計算用!$F$38))</f>
        <v/>
      </c>
      <c r="M43" s="31">
        <f>IF(計算用!$G$38="","",INDEX(振り分け!$A$3:$A$302,計算用!$G$38))</f>
        <v/>
      </c>
      <c r="N43" s="33">
        <f>IF(計算用!$G$38="","",INDEX(振り分け!$C$3:$C$302,計算用!$G$38))</f>
        <v/>
      </c>
      <c r="O43" s="31">
        <f>IF(計算用!$H$38="","",INDEX(振り分け!$A$3:$A$302,計算用!$H$38))</f>
        <v/>
      </c>
      <c r="P43" s="33">
        <f>IF(計算用!$H$38="","",INDEX(振り分け!$C$3:$C$302,計算用!$H$38))</f>
        <v/>
      </c>
      <c r="Q43" s="31">
        <f>IF(計算用!$I$38="","",INDEX(振り分け!$A$3:$A$302,計算用!$I$38))</f>
        <v/>
      </c>
      <c r="R43" s="33">
        <f>IF(計算用!$I$38="","",INDEX(振り分け!$C$3:$C$302,計算用!$I$38))</f>
        <v/>
      </c>
      <c r="S43" s="31">
        <f>IF(計算用!$J$38="","",INDEX(振り分け!$A$3:$A$302,計算用!$J$38))</f>
        <v/>
      </c>
      <c r="T43" s="33">
        <f>IF(計算用!$J$38="","",INDEX(振り分け!$C$3:$C$302,計算用!$J$38))</f>
        <v/>
      </c>
    </row>
    <row r="44">
      <c r="A44" s="31">
        <f>IF(計算用!$A$39="","",INDEX(振り分け!$A$3:$A$302,計算用!$A$39))</f>
        <v/>
      </c>
      <c r="B44" s="33">
        <f>IF(計算用!$A$39="","",INDEX(振り分け!$C$3:$C$302,計算用!$A$39))</f>
        <v/>
      </c>
      <c r="C44" s="31">
        <f>IF(計算用!$B$39="","",INDEX(振り分け!$A$3:$A$302,計算用!$B$39))</f>
        <v/>
      </c>
      <c r="D44" s="33">
        <f>IF(計算用!$B$39="","",INDEX(振り分け!$C$3:$C$302,計算用!$B$39))</f>
        <v/>
      </c>
      <c r="E44" s="31">
        <f>IF(計算用!$C$39="","",INDEX(振り分け!$A$3:$A$302,計算用!$C$39))</f>
        <v/>
      </c>
      <c r="F44" s="33">
        <f>IF(計算用!$C$39="","",INDEX(振り分け!$C$3:$C$302,計算用!$C$39))</f>
        <v/>
      </c>
      <c r="G44" s="31">
        <f>IF(計算用!$D$39="","",INDEX(振り分け!$A$3:$A$302,計算用!$D$39))</f>
        <v/>
      </c>
      <c r="H44" s="33">
        <f>IF(計算用!$D$39="","",INDEX(振り分け!$C$3:$C$302,計算用!$D$39))</f>
        <v/>
      </c>
      <c r="I44" s="31">
        <f>IF(計算用!$E$39="","",INDEX(振り分け!$A$3:$A$302,計算用!$E$39))</f>
        <v/>
      </c>
      <c r="J44" s="33">
        <f>IF(計算用!$E$39="","",INDEX(振り分け!$C$3:$C$302,計算用!$E$39))</f>
        <v/>
      </c>
      <c r="K44" s="31">
        <f>IF(計算用!$F$39="","",INDEX(振り分け!$A$3:$A$302,計算用!$F$39))</f>
        <v/>
      </c>
      <c r="L44" s="33">
        <f>IF(計算用!$F$39="","",INDEX(振り分け!$C$3:$C$302,計算用!$F$39))</f>
        <v/>
      </c>
      <c r="M44" s="31">
        <f>IF(計算用!$G$39="","",INDEX(振り分け!$A$3:$A$302,計算用!$G$39))</f>
        <v/>
      </c>
      <c r="N44" s="33">
        <f>IF(計算用!$G$39="","",INDEX(振り分け!$C$3:$C$302,計算用!$G$39))</f>
        <v/>
      </c>
      <c r="O44" s="31">
        <f>IF(計算用!$H$39="","",INDEX(振り分け!$A$3:$A$302,計算用!$H$39))</f>
        <v/>
      </c>
      <c r="P44" s="33">
        <f>IF(計算用!$H$39="","",INDEX(振り分け!$C$3:$C$302,計算用!$H$39))</f>
        <v/>
      </c>
      <c r="Q44" s="31">
        <f>IF(計算用!$I$39="","",INDEX(振り分け!$A$3:$A$302,計算用!$I$39))</f>
        <v/>
      </c>
      <c r="R44" s="33">
        <f>IF(計算用!$I$39="","",INDEX(振り分け!$C$3:$C$302,計算用!$I$39))</f>
        <v/>
      </c>
      <c r="S44" s="31">
        <f>IF(計算用!$J$39="","",INDEX(振り分け!$A$3:$A$302,計算用!$J$39))</f>
        <v/>
      </c>
      <c r="T44" s="33">
        <f>IF(計算用!$J$39="","",INDEX(振り分け!$C$3:$C$302,計算用!$J$39))</f>
        <v/>
      </c>
    </row>
    <row r="45">
      <c r="A45" s="31">
        <f>IF(計算用!$A$40="","",INDEX(振り分け!$A$3:$A$302,計算用!$A$40))</f>
        <v/>
      </c>
      <c r="B45" s="33">
        <f>IF(計算用!$A$40="","",INDEX(振り分け!$C$3:$C$302,計算用!$A$40))</f>
        <v/>
      </c>
      <c r="C45" s="31">
        <f>IF(計算用!$B$40="","",INDEX(振り分け!$A$3:$A$302,計算用!$B$40))</f>
        <v/>
      </c>
      <c r="D45" s="33">
        <f>IF(計算用!$B$40="","",INDEX(振り分け!$C$3:$C$302,計算用!$B$40))</f>
        <v/>
      </c>
      <c r="E45" s="31">
        <f>IF(計算用!$C$40="","",INDEX(振り分け!$A$3:$A$302,計算用!$C$40))</f>
        <v/>
      </c>
      <c r="F45" s="33">
        <f>IF(計算用!$C$40="","",INDEX(振り分け!$C$3:$C$302,計算用!$C$40))</f>
        <v/>
      </c>
      <c r="G45" s="31">
        <f>IF(計算用!$D$40="","",INDEX(振り分け!$A$3:$A$302,計算用!$D$40))</f>
        <v/>
      </c>
      <c r="H45" s="33">
        <f>IF(計算用!$D$40="","",INDEX(振り分け!$C$3:$C$302,計算用!$D$40))</f>
        <v/>
      </c>
      <c r="I45" s="31">
        <f>IF(計算用!$E$40="","",INDEX(振り分け!$A$3:$A$302,計算用!$E$40))</f>
        <v/>
      </c>
      <c r="J45" s="33">
        <f>IF(計算用!$E$40="","",INDEX(振り分け!$C$3:$C$302,計算用!$E$40))</f>
        <v/>
      </c>
      <c r="K45" s="31">
        <f>IF(計算用!$F$40="","",INDEX(振り分け!$A$3:$A$302,計算用!$F$40))</f>
        <v/>
      </c>
      <c r="L45" s="33">
        <f>IF(計算用!$F$40="","",INDEX(振り分け!$C$3:$C$302,計算用!$F$40))</f>
        <v/>
      </c>
      <c r="M45" s="31">
        <f>IF(計算用!$G$40="","",INDEX(振り分け!$A$3:$A$302,計算用!$G$40))</f>
        <v/>
      </c>
      <c r="N45" s="33">
        <f>IF(計算用!$G$40="","",INDEX(振り分け!$C$3:$C$302,計算用!$G$40))</f>
        <v/>
      </c>
      <c r="O45" s="31">
        <f>IF(計算用!$H$40="","",INDEX(振り分け!$A$3:$A$302,計算用!$H$40))</f>
        <v/>
      </c>
      <c r="P45" s="33">
        <f>IF(計算用!$H$40="","",INDEX(振り分け!$C$3:$C$302,計算用!$H$40))</f>
        <v/>
      </c>
      <c r="Q45" s="31">
        <f>IF(計算用!$I$40="","",INDEX(振り分け!$A$3:$A$302,計算用!$I$40))</f>
        <v/>
      </c>
      <c r="R45" s="33">
        <f>IF(計算用!$I$40="","",INDEX(振り分け!$C$3:$C$302,計算用!$I$40))</f>
        <v/>
      </c>
      <c r="S45" s="31">
        <f>IF(計算用!$J$40="","",INDEX(振り分け!$A$3:$A$302,計算用!$J$40))</f>
        <v/>
      </c>
      <c r="T45" s="33">
        <f>IF(計算用!$J$40="","",INDEX(振り分け!$C$3:$C$302,計算用!$J$40))</f>
        <v/>
      </c>
    </row>
    <row r="46">
      <c r="A46" s="31">
        <f>IF(計算用!$A$41="","",INDEX(振り分け!$A$3:$A$302,計算用!$A$41))</f>
        <v/>
      </c>
      <c r="B46" s="33">
        <f>IF(計算用!$A$41="","",INDEX(振り分け!$C$3:$C$302,計算用!$A$41))</f>
        <v/>
      </c>
      <c r="C46" s="31">
        <f>IF(計算用!$B$41="","",INDEX(振り分け!$A$3:$A$302,計算用!$B$41))</f>
        <v/>
      </c>
      <c r="D46" s="33">
        <f>IF(計算用!$B$41="","",INDEX(振り分け!$C$3:$C$302,計算用!$B$41))</f>
        <v/>
      </c>
      <c r="E46" s="31">
        <f>IF(計算用!$C$41="","",INDEX(振り分け!$A$3:$A$302,計算用!$C$41))</f>
        <v/>
      </c>
      <c r="F46" s="33">
        <f>IF(計算用!$C$41="","",INDEX(振り分け!$C$3:$C$302,計算用!$C$41))</f>
        <v/>
      </c>
      <c r="G46" s="31">
        <f>IF(計算用!$D$41="","",INDEX(振り分け!$A$3:$A$302,計算用!$D$41))</f>
        <v/>
      </c>
      <c r="H46" s="33">
        <f>IF(計算用!$D$41="","",INDEX(振り分け!$C$3:$C$302,計算用!$D$41))</f>
        <v/>
      </c>
      <c r="I46" s="31">
        <f>IF(計算用!$E$41="","",INDEX(振り分け!$A$3:$A$302,計算用!$E$41))</f>
        <v/>
      </c>
      <c r="J46" s="33">
        <f>IF(計算用!$E$41="","",INDEX(振り分け!$C$3:$C$302,計算用!$E$41))</f>
        <v/>
      </c>
      <c r="K46" s="31">
        <f>IF(計算用!$F$41="","",INDEX(振り分け!$A$3:$A$302,計算用!$F$41))</f>
        <v/>
      </c>
      <c r="L46" s="33">
        <f>IF(計算用!$F$41="","",INDEX(振り分け!$C$3:$C$302,計算用!$F$41))</f>
        <v/>
      </c>
      <c r="M46" s="31">
        <f>IF(計算用!$G$41="","",INDEX(振り分け!$A$3:$A$302,計算用!$G$41))</f>
        <v/>
      </c>
      <c r="N46" s="33">
        <f>IF(計算用!$G$41="","",INDEX(振り分け!$C$3:$C$302,計算用!$G$41))</f>
        <v/>
      </c>
      <c r="O46" s="31">
        <f>IF(計算用!$H$41="","",INDEX(振り分け!$A$3:$A$302,計算用!$H$41))</f>
        <v/>
      </c>
      <c r="P46" s="33">
        <f>IF(計算用!$H$41="","",INDEX(振り分け!$C$3:$C$302,計算用!$H$41))</f>
        <v/>
      </c>
      <c r="Q46" s="31">
        <f>IF(計算用!$I$41="","",INDEX(振り分け!$A$3:$A$302,計算用!$I$41))</f>
        <v/>
      </c>
      <c r="R46" s="33">
        <f>IF(計算用!$I$41="","",INDEX(振り分け!$C$3:$C$302,計算用!$I$41))</f>
        <v/>
      </c>
      <c r="S46" s="31">
        <f>IF(計算用!$J$41="","",INDEX(振り分け!$A$3:$A$302,計算用!$J$41))</f>
        <v/>
      </c>
      <c r="T46" s="33">
        <f>IF(計算用!$J$41="","",INDEX(振り分け!$C$3:$C$302,計算用!$J$41))</f>
        <v/>
      </c>
    </row>
    <row r="48">
      <c r="A48" s="11">
        <f>IF(設定!$G$18="","",設定!$G$18&amp;"（"&amp;COUNTIF(振り分け!$I$3:$I$302,設定!$G$18)&amp;"名）")</f>
        <v/>
      </c>
      <c r="B48" s="30" t="n"/>
      <c r="C48" s="11">
        <f>IF(設定!$G$19="","",設定!$G$19&amp;"（"&amp;COUNTIF(振り分け!$I$3:$I$302,設定!$G$19)&amp;"名）")</f>
        <v/>
      </c>
      <c r="D48" s="30" t="n"/>
      <c r="E48" s="11">
        <f>IF(設定!$G$20="","",設定!$G$20&amp;"（"&amp;COUNTIF(振り分け!$I$3:$I$302,設定!$G$20)&amp;"名）")</f>
        <v/>
      </c>
      <c r="F48" s="30" t="n"/>
      <c r="G48" s="11">
        <f>IF(設定!$G$21="","",設定!$G$21&amp;"（"&amp;COUNTIF(振り分け!$I$3:$I$302,設定!$G$21)&amp;"名）")</f>
        <v/>
      </c>
      <c r="H48" s="30" t="n"/>
      <c r="I48" s="11">
        <f>IF(設定!$G$22="","",設定!$G$22&amp;"（"&amp;COUNTIF(振り分け!$I$3:$I$302,設定!$G$22)&amp;"名）")</f>
        <v/>
      </c>
      <c r="J48" s="30" t="n"/>
      <c r="K48" s="11">
        <f>IF(設定!$G$23="","",設定!$G$23&amp;"（"&amp;COUNTIF(振り分け!$I$3:$I$302,設定!$G$23)&amp;"名）")</f>
        <v/>
      </c>
      <c r="L48" s="30" t="n"/>
      <c r="M48" s="11">
        <f>IF(設定!$G$24="","",設定!$G$24&amp;"（"&amp;COUNTIF(振り分け!$I$3:$I$302,設定!$G$24)&amp;"名）")</f>
        <v/>
      </c>
      <c r="N48" s="30" t="n"/>
      <c r="O48" s="11">
        <f>IF(設定!$G$25="","",設定!$G$25&amp;"（"&amp;COUNTIF(振り分け!$I$3:$I$302,設定!$G$25)&amp;"名）")</f>
        <v/>
      </c>
      <c r="P48" s="30" t="n"/>
      <c r="Q48" s="11">
        <f>IF(設定!$G$26="","",設定!$G$26&amp;"（"&amp;COUNTIF(振り分け!$I$3:$I$302,設定!$G$26)&amp;"名）")</f>
        <v/>
      </c>
      <c r="R48" s="30" t="n"/>
      <c r="S48" s="11">
        <f>IF(設定!$G$27="","",設定!$G$27&amp;"（"&amp;COUNTIF(振り分け!$I$3:$I$302,設定!$G$27)&amp;"名）")</f>
        <v/>
      </c>
      <c r="T48" s="30" t="n"/>
    </row>
    <row r="49">
      <c r="A49" s="31">
        <f>IF(設定!$G$18="","","担当："&amp;設定!$J$18)</f>
        <v/>
      </c>
      <c r="B49" s="30" t="n"/>
      <c r="C49" s="31">
        <f>IF(設定!$G$19="","","担当："&amp;設定!$J$19)</f>
        <v/>
      </c>
      <c r="D49" s="30" t="n"/>
      <c r="E49" s="31">
        <f>IF(設定!$G$20="","","担当："&amp;設定!$J$20)</f>
        <v/>
      </c>
      <c r="F49" s="30" t="n"/>
      <c r="G49" s="31">
        <f>IF(設定!$G$21="","","担当："&amp;設定!$J$21)</f>
        <v/>
      </c>
      <c r="H49" s="30" t="n"/>
      <c r="I49" s="31">
        <f>IF(設定!$G$22="","","担当："&amp;設定!$J$22)</f>
        <v/>
      </c>
      <c r="J49" s="30" t="n"/>
      <c r="K49" s="31">
        <f>IF(設定!$G$23="","","担当："&amp;設定!$J$23)</f>
        <v/>
      </c>
      <c r="L49" s="30" t="n"/>
      <c r="M49" s="31">
        <f>IF(設定!$G$24="","","担当："&amp;設定!$J$24)</f>
        <v/>
      </c>
      <c r="N49" s="30" t="n"/>
      <c r="O49" s="31">
        <f>IF(設定!$G$25="","","担当："&amp;設定!$J$25)</f>
        <v/>
      </c>
      <c r="P49" s="30" t="n"/>
      <c r="Q49" s="31">
        <f>IF(設定!$G$26="","","担当："&amp;設定!$J$26)</f>
        <v/>
      </c>
      <c r="R49" s="30" t="n"/>
      <c r="S49" s="31">
        <f>IF(設定!$G$27="","","担当："&amp;設定!$J$27)</f>
        <v/>
      </c>
      <c r="T49" s="30" t="n"/>
    </row>
    <row r="50">
      <c r="A50" s="31">
        <f>IF(設定!$G$18="","","場所："&amp;設定!$K$18)</f>
        <v/>
      </c>
      <c r="B50" s="30" t="n"/>
      <c r="C50" s="31">
        <f>IF(設定!$G$19="","","場所："&amp;設定!$K$19)</f>
        <v/>
      </c>
      <c r="D50" s="30" t="n"/>
      <c r="E50" s="31">
        <f>IF(設定!$G$20="","","場所："&amp;設定!$K$20)</f>
        <v/>
      </c>
      <c r="F50" s="30" t="n"/>
      <c r="G50" s="31">
        <f>IF(設定!$G$21="","","場所："&amp;設定!$K$21)</f>
        <v/>
      </c>
      <c r="H50" s="30" t="n"/>
      <c r="I50" s="31">
        <f>IF(設定!$G$22="","","場所："&amp;設定!$K$22)</f>
        <v/>
      </c>
      <c r="J50" s="30" t="n"/>
      <c r="K50" s="31">
        <f>IF(設定!$G$23="","","場所："&amp;設定!$K$23)</f>
        <v/>
      </c>
      <c r="L50" s="30" t="n"/>
      <c r="M50" s="31">
        <f>IF(設定!$G$24="","","場所："&amp;設定!$K$24)</f>
        <v/>
      </c>
      <c r="N50" s="30" t="n"/>
      <c r="O50" s="31">
        <f>IF(設定!$G$25="","","場所："&amp;設定!$K$25)</f>
        <v/>
      </c>
      <c r="P50" s="30" t="n"/>
      <c r="Q50" s="31">
        <f>IF(設定!$G$26="","","場所："&amp;設定!$K$26)</f>
        <v/>
      </c>
      <c r="R50" s="30" t="n"/>
      <c r="S50" s="31">
        <f>IF(設定!$G$27="","","場所："&amp;設定!$K$27)</f>
        <v/>
      </c>
      <c r="T50" s="30" t="n"/>
    </row>
    <row r="51">
      <c r="A51" s="32" t="inlineStr">
        <is>
          <t>組</t>
        </is>
      </c>
      <c r="B51" s="32" t="inlineStr">
        <is>
          <t>名前</t>
        </is>
      </c>
      <c r="C51" s="32" t="inlineStr">
        <is>
          <t>組</t>
        </is>
      </c>
      <c r="D51" s="32" t="inlineStr">
        <is>
          <t>名前</t>
        </is>
      </c>
      <c r="E51" s="32" t="inlineStr">
        <is>
          <t>組</t>
        </is>
      </c>
      <c r="F51" s="32" t="inlineStr">
        <is>
          <t>名前</t>
        </is>
      </c>
      <c r="G51" s="32" t="inlineStr">
        <is>
          <t>組</t>
        </is>
      </c>
      <c r="H51" s="32" t="inlineStr">
        <is>
          <t>名前</t>
        </is>
      </c>
      <c r="I51" s="32" t="inlineStr">
        <is>
          <t>組</t>
        </is>
      </c>
      <c r="J51" s="32" t="inlineStr">
        <is>
          <t>名前</t>
        </is>
      </c>
      <c r="K51" s="32" t="inlineStr">
        <is>
          <t>組</t>
        </is>
      </c>
      <c r="L51" s="32" t="inlineStr">
        <is>
          <t>名前</t>
        </is>
      </c>
      <c r="M51" s="32" t="inlineStr">
        <is>
          <t>組</t>
        </is>
      </c>
      <c r="N51" s="32" t="inlineStr">
        <is>
          <t>名前</t>
        </is>
      </c>
      <c r="O51" s="32" t="inlineStr">
        <is>
          <t>組</t>
        </is>
      </c>
      <c r="P51" s="32" t="inlineStr">
        <is>
          <t>名前</t>
        </is>
      </c>
      <c r="Q51" s="32" t="inlineStr">
        <is>
          <t>組</t>
        </is>
      </c>
      <c r="R51" s="32" t="inlineStr">
        <is>
          <t>名前</t>
        </is>
      </c>
      <c r="S51" s="32" t="inlineStr">
        <is>
          <t>組</t>
        </is>
      </c>
      <c r="T51" s="32" t="inlineStr">
        <is>
          <t>名前</t>
        </is>
      </c>
    </row>
    <row r="52">
      <c r="A52" s="31">
        <f>IF(計算用!$K$2="","",INDEX(振り分け!$A$3:$A$302,計算用!$K$2))</f>
        <v/>
      </c>
      <c r="B52" s="33">
        <f>IF(計算用!$K$2="","",INDEX(振り分け!$C$3:$C$302,計算用!$K$2))</f>
        <v/>
      </c>
      <c r="C52" s="31">
        <f>IF(計算用!$L$2="","",INDEX(振り分け!$A$3:$A$302,計算用!$L$2))</f>
        <v/>
      </c>
      <c r="D52" s="33">
        <f>IF(計算用!$L$2="","",INDEX(振り分け!$C$3:$C$302,計算用!$L$2))</f>
        <v/>
      </c>
      <c r="E52" s="31">
        <f>IF(計算用!$M$2="","",INDEX(振り分け!$A$3:$A$302,計算用!$M$2))</f>
        <v/>
      </c>
      <c r="F52" s="33">
        <f>IF(計算用!$M$2="","",INDEX(振り分け!$C$3:$C$302,計算用!$M$2))</f>
        <v/>
      </c>
      <c r="G52" s="31">
        <f>IF(計算用!$N$2="","",INDEX(振り分け!$A$3:$A$302,計算用!$N$2))</f>
        <v/>
      </c>
      <c r="H52" s="33">
        <f>IF(計算用!$N$2="","",INDEX(振り分け!$C$3:$C$302,計算用!$N$2))</f>
        <v/>
      </c>
      <c r="I52" s="31">
        <f>IF(計算用!$O$2="","",INDEX(振り分け!$A$3:$A$302,計算用!$O$2))</f>
        <v/>
      </c>
      <c r="J52" s="33">
        <f>IF(計算用!$O$2="","",INDEX(振り分け!$C$3:$C$302,計算用!$O$2))</f>
        <v/>
      </c>
      <c r="K52" s="31">
        <f>IF(計算用!$P$2="","",INDEX(振り分け!$A$3:$A$302,計算用!$P$2))</f>
        <v/>
      </c>
      <c r="L52" s="33">
        <f>IF(計算用!$P$2="","",INDEX(振り分け!$C$3:$C$302,計算用!$P$2))</f>
        <v/>
      </c>
      <c r="M52" s="31">
        <f>IF(計算用!$Q$2="","",INDEX(振り分け!$A$3:$A$302,計算用!$Q$2))</f>
        <v/>
      </c>
      <c r="N52" s="33">
        <f>IF(計算用!$Q$2="","",INDEX(振り分け!$C$3:$C$302,計算用!$Q$2))</f>
        <v/>
      </c>
      <c r="O52" s="31">
        <f>IF(計算用!$R$2="","",INDEX(振り分け!$A$3:$A$302,計算用!$R$2))</f>
        <v/>
      </c>
      <c r="P52" s="33">
        <f>IF(計算用!$R$2="","",INDEX(振り分け!$C$3:$C$302,計算用!$R$2))</f>
        <v/>
      </c>
      <c r="Q52" s="31">
        <f>IF(計算用!$S$2="","",INDEX(振り分け!$A$3:$A$302,計算用!$S$2))</f>
        <v/>
      </c>
      <c r="R52" s="33">
        <f>IF(計算用!$S$2="","",INDEX(振り分け!$C$3:$C$302,計算用!$S$2))</f>
        <v/>
      </c>
      <c r="S52" s="31">
        <f>IF(計算用!$T$2="","",INDEX(振り分け!$A$3:$A$302,計算用!$T$2))</f>
        <v/>
      </c>
      <c r="T52" s="33">
        <f>IF(計算用!$T$2="","",INDEX(振り分け!$C$3:$C$302,計算用!$T$2))</f>
        <v/>
      </c>
    </row>
    <row r="53">
      <c r="A53" s="31">
        <f>IF(計算用!$K$3="","",INDEX(振り分け!$A$3:$A$302,計算用!$K$3))</f>
        <v/>
      </c>
      <c r="B53" s="33">
        <f>IF(計算用!$K$3="","",INDEX(振り分け!$C$3:$C$302,計算用!$K$3))</f>
        <v/>
      </c>
      <c r="C53" s="31">
        <f>IF(計算用!$L$3="","",INDEX(振り分け!$A$3:$A$302,計算用!$L$3))</f>
        <v/>
      </c>
      <c r="D53" s="33">
        <f>IF(計算用!$L$3="","",INDEX(振り分け!$C$3:$C$302,計算用!$L$3))</f>
        <v/>
      </c>
      <c r="E53" s="31">
        <f>IF(計算用!$M$3="","",INDEX(振り分け!$A$3:$A$302,計算用!$M$3))</f>
        <v/>
      </c>
      <c r="F53" s="33">
        <f>IF(計算用!$M$3="","",INDEX(振り分け!$C$3:$C$302,計算用!$M$3))</f>
        <v/>
      </c>
      <c r="G53" s="31">
        <f>IF(計算用!$N$3="","",INDEX(振り分け!$A$3:$A$302,計算用!$N$3))</f>
        <v/>
      </c>
      <c r="H53" s="33">
        <f>IF(計算用!$N$3="","",INDEX(振り分け!$C$3:$C$302,計算用!$N$3))</f>
        <v/>
      </c>
      <c r="I53" s="31">
        <f>IF(計算用!$O$3="","",INDEX(振り分け!$A$3:$A$302,計算用!$O$3))</f>
        <v/>
      </c>
      <c r="J53" s="33">
        <f>IF(計算用!$O$3="","",INDEX(振り分け!$C$3:$C$302,計算用!$O$3))</f>
        <v/>
      </c>
      <c r="K53" s="31">
        <f>IF(計算用!$P$3="","",INDEX(振り分け!$A$3:$A$302,計算用!$P$3))</f>
        <v/>
      </c>
      <c r="L53" s="33">
        <f>IF(計算用!$P$3="","",INDEX(振り分け!$C$3:$C$302,計算用!$P$3))</f>
        <v/>
      </c>
      <c r="M53" s="31">
        <f>IF(計算用!$Q$3="","",INDEX(振り分け!$A$3:$A$302,計算用!$Q$3))</f>
        <v/>
      </c>
      <c r="N53" s="33">
        <f>IF(計算用!$Q$3="","",INDEX(振り分け!$C$3:$C$302,計算用!$Q$3))</f>
        <v/>
      </c>
      <c r="O53" s="31">
        <f>IF(計算用!$R$3="","",INDEX(振り分け!$A$3:$A$302,計算用!$R$3))</f>
        <v/>
      </c>
      <c r="P53" s="33">
        <f>IF(計算用!$R$3="","",INDEX(振り分け!$C$3:$C$302,計算用!$R$3))</f>
        <v/>
      </c>
      <c r="Q53" s="31">
        <f>IF(計算用!$S$3="","",INDEX(振り分け!$A$3:$A$302,計算用!$S$3))</f>
        <v/>
      </c>
      <c r="R53" s="33">
        <f>IF(計算用!$S$3="","",INDEX(振り分け!$C$3:$C$302,計算用!$S$3))</f>
        <v/>
      </c>
      <c r="S53" s="31">
        <f>IF(計算用!$T$3="","",INDEX(振り分け!$A$3:$A$302,計算用!$T$3))</f>
        <v/>
      </c>
      <c r="T53" s="33">
        <f>IF(計算用!$T$3="","",INDEX(振り分け!$C$3:$C$302,計算用!$T$3))</f>
        <v/>
      </c>
    </row>
    <row r="54">
      <c r="A54" s="31">
        <f>IF(計算用!$K$4="","",INDEX(振り分け!$A$3:$A$302,計算用!$K$4))</f>
        <v/>
      </c>
      <c r="B54" s="33">
        <f>IF(計算用!$K$4="","",INDEX(振り分け!$C$3:$C$302,計算用!$K$4))</f>
        <v/>
      </c>
      <c r="C54" s="31">
        <f>IF(計算用!$L$4="","",INDEX(振り分け!$A$3:$A$302,計算用!$L$4))</f>
        <v/>
      </c>
      <c r="D54" s="33">
        <f>IF(計算用!$L$4="","",INDEX(振り分け!$C$3:$C$302,計算用!$L$4))</f>
        <v/>
      </c>
      <c r="E54" s="31">
        <f>IF(計算用!$M$4="","",INDEX(振り分け!$A$3:$A$302,計算用!$M$4))</f>
        <v/>
      </c>
      <c r="F54" s="33">
        <f>IF(計算用!$M$4="","",INDEX(振り分け!$C$3:$C$302,計算用!$M$4))</f>
        <v/>
      </c>
      <c r="G54" s="31">
        <f>IF(計算用!$N$4="","",INDEX(振り分け!$A$3:$A$302,計算用!$N$4))</f>
        <v/>
      </c>
      <c r="H54" s="33">
        <f>IF(計算用!$N$4="","",INDEX(振り分け!$C$3:$C$302,計算用!$N$4))</f>
        <v/>
      </c>
      <c r="I54" s="31">
        <f>IF(計算用!$O$4="","",INDEX(振り分け!$A$3:$A$302,計算用!$O$4))</f>
        <v/>
      </c>
      <c r="J54" s="33">
        <f>IF(計算用!$O$4="","",INDEX(振り分け!$C$3:$C$302,計算用!$O$4))</f>
        <v/>
      </c>
      <c r="K54" s="31">
        <f>IF(計算用!$P$4="","",INDEX(振り分け!$A$3:$A$302,計算用!$P$4))</f>
        <v/>
      </c>
      <c r="L54" s="33">
        <f>IF(計算用!$P$4="","",INDEX(振り分け!$C$3:$C$302,計算用!$P$4))</f>
        <v/>
      </c>
      <c r="M54" s="31">
        <f>IF(計算用!$Q$4="","",INDEX(振り分け!$A$3:$A$302,計算用!$Q$4))</f>
        <v/>
      </c>
      <c r="N54" s="33">
        <f>IF(計算用!$Q$4="","",INDEX(振り分け!$C$3:$C$302,計算用!$Q$4))</f>
        <v/>
      </c>
      <c r="O54" s="31">
        <f>IF(計算用!$R$4="","",INDEX(振り分け!$A$3:$A$302,計算用!$R$4))</f>
        <v/>
      </c>
      <c r="P54" s="33">
        <f>IF(計算用!$R$4="","",INDEX(振り分け!$C$3:$C$302,計算用!$R$4))</f>
        <v/>
      </c>
      <c r="Q54" s="31">
        <f>IF(計算用!$S$4="","",INDEX(振り分け!$A$3:$A$302,計算用!$S$4))</f>
        <v/>
      </c>
      <c r="R54" s="33">
        <f>IF(計算用!$S$4="","",INDEX(振り分け!$C$3:$C$302,計算用!$S$4))</f>
        <v/>
      </c>
      <c r="S54" s="31">
        <f>IF(計算用!$T$4="","",INDEX(振り分け!$A$3:$A$302,計算用!$T$4))</f>
        <v/>
      </c>
      <c r="T54" s="33">
        <f>IF(計算用!$T$4="","",INDEX(振り分け!$C$3:$C$302,計算用!$T$4))</f>
        <v/>
      </c>
    </row>
    <row r="55">
      <c r="A55" s="31">
        <f>IF(計算用!$K$5="","",INDEX(振り分け!$A$3:$A$302,計算用!$K$5))</f>
        <v/>
      </c>
      <c r="B55" s="33">
        <f>IF(計算用!$K$5="","",INDEX(振り分け!$C$3:$C$302,計算用!$K$5))</f>
        <v/>
      </c>
      <c r="C55" s="31">
        <f>IF(計算用!$L$5="","",INDEX(振り分け!$A$3:$A$302,計算用!$L$5))</f>
        <v/>
      </c>
      <c r="D55" s="33">
        <f>IF(計算用!$L$5="","",INDEX(振り分け!$C$3:$C$302,計算用!$L$5))</f>
        <v/>
      </c>
      <c r="E55" s="31">
        <f>IF(計算用!$M$5="","",INDEX(振り分け!$A$3:$A$302,計算用!$M$5))</f>
        <v/>
      </c>
      <c r="F55" s="33">
        <f>IF(計算用!$M$5="","",INDEX(振り分け!$C$3:$C$302,計算用!$M$5))</f>
        <v/>
      </c>
      <c r="G55" s="31">
        <f>IF(計算用!$N$5="","",INDEX(振り分け!$A$3:$A$302,計算用!$N$5))</f>
        <v/>
      </c>
      <c r="H55" s="33">
        <f>IF(計算用!$N$5="","",INDEX(振り分け!$C$3:$C$302,計算用!$N$5))</f>
        <v/>
      </c>
      <c r="I55" s="31">
        <f>IF(計算用!$O$5="","",INDEX(振り分け!$A$3:$A$302,計算用!$O$5))</f>
        <v/>
      </c>
      <c r="J55" s="33">
        <f>IF(計算用!$O$5="","",INDEX(振り分け!$C$3:$C$302,計算用!$O$5))</f>
        <v/>
      </c>
      <c r="K55" s="31">
        <f>IF(計算用!$P$5="","",INDEX(振り分け!$A$3:$A$302,計算用!$P$5))</f>
        <v/>
      </c>
      <c r="L55" s="33">
        <f>IF(計算用!$P$5="","",INDEX(振り分け!$C$3:$C$302,計算用!$P$5))</f>
        <v/>
      </c>
      <c r="M55" s="31">
        <f>IF(計算用!$Q$5="","",INDEX(振り分け!$A$3:$A$302,計算用!$Q$5))</f>
        <v/>
      </c>
      <c r="N55" s="33">
        <f>IF(計算用!$Q$5="","",INDEX(振り分け!$C$3:$C$302,計算用!$Q$5))</f>
        <v/>
      </c>
      <c r="O55" s="31">
        <f>IF(計算用!$R$5="","",INDEX(振り分け!$A$3:$A$302,計算用!$R$5))</f>
        <v/>
      </c>
      <c r="P55" s="33">
        <f>IF(計算用!$R$5="","",INDEX(振り分け!$C$3:$C$302,計算用!$R$5))</f>
        <v/>
      </c>
      <c r="Q55" s="31">
        <f>IF(計算用!$S$5="","",INDEX(振り分け!$A$3:$A$302,計算用!$S$5))</f>
        <v/>
      </c>
      <c r="R55" s="33">
        <f>IF(計算用!$S$5="","",INDEX(振り分け!$C$3:$C$302,計算用!$S$5))</f>
        <v/>
      </c>
      <c r="S55" s="31">
        <f>IF(計算用!$T$5="","",INDEX(振り分け!$A$3:$A$302,計算用!$T$5))</f>
        <v/>
      </c>
      <c r="T55" s="33">
        <f>IF(計算用!$T$5="","",INDEX(振り分け!$C$3:$C$302,計算用!$T$5))</f>
        <v/>
      </c>
    </row>
    <row r="56">
      <c r="A56" s="31">
        <f>IF(計算用!$K$6="","",INDEX(振り分け!$A$3:$A$302,計算用!$K$6))</f>
        <v/>
      </c>
      <c r="B56" s="33">
        <f>IF(計算用!$K$6="","",INDEX(振り分け!$C$3:$C$302,計算用!$K$6))</f>
        <v/>
      </c>
      <c r="C56" s="31">
        <f>IF(計算用!$L$6="","",INDEX(振り分け!$A$3:$A$302,計算用!$L$6))</f>
        <v/>
      </c>
      <c r="D56" s="33">
        <f>IF(計算用!$L$6="","",INDEX(振り分け!$C$3:$C$302,計算用!$L$6))</f>
        <v/>
      </c>
      <c r="E56" s="31">
        <f>IF(計算用!$M$6="","",INDEX(振り分け!$A$3:$A$302,計算用!$M$6))</f>
        <v/>
      </c>
      <c r="F56" s="33">
        <f>IF(計算用!$M$6="","",INDEX(振り分け!$C$3:$C$302,計算用!$M$6))</f>
        <v/>
      </c>
      <c r="G56" s="31">
        <f>IF(計算用!$N$6="","",INDEX(振り分け!$A$3:$A$302,計算用!$N$6))</f>
        <v/>
      </c>
      <c r="H56" s="33">
        <f>IF(計算用!$N$6="","",INDEX(振り分け!$C$3:$C$302,計算用!$N$6))</f>
        <v/>
      </c>
      <c r="I56" s="31">
        <f>IF(計算用!$O$6="","",INDEX(振り分け!$A$3:$A$302,計算用!$O$6))</f>
        <v/>
      </c>
      <c r="J56" s="33">
        <f>IF(計算用!$O$6="","",INDEX(振り分け!$C$3:$C$302,計算用!$O$6))</f>
        <v/>
      </c>
      <c r="K56" s="31">
        <f>IF(計算用!$P$6="","",INDEX(振り分け!$A$3:$A$302,計算用!$P$6))</f>
        <v/>
      </c>
      <c r="L56" s="33">
        <f>IF(計算用!$P$6="","",INDEX(振り分け!$C$3:$C$302,計算用!$P$6))</f>
        <v/>
      </c>
      <c r="M56" s="31">
        <f>IF(計算用!$Q$6="","",INDEX(振り分け!$A$3:$A$302,計算用!$Q$6))</f>
        <v/>
      </c>
      <c r="N56" s="33">
        <f>IF(計算用!$Q$6="","",INDEX(振り分け!$C$3:$C$302,計算用!$Q$6))</f>
        <v/>
      </c>
      <c r="O56" s="31">
        <f>IF(計算用!$R$6="","",INDEX(振り分け!$A$3:$A$302,計算用!$R$6))</f>
        <v/>
      </c>
      <c r="P56" s="33">
        <f>IF(計算用!$R$6="","",INDEX(振り分け!$C$3:$C$302,計算用!$R$6))</f>
        <v/>
      </c>
      <c r="Q56" s="31">
        <f>IF(計算用!$S$6="","",INDEX(振り分け!$A$3:$A$302,計算用!$S$6))</f>
        <v/>
      </c>
      <c r="R56" s="33">
        <f>IF(計算用!$S$6="","",INDEX(振り分け!$C$3:$C$302,計算用!$S$6))</f>
        <v/>
      </c>
      <c r="S56" s="31">
        <f>IF(計算用!$T$6="","",INDEX(振り分け!$A$3:$A$302,計算用!$T$6))</f>
        <v/>
      </c>
      <c r="T56" s="33">
        <f>IF(計算用!$T$6="","",INDEX(振り分け!$C$3:$C$302,計算用!$T$6))</f>
        <v/>
      </c>
    </row>
    <row r="57">
      <c r="A57" s="31">
        <f>IF(計算用!$K$7="","",INDEX(振り分け!$A$3:$A$302,計算用!$K$7))</f>
        <v/>
      </c>
      <c r="B57" s="33">
        <f>IF(計算用!$K$7="","",INDEX(振り分け!$C$3:$C$302,計算用!$K$7))</f>
        <v/>
      </c>
      <c r="C57" s="31">
        <f>IF(計算用!$L$7="","",INDEX(振り分け!$A$3:$A$302,計算用!$L$7))</f>
        <v/>
      </c>
      <c r="D57" s="33">
        <f>IF(計算用!$L$7="","",INDEX(振り分け!$C$3:$C$302,計算用!$L$7))</f>
        <v/>
      </c>
      <c r="E57" s="31">
        <f>IF(計算用!$M$7="","",INDEX(振り分け!$A$3:$A$302,計算用!$M$7))</f>
        <v/>
      </c>
      <c r="F57" s="33">
        <f>IF(計算用!$M$7="","",INDEX(振り分け!$C$3:$C$302,計算用!$M$7))</f>
        <v/>
      </c>
      <c r="G57" s="31">
        <f>IF(計算用!$N$7="","",INDEX(振り分け!$A$3:$A$302,計算用!$N$7))</f>
        <v/>
      </c>
      <c r="H57" s="33">
        <f>IF(計算用!$N$7="","",INDEX(振り分け!$C$3:$C$302,計算用!$N$7))</f>
        <v/>
      </c>
      <c r="I57" s="31">
        <f>IF(計算用!$O$7="","",INDEX(振り分け!$A$3:$A$302,計算用!$O$7))</f>
        <v/>
      </c>
      <c r="J57" s="33">
        <f>IF(計算用!$O$7="","",INDEX(振り分け!$C$3:$C$302,計算用!$O$7))</f>
        <v/>
      </c>
      <c r="K57" s="31">
        <f>IF(計算用!$P$7="","",INDEX(振り分け!$A$3:$A$302,計算用!$P$7))</f>
        <v/>
      </c>
      <c r="L57" s="33">
        <f>IF(計算用!$P$7="","",INDEX(振り分け!$C$3:$C$302,計算用!$P$7))</f>
        <v/>
      </c>
      <c r="M57" s="31">
        <f>IF(計算用!$Q$7="","",INDEX(振り分け!$A$3:$A$302,計算用!$Q$7))</f>
        <v/>
      </c>
      <c r="N57" s="33">
        <f>IF(計算用!$Q$7="","",INDEX(振り分け!$C$3:$C$302,計算用!$Q$7))</f>
        <v/>
      </c>
      <c r="O57" s="31">
        <f>IF(計算用!$R$7="","",INDEX(振り分け!$A$3:$A$302,計算用!$R$7))</f>
        <v/>
      </c>
      <c r="P57" s="33">
        <f>IF(計算用!$R$7="","",INDEX(振り分け!$C$3:$C$302,計算用!$R$7))</f>
        <v/>
      </c>
      <c r="Q57" s="31">
        <f>IF(計算用!$S$7="","",INDEX(振り分け!$A$3:$A$302,計算用!$S$7))</f>
        <v/>
      </c>
      <c r="R57" s="33">
        <f>IF(計算用!$S$7="","",INDEX(振り分け!$C$3:$C$302,計算用!$S$7))</f>
        <v/>
      </c>
      <c r="S57" s="31">
        <f>IF(計算用!$T$7="","",INDEX(振り分け!$A$3:$A$302,計算用!$T$7))</f>
        <v/>
      </c>
      <c r="T57" s="33">
        <f>IF(計算用!$T$7="","",INDEX(振り分け!$C$3:$C$302,計算用!$T$7))</f>
        <v/>
      </c>
    </row>
    <row r="58">
      <c r="A58" s="31">
        <f>IF(計算用!$K$8="","",INDEX(振り分け!$A$3:$A$302,計算用!$K$8))</f>
        <v/>
      </c>
      <c r="B58" s="33">
        <f>IF(計算用!$K$8="","",INDEX(振り分け!$C$3:$C$302,計算用!$K$8))</f>
        <v/>
      </c>
      <c r="C58" s="31">
        <f>IF(計算用!$L$8="","",INDEX(振り分け!$A$3:$A$302,計算用!$L$8))</f>
        <v/>
      </c>
      <c r="D58" s="33">
        <f>IF(計算用!$L$8="","",INDEX(振り分け!$C$3:$C$302,計算用!$L$8))</f>
        <v/>
      </c>
      <c r="E58" s="31">
        <f>IF(計算用!$M$8="","",INDEX(振り分け!$A$3:$A$302,計算用!$M$8))</f>
        <v/>
      </c>
      <c r="F58" s="33">
        <f>IF(計算用!$M$8="","",INDEX(振り分け!$C$3:$C$302,計算用!$M$8))</f>
        <v/>
      </c>
      <c r="G58" s="31">
        <f>IF(計算用!$N$8="","",INDEX(振り分け!$A$3:$A$302,計算用!$N$8))</f>
        <v/>
      </c>
      <c r="H58" s="33">
        <f>IF(計算用!$N$8="","",INDEX(振り分け!$C$3:$C$302,計算用!$N$8))</f>
        <v/>
      </c>
      <c r="I58" s="31">
        <f>IF(計算用!$O$8="","",INDEX(振り分け!$A$3:$A$302,計算用!$O$8))</f>
        <v/>
      </c>
      <c r="J58" s="33">
        <f>IF(計算用!$O$8="","",INDEX(振り分け!$C$3:$C$302,計算用!$O$8))</f>
        <v/>
      </c>
      <c r="K58" s="31">
        <f>IF(計算用!$P$8="","",INDEX(振り分け!$A$3:$A$302,計算用!$P$8))</f>
        <v/>
      </c>
      <c r="L58" s="33">
        <f>IF(計算用!$P$8="","",INDEX(振り分け!$C$3:$C$302,計算用!$P$8))</f>
        <v/>
      </c>
      <c r="M58" s="31">
        <f>IF(計算用!$Q$8="","",INDEX(振り分け!$A$3:$A$302,計算用!$Q$8))</f>
        <v/>
      </c>
      <c r="N58" s="33">
        <f>IF(計算用!$Q$8="","",INDEX(振り分け!$C$3:$C$302,計算用!$Q$8))</f>
        <v/>
      </c>
      <c r="O58" s="31">
        <f>IF(計算用!$R$8="","",INDEX(振り分け!$A$3:$A$302,計算用!$R$8))</f>
        <v/>
      </c>
      <c r="P58" s="33">
        <f>IF(計算用!$R$8="","",INDEX(振り分け!$C$3:$C$302,計算用!$R$8))</f>
        <v/>
      </c>
      <c r="Q58" s="31">
        <f>IF(計算用!$S$8="","",INDEX(振り分け!$A$3:$A$302,計算用!$S$8))</f>
        <v/>
      </c>
      <c r="R58" s="33">
        <f>IF(計算用!$S$8="","",INDEX(振り分け!$C$3:$C$302,計算用!$S$8))</f>
        <v/>
      </c>
      <c r="S58" s="31">
        <f>IF(計算用!$T$8="","",INDEX(振り分け!$A$3:$A$302,計算用!$T$8))</f>
        <v/>
      </c>
      <c r="T58" s="33">
        <f>IF(計算用!$T$8="","",INDEX(振り分け!$C$3:$C$302,計算用!$T$8))</f>
        <v/>
      </c>
    </row>
    <row r="59">
      <c r="A59" s="31">
        <f>IF(計算用!$K$9="","",INDEX(振り分け!$A$3:$A$302,計算用!$K$9))</f>
        <v/>
      </c>
      <c r="B59" s="33">
        <f>IF(計算用!$K$9="","",INDEX(振り分け!$C$3:$C$302,計算用!$K$9))</f>
        <v/>
      </c>
      <c r="C59" s="31">
        <f>IF(計算用!$L$9="","",INDEX(振り分け!$A$3:$A$302,計算用!$L$9))</f>
        <v/>
      </c>
      <c r="D59" s="33">
        <f>IF(計算用!$L$9="","",INDEX(振り分け!$C$3:$C$302,計算用!$L$9))</f>
        <v/>
      </c>
      <c r="E59" s="31">
        <f>IF(計算用!$M$9="","",INDEX(振り分け!$A$3:$A$302,計算用!$M$9))</f>
        <v/>
      </c>
      <c r="F59" s="33">
        <f>IF(計算用!$M$9="","",INDEX(振り分け!$C$3:$C$302,計算用!$M$9))</f>
        <v/>
      </c>
      <c r="G59" s="31">
        <f>IF(計算用!$N$9="","",INDEX(振り分け!$A$3:$A$302,計算用!$N$9))</f>
        <v/>
      </c>
      <c r="H59" s="33">
        <f>IF(計算用!$N$9="","",INDEX(振り分け!$C$3:$C$302,計算用!$N$9))</f>
        <v/>
      </c>
      <c r="I59" s="31">
        <f>IF(計算用!$O$9="","",INDEX(振り分け!$A$3:$A$302,計算用!$O$9))</f>
        <v/>
      </c>
      <c r="J59" s="33">
        <f>IF(計算用!$O$9="","",INDEX(振り分け!$C$3:$C$302,計算用!$O$9))</f>
        <v/>
      </c>
      <c r="K59" s="31">
        <f>IF(計算用!$P$9="","",INDEX(振り分け!$A$3:$A$302,計算用!$P$9))</f>
        <v/>
      </c>
      <c r="L59" s="33">
        <f>IF(計算用!$P$9="","",INDEX(振り分け!$C$3:$C$302,計算用!$P$9))</f>
        <v/>
      </c>
      <c r="M59" s="31">
        <f>IF(計算用!$Q$9="","",INDEX(振り分け!$A$3:$A$302,計算用!$Q$9))</f>
        <v/>
      </c>
      <c r="N59" s="33">
        <f>IF(計算用!$Q$9="","",INDEX(振り分け!$C$3:$C$302,計算用!$Q$9))</f>
        <v/>
      </c>
      <c r="O59" s="31">
        <f>IF(計算用!$R$9="","",INDEX(振り分け!$A$3:$A$302,計算用!$R$9))</f>
        <v/>
      </c>
      <c r="P59" s="33">
        <f>IF(計算用!$R$9="","",INDEX(振り分け!$C$3:$C$302,計算用!$R$9))</f>
        <v/>
      </c>
      <c r="Q59" s="31">
        <f>IF(計算用!$S$9="","",INDEX(振り分け!$A$3:$A$302,計算用!$S$9))</f>
        <v/>
      </c>
      <c r="R59" s="33">
        <f>IF(計算用!$S$9="","",INDEX(振り分け!$C$3:$C$302,計算用!$S$9))</f>
        <v/>
      </c>
      <c r="S59" s="31">
        <f>IF(計算用!$T$9="","",INDEX(振り分け!$A$3:$A$302,計算用!$T$9))</f>
        <v/>
      </c>
      <c r="T59" s="33">
        <f>IF(計算用!$T$9="","",INDEX(振り分け!$C$3:$C$302,計算用!$T$9))</f>
        <v/>
      </c>
    </row>
    <row r="60">
      <c r="A60" s="31">
        <f>IF(計算用!$K$10="","",INDEX(振り分け!$A$3:$A$302,計算用!$K$10))</f>
        <v/>
      </c>
      <c r="B60" s="33">
        <f>IF(計算用!$K$10="","",INDEX(振り分け!$C$3:$C$302,計算用!$K$10))</f>
        <v/>
      </c>
      <c r="C60" s="31">
        <f>IF(計算用!$L$10="","",INDEX(振り分け!$A$3:$A$302,計算用!$L$10))</f>
        <v/>
      </c>
      <c r="D60" s="33">
        <f>IF(計算用!$L$10="","",INDEX(振り分け!$C$3:$C$302,計算用!$L$10))</f>
        <v/>
      </c>
      <c r="E60" s="31">
        <f>IF(計算用!$M$10="","",INDEX(振り分け!$A$3:$A$302,計算用!$M$10))</f>
        <v/>
      </c>
      <c r="F60" s="33">
        <f>IF(計算用!$M$10="","",INDEX(振り分け!$C$3:$C$302,計算用!$M$10))</f>
        <v/>
      </c>
      <c r="G60" s="31">
        <f>IF(計算用!$N$10="","",INDEX(振り分け!$A$3:$A$302,計算用!$N$10))</f>
        <v/>
      </c>
      <c r="H60" s="33">
        <f>IF(計算用!$N$10="","",INDEX(振り分け!$C$3:$C$302,計算用!$N$10))</f>
        <v/>
      </c>
      <c r="I60" s="31">
        <f>IF(計算用!$O$10="","",INDEX(振り分け!$A$3:$A$302,計算用!$O$10))</f>
        <v/>
      </c>
      <c r="J60" s="33">
        <f>IF(計算用!$O$10="","",INDEX(振り分け!$C$3:$C$302,計算用!$O$10))</f>
        <v/>
      </c>
      <c r="K60" s="31">
        <f>IF(計算用!$P$10="","",INDEX(振り分け!$A$3:$A$302,計算用!$P$10))</f>
        <v/>
      </c>
      <c r="L60" s="33">
        <f>IF(計算用!$P$10="","",INDEX(振り分け!$C$3:$C$302,計算用!$P$10))</f>
        <v/>
      </c>
      <c r="M60" s="31">
        <f>IF(計算用!$Q$10="","",INDEX(振り分け!$A$3:$A$302,計算用!$Q$10))</f>
        <v/>
      </c>
      <c r="N60" s="33">
        <f>IF(計算用!$Q$10="","",INDEX(振り分け!$C$3:$C$302,計算用!$Q$10))</f>
        <v/>
      </c>
      <c r="O60" s="31">
        <f>IF(計算用!$R$10="","",INDEX(振り分け!$A$3:$A$302,計算用!$R$10))</f>
        <v/>
      </c>
      <c r="P60" s="33">
        <f>IF(計算用!$R$10="","",INDEX(振り分け!$C$3:$C$302,計算用!$R$10))</f>
        <v/>
      </c>
      <c r="Q60" s="31">
        <f>IF(計算用!$S$10="","",INDEX(振り分け!$A$3:$A$302,計算用!$S$10))</f>
        <v/>
      </c>
      <c r="R60" s="33">
        <f>IF(計算用!$S$10="","",INDEX(振り分け!$C$3:$C$302,計算用!$S$10))</f>
        <v/>
      </c>
      <c r="S60" s="31">
        <f>IF(計算用!$T$10="","",INDEX(振り分け!$A$3:$A$302,計算用!$T$10))</f>
        <v/>
      </c>
      <c r="T60" s="33">
        <f>IF(計算用!$T$10="","",INDEX(振り分け!$C$3:$C$302,計算用!$T$10))</f>
        <v/>
      </c>
    </row>
    <row r="61">
      <c r="A61" s="31">
        <f>IF(計算用!$K$11="","",INDEX(振り分け!$A$3:$A$302,計算用!$K$11))</f>
        <v/>
      </c>
      <c r="B61" s="33">
        <f>IF(計算用!$K$11="","",INDEX(振り分け!$C$3:$C$302,計算用!$K$11))</f>
        <v/>
      </c>
      <c r="C61" s="31">
        <f>IF(計算用!$L$11="","",INDEX(振り分け!$A$3:$A$302,計算用!$L$11))</f>
        <v/>
      </c>
      <c r="D61" s="33">
        <f>IF(計算用!$L$11="","",INDEX(振り分け!$C$3:$C$302,計算用!$L$11))</f>
        <v/>
      </c>
      <c r="E61" s="31">
        <f>IF(計算用!$M$11="","",INDEX(振り分け!$A$3:$A$302,計算用!$M$11))</f>
        <v/>
      </c>
      <c r="F61" s="33">
        <f>IF(計算用!$M$11="","",INDEX(振り分け!$C$3:$C$302,計算用!$M$11))</f>
        <v/>
      </c>
      <c r="G61" s="31">
        <f>IF(計算用!$N$11="","",INDEX(振り分け!$A$3:$A$302,計算用!$N$11))</f>
        <v/>
      </c>
      <c r="H61" s="33">
        <f>IF(計算用!$N$11="","",INDEX(振り分け!$C$3:$C$302,計算用!$N$11))</f>
        <v/>
      </c>
      <c r="I61" s="31">
        <f>IF(計算用!$O$11="","",INDEX(振り分け!$A$3:$A$302,計算用!$O$11))</f>
        <v/>
      </c>
      <c r="J61" s="33">
        <f>IF(計算用!$O$11="","",INDEX(振り分け!$C$3:$C$302,計算用!$O$11))</f>
        <v/>
      </c>
      <c r="K61" s="31">
        <f>IF(計算用!$P$11="","",INDEX(振り分け!$A$3:$A$302,計算用!$P$11))</f>
        <v/>
      </c>
      <c r="L61" s="33">
        <f>IF(計算用!$P$11="","",INDEX(振り分け!$C$3:$C$302,計算用!$P$11))</f>
        <v/>
      </c>
      <c r="M61" s="31">
        <f>IF(計算用!$Q$11="","",INDEX(振り分け!$A$3:$A$302,計算用!$Q$11))</f>
        <v/>
      </c>
      <c r="N61" s="33">
        <f>IF(計算用!$Q$11="","",INDEX(振り分け!$C$3:$C$302,計算用!$Q$11))</f>
        <v/>
      </c>
      <c r="O61" s="31">
        <f>IF(計算用!$R$11="","",INDEX(振り分け!$A$3:$A$302,計算用!$R$11))</f>
        <v/>
      </c>
      <c r="P61" s="33">
        <f>IF(計算用!$R$11="","",INDEX(振り分け!$C$3:$C$302,計算用!$R$11))</f>
        <v/>
      </c>
      <c r="Q61" s="31">
        <f>IF(計算用!$S$11="","",INDEX(振り分け!$A$3:$A$302,計算用!$S$11))</f>
        <v/>
      </c>
      <c r="R61" s="33">
        <f>IF(計算用!$S$11="","",INDEX(振り分け!$C$3:$C$302,計算用!$S$11))</f>
        <v/>
      </c>
      <c r="S61" s="31">
        <f>IF(計算用!$T$11="","",INDEX(振り分け!$A$3:$A$302,計算用!$T$11))</f>
        <v/>
      </c>
      <c r="T61" s="33">
        <f>IF(計算用!$T$11="","",INDEX(振り分け!$C$3:$C$302,計算用!$T$11))</f>
        <v/>
      </c>
    </row>
    <row r="62">
      <c r="A62" s="31">
        <f>IF(計算用!$K$12="","",INDEX(振り分け!$A$3:$A$302,計算用!$K$12))</f>
        <v/>
      </c>
      <c r="B62" s="33">
        <f>IF(計算用!$K$12="","",INDEX(振り分け!$C$3:$C$302,計算用!$K$12))</f>
        <v/>
      </c>
      <c r="C62" s="31">
        <f>IF(計算用!$L$12="","",INDEX(振り分け!$A$3:$A$302,計算用!$L$12))</f>
        <v/>
      </c>
      <c r="D62" s="33">
        <f>IF(計算用!$L$12="","",INDEX(振り分け!$C$3:$C$302,計算用!$L$12))</f>
        <v/>
      </c>
      <c r="E62" s="31">
        <f>IF(計算用!$M$12="","",INDEX(振り分け!$A$3:$A$302,計算用!$M$12))</f>
        <v/>
      </c>
      <c r="F62" s="33">
        <f>IF(計算用!$M$12="","",INDEX(振り分け!$C$3:$C$302,計算用!$M$12))</f>
        <v/>
      </c>
      <c r="G62" s="31">
        <f>IF(計算用!$N$12="","",INDEX(振り分け!$A$3:$A$302,計算用!$N$12))</f>
        <v/>
      </c>
      <c r="H62" s="33">
        <f>IF(計算用!$N$12="","",INDEX(振り分け!$C$3:$C$302,計算用!$N$12))</f>
        <v/>
      </c>
      <c r="I62" s="31">
        <f>IF(計算用!$O$12="","",INDEX(振り分け!$A$3:$A$302,計算用!$O$12))</f>
        <v/>
      </c>
      <c r="J62" s="33">
        <f>IF(計算用!$O$12="","",INDEX(振り分け!$C$3:$C$302,計算用!$O$12))</f>
        <v/>
      </c>
      <c r="K62" s="31">
        <f>IF(計算用!$P$12="","",INDEX(振り分け!$A$3:$A$302,計算用!$P$12))</f>
        <v/>
      </c>
      <c r="L62" s="33">
        <f>IF(計算用!$P$12="","",INDEX(振り分け!$C$3:$C$302,計算用!$P$12))</f>
        <v/>
      </c>
      <c r="M62" s="31">
        <f>IF(計算用!$Q$12="","",INDEX(振り分け!$A$3:$A$302,計算用!$Q$12))</f>
        <v/>
      </c>
      <c r="N62" s="33">
        <f>IF(計算用!$Q$12="","",INDEX(振り分け!$C$3:$C$302,計算用!$Q$12))</f>
        <v/>
      </c>
      <c r="O62" s="31">
        <f>IF(計算用!$R$12="","",INDEX(振り分け!$A$3:$A$302,計算用!$R$12))</f>
        <v/>
      </c>
      <c r="P62" s="33">
        <f>IF(計算用!$R$12="","",INDEX(振り分け!$C$3:$C$302,計算用!$R$12))</f>
        <v/>
      </c>
      <c r="Q62" s="31">
        <f>IF(計算用!$S$12="","",INDEX(振り分け!$A$3:$A$302,計算用!$S$12))</f>
        <v/>
      </c>
      <c r="R62" s="33">
        <f>IF(計算用!$S$12="","",INDEX(振り分け!$C$3:$C$302,計算用!$S$12))</f>
        <v/>
      </c>
      <c r="S62" s="31">
        <f>IF(計算用!$T$12="","",INDEX(振り分け!$A$3:$A$302,計算用!$T$12))</f>
        <v/>
      </c>
      <c r="T62" s="33">
        <f>IF(計算用!$T$12="","",INDEX(振り分け!$C$3:$C$302,計算用!$T$12))</f>
        <v/>
      </c>
    </row>
    <row r="63">
      <c r="A63" s="31">
        <f>IF(計算用!$K$13="","",INDEX(振り分け!$A$3:$A$302,計算用!$K$13))</f>
        <v/>
      </c>
      <c r="B63" s="33">
        <f>IF(計算用!$K$13="","",INDEX(振り分け!$C$3:$C$302,計算用!$K$13))</f>
        <v/>
      </c>
      <c r="C63" s="31">
        <f>IF(計算用!$L$13="","",INDEX(振り分け!$A$3:$A$302,計算用!$L$13))</f>
        <v/>
      </c>
      <c r="D63" s="33">
        <f>IF(計算用!$L$13="","",INDEX(振り分け!$C$3:$C$302,計算用!$L$13))</f>
        <v/>
      </c>
      <c r="E63" s="31">
        <f>IF(計算用!$M$13="","",INDEX(振り分け!$A$3:$A$302,計算用!$M$13))</f>
        <v/>
      </c>
      <c r="F63" s="33">
        <f>IF(計算用!$M$13="","",INDEX(振り分け!$C$3:$C$302,計算用!$M$13))</f>
        <v/>
      </c>
      <c r="G63" s="31">
        <f>IF(計算用!$N$13="","",INDEX(振り分け!$A$3:$A$302,計算用!$N$13))</f>
        <v/>
      </c>
      <c r="H63" s="33">
        <f>IF(計算用!$N$13="","",INDEX(振り分け!$C$3:$C$302,計算用!$N$13))</f>
        <v/>
      </c>
      <c r="I63" s="31">
        <f>IF(計算用!$O$13="","",INDEX(振り分け!$A$3:$A$302,計算用!$O$13))</f>
        <v/>
      </c>
      <c r="J63" s="33">
        <f>IF(計算用!$O$13="","",INDEX(振り分け!$C$3:$C$302,計算用!$O$13))</f>
        <v/>
      </c>
      <c r="K63" s="31">
        <f>IF(計算用!$P$13="","",INDEX(振り分け!$A$3:$A$302,計算用!$P$13))</f>
        <v/>
      </c>
      <c r="L63" s="33">
        <f>IF(計算用!$P$13="","",INDEX(振り分け!$C$3:$C$302,計算用!$P$13))</f>
        <v/>
      </c>
      <c r="M63" s="31">
        <f>IF(計算用!$Q$13="","",INDEX(振り分け!$A$3:$A$302,計算用!$Q$13))</f>
        <v/>
      </c>
      <c r="N63" s="33">
        <f>IF(計算用!$Q$13="","",INDEX(振り分け!$C$3:$C$302,計算用!$Q$13))</f>
        <v/>
      </c>
      <c r="O63" s="31">
        <f>IF(計算用!$R$13="","",INDEX(振り分け!$A$3:$A$302,計算用!$R$13))</f>
        <v/>
      </c>
      <c r="P63" s="33">
        <f>IF(計算用!$R$13="","",INDEX(振り分け!$C$3:$C$302,計算用!$R$13))</f>
        <v/>
      </c>
      <c r="Q63" s="31">
        <f>IF(計算用!$S$13="","",INDEX(振り分け!$A$3:$A$302,計算用!$S$13))</f>
        <v/>
      </c>
      <c r="R63" s="33">
        <f>IF(計算用!$S$13="","",INDEX(振り分け!$C$3:$C$302,計算用!$S$13))</f>
        <v/>
      </c>
      <c r="S63" s="31">
        <f>IF(計算用!$T$13="","",INDEX(振り分け!$A$3:$A$302,計算用!$T$13))</f>
        <v/>
      </c>
      <c r="T63" s="33">
        <f>IF(計算用!$T$13="","",INDEX(振り分け!$C$3:$C$302,計算用!$T$13))</f>
        <v/>
      </c>
    </row>
    <row r="64">
      <c r="A64" s="31">
        <f>IF(計算用!$K$14="","",INDEX(振り分け!$A$3:$A$302,計算用!$K$14))</f>
        <v/>
      </c>
      <c r="B64" s="33">
        <f>IF(計算用!$K$14="","",INDEX(振り分け!$C$3:$C$302,計算用!$K$14))</f>
        <v/>
      </c>
      <c r="C64" s="31">
        <f>IF(計算用!$L$14="","",INDEX(振り分け!$A$3:$A$302,計算用!$L$14))</f>
        <v/>
      </c>
      <c r="D64" s="33">
        <f>IF(計算用!$L$14="","",INDEX(振り分け!$C$3:$C$302,計算用!$L$14))</f>
        <v/>
      </c>
      <c r="E64" s="31">
        <f>IF(計算用!$M$14="","",INDEX(振り分け!$A$3:$A$302,計算用!$M$14))</f>
        <v/>
      </c>
      <c r="F64" s="33">
        <f>IF(計算用!$M$14="","",INDEX(振り分け!$C$3:$C$302,計算用!$M$14))</f>
        <v/>
      </c>
      <c r="G64" s="31">
        <f>IF(計算用!$N$14="","",INDEX(振り分け!$A$3:$A$302,計算用!$N$14))</f>
        <v/>
      </c>
      <c r="H64" s="33">
        <f>IF(計算用!$N$14="","",INDEX(振り分け!$C$3:$C$302,計算用!$N$14))</f>
        <v/>
      </c>
      <c r="I64" s="31">
        <f>IF(計算用!$O$14="","",INDEX(振り分け!$A$3:$A$302,計算用!$O$14))</f>
        <v/>
      </c>
      <c r="J64" s="33">
        <f>IF(計算用!$O$14="","",INDEX(振り分け!$C$3:$C$302,計算用!$O$14))</f>
        <v/>
      </c>
      <c r="K64" s="31">
        <f>IF(計算用!$P$14="","",INDEX(振り分け!$A$3:$A$302,計算用!$P$14))</f>
        <v/>
      </c>
      <c r="L64" s="33">
        <f>IF(計算用!$P$14="","",INDEX(振り分け!$C$3:$C$302,計算用!$P$14))</f>
        <v/>
      </c>
      <c r="M64" s="31">
        <f>IF(計算用!$Q$14="","",INDEX(振り分け!$A$3:$A$302,計算用!$Q$14))</f>
        <v/>
      </c>
      <c r="N64" s="33">
        <f>IF(計算用!$Q$14="","",INDEX(振り分け!$C$3:$C$302,計算用!$Q$14))</f>
        <v/>
      </c>
      <c r="O64" s="31">
        <f>IF(計算用!$R$14="","",INDEX(振り分け!$A$3:$A$302,計算用!$R$14))</f>
        <v/>
      </c>
      <c r="P64" s="33">
        <f>IF(計算用!$R$14="","",INDEX(振り分け!$C$3:$C$302,計算用!$R$14))</f>
        <v/>
      </c>
      <c r="Q64" s="31">
        <f>IF(計算用!$S$14="","",INDEX(振り分け!$A$3:$A$302,計算用!$S$14))</f>
        <v/>
      </c>
      <c r="R64" s="33">
        <f>IF(計算用!$S$14="","",INDEX(振り分け!$C$3:$C$302,計算用!$S$14))</f>
        <v/>
      </c>
      <c r="S64" s="31">
        <f>IF(計算用!$T$14="","",INDEX(振り分け!$A$3:$A$302,計算用!$T$14))</f>
        <v/>
      </c>
      <c r="T64" s="33">
        <f>IF(計算用!$T$14="","",INDEX(振り分け!$C$3:$C$302,計算用!$T$14))</f>
        <v/>
      </c>
    </row>
    <row r="65">
      <c r="A65" s="31">
        <f>IF(計算用!$K$15="","",INDEX(振り分け!$A$3:$A$302,計算用!$K$15))</f>
        <v/>
      </c>
      <c r="B65" s="33">
        <f>IF(計算用!$K$15="","",INDEX(振り分け!$C$3:$C$302,計算用!$K$15))</f>
        <v/>
      </c>
      <c r="C65" s="31">
        <f>IF(計算用!$L$15="","",INDEX(振り分け!$A$3:$A$302,計算用!$L$15))</f>
        <v/>
      </c>
      <c r="D65" s="33">
        <f>IF(計算用!$L$15="","",INDEX(振り分け!$C$3:$C$302,計算用!$L$15))</f>
        <v/>
      </c>
      <c r="E65" s="31">
        <f>IF(計算用!$M$15="","",INDEX(振り分け!$A$3:$A$302,計算用!$M$15))</f>
        <v/>
      </c>
      <c r="F65" s="33">
        <f>IF(計算用!$M$15="","",INDEX(振り分け!$C$3:$C$302,計算用!$M$15))</f>
        <v/>
      </c>
      <c r="G65" s="31">
        <f>IF(計算用!$N$15="","",INDEX(振り分け!$A$3:$A$302,計算用!$N$15))</f>
        <v/>
      </c>
      <c r="H65" s="33">
        <f>IF(計算用!$N$15="","",INDEX(振り分け!$C$3:$C$302,計算用!$N$15))</f>
        <v/>
      </c>
      <c r="I65" s="31">
        <f>IF(計算用!$O$15="","",INDEX(振り分け!$A$3:$A$302,計算用!$O$15))</f>
        <v/>
      </c>
      <c r="J65" s="33">
        <f>IF(計算用!$O$15="","",INDEX(振り分け!$C$3:$C$302,計算用!$O$15))</f>
        <v/>
      </c>
      <c r="K65" s="31">
        <f>IF(計算用!$P$15="","",INDEX(振り分け!$A$3:$A$302,計算用!$P$15))</f>
        <v/>
      </c>
      <c r="L65" s="33">
        <f>IF(計算用!$P$15="","",INDEX(振り分け!$C$3:$C$302,計算用!$P$15))</f>
        <v/>
      </c>
      <c r="M65" s="31">
        <f>IF(計算用!$Q$15="","",INDEX(振り分け!$A$3:$A$302,計算用!$Q$15))</f>
        <v/>
      </c>
      <c r="N65" s="33">
        <f>IF(計算用!$Q$15="","",INDEX(振り分け!$C$3:$C$302,計算用!$Q$15))</f>
        <v/>
      </c>
      <c r="O65" s="31">
        <f>IF(計算用!$R$15="","",INDEX(振り分け!$A$3:$A$302,計算用!$R$15))</f>
        <v/>
      </c>
      <c r="P65" s="33">
        <f>IF(計算用!$R$15="","",INDEX(振り分け!$C$3:$C$302,計算用!$R$15))</f>
        <v/>
      </c>
      <c r="Q65" s="31">
        <f>IF(計算用!$S$15="","",INDEX(振り分け!$A$3:$A$302,計算用!$S$15))</f>
        <v/>
      </c>
      <c r="R65" s="33">
        <f>IF(計算用!$S$15="","",INDEX(振り分け!$C$3:$C$302,計算用!$S$15))</f>
        <v/>
      </c>
      <c r="S65" s="31">
        <f>IF(計算用!$T$15="","",INDEX(振り分け!$A$3:$A$302,計算用!$T$15))</f>
        <v/>
      </c>
      <c r="T65" s="33">
        <f>IF(計算用!$T$15="","",INDEX(振り分け!$C$3:$C$302,計算用!$T$15))</f>
        <v/>
      </c>
    </row>
    <row r="66">
      <c r="A66" s="31">
        <f>IF(計算用!$K$16="","",INDEX(振り分け!$A$3:$A$302,計算用!$K$16))</f>
        <v/>
      </c>
      <c r="B66" s="33">
        <f>IF(計算用!$K$16="","",INDEX(振り分け!$C$3:$C$302,計算用!$K$16))</f>
        <v/>
      </c>
      <c r="C66" s="31">
        <f>IF(計算用!$L$16="","",INDEX(振り分け!$A$3:$A$302,計算用!$L$16))</f>
        <v/>
      </c>
      <c r="D66" s="33">
        <f>IF(計算用!$L$16="","",INDEX(振り分け!$C$3:$C$302,計算用!$L$16))</f>
        <v/>
      </c>
      <c r="E66" s="31">
        <f>IF(計算用!$M$16="","",INDEX(振り分け!$A$3:$A$302,計算用!$M$16))</f>
        <v/>
      </c>
      <c r="F66" s="33">
        <f>IF(計算用!$M$16="","",INDEX(振り分け!$C$3:$C$302,計算用!$M$16))</f>
        <v/>
      </c>
      <c r="G66" s="31">
        <f>IF(計算用!$N$16="","",INDEX(振り分け!$A$3:$A$302,計算用!$N$16))</f>
        <v/>
      </c>
      <c r="H66" s="33">
        <f>IF(計算用!$N$16="","",INDEX(振り分け!$C$3:$C$302,計算用!$N$16))</f>
        <v/>
      </c>
      <c r="I66" s="31">
        <f>IF(計算用!$O$16="","",INDEX(振り分け!$A$3:$A$302,計算用!$O$16))</f>
        <v/>
      </c>
      <c r="J66" s="33">
        <f>IF(計算用!$O$16="","",INDEX(振り分け!$C$3:$C$302,計算用!$O$16))</f>
        <v/>
      </c>
      <c r="K66" s="31">
        <f>IF(計算用!$P$16="","",INDEX(振り分け!$A$3:$A$302,計算用!$P$16))</f>
        <v/>
      </c>
      <c r="L66" s="33">
        <f>IF(計算用!$P$16="","",INDEX(振り分け!$C$3:$C$302,計算用!$P$16))</f>
        <v/>
      </c>
      <c r="M66" s="31">
        <f>IF(計算用!$Q$16="","",INDEX(振り分け!$A$3:$A$302,計算用!$Q$16))</f>
        <v/>
      </c>
      <c r="N66" s="33">
        <f>IF(計算用!$Q$16="","",INDEX(振り分け!$C$3:$C$302,計算用!$Q$16))</f>
        <v/>
      </c>
      <c r="O66" s="31">
        <f>IF(計算用!$R$16="","",INDEX(振り分け!$A$3:$A$302,計算用!$R$16))</f>
        <v/>
      </c>
      <c r="P66" s="33">
        <f>IF(計算用!$R$16="","",INDEX(振り分け!$C$3:$C$302,計算用!$R$16))</f>
        <v/>
      </c>
      <c r="Q66" s="31">
        <f>IF(計算用!$S$16="","",INDEX(振り分け!$A$3:$A$302,計算用!$S$16))</f>
        <v/>
      </c>
      <c r="R66" s="33">
        <f>IF(計算用!$S$16="","",INDEX(振り分け!$C$3:$C$302,計算用!$S$16))</f>
        <v/>
      </c>
      <c r="S66" s="31">
        <f>IF(計算用!$T$16="","",INDEX(振り分け!$A$3:$A$302,計算用!$T$16))</f>
        <v/>
      </c>
      <c r="T66" s="33">
        <f>IF(計算用!$T$16="","",INDEX(振り分け!$C$3:$C$302,計算用!$T$16))</f>
        <v/>
      </c>
    </row>
    <row r="67">
      <c r="A67" s="31">
        <f>IF(計算用!$K$17="","",INDEX(振り分け!$A$3:$A$302,計算用!$K$17))</f>
        <v/>
      </c>
      <c r="B67" s="33">
        <f>IF(計算用!$K$17="","",INDEX(振り分け!$C$3:$C$302,計算用!$K$17))</f>
        <v/>
      </c>
      <c r="C67" s="31">
        <f>IF(計算用!$L$17="","",INDEX(振り分け!$A$3:$A$302,計算用!$L$17))</f>
        <v/>
      </c>
      <c r="D67" s="33">
        <f>IF(計算用!$L$17="","",INDEX(振り分け!$C$3:$C$302,計算用!$L$17))</f>
        <v/>
      </c>
      <c r="E67" s="31">
        <f>IF(計算用!$M$17="","",INDEX(振り分け!$A$3:$A$302,計算用!$M$17))</f>
        <v/>
      </c>
      <c r="F67" s="33">
        <f>IF(計算用!$M$17="","",INDEX(振り分け!$C$3:$C$302,計算用!$M$17))</f>
        <v/>
      </c>
      <c r="G67" s="31">
        <f>IF(計算用!$N$17="","",INDEX(振り分け!$A$3:$A$302,計算用!$N$17))</f>
        <v/>
      </c>
      <c r="H67" s="33">
        <f>IF(計算用!$N$17="","",INDEX(振り分け!$C$3:$C$302,計算用!$N$17))</f>
        <v/>
      </c>
      <c r="I67" s="31">
        <f>IF(計算用!$O$17="","",INDEX(振り分け!$A$3:$A$302,計算用!$O$17))</f>
        <v/>
      </c>
      <c r="J67" s="33">
        <f>IF(計算用!$O$17="","",INDEX(振り分け!$C$3:$C$302,計算用!$O$17))</f>
        <v/>
      </c>
      <c r="K67" s="31">
        <f>IF(計算用!$P$17="","",INDEX(振り分け!$A$3:$A$302,計算用!$P$17))</f>
        <v/>
      </c>
      <c r="L67" s="33">
        <f>IF(計算用!$P$17="","",INDEX(振り分け!$C$3:$C$302,計算用!$P$17))</f>
        <v/>
      </c>
      <c r="M67" s="31">
        <f>IF(計算用!$Q$17="","",INDEX(振り分け!$A$3:$A$302,計算用!$Q$17))</f>
        <v/>
      </c>
      <c r="N67" s="33">
        <f>IF(計算用!$Q$17="","",INDEX(振り分け!$C$3:$C$302,計算用!$Q$17))</f>
        <v/>
      </c>
      <c r="O67" s="31">
        <f>IF(計算用!$R$17="","",INDEX(振り分け!$A$3:$A$302,計算用!$R$17))</f>
        <v/>
      </c>
      <c r="P67" s="33">
        <f>IF(計算用!$R$17="","",INDEX(振り分け!$C$3:$C$302,計算用!$R$17))</f>
        <v/>
      </c>
      <c r="Q67" s="31">
        <f>IF(計算用!$S$17="","",INDEX(振り分け!$A$3:$A$302,計算用!$S$17))</f>
        <v/>
      </c>
      <c r="R67" s="33">
        <f>IF(計算用!$S$17="","",INDEX(振り分け!$C$3:$C$302,計算用!$S$17))</f>
        <v/>
      </c>
      <c r="S67" s="31">
        <f>IF(計算用!$T$17="","",INDEX(振り分け!$A$3:$A$302,計算用!$T$17))</f>
        <v/>
      </c>
      <c r="T67" s="33">
        <f>IF(計算用!$T$17="","",INDEX(振り分け!$C$3:$C$302,計算用!$T$17))</f>
        <v/>
      </c>
    </row>
    <row r="68">
      <c r="A68" s="31">
        <f>IF(計算用!$K$18="","",INDEX(振り分け!$A$3:$A$302,計算用!$K$18))</f>
        <v/>
      </c>
      <c r="B68" s="33">
        <f>IF(計算用!$K$18="","",INDEX(振り分け!$C$3:$C$302,計算用!$K$18))</f>
        <v/>
      </c>
      <c r="C68" s="31">
        <f>IF(計算用!$L$18="","",INDEX(振り分け!$A$3:$A$302,計算用!$L$18))</f>
        <v/>
      </c>
      <c r="D68" s="33">
        <f>IF(計算用!$L$18="","",INDEX(振り分け!$C$3:$C$302,計算用!$L$18))</f>
        <v/>
      </c>
      <c r="E68" s="31">
        <f>IF(計算用!$M$18="","",INDEX(振り分け!$A$3:$A$302,計算用!$M$18))</f>
        <v/>
      </c>
      <c r="F68" s="33">
        <f>IF(計算用!$M$18="","",INDEX(振り分け!$C$3:$C$302,計算用!$M$18))</f>
        <v/>
      </c>
      <c r="G68" s="31">
        <f>IF(計算用!$N$18="","",INDEX(振り分け!$A$3:$A$302,計算用!$N$18))</f>
        <v/>
      </c>
      <c r="H68" s="33">
        <f>IF(計算用!$N$18="","",INDEX(振り分け!$C$3:$C$302,計算用!$N$18))</f>
        <v/>
      </c>
      <c r="I68" s="31">
        <f>IF(計算用!$O$18="","",INDEX(振り分け!$A$3:$A$302,計算用!$O$18))</f>
        <v/>
      </c>
      <c r="J68" s="33">
        <f>IF(計算用!$O$18="","",INDEX(振り分け!$C$3:$C$302,計算用!$O$18))</f>
        <v/>
      </c>
      <c r="K68" s="31">
        <f>IF(計算用!$P$18="","",INDEX(振り分け!$A$3:$A$302,計算用!$P$18))</f>
        <v/>
      </c>
      <c r="L68" s="33">
        <f>IF(計算用!$P$18="","",INDEX(振り分け!$C$3:$C$302,計算用!$P$18))</f>
        <v/>
      </c>
      <c r="M68" s="31">
        <f>IF(計算用!$Q$18="","",INDEX(振り分け!$A$3:$A$302,計算用!$Q$18))</f>
        <v/>
      </c>
      <c r="N68" s="33">
        <f>IF(計算用!$Q$18="","",INDEX(振り分け!$C$3:$C$302,計算用!$Q$18))</f>
        <v/>
      </c>
      <c r="O68" s="31">
        <f>IF(計算用!$R$18="","",INDEX(振り分け!$A$3:$A$302,計算用!$R$18))</f>
        <v/>
      </c>
      <c r="P68" s="33">
        <f>IF(計算用!$R$18="","",INDEX(振り分け!$C$3:$C$302,計算用!$R$18))</f>
        <v/>
      </c>
      <c r="Q68" s="31">
        <f>IF(計算用!$S$18="","",INDEX(振り分け!$A$3:$A$302,計算用!$S$18))</f>
        <v/>
      </c>
      <c r="R68" s="33">
        <f>IF(計算用!$S$18="","",INDEX(振り分け!$C$3:$C$302,計算用!$S$18))</f>
        <v/>
      </c>
      <c r="S68" s="31">
        <f>IF(計算用!$T$18="","",INDEX(振り分け!$A$3:$A$302,計算用!$T$18))</f>
        <v/>
      </c>
      <c r="T68" s="33">
        <f>IF(計算用!$T$18="","",INDEX(振り分け!$C$3:$C$302,計算用!$T$18))</f>
        <v/>
      </c>
    </row>
    <row r="69">
      <c r="A69" s="31">
        <f>IF(計算用!$K$19="","",INDEX(振り分け!$A$3:$A$302,計算用!$K$19))</f>
        <v/>
      </c>
      <c r="B69" s="33">
        <f>IF(計算用!$K$19="","",INDEX(振り分け!$C$3:$C$302,計算用!$K$19))</f>
        <v/>
      </c>
      <c r="C69" s="31">
        <f>IF(計算用!$L$19="","",INDEX(振り分け!$A$3:$A$302,計算用!$L$19))</f>
        <v/>
      </c>
      <c r="D69" s="33">
        <f>IF(計算用!$L$19="","",INDEX(振り分け!$C$3:$C$302,計算用!$L$19))</f>
        <v/>
      </c>
      <c r="E69" s="31">
        <f>IF(計算用!$M$19="","",INDEX(振り分け!$A$3:$A$302,計算用!$M$19))</f>
        <v/>
      </c>
      <c r="F69" s="33">
        <f>IF(計算用!$M$19="","",INDEX(振り分け!$C$3:$C$302,計算用!$M$19))</f>
        <v/>
      </c>
      <c r="G69" s="31">
        <f>IF(計算用!$N$19="","",INDEX(振り分け!$A$3:$A$302,計算用!$N$19))</f>
        <v/>
      </c>
      <c r="H69" s="33">
        <f>IF(計算用!$N$19="","",INDEX(振り分け!$C$3:$C$302,計算用!$N$19))</f>
        <v/>
      </c>
      <c r="I69" s="31">
        <f>IF(計算用!$O$19="","",INDEX(振り分け!$A$3:$A$302,計算用!$O$19))</f>
        <v/>
      </c>
      <c r="J69" s="33">
        <f>IF(計算用!$O$19="","",INDEX(振り分け!$C$3:$C$302,計算用!$O$19))</f>
        <v/>
      </c>
      <c r="K69" s="31">
        <f>IF(計算用!$P$19="","",INDEX(振り分け!$A$3:$A$302,計算用!$P$19))</f>
        <v/>
      </c>
      <c r="L69" s="33">
        <f>IF(計算用!$P$19="","",INDEX(振り分け!$C$3:$C$302,計算用!$P$19))</f>
        <v/>
      </c>
      <c r="M69" s="31">
        <f>IF(計算用!$Q$19="","",INDEX(振り分け!$A$3:$A$302,計算用!$Q$19))</f>
        <v/>
      </c>
      <c r="N69" s="33">
        <f>IF(計算用!$Q$19="","",INDEX(振り分け!$C$3:$C$302,計算用!$Q$19))</f>
        <v/>
      </c>
      <c r="O69" s="31">
        <f>IF(計算用!$R$19="","",INDEX(振り分け!$A$3:$A$302,計算用!$R$19))</f>
        <v/>
      </c>
      <c r="P69" s="33">
        <f>IF(計算用!$R$19="","",INDEX(振り分け!$C$3:$C$302,計算用!$R$19))</f>
        <v/>
      </c>
      <c r="Q69" s="31">
        <f>IF(計算用!$S$19="","",INDEX(振り分け!$A$3:$A$302,計算用!$S$19))</f>
        <v/>
      </c>
      <c r="R69" s="33">
        <f>IF(計算用!$S$19="","",INDEX(振り分け!$C$3:$C$302,計算用!$S$19))</f>
        <v/>
      </c>
      <c r="S69" s="31">
        <f>IF(計算用!$T$19="","",INDEX(振り分け!$A$3:$A$302,計算用!$T$19))</f>
        <v/>
      </c>
      <c r="T69" s="33">
        <f>IF(計算用!$T$19="","",INDEX(振り分け!$C$3:$C$302,計算用!$T$19))</f>
        <v/>
      </c>
    </row>
    <row r="70">
      <c r="A70" s="31">
        <f>IF(計算用!$K$20="","",INDEX(振り分け!$A$3:$A$302,計算用!$K$20))</f>
        <v/>
      </c>
      <c r="B70" s="33">
        <f>IF(計算用!$K$20="","",INDEX(振り分け!$C$3:$C$302,計算用!$K$20))</f>
        <v/>
      </c>
      <c r="C70" s="31">
        <f>IF(計算用!$L$20="","",INDEX(振り分け!$A$3:$A$302,計算用!$L$20))</f>
        <v/>
      </c>
      <c r="D70" s="33">
        <f>IF(計算用!$L$20="","",INDEX(振り分け!$C$3:$C$302,計算用!$L$20))</f>
        <v/>
      </c>
      <c r="E70" s="31">
        <f>IF(計算用!$M$20="","",INDEX(振り分け!$A$3:$A$302,計算用!$M$20))</f>
        <v/>
      </c>
      <c r="F70" s="33">
        <f>IF(計算用!$M$20="","",INDEX(振り分け!$C$3:$C$302,計算用!$M$20))</f>
        <v/>
      </c>
      <c r="G70" s="31">
        <f>IF(計算用!$N$20="","",INDEX(振り分け!$A$3:$A$302,計算用!$N$20))</f>
        <v/>
      </c>
      <c r="H70" s="33">
        <f>IF(計算用!$N$20="","",INDEX(振り分け!$C$3:$C$302,計算用!$N$20))</f>
        <v/>
      </c>
      <c r="I70" s="31">
        <f>IF(計算用!$O$20="","",INDEX(振り分け!$A$3:$A$302,計算用!$O$20))</f>
        <v/>
      </c>
      <c r="J70" s="33">
        <f>IF(計算用!$O$20="","",INDEX(振り分け!$C$3:$C$302,計算用!$O$20))</f>
        <v/>
      </c>
      <c r="K70" s="31">
        <f>IF(計算用!$P$20="","",INDEX(振り分け!$A$3:$A$302,計算用!$P$20))</f>
        <v/>
      </c>
      <c r="L70" s="33">
        <f>IF(計算用!$P$20="","",INDEX(振り分け!$C$3:$C$302,計算用!$P$20))</f>
        <v/>
      </c>
      <c r="M70" s="31">
        <f>IF(計算用!$Q$20="","",INDEX(振り分け!$A$3:$A$302,計算用!$Q$20))</f>
        <v/>
      </c>
      <c r="N70" s="33">
        <f>IF(計算用!$Q$20="","",INDEX(振り分け!$C$3:$C$302,計算用!$Q$20))</f>
        <v/>
      </c>
      <c r="O70" s="31">
        <f>IF(計算用!$R$20="","",INDEX(振り分け!$A$3:$A$302,計算用!$R$20))</f>
        <v/>
      </c>
      <c r="P70" s="33">
        <f>IF(計算用!$R$20="","",INDEX(振り分け!$C$3:$C$302,計算用!$R$20))</f>
        <v/>
      </c>
      <c r="Q70" s="31">
        <f>IF(計算用!$S$20="","",INDEX(振り分け!$A$3:$A$302,計算用!$S$20))</f>
        <v/>
      </c>
      <c r="R70" s="33">
        <f>IF(計算用!$S$20="","",INDEX(振り分け!$C$3:$C$302,計算用!$S$20))</f>
        <v/>
      </c>
      <c r="S70" s="31">
        <f>IF(計算用!$T$20="","",INDEX(振り分け!$A$3:$A$302,計算用!$T$20))</f>
        <v/>
      </c>
      <c r="T70" s="33">
        <f>IF(計算用!$T$20="","",INDEX(振り分け!$C$3:$C$302,計算用!$T$20))</f>
        <v/>
      </c>
    </row>
    <row r="71">
      <c r="A71" s="31">
        <f>IF(計算用!$K$21="","",INDEX(振り分け!$A$3:$A$302,計算用!$K$21))</f>
        <v/>
      </c>
      <c r="B71" s="33">
        <f>IF(計算用!$K$21="","",INDEX(振り分け!$C$3:$C$302,計算用!$K$21))</f>
        <v/>
      </c>
      <c r="C71" s="31">
        <f>IF(計算用!$L$21="","",INDEX(振り分け!$A$3:$A$302,計算用!$L$21))</f>
        <v/>
      </c>
      <c r="D71" s="33">
        <f>IF(計算用!$L$21="","",INDEX(振り分け!$C$3:$C$302,計算用!$L$21))</f>
        <v/>
      </c>
      <c r="E71" s="31">
        <f>IF(計算用!$M$21="","",INDEX(振り分け!$A$3:$A$302,計算用!$M$21))</f>
        <v/>
      </c>
      <c r="F71" s="33">
        <f>IF(計算用!$M$21="","",INDEX(振り分け!$C$3:$C$302,計算用!$M$21))</f>
        <v/>
      </c>
      <c r="G71" s="31">
        <f>IF(計算用!$N$21="","",INDEX(振り分け!$A$3:$A$302,計算用!$N$21))</f>
        <v/>
      </c>
      <c r="H71" s="33">
        <f>IF(計算用!$N$21="","",INDEX(振り分け!$C$3:$C$302,計算用!$N$21))</f>
        <v/>
      </c>
      <c r="I71" s="31">
        <f>IF(計算用!$O$21="","",INDEX(振り分け!$A$3:$A$302,計算用!$O$21))</f>
        <v/>
      </c>
      <c r="J71" s="33">
        <f>IF(計算用!$O$21="","",INDEX(振り分け!$C$3:$C$302,計算用!$O$21))</f>
        <v/>
      </c>
      <c r="K71" s="31">
        <f>IF(計算用!$P$21="","",INDEX(振り分け!$A$3:$A$302,計算用!$P$21))</f>
        <v/>
      </c>
      <c r="L71" s="33">
        <f>IF(計算用!$P$21="","",INDEX(振り分け!$C$3:$C$302,計算用!$P$21))</f>
        <v/>
      </c>
      <c r="M71" s="31">
        <f>IF(計算用!$Q$21="","",INDEX(振り分け!$A$3:$A$302,計算用!$Q$21))</f>
        <v/>
      </c>
      <c r="N71" s="33">
        <f>IF(計算用!$Q$21="","",INDEX(振り分け!$C$3:$C$302,計算用!$Q$21))</f>
        <v/>
      </c>
      <c r="O71" s="31">
        <f>IF(計算用!$R$21="","",INDEX(振り分け!$A$3:$A$302,計算用!$R$21))</f>
        <v/>
      </c>
      <c r="P71" s="33">
        <f>IF(計算用!$R$21="","",INDEX(振り分け!$C$3:$C$302,計算用!$R$21))</f>
        <v/>
      </c>
      <c r="Q71" s="31">
        <f>IF(計算用!$S$21="","",INDEX(振り分け!$A$3:$A$302,計算用!$S$21))</f>
        <v/>
      </c>
      <c r="R71" s="33">
        <f>IF(計算用!$S$21="","",INDEX(振り分け!$C$3:$C$302,計算用!$S$21))</f>
        <v/>
      </c>
      <c r="S71" s="31">
        <f>IF(計算用!$T$21="","",INDEX(振り分け!$A$3:$A$302,計算用!$T$21))</f>
        <v/>
      </c>
      <c r="T71" s="33">
        <f>IF(計算用!$T$21="","",INDEX(振り分け!$C$3:$C$302,計算用!$T$21))</f>
        <v/>
      </c>
    </row>
    <row r="72">
      <c r="A72" s="31">
        <f>IF(計算用!$K$22="","",INDEX(振り分け!$A$3:$A$302,計算用!$K$22))</f>
        <v/>
      </c>
      <c r="B72" s="33">
        <f>IF(計算用!$K$22="","",INDEX(振り分け!$C$3:$C$302,計算用!$K$22))</f>
        <v/>
      </c>
      <c r="C72" s="31">
        <f>IF(計算用!$L$22="","",INDEX(振り分け!$A$3:$A$302,計算用!$L$22))</f>
        <v/>
      </c>
      <c r="D72" s="33">
        <f>IF(計算用!$L$22="","",INDEX(振り分け!$C$3:$C$302,計算用!$L$22))</f>
        <v/>
      </c>
      <c r="E72" s="31">
        <f>IF(計算用!$M$22="","",INDEX(振り分け!$A$3:$A$302,計算用!$M$22))</f>
        <v/>
      </c>
      <c r="F72" s="33">
        <f>IF(計算用!$M$22="","",INDEX(振り分け!$C$3:$C$302,計算用!$M$22))</f>
        <v/>
      </c>
      <c r="G72" s="31">
        <f>IF(計算用!$N$22="","",INDEX(振り分け!$A$3:$A$302,計算用!$N$22))</f>
        <v/>
      </c>
      <c r="H72" s="33">
        <f>IF(計算用!$N$22="","",INDEX(振り分け!$C$3:$C$302,計算用!$N$22))</f>
        <v/>
      </c>
      <c r="I72" s="31">
        <f>IF(計算用!$O$22="","",INDEX(振り分け!$A$3:$A$302,計算用!$O$22))</f>
        <v/>
      </c>
      <c r="J72" s="33">
        <f>IF(計算用!$O$22="","",INDEX(振り分け!$C$3:$C$302,計算用!$O$22))</f>
        <v/>
      </c>
      <c r="K72" s="31">
        <f>IF(計算用!$P$22="","",INDEX(振り分け!$A$3:$A$302,計算用!$P$22))</f>
        <v/>
      </c>
      <c r="L72" s="33">
        <f>IF(計算用!$P$22="","",INDEX(振り分け!$C$3:$C$302,計算用!$P$22))</f>
        <v/>
      </c>
      <c r="M72" s="31">
        <f>IF(計算用!$Q$22="","",INDEX(振り分け!$A$3:$A$302,計算用!$Q$22))</f>
        <v/>
      </c>
      <c r="N72" s="33">
        <f>IF(計算用!$Q$22="","",INDEX(振り分け!$C$3:$C$302,計算用!$Q$22))</f>
        <v/>
      </c>
      <c r="O72" s="31">
        <f>IF(計算用!$R$22="","",INDEX(振り分け!$A$3:$A$302,計算用!$R$22))</f>
        <v/>
      </c>
      <c r="P72" s="33">
        <f>IF(計算用!$R$22="","",INDEX(振り分け!$C$3:$C$302,計算用!$R$22))</f>
        <v/>
      </c>
      <c r="Q72" s="31">
        <f>IF(計算用!$S$22="","",INDEX(振り分け!$A$3:$A$302,計算用!$S$22))</f>
        <v/>
      </c>
      <c r="R72" s="33">
        <f>IF(計算用!$S$22="","",INDEX(振り分け!$C$3:$C$302,計算用!$S$22))</f>
        <v/>
      </c>
      <c r="S72" s="31">
        <f>IF(計算用!$T$22="","",INDEX(振り分け!$A$3:$A$302,計算用!$T$22))</f>
        <v/>
      </c>
      <c r="T72" s="33">
        <f>IF(計算用!$T$22="","",INDEX(振り分け!$C$3:$C$302,計算用!$T$22))</f>
        <v/>
      </c>
    </row>
    <row r="73">
      <c r="A73" s="31">
        <f>IF(計算用!$K$23="","",INDEX(振り分け!$A$3:$A$302,計算用!$K$23))</f>
        <v/>
      </c>
      <c r="B73" s="33">
        <f>IF(計算用!$K$23="","",INDEX(振り分け!$C$3:$C$302,計算用!$K$23))</f>
        <v/>
      </c>
      <c r="C73" s="31">
        <f>IF(計算用!$L$23="","",INDEX(振り分け!$A$3:$A$302,計算用!$L$23))</f>
        <v/>
      </c>
      <c r="D73" s="33">
        <f>IF(計算用!$L$23="","",INDEX(振り分け!$C$3:$C$302,計算用!$L$23))</f>
        <v/>
      </c>
      <c r="E73" s="31">
        <f>IF(計算用!$M$23="","",INDEX(振り分け!$A$3:$A$302,計算用!$M$23))</f>
        <v/>
      </c>
      <c r="F73" s="33">
        <f>IF(計算用!$M$23="","",INDEX(振り分け!$C$3:$C$302,計算用!$M$23))</f>
        <v/>
      </c>
      <c r="G73" s="31">
        <f>IF(計算用!$N$23="","",INDEX(振り分け!$A$3:$A$302,計算用!$N$23))</f>
        <v/>
      </c>
      <c r="H73" s="33">
        <f>IF(計算用!$N$23="","",INDEX(振り分け!$C$3:$C$302,計算用!$N$23))</f>
        <v/>
      </c>
      <c r="I73" s="31">
        <f>IF(計算用!$O$23="","",INDEX(振り分け!$A$3:$A$302,計算用!$O$23))</f>
        <v/>
      </c>
      <c r="J73" s="33">
        <f>IF(計算用!$O$23="","",INDEX(振り分け!$C$3:$C$302,計算用!$O$23))</f>
        <v/>
      </c>
      <c r="K73" s="31">
        <f>IF(計算用!$P$23="","",INDEX(振り分け!$A$3:$A$302,計算用!$P$23))</f>
        <v/>
      </c>
      <c r="L73" s="33">
        <f>IF(計算用!$P$23="","",INDEX(振り分け!$C$3:$C$302,計算用!$P$23))</f>
        <v/>
      </c>
      <c r="M73" s="31">
        <f>IF(計算用!$Q$23="","",INDEX(振り分け!$A$3:$A$302,計算用!$Q$23))</f>
        <v/>
      </c>
      <c r="N73" s="33">
        <f>IF(計算用!$Q$23="","",INDEX(振り分け!$C$3:$C$302,計算用!$Q$23))</f>
        <v/>
      </c>
      <c r="O73" s="31">
        <f>IF(計算用!$R$23="","",INDEX(振り分け!$A$3:$A$302,計算用!$R$23))</f>
        <v/>
      </c>
      <c r="P73" s="33">
        <f>IF(計算用!$R$23="","",INDEX(振り分け!$C$3:$C$302,計算用!$R$23))</f>
        <v/>
      </c>
      <c r="Q73" s="31">
        <f>IF(計算用!$S$23="","",INDEX(振り分け!$A$3:$A$302,計算用!$S$23))</f>
        <v/>
      </c>
      <c r="R73" s="33">
        <f>IF(計算用!$S$23="","",INDEX(振り分け!$C$3:$C$302,計算用!$S$23))</f>
        <v/>
      </c>
      <c r="S73" s="31">
        <f>IF(計算用!$T$23="","",INDEX(振り分け!$A$3:$A$302,計算用!$T$23))</f>
        <v/>
      </c>
      <c r="T73" s="33">
        <f>IF(計算用!$T$23="","",INDEX(振り分け!$C$3:$C$302,計算用!$T$23))</f>
        <v/>
      </c>
    </row>
    <row r="74">
      <c r="A74" s="31">
        <f>IF(計算用!$K$24="","",INDEX(振り分け!$A$3:$A$302,計算用!$K$24))</f>
        <v/>
      </c>
      <c r="B74" s="33">
        <f>IF(計算用!$K$24="","",INDEX(振り分け!$C$3:$C$302,計算用!$K$24))</f>
        <v/>
      </c>
      <c r="C74" s="31">
        <f>IF(計算用!$L$24="","",INDEX(振り分け!$A$3:$A$302,計算用!$L$24))</f>
        <v/>
      </c>
      <c r="D74" s="33">
        <f>IF(計算用!$L$24="","",INDEX(振り分け!$C$3:$C$302,計算用!$L$24))</f>
        <v/>
      </c>
      <c r="E74" s="31">
        <f>IF(計算用!$M$24="","",INDEX(振り分け!$A$3:$A$302,計算用!$M$24))</f>
        <v/>
      </c>
      <c r="F74" s="33">
        <f>IF(計算用!$M$24="","",INDEX(振り分け!$C$3:$C$302,計算用!$M$24))</f>
        <v/>
      </c>
      <c r="G74" s="31">
        <f>IF(計算用!$N$24="","",INDEX(振り分け!$A$3:$A$302,計算用!$N$24))</f>
        <v/>
      </c>
      <c r="H74" s="33">
        <f>IF(計算用!$N$24="","",INDEX(振り分け!$C$3:$C$302,計算用!$N$24))</f>
        <v/>
      </c>
      <c r="I74" s="31">
        <f>IF(計算用!$O$24="","",INDEX(振り分け!$A$3:$A$302,計算用!$O$24))</f>
        <v/>
      </c>
      <c r="J74" s="33">
        <f>IF(計算用!$O$24="","",INDEX(振り分け!$C$3:$C$302,計算用!$O$24))</f>
        <v/>
      </c>
      <c r="K74" s="31">
        <f>IF(計算用!$P$24="","",INDEX(振り分け!$A$3:$A$302,計算用!$P$24))</f>
        <v/>
      </c>
      <c r="L74" s="33">
        <f>IF(計算用!$P$24="","",INDEX(振り分け!$C$3:$C$302,計算用!$P$24))</f>
        <v/>
      </c>
      <c r="M74" s="31">
        <f>IF(計算用!$Q$24="","",INDEX(振り分け!$A$3:$A$302,計算用!$Q$24))</f>
        <v/>
      </c>
      <c r="N74" s="33">
        <f>IF(計算用!$Q$24="","",INDEX(振り分け!$C$3:$C$302,計算用!$Q$24))</f>
        <v/>
      </c>
      <c r="O74" s="31">
        <f>IF(計算用!$R$24="","",INDEX(振り分け!$A$3:$A$302,計算用!$R$24))</f>
        <v/>
      </c>
      <c r="P74" s="33">
        <f>IF(計算用!$R$24="","",INDEX(振り分け!$C$3:$C$302,計算用!$R$24))</f>
        <v/>
      </c>
      <c r="Q74" s="31">
        <f>IF(計算用!$S$24="","",INDEX(振り分け!$A$3:$A$302,計算用!$S$24))</f>
        <v/>
      </c>
      <c r="R74" s="33">
        <f>IF(計算用!$S$24="","",INDEX(振り分け!$C$3:$C$302,計算用!$S$24))</f>
        <v/>
      </c>
      <c r="S74" s="31">
        <f>IF(計算用!$T$24="","",INDEX(振り分け!$A$3:$A$302,計算用!$T$24))</f>
        <v/>
      </c>
      <c r="T74" s="33">
        <f>IF(計算用!$T$24="","",INDEX(振り分け!$C$3:$C$302,計算用!$T$24))</f>
        <v/>
      </c>
    </row>
    <row r="75">
      <c r="A75" s="31">
        <f>IF(計算用!$K$25="","",INDEX(振り分け!$A$3:$A$302,計算用!$K$25))</f>
        <v/>
      </c>
      <c r="B75" s="33">
        <f>IF(計算用!$K$25="","",INDEX(振り分け!$C$3:$C$302,計算用!$K$25))</f>
        <v/>
      </c>
      <c r="C75" s="31">
        <f>IF(計算用!$L$25="","",INDEX(振り分け!$A$3:$A$302,計算用!$L$25))</f>
        <v/>
      </c>
      <c r="D75" s="33">
        <f>IF(計算用!$L$25="","",INDEX(振り分け!$C$3:$C$302,計算用!$L$25))</f>
        <v/>
      </c>
      <c r="E75" s="31">
        <f>IF(計算用!$M$25="","",INDEX(振り分け!$A$3:$A$302,計算用!$M$25))</f>
        <v/>
      </c>
      <c r="F75" s="33">
        <f>IF(計算用!$M$25="","",INDEX(振り分け!$C$3:$C$302,計算用!$M$25))</f>
        <v/>
      </c>
      <c r="G75" s="31">
        <f>IF(計算用!$N$25="","",INDEX(振り分け!$A$3:$A$302,計算用!$N$25))</f>
        <v/>
      </c>
      <c r="H75" s="33">
        <f>IF(計算用!$N$25="","",INDEX(振り分け!$C$3:$C$302,計算用!$N$25))</f>
        <v/>
      </c>
      <c r="I75" s="31">
        <f>IF(計算用!$O$25="","",INDEX(振り分け!$A$3:$A$302,計算用!$O$25))</f>
        <v/>
      </c>
      <c r="J75" s="33">
        <f>IF(計算用!$O$25="","",INDEX(振り分け!$C$3:$C$302,計算用!$O$25))</f>
        <v/>
      </c>
      <c r="K75" s="31">
        <f>IF(計算用!$P$25="","",INDEX(振り分け!$A$3:$A$302,計算用!$P$25))</f>
        <v/>
      </c>
      <c r="L75" s="33">
        <f>IF(計算用!$P$25="","",INDEX(振り分け!$C$3:$C$302,計算用!$P$25))</f>
        <v/>
      </c>
      <c r="M75" s="31">
        <f>IF(計算用!$Q$25="","",INDEX(振り分け!$A$3:$A$302,計算用!$Q$25))</f>
        <v/>
      </c>
      <c r="N75" s="33">
        <f>IF(計算用!$Q$25="","",INDEX(振り分け!$C$3:$C$302,計算用!$Q$25))</f>
        <v/>
      </c>
      <c r="O75" s="31">
        <f>IF(計算用!$R$25="","",INDEX(振り分け!$A$3:$A$302,計算用!$R$25))</f>
        <v/>
      </c>
      <c r="P75" s="33">
        <f>IF(計算用!$R$25="","",INDEX(振り分け!$C$3:$C$302,計算用!$R$25))</f>
        <v/>
      </c>
      <c r="Q75" s="31">
        <f>IF(計算用!$S$25="","",INDEX(振り分け!$A$3:$A$302,計算用!$S$25))</f>
        <v/>
      </c>
      <c r="R75" s="33">
        <f>IF(計算用!$S$25="","",INDEX(振り分け!$C$3:$C$302,計算用!$S$25))</f>
        <v/>
      </c>
      <c r="S75" s="31">
        <f>IF(計算用!$T$25="","",INDEX(振り分け!$A$3:$A$302,計算用!$T$25))</f>
        <v/>
      </c>
      <c r="T75" s="33">
        <f>IF(計算用!$T$25="","",INDEX(振り分け!$C$3:$C$302,計算用!$T$25))</f>
        <v/>
      </c>
    </row>
    <row r="76">
      <c r="A76" s="31">
        <f>IF(計算用!$K$26="","",INDEX(振り分け!$A$3:$A$302,計算用!$K$26))</f>
        <v/>
      </c>
      <c r="B76" s="33">
        <f>IF(計算用!$K$26="","",INDEX(振り分け!$C$3:$C$302,計算用!$K$26))</f>
        <v/>
      </c>
      <c r="C76" s="31">
        <f>IF(計算用!$L$26="","",INDEX(振り分け!$A$3:$A$302,計算用!$L$26))</f>
        <v/>
      </c>
      <c r="D76" s="33">
        <f>IF(計算用!$L$26="","",INDEX(振り分け!$C$3:$C$302,計算用!$L$26))</f>
        <v/>
      </c>
      <c r="E76" s="31">
        <f>IF(計算用!$M$26="","",INDEX(振り分け!$A$3:$A$302,計算用!$M$26))</f>
        <v/>
      </c>
      <c r="F76" s="33">
        <f>IF(計算用!$M$26="","",INDEX(振り分け!$C$3:$C$302,計算用!$M$26))</f>
        <v/>
      </c>
      <c r="G76" s="31">
        <f>IF(計算用!$N$26="","",INDEX(振り分け!$A$3:$A$302,計算用!$N$26))</f>
        <v/>
      </c>
      <c r="H76" s="33">
        <f>IF(計算用!$N$26="","",INDEX(振り分け!$C$3:$C$302,計算用!$N$26))</f>
        <v/>
      </c>
      <c r="I76" s="31">
        <f>IF(計算用!$O$26="","",INDEX(振り分け!$A$3:$A$302,計算用!$O$26))</f>
        <v/>
      </c>
      <c r="J76" s="33">
        <f>IF(計算用!$O$26="","",INDEX(振り分け!$C$3:$C$302,計算用!$O$26))</f>
        <v/>
      </c>
      <c r="K76" s="31">
        <f>IF(計算用!$P$26="","",INDEX(振り分け!$A$3:$A$302,計算用!$P$26))</f>
        <v/>
      </c>
      <c r="L76" s="33">
        <f>IF(計算用!$P$26="","",INDEX(振り分け!$C$3:$C$302,計算用!$P$26))</f>
        <v/>
      </c>
      <c r="M76" s="31">
        <f>IF(計算用!$Q$26="","",INDEX(振り分け!$A$3:$A$302,計算用!$Q$26))</f>
        <v/>
      </c>
      <c r="N76" s="33">
        <f>IF(計算用!$Q$26="","",INDEX(振り分け!$C$3:$C$302,計算用!$Q$26))</f>
        <v/>
      </c>
      <c r="O76" s="31">
        <f>IF(計算用!$R$26="","",INDEX(振り分け!$A$3:$A$302,計算用!$R$26))</f>
        <v/>
      </c>
      <c r="P76" s="33">
        <f>IF(計算用!$R$26="","",INDEX(振り分け!$C$3:$C$302,計算用!$R$26))</f>
        <v/>
      </c>
      <c r="Q76" s="31">
        <f>IF(計算用!$S$26="","",INDEX(振り分け!$A$3:$A$302,計算用!$S$26))</f>
        <v/>
      </c>
      <c r="R76" s="33">
        <f>IF(計算用!$S$26="","",INDEX(振り分け!$C$3:$C$302,計算用!$S$26))</f>
        <v/>
      </c>
      <c r="S76" s="31">
        <f>IF(計算用!$T$26="","",INDEX(振り分け!$A$3:$A$302,計算用!$T$26))</f>
        <v/>
      </c>
      <c r="T76" s="33">
        <f>IF(計算用!$T$26="","",INDEX(振り分け!$C$3:$C$302,計算用!$T$26))</f>
        <v/>
      </c>
    </row>
    <row r="77">
      <c r="A77" s="31">
        <f>IF(計算用!$K$27="","",INDEX(振り分け!$A$3:$A$302,計算用!$K$27))</f>
        <v/>
      </c>
      <c r="B77" s="33">
        <f>IF(計算用!$K$27="","",INDEX(振り分け!$C$3:$C$302,計算用!$K$27))</f>
        <v/>
      </c>
      <c r="C77" s="31">
        <f>IF(計算用!$L$27="","",INDEX(振り分け!$A$3:$A$302,計算用!$L$27))</f>
        <v/>
      </c>
      <c r="D77" s="33">
        <f>IF(計算用!$L$27="","",INDEX(振り分け!$C$3:$C$302,計算用!$L$27))</f>
        <v/>
      </c>
      <c r="E77" s="31">
        <f>IF(計算用!$M$27="","",INDEX(振り分け!$A$3:$A$302,計算用!$M$27))</f>
        <v/>
      </c>
      <c r="F77" s="33">
        <f>IF(計算用!$M$27="","",INDEX(振り分け!$C$3:$C$302,計算用!$M$27))</f>
        <v/>
      </c>
      <c r="G77" s="31">
        <f>IF(計算用!$N$27="","",INDEX(振り分け!$A$3:$A$302,計算用!$N$27))</f>
        <v/>
      </c>
      <c r="H77" s="33">
        <f>IF(計算用!$N$27="","",INDEX(振り分け!$C$3:$C$302,計算用!$N$27))</f>
        <v/>
      </c>
      <c r="I77" s="31">
        <f>IF(計算用!$O$27="","",INDEX(振り分け!$A$3:$A$302,計算用!$O$27))</f>
        <v/>
      </c>
      <c r="J77" s="33">
        <f>IF(計算用!$O$27="","",INDEX(振り分け!$C$3:$C$302,計算用!$O$27))</f>
        <v/>
      </c>
      <c r="K77" s="31">
        <f>IF(計算用!$P$27="","",INDEX(振り分け!$A$3:$A$302,計算用!$P$27))</f>
        <v/>
      </c>
      <c r="L77" s="33">
        <f>IF(計算用!$P$27="","",INDEX(振り分け!$C$3:$C$302,計算用!$P$27))</f>
        <v/>
      </c>
      <c r="M77" s="31">
        <f>IF(計算用!$Q$27="","",INDEX(振り分け!$A$3:$A$302,計算用!$Q$27))</f>
        <v/>
      </c>
      <c r="N77" s="33">
        <f>IF(計算用!$Q$27="","",INDEX(振り分け!$C$3:$C$302,計算用!$Q$27))</f>
        <v/>
      </c>
      <c r="O77" s="31">
        <f>IF(計算用!$R$27="","",INDEX(振り分け!$A$3:$A$302,計算用!$R$27))</f>
        <v/>
      </c>
      <c r="P77" s="33">
        <f>IF(計算用!$R$27="","",INDEX(振り分け!$C$3:$C$302,計算用!$R$27))</f>
        <v/>
      </c>
      <c r="Q77" s="31">
        <f>IF(計算用!$S$27="","",INDEX(振り分け!$A$3:$A$302,計算用!$S$27))</f>
        <v/>
      </c>
      <c r="R77" s="33">
        <f>IF(計算用!$S$27="","",INDEX(振り分け!$C$3:$C$302,計算用!$S$27))</f>
        <v/>
      </c>
      <c r="S77" s="31">
        <f>IF(計算用!$T$27="","",INDEX(振り分け!$A$3:$A$302,計算用!$T$27))</f>
        <v/>
      </c>
      <c r="T77" s="33">
        <f>IF(計算用!$T$27="","",INDEX(振り分け!$C$3:$C$302,計算用!$T$27))</f>
        <v/>
      </c>
    </row>
    <row r="78">
      <c r="A78" s="31">
        <f>IF(計算用!$K$28="","",INDEX(振り分け!$A$3:$A$302,計算用!$K$28))</f>
        <v/>
      </c>
      <c r="B78" s="33">
        <f>IF(計算用!$K$28="","",INDEX(振り分け!$C$3:$C$302,計算用!$K$28))</f>
        <v/>
      </c>
      <c r="C78" s="31">
        <f>IF(計算用!$L$28="","",INDEX(振り分け!$A$3:$A$302,計算用!$L$28))</f>
        <v/>
      </c>
      <c r="D78" s="33">
        <f>IF(計算用!$L$28="","",INDEX(振り分け!$C$3:$C$302,計算用!$L$28))</f>
        <v/>
      </c>
      <c r="E78" s="31">
        <f>IF(計算用!$M$28="","",INDEX(振り分け!$A$3:$A$302,計算用!$M$28))</f>
        <v/>
      </c>
      <c r="F78" s="33">
        <f>IF(計算用!$M$28="","",INDEX(振り分け!$C$3:$C$302,計算用!$M$28))</f>
        <v/>
      </c>
      <c r="G78" s="31">
        <f>IF(計算用!$N$28="","",INDEX(振り分け!$A$3:$A$302,計算用!$N$28))</f>
        <v/>
      </c>
      <c r="H78" s="33">
        <f>IF(計算用!$N$28="","",INDEX(振り分け!$C$3:$C$302,計算用!$N$28))</f>
        <v/>
      </c>
      <c r="I78" s="31">
        <f>IF(計算用!$O$28="","",INDEX(振り分け!$A$3:$A$302,計算用!$O$28))</f>
        <v/>
      </c>
      <c r="J78" s="33">
        <f>IF(計算用!$O$28="","",INDEX(振り分け!$C$3:$C$302,計算用!$O$28))</f>
        <v/>
      </c>
      <c r="K78" s="31">
        <f>IF(計算用!$P$28="","",INDEX(振り分け!$A$3:$A$302,計算用!$P$28))</f>
        <v/>
      </c>
      <c r="L78" s="33">
        <f>IF(計算用!$P$28="","",INDEX(振り分け!$C$3:$C$302,計算用!$P$28))</f>
        <v/>
      </c>
      <c r="M78" s="31">
        <f>IF(計算用!$Q$28="","",INDEX(振り分け!$A$3:$A$302,計算用!$Q$28))</f>
        <v/>
      </c>
      <c r="N78" s="33">
        <f>IF(計算用!$Q$28="","",INDEX(振り分け!$C$3:$C$302,計算用!$Q$28))</f>
        <v/>
      </c>
      <c r="O78" s="31">
        <f>IF(計算用!$R$28="","",INDEX(振り分け!$A$3:$A$302,計算用!$R$28))</f>
        <v/>
      </c>
      <c r="P78" s="33">
        <f>IF(計算用!$R$28="","",INDEX(振り分け!$C$3:$C$302,計算用!$R$28))</f>
        <v/>
      </c>
      <c r="Q78" s="31">
        <f>IF(計算用!$S$28="","",INDEX(振り分け!$A$3:$A$302,計算用!$S$28))</f>
        <v/>
      </c>
      <c r="R78" s="33">
        <f>IF(計算用!$S$28="","",INDEX(振り分け!$C$3:$C$302,計算用!$S$28))</f>
        <v/>
      </c>
      <c r="S78" s="31">
        <f>IF(計算用!$T$28="","",INDEX(振り分け!$A$3:$A$302,計算用!$T$28))</f>
        <v/>
      </c>
      <c r="T78" s="33">
        <f>IF(計算用!$T$28="","",INDEX(振り分け!$C$3:$C$302,計算用!$T$28))</f>
        <v/>
      </c>
    </row>
    <row r="79">
      <c r="A79" s="31">
        <f>IF(計算用!$K$29="","",INDEX(振り分け!$A$3:$A$302,計算用!$K$29))</f>
        <v/>
      </c>
      <c r="B79" s="33">
        <f>IF(計算用!$K$29="","",INDEX(振り分け!$C$3:$C$302,計算用!$K$29))</f>
        <v/>
      </c>
      <c r="C79" s="31">
        <f>IF(計算用!$L$29="","",INDEX(振り分け!$A$3:$A$302,計算用!$L$29))</f>
        <v/>
      </c>
      <c r="D79" s="33">
        <f>IF(計算用!$L$29="","",INDEX(振り分け!$C$3:$C$302,計算用!$L$29))</f>
        <v/>
      </c>
      <c r="E79" s="31">
        <f>IF(計算用!$M$29="","",INDEX(振り分け!$A$3:$A$302,計算用!$M$29))</f>
        <v/>
      </c>
      <c r="F79" s="33">
        <f>IF(計算用!$M$29="","",INDEX(振り分け!$C$3:$C$302,計算用!$M$29))</f>
        <v/>
      </c>
      <c r="G79" s="31">
        <f>IF(計算用!$N$29="","",INDEX(振り分け!$A$3:$A$302,計算用!$N$29))</f>
        <v/>
      </c>
      <c r="H79" s="33">
        <f>IF(計算用!$N$29="","",INDEX(振り分け!$C$3:$C$302,計算用!$N$29))</f>
        <v/>
      </c>
      <c r="I79" s="31">
        <f>IF(計算用!$O$29="","",INDEX(振り分け!$A$3:$A$302,計算用!$O$29))</f>
        <v/>
      </c>
      <c r="J79" s="33">
        <f>IF(計算用!$O$29="","",INDEX(振り分け!$C$3:$C$302,計算用!$O$29))</f>
        <v/>
      </c>
      <c r="K79" s="31">
        <f>IF(計算用!$P$29="","",INDEX(振り分け!$A$3:$A$302,計算用!$P$29))</f>
        <v/>
      </c>
      <c r="L79" s="33">
        <f>IF(計算用!$P$29="","",INDEX(振り分け!$C$3:$C$302,計算用!$P$29))</f>
        <v/>
      </c>
      <c r="M79" s="31">
        <f>IF(計算用!$Q$29="","",INDEX(振り分け!$A$3:$A$302,計算用!$Q$29))</f>
        <v/>
      </c>
      <c r="N79" s="33">
        <f>IF(計算用!$Q$29="","",INDEX(振り分け!$C$3:$C$302,計算用!$Q$29))</f>
        <v/>
      </c>
      <c r="O79" s="31">
        <f>IF(計算用!$R$29="","",INDEX(振り分け!$A$3:$A$302,計算用!$R$29))</f>
        <v/>
      </c>
      <c r="P79" s="33">
        <f>IF(計算用!$R$29="","",INDEX(振り分け!$C$3:$C$302,計算用!$R$29))</f>
        <v/>
      </c>
      <c r="Q79" s="31">
        <f>IF(計算用!$S$29="","",INDEX(振り分け!$A$3:$A$302,計算用!$S$29))</f>
        <v/>
      </c>
      <c r="R79" s="33">
        <f>IF(計算用!$S$29="","",INDEX(振り分け!$C$3:$C$302,計算用!$S$29))</f>
        <v/>
      </c>
      <c r="S79" s="31">
        <f>IF(計算用!$T$29="","",INDEX(振り分け!$A$3:$A$302,計算用!$T$29))</f>
        <v/>
      </c>
      <c r="T79" s="33">
        <f>IF(計算用!$T$29="","",INDEX(振り分け!$C$3:$C$302,計算用!$T$29))</f>
        <v/>
      </c>
    </row>
    <row r="80">
      <c r="A80" s="31">
        <f>IF(計算用!$K$30="","",INDEX(振り分け!$A$3:$A$302,計算用!$K$30))</f>
        <v/>
      </c>
      <c r="B80" s="33">
        <f>IF(計算用!$K$30="","",INDEX(振り分け!$C$3:$C$302,計算用!$K$30))</f>
        <v/>
      </c>
      <c r="C80" s="31">
        <f>IF(計算用!$L$30="","",INDEX(振り分け!$A$3:$A$302,計算用!$L$30))</f>
        <v/>
      </c>
      <c r="D80" s="33">
        <f>IF(計算用!$L$30="","",INDEX(振り分け!$C$3:$C$302,計算用!$L$30))</f>
        <v/>
      </c>
      <c r="E80" s="31">
        <f>IF(計算用!$M$30="","",INDEX(振り分け!$A$3:$A$302,計算用!$M$30))</f>
        <v/>
      </c>
      <c r="F80" s="33">
        <f>IF(計算用!$M$30="","",INDEX(振り分け!$C$3:$C$302,計算用!$M$30))</f>
        <v/>
      </c>
      <c r="G80" s="31">
        <f>IF(計算用!$N$30="","",INDEX(振り分け!$A$3:$A$302,計算用!$N$30))</f>
        <v/>
      </c>
      <c r="H80" s="33">
        <f>IF(計算用!$N$30="","",INDEX(振り分け!$C$3:$C$302,計算用!$N$30))</f>
        <v/>
      </c>
      <c r="I80" s="31">
        <f>IF(計算用!$O$30="","",INDEX(振り分け!$A$3:$A$302,計算用!$O$30))</f>
        <v/>
      </c>
      <c r="J80" s="33">
        <f>IF(計算用!$O$30="","",INDEX(振り分け!$C$3:$C$302,計算用!$O$30))</f>
        <v/>
      </c>
      <c r="K80" s="31">
        <f>IF(計算用!$P$30="","",INDEX(振り分け!$A$3:$A$302,計算用!$P$30))</f>
        <v/>
      </c>
      <c r="L80" s="33">
        <f>IF(計算用!$P$30="","",INDEX(振り分け!$C$3:$C$302,計算用!$P$30))</f>
        <v/>
      </c>
      <c r="M80" s="31">
        <f>IF(計算用!$Q$30="","",INDEX(振り分け!$A$3:$A$302,計算用!$Q$30))</f>
        <v/>
      </c>
      <c r="N80" s="33">
        <f>IF(計算用!$Q$30="","",INDEX(振り分け!$C$3:$C$302,計算用!$Q$30))</f>
        <v/>
      </c>
      <c r="O80" s="31">
        <f>IF(計算用!$R$30="","",INDEX(振り分け!$A$3:$A$302,計算用!$R$30))</f>
        <v/>
      </c>
      <c r="P80" s="33">
        <f>IF(計算用!$R$30="","",INDEX(振り分け!$C$3:$C$302,計算用!$R$30))</f>
        <v/>
      </c>
      <c r="Q80" s="31">
        <f>IF(計算用!$S$30="","",INDEX(振り分け!$A$3:$A$302,計算用!$S$30))</f>
        <v/>
      </c>
      <c r="R80" s="33">
        <f>IF(計算用!$S$30="","",INDEX(振り分け!$C$3:$C$302,計算用!$S$30))</f>
        <v/>
      </c>
      <c r="S80" s="31">
        <f>IF(計算用!$T$30="","",INDEX(振り分け!$A$3:$A$302,計算用!$T$30))</f>
        <v/>
      </c>
      <c r="T80" s="33">
        <f>IF(計算用!$T$30="","",INDEX(振り分け!$C$3:$C$302,計算用!$T$30))</f>
        <v/>
      </c>
    </row>
    <row r="81">
      <c r="A81" s="31">
        <f>IF(計算用!$K$31="","",INDEX(振り分け!$A$3:$A$302,計算用!$K$31))</f>
        <v/>
      </c>
      <c r="B81" s="33">
        <f>IF(計算用!$K$31="","",INDEX(振り分け!$C$3:$C$302,計算用!$K$31))</f>
        <v/>
      </c>
      <c r="C81" s="31">
        <f>IF(計算用!$L$31="","",INDEX(振り分け!$A$3:$A$302,計算用!$L$31))</f>
        <v/>
      </c>
      <c r="D81" s="33">
        <f>IF(計算用!$L$31="","",INDEX(振り分け!$C$3:$C$302,計算用!$L$31))</f>
        <v/>
      </c>
      <c r="E81" s="31">
        <f>IF(計算用!$M$31="","",INDEX(振り分け!$A$3:$A$302,計算用!$M$31))</f>
        <v/>
      </c>
      <c r="F81" s="33">
        <f>IF(計算用!$M$31="","",INDEX(振り分け!$C$3:$C$302,計算用!$M$31))</f>
        <v/>
      </c>
      <c r="G81" s="31">
        <f>IF(計算用!$N$31="","",INDEX(振り分け!$A$3:$A$302,計算用!$N$31))</f>
        <v/>
      </c>
      <c r="H81" s="33">
        <f>IF(計算用!$N$31="","",INDEX(振り分け!$C$3:$C$302,計算用!$N$31))</f>
        <v/>
      </c>
      <c r="I81" s="31">
        <f>IF(計算用!$O$31="","",INDEX(振り分け!$A$3:$A$302,計算用!$O$31))</f>
        <v/>
      </c>
      <c r="J81" s="33">
        <f>IF(計算用!$O$31="","",INDEX(振り分け!$C$3:$C$302,計算用!$O$31))</f>
        <v/>
      </c>
      <c r="K81" s="31">
        <f>IF(計算用!$P$31="","",INDEX(振り分け!$A$3:$A$302,計算用!$P$31))</f>
        <v/>
      </c>
      <c r="L81" s="33">
        <f>IF(計算用!$P$31="","",INDEX(振り分け!$C$3:$C$302,計算用!$P$31))</f>
        <v/>
      </c>
      <c r="M81" s="31">
        <f>IF(計算用!$Q$31="","",INDEX(振り分け!$A$3:$A$302,計算用!$Q$31))</f>
        <v/>
      </c>
      <c r="N81" s="33">
        <f>IF(計算用!$Q$31="","",INDEX(振り分け!$C$3:$C$302,計算用!$Q$31))</f>
        <v/>
      </c>
      <c r="O81" s="31">
        <f>IF(計算用!$R$31="","",INDEX(振り分け!$A$3:$A$302,計算用!$R$31))</f>
        <v/>
      </c>
      <c r="P81" s="33">
        <f>IF(計算用!$R$31="","",INDEX(振り分け!$C$3:$C$302,計算用!$R$31))</f>
        <v/>
      </c>
      <c r="Q81" s="31">
        <f>IF(計算用!$S$31="","",INDEX(振り分け!$A$3:$A$302,計算用!$S$31))</f>
        <v/>
      </c>
      <c r="R81" s="33">
        <f>IF(計算用!$S$31="","",INDEX(振り分け!$C$3:$C$302,計算用!$S$31))</f>
        <v/>
      </c>
      <c r="S81" s="31">
        <f>IF(計算用!$T$31="","",INDEX(振り分け!$A$3:$A$302,計算用!$T$31))</f>
        <v/>
      </c>
      <c r="T81" s="33">
        <f>IF(計算用!$T$31="","",INDEX(振り分け!$C$3:$C$302,計算用!$T$31))</f>
        <v/>
      </c>
    </row>
    <row r="82">
      <c r="A82" s="31">
        <f>IF(計算用!$K$32="","",INDEX(振り分け!$A$3:$A$302,計算用!$K$32))</f>
        <v/>
      </c>
      <c r="B82" s="33">
        <f>IF(計算用!$K$32="","",INDEX(振り分け!$C$3:$C$302,計算用!$K$32))</f>
        <v/>
      </c>
      <c r="C82" s="31">
        <f>IF(計算用!$L$32="","",INDEX(振り分け!$A$3:$A$302,計算用!$L$32))</f>
        <v/>
      </c>
      <c r="D82" s="33">
        <f>IF(計算用!$L$32="","",INDEX(振り分け!$C$3:$C$302,計算用!$L$32))</f>
        <v/>
      </c>
      <c r="E82" s="31">
        <f>IF(計算用!$M$32="","",INDEX(振り分け!$A$3:$A$302,計算用!$M$32))</f>
        <v/>
      </c>
      <c r="F82" s="33">
        <f>IF(計算用!$M$32="","",INDEX(振り分け!$C$3:$C$302,計算用!$M$32))</f>
        <v/>
      </c>
      <c r="G82" s="31">
        <f>IF(計算用!$N$32="","",INDEX(振り分け!$A$3:$A$302,計算用!$N$32))</f>
        <v/>
      </c>
      <c r="H82" s="33">
        <f>IF(計算用!$N$32="","",INDEX(振り分け!$C$3:$C$302,計算用!$N$32))</f>
        <v/>
      </c>
      <c r="I82" s="31">
        <f>IF(計算用!$O$32="","",INDEX(振り分け!$A$3:$A$302,計算用!$O$32))</f>
        <v/>
      </c>
      <c r="J82" s="33">
        <f>IF(計算用!$O$32="","",INDEX(振り分け!$C$3:$C$302,計算用!$O$32))</f>
        <v/>
      </c>
      <c r="K82" s="31">
        <f>IF(計算用!$P$32="","",INDEX(振り分け!$A$3:$A$302,計算用!$P$32))</f>
        <v/>
      </c>
      <c r="L82" s="33">
        <f>IF(計算用!$P$32="","",INDEX(振り分け!$C$3:$C$302,計算用!$P$32))</f>
        <v/>
      </c>
      <c r="M82" s="31">
        <f>IF(計算用!$Q$32="","",INDEX(振り分け!$A$3:$A$302,計算用!$Q$32))</f>
        <v/>
      </c>
      <c r="N82" s="33">
        <f>IF(計算用!$Q$32="","",INDEX(振り分け!$C$3:$C$302,計算用!$Q$32))</f>
        <v/>
      </c>
      <c r="O82" s="31">
        <f>IF(計算用!$R$32="","",INDEX(振り分け!$A$3:$A$302,計算用!$R$32))</f>
        <v/>
      </c>
      <c r="P82" s="33">
        <f>IF(計算用!$R$32="","",INDEX(振り分け!$C$3:$C$302,計算用!$R$32))</f>
        <v/>
      </c>
      <c r="Q82" s="31">
        <f>IF(計算用!$S$32="","",INDEX(振り分け!$A$3:$A$302,計算用!$S$32))</f>
        <v/>
      </c>
      <c r="R82" s="33">
        <f>IF(計算用!$S$32="","",INDEX(振り分け!$C$3:$C$302,計算用!$S$32))</f>
        <v/>
      </c>
      <c r="S82" s="31">
        <f>IF(計算用!$T$32="","",INDEX(振り分け!$A$3:$A$302,計算用!$T$32))</f>
        <v/>
      </c>
      <c r="T82" s="33">
        <f>IF(計算用!$T$32="","",INDEX(振り分け!$C$3:$C$302,計算用!$T$32))</f>
        <v/>
      </c>
    </row>
    <row r="83">
      <c r="A83" s="31">
        <f>IF(計算用!$K$33="","",INDEX(振り分け!$A$3:$A$302,計算用!$K$33))</f>
        <v/>
      </c>
      <c r="B83" s="33">
        <f>IF(計算用!$K$33="","",INDEX(振り分け!$C$3:$C$302,計算用!$K$33))</f>
        <v/>
      </c>
      <c r="C83" s="31">
        <f>IF(計算用!$L$33="","",INDEX(振り分け!$A$3:$A$302,計算用!$L$33))</f>
        <v/>
      </c>
      <c r="D83" s="33">
        <f>IF(計算用!$L$33="","",INDEX(振り分け!$C$3:$C$302,計算用!$L$33))</f>
        <v/>
      </c>
      <c r="E83" s="31">
        <f>IF(計算用!$M$33="","",INDEX(振り分け!$A$3:$A$302,計算用!$M$33))</f>
        <v/>
      </c>
      <c r="F83" s="33">
        <f>IF(計算用!$M$33="","",INDEX(振り分け!$C$3:$C$302,計算用!$M$33))</f>
        <v/>
      </c>
      <c r="G83" s="31">
        <f>IF(計算用!$N$33="","",INDEX(振り分け!$A$3:$A$302,計算用!$N$33))</f>
        <v/>
      </c>
      <c r="H83" s="33">
        <f>IF(計算用!$N$33="","",INDEX(振り分け!$C$3:$C$302,計算用!$N$33))</f>
        <v/>
      </c>
      <c r="I83" s="31">
        <f>IF(計算用!$O$33="","",INDEX(振り分け!$A$3:$A$302,計算用!$O$33))</f>
        <v/>
      </c>
      <c r="J83" s="33">
        <f>IF(計算用!$O$33="","",INDEX(振り分け!$C$3:$C$302,計算用!$O$33))</f>
        <v/>
      </c>
      <c r="K83" s="31">
        <f>IF(計算用!$P$33="","",INDEX(振り分け!$A$3:$A$302,計算用!$P$33))</f>
        <v/>
      </c>
      <c r="L83" s="33">
        <f>IF(計算用!$P$33="","",INDEX(振り分け!$C$3:$C$302,計算用!$P$33))</f>
        <v/>
      </c>
      <c r="M83" s="31">
        <f>IF(計算用!$Q$33="","",INDEX(振り分け!$A$3:$A$302,計算用!$Q$33))</f>
        <v/>
      </c>
      <c r="N83" s="33">
        <f>IF(計算用!$Q$33="","",INDEX(振り分け!$C$3:$C$302,計算用!$Q$33))</f>
        <v/>
      </c>
      <c r="O83" s="31">
        <f>IF(計算用!$R$33="","",INDEX(振り分け!$A$3:$A$302,計算用!$R$33))</f>
        <v/>
      </c>
      <c r="P83" s="33">
        <f>IF(計算用!$R$33="","",INDEX(振り分け!$C$3:$C$302,計算用!$R$33))</f>
        <v/>
      </c>
      <c r="Q83" s="31">
        <f>IF(計算用!$S$33="","",INDEX(振り分け!$A$3:$A$302,計算用!$S$33))</f>
        <v/>
      </c>
      <c r="R83" s="33">
        <f>IF(計算用!$S$33="","",INDEX(振り分け!$C$3:$C$302,計算用!$S$33))</f>
        <v/>
      </c>
      <c r="S83" s="31">
        <f>IF(計算用!$T$33="","",INDEX(振り分け!$A$3:$A$302,計算用!$T$33))</f>
        <v/>
      </c>
      <c r="T83" s="33">
        <f>IF(計算用!$T$33="","",INDEX(振り分け!$C$3:$C$302,計算用!$T$33))</f>
        <v/>
      </c>
    </row>
    <row r="84">
      <c r="A84" s="31">
        <f>IF(計算用!$K$34="","",INDEX(振り分け!$A$3:$A$302,計算用!$K$34))</f>
        <v/>
      </c>
      <c r="B84" s="33">
        <f>IF(計算用!$K$34="","",INDEX(振り分け!$C$3:$C$302,計算用!$K$34))</f>
        <v/>
      </c>
      <c r="C84" s="31">
        <f>IF(計算用!$L$34="","",INDEX(振り分け!$A$3:$A$302,計算用!$L$34))</f>
        <v/>
      </c>
      <c r="D84" s="33">
        <f>IF(計算用!$L$34="","",INDEX(振り分け!$C$3:$C$302,計算用!$L$34))</f>
        <v/>
      </c>
      <c r="E84" s="31">
        <f>IF(計算用!$M$34="","",INDEX(振り分け!$A$3:$A$302,計算用!$M$34))</f>
        <v/>
      </c>
      <c r="F84" s="33">
        <f>IF(計算用!$M$34="","",INDEX(振り分け!$C$3:$C$302,計算用!$M$34))</f>
        <v/>
      </c>
      <c r="G84" s="31">
        <f>IF(計算用!$N$34="","",INDEX(振り分け!$A$3:$A$302,計算用!$N$34))</f>
        <v/>
      </c>
      <c r="H84" s="33">
        <f>IF(計算用!$N$34="","",INDEX(振り分け!$C$3:$C$302,計算用!$N$34))</f>
        <v/>
      </c>
      <c r="I84" s="31">
        <f>IF(計算用!$O$34="","",INDEX(振り分け!$A$3:$A$302,計算用!$O$34))</f>
        <v/>
      </c>
      <c r="J84" s="33">
        <f>IF(計算用!$O$34="","",INDEX(振り分け!$C$3:$C$302,計算用!$O$34))</f>
        <v/>
      </c>
      <c r="K84" s="31">
        <f>IF(計算用!$P$34="","",INDEX(振り分け!$A$3:$A$302,計算用!$P$34))</f>
        <v/>
      </c>
      <c r="L84" s="33">
        <f>IF(計算用!$P$34="","",INDEX(振り分け!$C$3:$C$302,計算用!$P$34))</f>
        <v/>
      </c>
      <c r="M84" s="31">
        <f>IF(計算用!$Q$34="","",INDEX(振り分け!$A$3:$A$302,計算用!$Q$34))</f>
        <v/>
      </c>
      <c r="N84" s="33">
        <f>IF(計算用!$Q$34="","",INDEX(振り分け!$C$3:$C$302,計算用!$Q$34))</f>
        <v/>
      </c>
      <c r="O84" s="31">
        <f>IF(計算用!$R$34="","",INDEX(振り分け!$A$3:$A$302,計算用!$R$34))</f>
        <v/>
      </c>
      <c r="P84" s="33">
        <f>IF(計算用!$R$34="","",INDEX(振り分け!$C$3:$C$302,計算用!$R$34))</f>
        <v/>
      </c>
      <c r="Q84" s="31">
        <f>IF(計算用!$S$34="","",INDEX(振り分け!$A$3:$A$302,計算用!$S$34))</f>
        <v/>
      </c>
      <c r="R84" s="33">
        <f>IF(計算用!$S$34="","",INDEX(振り分け!$C$3:$C$302,計算用!$S$34))</f>
        <v/>
      </c>
      <c r="S84" s="31">
        <f>IF(計算用!$T$34="","",INDEX(振り分け!$A$3:$A$302,計算用!$T$34))</f>
        <v/>
      </c>
      <c r="T84" s="33">
        <f>IF(計算用!$T$34="","",INDEX(振り分け!$C$3:$C$302,計算用!$T$34))</f>
        <v/>
      </c>
    </row>
    <row r="85">
      <c r="A85" s="31">
        <f>IF(計算用!$K$35="","",INDEX(振り分け!$A$3:$A$302,計算用!$K$35))</f>
        <v/>
      </c>
      <c r="B85" s="33">
        <f>IF(計算用!$K$35="","",INDEX(振り分け!$C$3:$C$302,計算用!$K$35))</f>
        <v/>
      </c>
      <c r="C85" s="31">
        <f>IF(計算用!$L$35="","",INDEX(振り分け!$A$3:$A$302,計算用!$L$35))</f>
        <v/>
      </c>
      <c r="D85" s="33">
        <f>IF(計算用!$L$35="","",INDEX(振り分け!$C$3:$C$302,計算用!$L$35))</f>
        <v/>
      </c>
      <c r="E85" s="31">
        <f>IF(計算用!$M$35="","",INDEX(振り分け!$A$3:$A$302,計算用!$M$35))</f>
        <v/>
      </c>
      <c r="F85" s="33">
        <f>IF(計算用!$M$35="","",INDEX(振り分け!$C$3:$C$302,計算用!$M$35))</f>
        <v/>
      </c>
      <c r="G85" s="31">
        <f>IF(計算用!$N$35="","",INDEX(振り分け!$A$3:$A$302,計算用!$N$35))</f>
        <v/>
      </c>
      <c r="H85" s="33">
        <f>IF(計算用!$N$35="","",INDEX(振り分け!$C$3:$C$302,計算用!$N$35))</f>
        <v/>
      </c>
      <c r="I85" s="31">
        <f>IF(計算用!$O$35="","",INDEX(振り分け!$A$3:$A$302,計算用!$O$35))</f>
        <v/>
      </c>
      <c r="J85" s="33">
        <f>IF(計算用!$O$35="","",INDEX(振り分け!$C$3:$C$302,計算用!$O$35))</f>
        <v/>
      </c>
      <c r="K85" s="31">
        <f>IF(計算用!$P$35="","",INDEX(振り分け!$A$3:$A$302,計算用!$P$35))</f>
        <v/>
      </c>
      <c r="L85" s="33">
        <f>IF(計算用!$P$35="","",INDEX(振り分け!$C$3:$C$302,計算用!$P$35))</f>
        <v/>
      </c>
      <c r="M85" s="31">
        <f>IF(計算用!$Q$35="","",INDEX(振り分け!$A$3:$A$302,計算用!$Q$35))</f>
        <v/>
      </c>
      <c r="N85" s="33">
        <f>IF(計算用!$Q$35="","",INDEX(振り分け!$C$3:$C$302,計算用!$Q$35))</f>
        <v/>
      </c>
      <c r="O85" s="31">
        <f>IF(計算用!$R$35="","",INDEX(振り分け!$A$3:$A$302,計算用!$R$35))</f>
        <v/>
      </c>
      <c r="P85" s="33">
        <f>IF(計算用!$R$35="","",INDEX(振り分け!$C$3:$C$302,計算用!$R$35))</f>
        <v/>
      </c>
      <c r="Q85" s="31">
        <f>IF(計算用!$S$35="","",INDEX(振り分け!$A$3:$A$302,計算用!$S$35))</f>
        <v/>
      </c>
      <c r="R85" s="33">
        <f>IF(計算用!$S$35="","",INDEX(振り分け!$C$3:$C$302,計算用!$S$35))</f>
        <v/>
      </c>
      <c r="S85" s="31">
        <f>IF(計算用!$T$35="","",INDEX(振り分け!$A$3:$A$302,計算用!$T$35))</f>
        <v/>
      </c>
      <c r="T85" s="33">
        <f>IF(計算用!$T$35="","",INDEX(振り分け!$C$3:$C$302,計算用!$T$35))</f>
        <v/>
      </c>
    </row>
    <row r="86">
      <c r="A86" s="31">
        <f>IF(計算用!$K$36="","",INDEX(振り分け!$A$3:$A$302,計算用!$K$36))</f>
        <v/>
      </c>
      <c r="B86" s="33">
        <f>IF(計算用!$K$36="","",INDEX(振り分け!$C$3:$C$302,計算用!$K$36))</f>
        <v/>
      </c>
      <c r="C86" s="31">
        <f>IF(計算用!$L$36="","",INDEX(振り分け!$A$3:$A$302,計算用!$L$36))</f>
        <v/>
      </c>
      <c r="D86" s="33">
        <f>IF(計算用!$L$36="","",INDEX(振り分け!$C$3:$C$302,計算用!$L$36))</f>
        <v/>
      </c>
      <c r="E86" s="31">
        <f>IF(計算用!$M$36="","",INDEX(振り分け!$A$3:$A$302,計算用!$M$36))</f>
        <v/>
      </c>
      <c r="F86" s="33">
        <f>IF(計算用!$M$36="","",INDEX(振り分け!$C$3:$C$302,計算用!$M$36))</f>
        <v/>
      </c>
      <c r="G86" s="31">
        <f>IF(計算用!$N$36="","",INDEX(振り分け!$A$3:$A$302,計算用!$N$36))</f>
        <v/>
      </c>
      <c r="H86" s="33">
        <f>IF(計算用!$N$36="","",INDEX(振り分け!$C$3:$C$302,計算用!$N$36))</f>
        <v/>
      </c>
      <c r="I86" s="31">
        <f>IF(計算用!$O$36="","",INDEX(振り分け!$A$3:$A$302,計算用!$O$36))</f>
        <v/>
      </c>
      <c r="J86" s="33">
        <f>IF(計算用!$O$36="","",INDEX(振り分け!$C$3:$C$302,計算用!$O$36))</f>
        <v/>
      </c>
      <c r="K86" s="31">
        <f>IF(計算用!$P$36="","",INDEX(振り分け!$A$3:$A$302,計算用!$P$36))</f>
        <v/>
      </c>
      <c r="L86" s="33">
        <f>IF(計算用!$P$36="","",INDEX(振り分け!$C$3:$C$302,計算用!$P$36))</f>
        <v/>
      </c>
      <c r="M86" s="31">
        <f>IF(計算用!$Q$36="","",INDEX(振り分け!$A$3:$A$302,計算用!$Q$36))</f>
        <v/>
      </c>
      <c r="N86" s="33">
        <f>IF(計算用!$Q$36="","",INDEX(振り分け!$C$3:$C$302,計算用!$Q$36))</f>
        <v/>
      </c>
      <c r="O86" s="31">
        <f>IF(計算用!$R$36="","",INDEX(振り分け!$A$3:$A$302,計算用!$R$36))</f>
        <v/>
      </c>
      <c r="P86" s="33">
        <f>IF(計算用!$R$36="","",INDEX(振り分け!$C$3:$C$302,計算用!$R$36))</f>
        <v/>
      </c>
      <c r="Q86" s="31">
        <f>IF(計算用!$S$36="","",INDEX(振り分け!$A$3:$A$302,計算用!$S$36))</f>
        <v/>
      </c>
      <c r="R86" s="33">
        <f>IF(計算用!$S$36="","",INDEX(振り分け!$C$3:$C$302,計算用!$S$36))</f>
        <v/>
      </c>
      <c r="S86" s="31">
        <f>IF(計算用!$T$36="","",INDEX(振り分け!$A$3:$A$302,計算用!$T$36))</f>
        <v/>
      </c>
      <c r="T86" s="33">
        <f>IF(計算用!$T$36="","",INDEX(振り分け!$C$3:$C$302,計算用!$T$36))</f>
        <v/>
      </c>
    </row>
    <row r="87">
      <c r="A87" s="31">
        <f>IF(計算用!$K$37="","",INDEX(振り分け!$A$3:$A$302,計算用!$K$37))</f>
        <v/>
      </c>
      <c r="B87" s="33">
        <f>IF(計算用!$K$37="","",INDEX(振り分け!$C$3:$C$302,計算用!$K$37))</f>
        <v/>
      </c>
      <c r="C87" s="31">
        <f>IF(計算用!$L$37="","",INDEX(振り分け!$A$3:$A$302,計算用!$L$37))</f>
        <v/>
      </c>
      <c r="D87" s="33">
        <f>IF(計算用!$L$37="","",INDEX(振り分け!$C$3:$C$302,計算用!$L$37))</f>
        <v/>
      </c>
      <c r="E87" s="31">
        <f>IF(計算用!$M$37="","",INDEX(振り分け!$A$3:$A$302,計算用!$M$37))</f>
        <v/>
      </c>
      <c r="F87" s="33">
        <f>IF(計算用!$M$37="","",INDEX(振り分け!$C$3:$C$302,計算用!$M$37))</f>
        <v/>
      </c>
      <c r="G87" s="31">
        <f>IF(計算用!$N$37="","",INDEX(振り分け!$A$3:$A$302,計算用!$N$37))</f>
        <v/>
      </c>
      <c r="H87" s="33">
        <f>IF(計算用!$N$37="","",INDEX(振り分け!$C$3:$C$302,計算用!$N$37))</f>
        <v/>
      </c>
      <c r="I87" s="31">
        <f>IF(計算用!$O$37="","",INDEX(振り分け!$A$3:$A$302,計算用!$O$37))</f>
        <v/>
      </c>
      <c r="J87" s="33">
        <f>IF(計算用!$O$37="","",INDEX(振り分け!$C$3:$C$302,計算用!$O$37))</f>
        <v/>
      </c>
      <c r="K87" s="31">
        <f>IF(計算用!$P$37="","",INDEX(振り分け!$A$3:$A$302,計算用!$P$37))</f>
        <v/>
      </c>
      <c r="L87" s="33">
        <f>IF(計算用!$P$37="","",INDEX(振り分け!$C$3:$C$302,計算用!$P$37))</f>
        <v/>
      </c>
      <c r="M87" s="31">
        <f>IF(計算用!$Q$37="","",INDEX(振り分け!$A$3:$A$302,計算用!$Q$37))</f>
        <v/>
      </c>
      <c r="N87" s="33">
        <f>IF(計算用!$Q$37="","",INDEX(振り分け!$C$3:$C$302,計算用!$Q$37))</f>
        <v/>
      </c>
      <c r="O87" s="31">
        <f>IF(計算用!$R$37="","",INDEX(振り分け!$A$3:$A$302,計算用!$R$37))</f>
        <v/>
      </c>
      <c r="P87" s="33">
        <f>IF(計算用!$R$37="","",INDEX(振り分け!$C$3:$C$302,計算用!$R$37))</f>
        <v/>
      </c>
      <c r="Q87" s="31">
        <f>IF(計算用!$S$37="","",INDEX(振り分け!$A$3:$A$302,計算用!$S$37))</f>
        <v/>
      </c>
      <c r="R87" s="33">
        <f>IF(計算用!$S$37="","",INDEX(振り分け!$C$3:$C$302,計算用!$S$37))</f>
        <v/>
      </c>
      <c r="S87" s="31">
        <f>IF(計算用!$T$37="","",INDEX(振り分け!$A$3:$A$302,計算用!$T$37))</f>
        <v/>
      </c>
      <c r="T87" s="33">
        <f>IF(計算用!$T$37="","",INDEX(振り分け!$C$3:$C$302,計算用!$T$37))</f>
        <v/>
      </c>
    </row>
    <row r="88">
      <c r="A88" s="31">
        <f>IF(計算用!$K$38="","",INDEX(振り分け!$A$3:$A$302,計算用!$K$38))</f>
        <v/>
      </c>
      <c r="B88" s="33">
        <f>IF(計算用!$K$38="","",INDEX(振り分け!$C$3:$C$302,計算用!$K$38))</f>
        <v/>
      </c>
      <c r="C88" s="31">
        <f>IF(計算用!$L$38="","",INDEX(振り分け!$A$3:$A$302,計算用!$L$38))</f>
        <v/>
      </c>
      <c r="D88" s="33">
        <f>IF(計算用!$L$38="","",INDEX(振り分け!$C$3:$C$302,計算用!$L$38))</f>
        <v/>
      </c>
      <c r="E88" s="31">
        <f>IF(計算用!$M$38="","",INDEX(振り分け!$A$3:$A$302,計算用!$M$38))</f>
        <v/>
      </c>
      <c r="F88" s="33">
        <f>IF(計算用!$M$38="","",INDEX(振り分け!$C$3:$C$302,計算用!$M$38))</f>
        <v/>
      </c>
      <c r="G88" s="31">
        <f>IF(計算用!$N$38="","",INDEX(振り分け!$A$3:$A$302,計算用!$N$38))</f>
        <v/>
      </c>
      <c r="H88" s="33">
        <f>IF(計算用!$N$38="","",INDEX(振り分け!$C$3:$C$302,計算用!$N$38))</f>
        <v/>
      </c>
      <c r="I88" s="31">
        <f>IF(計算用!$O$38="","",INDEX(振り分け!$A$3:$A$302,計算用!$O$38))</f>
        <v/>
      </c>
      <c r="J88" s="33">
        <f>IF(計算用!$O$38="","",INDEX(振り分け!$C$3:$C$302,計算用!$O$38))</f>
        <v/>
      </c>
      <c r="K88" s="31">
        <f>IF(計算用!$P$38="","",INDEX(振り分け!$A$3:$A$302,計算用!$P$38))</f>
        <v/>
      </c>
      <c r="L88" s="33">
        <f>IF(計算用!$P$38="","",INDEX(振り分け!$C$3:$C$302,計算用!$P$38))</f>
        <v/>
      </c>
      <c r="M88" s="31">
        <f>IF(計算用!$Q$38="","",INDEX(振り分け!$A$3:$A$302,計算用!$Q$38))</f>
        <v/>
      </c>
      <c r="N88" s="33">
        <f>IF(計算用!$Q$38="","",INDEX(振り分け!$C$3:$C$302,計算用!$Q$38))</f>
        <v/>
      </c>
      <c r="O88" s="31">
        <f>IF(計算用!$R$38="","",INDEX(振り分け!$A$3:$A$302,計算用!$R$38))</f>
        <v/>
      </c>
      <c r="P88" s="33">
        <f>IF(計算用!$R$38="","",INDEX(振り分け!$C$3:$C$302,計算用!$R$38))</f>
        <v/>
      </c>
      <c r="Q88" s="31">
        <f>IF(計算用!$S$38="","",INDEX(振り分け!$A$3:$A$302,計算用!$S$38))</f>
        <v/>
      </c>
      <c r="R88" s="33">
        <f>IF(計算用!$S$38="","",INDEX(振り分け!$C$3:$C$302,計算用!$S$38))</f>
        <v/>
      </c>
      <c r="S88" s="31">
        <f>IF(計算用!$T$38="","",INDEX(振り分け!$A$3:$A$302,計算用!$T$38))</f>
        <v/>
      </c>
      <c r="T88" s="33">
        <f>IF(計算用!$T$38="","",INDEX(振り分け!$C$3:$C$302,計算用!$T$38))</f>
        <v/>
      </c>
    </row>
    <row r="89">
      <c r="A89" s="31">
        <f>IF(計算用!$K$39="","",INDEX(振り分け!$A$3:$A$302,計算用!$K$39))</f>
        <v/>
      </c>
      <c r="B89" s="33">
        <f>IF(計算用!$K$39="","",INDEX(振り分け!$C$3:$C$302,計算用!$K$39))</f>
        <v/>
      </c>
      <c r="C89" s="31">
        <f>IF(計算用!$L$39="","",INDEX(振り分け!$A$3:$A$302,計算用!$L$39))</f>
        <v/>
      </c>
      <c r="D89" s="33">
        <f>IF(計算用!$L$39="","",INDEX(振り分け!$C$3:$C$302,計算用!$L$39))</f>
        <v/>
      </c>
      <c r="E89" s="31">
        <f>IF(計算用!$M$39="","",INDEX(振り分け!$A$3:$A$302,計算用!$M$39))</f>
        <v/>
      </c>
      <c r="F89" s="33">
        <f>IF(計算用!$M$39="","",INDEX(振り分け!$C$3:$C$302,計算用!$M$39))</f>
        <v/>
      </c>
      <c r="G89" s="31">
        <f>IF(計算用!$N$39="","",INDEX(振り分け!$A$3:$A$302,計算用!$N$39))</f>
        <v/>
      </c>
      <c r="H89" s="33">
        <f>IF(計算用!$N$39="","",INDEX(振り分け!$C$3:$C$302,計算用!$N$39))</f>
        <v/>
      </c>
      <c r="I89" s="31">
        <f>IF(計算用!$O$39="","",INDEX(振り分け!$A$3:$A$302,計算用!$O$39))</f>
        <v/>
      </c>
      <c r="J89" s="33">
        <f>IF(計算用!$O$39="","",INDEX(振り分け!$C$3:$C$302,計算用!$O$39))</f>
        <v/>
      </c>
      <c r="K89" s="31">
        <f>IF(計算用!$P$39="","",INDEX(振り分け!$A$3:$A$302,計算用!$P$39))</f>
        <v/>
      </c>
      <c r="L89" s="33">
        <f>IF(計算用!$P$39="","",INDEX(振り分け!$C$3:$C$302,計算用!$P$39))</f>
        <v/>
      </c>
      <c r="M89" s="31">
        <f>IF(計算用!$Q$39="","",INDEX(振り分け!$A$3:$A$302,計算用!$Q$39))</f>
        <v/>
      </c>
      <c r="N89" s="33">
        <f>IF(計算用!$Q$39="","",INDEX(振り分け!$C$3:$C$302,計算用!$Q$39))</f>
        <v/>
      </c>
      <c r="O89" s="31">
        <f>IF(計算用!$R$39="","",INDEX(振り分け!$A$3:$A$302,計算用!$R$39))</f>
        <v/>
      </c>
      <c r="P89" s="33">
        <f>IF(計算用!$R$39="","",INDEX(振り分け!$C$3:$C$302,計算用!$R$39))</f>
        <v/>
      </c>
      <c r="Q89" s="31">
        <f>IF(計算用!$S$39="","",INDEX(振り分け!$A$3:$A$302,計算用!$S$39))</f>
        <v/>
      </c>
      <c r="R89" s="33">
        <f>IF(計算用!$S$39="","",INDEX(振り分け!$C$3:$C$302,計算用!$S$39))</f>
        <v/>
      </c>
      <c r="S89" s="31">
        <f>IF(計算用!$T$39="","",INDEX(振り分け!$A$3:$A$302,計算用!$T$39))</f>
        <v/>
      </c>
      <c r="T89" s="33">
        <f>IF(計算用!$T$39="","",INDEX(振り分け!$C$3:$C$302,計算用!$T$39))</f>
        <v/>
      </c>
    </row>
    <row r="90">
      <c r="A90" s="31">
        <f>IF(計算用!$K$40="","",INDEX(振り分け!$A$3:$A$302,計算用!$K$40))</f>
        <v/>
      </c>
      <c r="B90" s="33">
        <f>IF(計算用!$K$40="","",INDEX(振り分け!$C$3:$C$302,計算用!$K$40))</f>
        <v/>
      </c>
      <c r="C90" s="31">
        <f>IF(計算用!$L$40="","",INDEX(振り分け!$A$3:$A$302,計算用!$L$40))</f>
        <v/>
      </c>
      <c r="D90" s="33">
        <f>IF(計算用!$L$40="","",INDEX(振り分け!$C$3:$C$302,計算用!$L$40))</f>
        <v/>
      </c>
      <c r="E90" s="31">
        <f>IF(計算用!$M$40="","",INDEX(振り分け!$A$3:$A$302,計算用!$M$40))</f>
        <v/>
      </c>
      <c r="F90" s="33">
        <f>IF(計算用!$M$40="","",INDEX(振り分け!$C$3:$C$302,計算用!$M$40))</f>
        <v/>
      </c>
      <c r="G90" s="31">
        <f>IF(計算用!$N$40="","",INDEX(振り分け!$A$3:$A$302,計算用!$N$40))</f>
        <v/>
      </c>
      <c r="H90" s="33">
        <f>IF(計算用!$N$40="","",INDEX(振り分け!$C$3:$C$302,計算用!$N$40))</f>
        <v/>
      </c>
      <c r="I90" s="31">
        <f>IF(計算用!$O$40="","",INDEX(振り分け!$A$3:$A$302,計算用!$O$40))</f>
        <v/>
      </c>
      <c r="J90" s="33">
        <f>IF(計算用!$O$40="","",INDEX(振り分け!$C$3:$C$302,計算用!$O$40))</f>
        <v/>
      </c>
      <c r="K90" s="31">
        <f>IF(計算用!$P$40="","",INDEX(振り分け!$A$3:$A$302,計算用!$P$40))</f>
        <v/>
      </c>
      <c r="L90" s="33">
        <f>IF(計算用!$P$40="","",INDEX(振り分け!$C$3:$C$302,計算用!$P$40))</f>
        <v/>
      </c>
      <c r="M90" s="31">
        <f>IF(計算用!$Q$40="","",INDEX(振り分け!$A$3:$A$302,計算用!$Q$40))</f>
        <v/>
      </c>
      <c r="N90" s="33">
        <f>IF(計算用!$Q$40="","",INDEX(振り分け!$C$3:$C$302,計算用!$Q$40))</f>
        <v/>
      </c>
      <c r="O90" s="31">
        <f>IF(計算用!$R$40="","",INDEX(振り分け!$A$3:$A$302,計算用!$R$40))</f>
        <v/>
      </c>
      <c r="P90" s="33">
        <f>IF(計算用!$R$40="","",INDEX(振り分け!$C$3:$C$302,計算用!$R$40))</f>
        <v/>
      </c>
      <c r="Q90" s="31">
        <f>IF(計算用!$S$40="","",INDEX(振り分け!$A$3:$A$302,計算用!$S$40))</f>
        <v/>
      </c>
      <c r="R90" s="33">
        <f>IF(計算用!$S$40="","",INDEX(振り分け!$C$3:$C$302,計算用!$S$40))</f>
        <v/>
      </c>
      <c r="S90" s="31">
        <f>IF(計算用!$T$40="","",INDEX(振り分け!$A$3:$A$302,計算用!$T$40))</f>
        <v/>
      </c>
      <c r="T90" s="33">
        <f>IF(計算用!$T$40="","",INDEX(振り分け!$C$3:$C$302,計算用!$T$40))</f>
        <v/>
      </c>
    </row>
    <row r="91">
      <c r="A91" s="31">
        <f>IF(計算用!$K$41="","",INDEX(振り分け!$A$3:$A$302,計算用!$K$41))</f>
        <v/>
      </c>
      <c r="B91" s="33">
        <f>IF(計算用!$K$41="","",INDEX(振り分け!$C$3:$C$302,計算用!$K$41))</f>
        <v/>
      </c>
      <c r="C91" s="31">
        <f>IF(計算用!$L$41="","",INDEX(振り分け!$A$3:$A$302,計算用!$L$41))</f>
        <v/>
      </c>
      <c r="D91" s="33">
        <f>IF(計算用!$L$41="","",INDEX(振り分け!$C$3:$C$302,計算用!$L$41))</f>
        <v/>
      </c>
      <c r="E91" s="31">
        <f>IF(計算用!$M$41="","",INDEX(振り分け!$A$3:$A$302,計算用!$M$41))</f>
        <v/>
      </c>
      <c r="F91" s="33">
        <f>IF(計算用!$M$41="","",INDEX(振り分け!$C$3:$C$302,計算用!$M$41))</f>
        <v/>
      </c>
      <c r="G91" s="31">
        <f>IF(計算用!$N$41="","",INDEX(振り分け!$A$3:$A$302,計算用!$N$41))</f>
        <v/>
      </c>
      <c r="H91" s="33">
        <f>IF(計算用!$N$41="","",INDEX(振り分け!$C$3:$C$302,計算用!$N$41))</f>
        <v/>
      </c>
      <c r="I91" s="31">
        <f>IF(計算用!$O$41="","",INDEX(振り分け!$A$3:$A$302,計算用!$O$41))</f>
        <v/>
      </c>
      <c r="J91" s="33">
        <f>IF(計算用!$O$41="","",INDEX(振り分け!$C$3:$C$302,計算用!$O$41))</f>
        <v/>
      </c>
      <c r="K91" s="31">
        <f>IF(計算用!$P$41="","",INDEX(振り分け!$A$3:$A$302,計算用!$P$41))</f>
        <v/>
      </c>
      <c r="L91" s="33">
        <f>IF(計算用!$P$41="","",INDEX(振り分け!$C$3:$C$302,計算用!$P$41))</f>
        <v/>
      </c>
      <c r="M91" s="31">
        <f>IF(計算用!$Q$41="","",INDEX(振り分け!$A$3:$A$302,計算用!$Q$41))</f>
        <v/>
      </c>
      <c r="N91" s="33">
        <f>IF(計算用!$Q$41="","",INDEX(振り分け!$C$3:$C$302,計算用!$Q$41))</f>
        <v/>
      </c>
      <c r="O91" s="31">
        <f>IF(計算用!$R$41="","",INDEX(振り分け!$A$3:$A$302,計算用!$R$41))</f>
        <v/>
      </c>
      <c r="P91" s="33">
        <f>IF(計算用!$R$41="","",INDEX(振り分け!$C$3:$C$302,計算用!$R$41))</f>
        <v/>
      </c>
      <c r="Q91" s="31">
        <f>IF(計算用!$S$41="","",INDEX(振り分け!$A$3:$A$302,計算用!$S$41))</f>
        <v/>
      </c>
      <c r="R91" s="33">
        <f>IF(計算用!$S$41="","",INDEX(振り分け!$C$3:$C$302,計算用!$S$41))</f>
        <v/>
      </c>
      <c r="S91" s="31">
        <f>IF(計算用!$T$41="","",INDEX(振り分け!$A$3:$A$302,計算用!$T$41))</f>
        <v/>
      </c>
      <c r="T91" s="33">
        <f>IF(計算用!$T$41="","",INDEX(振り分け!$C$3:$C$302,計算用!$T$41))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A48:B48"/>
    <mergeCell ref="E50:F50"/>
    <mergeCell ref="O3:P3"/>
    <mergeCell ref="K49:L49"/>
    <mergeCell ref="Q3:R3"/>
    <mergeCell ref="A49:B49"/>
    <mergeCell ref="C5:D5"/>
    <mergeCell ref="I49:J49"/>
    <mergeCell ref="E5:F5"/>
    <mergeCell ref="K5:L5"/>
    <mergeCell ref="M5:N5"/>
    <mergeCell ref="M49:N49"/>
    <mergeCell ref="E48:F48"/>
    <mergeCell ref="S3:T3"/>
    <mergeCell ref="G48:H48"/>
    <mergeCell ref="M48:N48"/>
    <mergeCell ref="C4:D4"/>
    <mergeCell ref="E4:F4"/>
    <mergeCell ref="S48:T48"/>
    <mergeCell ref="O5:P5"/>
    <mergeCell ref="O49:P49"/>
    <mergeCell ref="Q5:R5"/>
    <mergeCell ref="K50:L50"/>
    <mergeCell ref="C50:D50"/>
    <mergeCell ref="Q50:R50"/>
    <mergeCell ref="O4:P4"/>
    <mergeCell ref="A3:B3"/>
    <mergeCell ref="G3:H3"/>
    <mergeCell ref="Q4:R4"/>
    <mergeCell ref="I3:J3"/>
    <mergeCell ref="A50:B50"/>
    <mergeCell ref="G49:H49"/>
    <mergeCell ref="C49:D49"/>
    <mergeCell ref="S49:T49"/>
    <mergeCell ref="O50:P50"/>
    <mergeCell ref="E49:F49"/>
    <mergeCell ref="A5:B5"/>
    <mergeCell ref="G5:H5"/>
    <mergeCell ref="I5:J5"/>
    <mergeCell ref="M3:N3"/>
    <mergeCell ref="Q49:R49"/>
    <mergeCell ref="C48:D48"/>
    <mergeCell ref="I48:J48"/>
    <mergeCell ref="K48:L48"/>
    <mergeCell ref="A4:B4"/>
    <mergeCell ref="G4:H4"/>
    <mergeCell ref="O48:P48"/>
    <mergeCell ref="I4:J4"/>
    <mergeCell ref="Q48:R48"/>
    <mergeCell ref="S5:T5"/>
    <mergeCell ref="G50:H50"/>
    <mergeCell ref="M50:N50"/>
    <mergeCell ref="S50:T50"/>
    <mergeCell ref="I50:J50"/>
    <mergeCell ref="K4:L4"/>
    <mergeCell ref="C3:D3"/>
    <mergeCell ref="M4:N4"/>
    <mergeCell ref="S4:T4"/>
    <mergeCell ref="E3:F3"/>
    <mergeCell ref="K3:L3"/>
  </mergeCells>
  <conditionalFormatting sqref="A7:A46">
    <cfRule type="expression" priority="1" dxfId="0">
      <formula>IFERROR(INDEX(設定!$D$8:$D$23,MATCH(A7,設定!$C$8:$C$23,0)),"")="黒"</formula>
    </cfRule>
    <cfRule type="expression" priority="2" dxfId="1">
      <formula>IFERROR(INDEX(設定!$D$8:$D$23,MATCH(A7,設定!$C$8:$C$23,0)),"")="赤"</formula>
    </cfRule>
    <cfRule type="expression" priority="3" dxfId="2">
      <formula>IFERROR(INDEX(設定!$D$8:$D$23,MATCH(A7,設定!$C$8:$C$23,0)),"")="青"</formula>
    </cfRule>
    <cfRule type="expression" priority="4" dxfId="3">
      <formula>IFERROR(INDEX(設定!$D$8:$D$23,MATCH(A7,設定!$C$8:$C$23,0)),"")="緑"</formula>
    </cfRule>
    <cfRule type="expression" priority="5" dxfId="4">
      <formula>IFERROR(INDEX(設定!$D$8:$D$23,MATCH(A7,設定!$C$8:$C$23,0)),"")="黄"</formula>
    </cfRule>
    <cfRule type="expression" priority="6" dxfId="5">
      <formula>IFERROR(INDEX(設定!$D$8:$D$23,MATCH(A7,設定!$C$8:$C$23,0)),"")="橙"</formula>
    </cfRule>
    <cfRule type="expression" priority="7" dxfId="6">
      <formula>IFERROR(INDEX(設定!$D$8:$D$23,MATCH(A7,設定!$C$8:$C$23,0)),"")="紫"</formula>
    </cfRule>
    <cfRule type="expression" priority="8" dxfId="7">
      <formula>IFERROR(INDEX(設定!$D$8:$D$23,MATCH(A7,設定!$C$8:$C$23,0)),"")="茶"</formula>
    </cfRule>
  </conditionalFormatting>
  <conditionalFormatting sqref="C7:C46">
    <cfRule type="expression" priority="9" dxfId="0">
      <formula>IFERROR(INDEX(設定!$D$8:$D$23,MATCH(C7,設定!$C$8:$C$23,0)),"")="黒"</formula>
    </cfRule>
    <cfRule type="expression" priority="10" dxfId="1">
      <formula>IFERROR(INDEX(設定!$D$8:$D$23,MATCH(C7,設定!$C$8:$C$23,0)),"")="赤"</formula>
    </cfRule>
    <cfRule type="expression" priority="11" dxfId="2">
      <formula>IFERROR(INDEX(設定!$D$8:$D$23,MATCH(C7,設定!$C$8:$C$23,0)),"")="青"</formula>
    </cfRule>
    <cfRule type="expression" priority="12" dxfId="3">
      <formula>IFERROR(INDEX(設定!$D$8:$D$23,MATCH(C7,設定!$C$8:$C$23,0)),"")="緑"</formula>
    </cfRule>
    <cfRule type="expression" priority="13" dxfId="4">
      <formula>IFERROR(INDEX(設定!$D$8:$D$23,MATCH(C7,設定!$C$8:$C$23,0)),"")="黄"</formula>
    </cfRule>
    <cfRule type="expression" priority="14" dxfId="5">
      <formula>IFERROR(INDEX(設定!$D$8:$D$23,MATCH(C7,設定!$C$8:$C$23,0)),"")="橙"</formula>
    </cfRule>
    <cfRule type="expression" priority="15" dxfId="6">
      <formula>IFERROR(INDEX(設定!$D$8:$D$23,MATCH(C7,設定!$C$8:$C$23,0)),"")="紫"</formula>
    </cfRule>
    <cfRule type="expression" priority="16" dxfId="7">
      <formula>IFERROR(INDEX(設定!$D$8:$D$23,MATCH(C7,設定!$C$8:$C$23,0)),"")="茶"</formula>
    </cfRule>
  </conditionalFormatting>
  <conditionalFormatting sqref="E7:E46">
    <cfRule type="expression" priority="17" dxfId="0">
      <formula>IFERROR(INDEX(設定!$D$8:$D$23,MATCH(E7,設定!$C$8:$C$23,0)),"")="黒"</formula>
    </cfRule>
    <cfRule type="expression" priority="18" dxfId="1">
      <formula>IFERROR(INDEX(設定!$D$8:$D$23,MATCH(E7,設定!$C$8:$C$23,0)),"")="赤"</formula>
    </cfRule>
    <cfRule type="expression" priority="19" dxfId="2">
      <formula>IFERROR(INDEX(設定!$D$8:$D$23,MATCH(E7,設定!$C$8:$C$23,0)),"")="青"</formula>
    </cfRule>
    <cfRule type="expression" priority="20" dxfId="3">
      <formula>IFERROR(INDEX(設定!$D$8:$D$23,MATCH(E7,設定!$C$8:$C$23,0)),"")="緑"</formula>
    </cfRule>
    <cfRule type="expression" priority="21" dxfId="4">
      <formula>IFERROR(INDEX(設定!$D$8:$D$23,MATCH(E7,設定!$C$8:$C$23,0)),"")="黄"</formula>
    </cfRule>
    <cfRule type="expression" priority="22" dxfId="5">
      <formula>IFERROR(INDEX(設定!$D$8:$D$23,MATCH(E7,設定!$C$8:$C$23,0)),"")="橙"</formula>
    </cfRule>
    <cfRule type="expression" priority="23" dxfId="6">
      <formula>IFERROR(INDEX(設定!$D$8:$D$23,MATCH(E7,設定!$C$8:$C$23,0)),"")="紫"</formula>
    </cfRule>
    <cfRule type="expression" priority="24" dxfId="7">
      <formula>IFERROR(INDEX(設定!$D$8:$D$23,MATCH(E7,設定!$C$8:$C$23,0)),"")="茶"</formula>
    </cfRule>
  </conditionalFormatting>
  <conditionalFormatting sqref="G7:G46">
    <cfRule type="expression" priority="25" dxfId="0">
      <formula>IFERROR(INDEX(設定!$D$8:$D$23,MATCH(G7,設定!$C$8:$C$23,0)),"")="黒"</formula>
    </cfRule>
    <cfRule type="expression" priority="26" dxfId="1">
      <formula>IFERROR(INDEX(設定!$D$8:$D$23,MATCH(G7,設定!$C$8:$C$23,0)),"")="赤"</formula>
    </cfRule>
    <cfRule type="expression" priority="27" dxfId="2">
      <formula>IFERROR(INDEX(設定!$D$8:$D$23,MATCH(G7,設定!$C$8:$C$23,0)),"")="青"</formula>
    </cfRule>
    <cfRule type="expression" priority="28" dxfId="3">
      <formula>IFERROR(INDEX(設定!$D$8:$D$23,MATCH(G7,設定!$C$8:$C$23,0)),"")="緑"</formula>
    </cfRule>
    <cfRule type="expression" priority="29" dxfId="4">
      <formula>IFERROR(INDEX(設定!$D$8:$D$23,MATCH(G7,設定!$C$8:$C$23,0)),"")="黄"</formula>
    </cfRule>
    <cfRule type="expression" priority="30" dxfId="5">
      <formula>IFERROR(INDEX(設定!$D$8:$D$23,MATCH(G7,設定!$C$8:$C$23,0)),"")="橙"</formula>
    </cfRule>
    <cfRule type="expression" priority="31" dxfId="6">
      <formula>IFERROR(INDEX(設定!$D$8:$D$23,MATCH(G7,設定!$C$8:$C$23,0)),"")="紫"</formula>
    </cfRule>
    <cfRule type="expression" priority="32" dxfId="7">
      <formula>IFERROR(INDEX(設定!$D$8:$D$23,MATCH(G7,設定!$C$8:$C$23,0)),"")="茶"</formula>
    </cfRule>
  </conditionalFormatting>
  <conditionalFormatting sqref="I7:I46">
    <cfRule type="expression" priority="33" dxfId="0">
      <formula>IFERROR(INDEX(設定!$D$8:$D$23,MATCH(I7,設定!$C$8:$C$23,0)),"")="黒"</formula>
    </cfRule>
    <cfRule type="expression" priority="34" dxfId="1">
      <formula>IFERROR(INDEX(設定!$D$8:$D$23,MATCH(I7,設定!$C$8:$C$23,0)),"")="赤"</formula>
    </cfRule>
    <cfRule type="expression" priority="35" dxfId="2">
      <formula>IFERROR(INDEX(設定!$D$8:$D$23,MATCH(I7,設定!$C$8:$C$23,0)),"")="青"</formula>
    </cfRule>
    <cfRule type="expression" priority="36" dxfId="3">
      <formula>IFERROR(INDEX(設定!$D$8:$D$23,MATCH(I7,設定!$C$8:$C$23,0)),"")="緑"</formula>
    </cfRule>
    <cfRule type="expression" priority="37" dxfId="4">
      <formula>IFERROR(INDEX(設定!$D$8:$D$23,MATCH(I7,設定!$C$8:$C$23,0)),"")="黄"</formula>
    </cfRule>
    <cfRule type="expression" priority="38" dxfId="5">
      <formula>IFERROR(INDEX(設定!$D$8:$D$23,MATCH(I7,設定!$C$8:$C$23,0)),"")="橙"</formula>
    </cfRule>
    <cfRule type="expression" priority="39" dxfId="6">
      <formula>IFERROR(INDEX(設定!$D$8:$D$23,MATCH(I7,設定!$C$8:$C$23,0)),"")="紫"</formula>
    </cfRule>
    <cfRule type="expression" priority="40" dxfId="7">
      <formula>IFERROR(INDEX(設定!$D$8:$D$23,MATCH(I7,設定!$C$8:$C$23,0)),"")="茶"</formula>
    </cfRule>
  </conditionalFormatting>
  <conditionalFormatting sqref="K7:K46">
    <cfRule type="expression" priority="41" dxfId="0">
      <formula>IFERROR(INDEX(設定!$D$8:$D$23,MATCH(K7,設定!$C$8:$C$23,0)),"")="黒"</formula>
    </cfRule>
    <cfRule type="expression" priority="42" dxfId="1">
      <formula>IFERROR(INDEX(設定!$D$8:$D$23,MATCH(K7,設定!$C$8:$C$23,0)),"")="赤"</formula>
    </cfRule>
    <cfRule type="expression" priority="43" dxfId="2">
      <formula>IFERROR(INDEX(設定!$D$8:$D$23,MATCH(K7,設定!$C$8:$C$23,0)),"")="青"</formula>
    </cfRule>
    <cfRule type="expression" priority="44" dxfId="3">
      <formula>IFERROR(INDEX(設定!$D$8:$D$23,MATCH(K7,設定!$C$8:$C$23,0)),"")="緑"</formula>
    </cfRule>
    <cfRule type="expression" priority="45" dxfId="4">
      <formula>IFERROR(INDEX(設定!$D$8:$D$23,MATCH(K7,設定!$C$8:$C$23,0)),"")="黄"</formula>
    </cfRule>
    <cfRule type="expression" priority="46" dxfId="5">
      <formula>IFERROR(INDEX(設定!$D$8:$D$23,MATCH(K7,設定!$C$8:$C$23,0)),"")="橙"</formula>
    </cfRule>
    <cfRule type="expression" priority="47" dxfId="6">
      <formula>IFERROR(INDEX(設定!$D$8:$D$23,MATCH(K7,設定!$C$8:$C$23,0)),"")="紫"</formula>
    </cfRule>
    <cfRule type="expression" priority="48" dxfId="7">
      <formula>IFERROR(INDEX(設定!$D$8:$D$23,MATCH(K7,設定!$C$8:$C$23,0)),"")="茶"</formula>
    </cfRule>
  </conditionalFormatting>
  <conditionalFormatting sqref="M7:M46">
    <cfRule type="expression" priority="49" dxfId="0">
      <formula>IFERROR(INDEX(設定!$D$8:$D$23,MATCH(M7,設定!$C$8:$C$23,0)),"")="黒"</formula>
    </cfRule>
    <cfRule type="expression" priority="50" dxfId="1">
      <formula>IFERROR(INDEX(設定!$D$8:$D$23,MATCH(M7,設定!$C$8:$C$23,0)),"")="赤"</formula>
    </cfRule>
    <cfRule type="expression" priority="51" dxfId="2">
      <formula>IFERROR(INDEX(設定!$D$8:$D$23,MATCH(M7,設定!$C$8:$C$23,0)),"")="青"</formula>
    </cfRule>
    <cfRule type="expression" priority="52" dxfId="3">
      <formula>IFERROR(INDEX(設定!$D$8:$D$23,MATCH(M7,設定!$C$8:$C$23,0)),"")="緑"</formula>
    </cfRule>
    <cfRule type="expression" priority="53" dxfId="4">
      <formula>IFERROR(INDEX(設定!$D$8:$D$23,MATCH(M7,設定!$C$8:$C$23,0)),"")="黄"</formula>
    </cfRule>
    <cfRule type="expression" priority="54" dxfId="5">
      <formula>IFERROR(INDEX(設定!$D$8:$D$23,MATCH(M7,設定!$C$8:$C$23,0)),"")="橙"</formula>
    </cfRule>
    <cfRule type="expression" priority="55" dxfId="6">
      <formula>IFERROR(INDEX(設定!$D$8:$D$23,MATCH(M7,設定!$C$8:$C$23,0)),"")="紫"</formula>
    </cfRule>
    <cfRule type="expression" priority="56" dxfId="7">
      <formula>IFERROR(INDEX(設定!$D$8:$D$23,MATCH(M7,設定!$C$8:$C$23,0)),"")="茶"</formula>
    </cfRule>
  </conditionalFormatting>
  <conditionalFormatting sqref="O7:O46">
    <cfRule type="expression" priority="57" dxfId="0">
      <formula>IFERROR(INDEX(設定!$D$8:$D$23,MATCH(O7,設定!$C$8:$C$23,0)),"")="黒"</formula>
    </cfRule>
    <cfRule type="expression" priority="58" dxfId="1">
      <formula>IFERROR(INDEX(設定!$D$8:$D$23,MATCH(O7,設定!$C$8:$C$23,0)),"")="赤"</formula>
    </cfRule>
    <cfRule type="expression" priority="59" dxfId="2">
      <formula>IFERROR(INDEX(設定!$D$8:$D$23,MATCH(O7,設定!$C$8:$C$23,0)),"")="青"</formula>
    </cfRule>
    <cfRule type="expression" priority="60" dxfId="3">
      <formula>IFERROR(INDEX(設定!$D$8:$D$23,MATCH(O7,設定!$C$8:$C$23,0)),"")="緑"</formula>
    </cfRule>
    <cfRule type="expression" priority="61" dxfId="4">
      <formula>IFERROR(INDEX(設定!$D$8:$D$23,MATCH(O7,設定!$C$8:$C$23,0)),"")="黄"</formula>
    </cfRule>
    <cfRule type="expression" priority="62" dxfId="5">
      <formula>IFERROR(INDEX(設定!$D$8:$D$23,MATCH(O7,設定!$C$8:$C$23,0)),"")="橙"</formula>
    </cfRule>
    <cfRule type="expression" priority="63" dxfId="6">
      <formula>IFERROR(INDEX(設定!$D$8:$D$23,MATCH(O7,設定!$C$8:$C$23,0)),"")="紫"</formula>
    </cfRule>
    <cfRule type="expression" priority="64" dxfId="7">
      <formula>IFERROR(INDEX(設定!$D$8:$D$23,MATCH(O7,設定!$C$8:$C$23,0)),"")="茶"</formula>
    </cfRule>
  </conditionalFormatting>
  <conditionalFormatting sqref="Q7:Q46">
    <cfRule type="expression" priority="65" dxfId="0">
      <formula>IFERROR(INDEX(設定!$D$8:$D$23,MATCH(Q7,設定!$C$8:$C$23,0)),"")="黒"</formula>
    </cfRule>
    <cfRule type="expression" priority="66" dxfId="1">
      <formula>IFERROR(INDEX(設定!$D$8:$D$23,MATCH(Q7,設定!$C$8:$C$23,0)),"")="赤"</formula>
    </cfRule>
    <cfRule type="expression" priority="67" dxfId="2">
      <formula>IFERROR(INDEX(設定!$D$8:$D$23,MATCH(Q7,設定!$C$8:$C$23,0)),"")="青"</formula>
    </cfRule>
    <cfRule type="expression" priority="68" dxfId="3">
      <formula>IFERROR(INDEX(設定!$D$8:$D$23,MATCH(Q7,設定!$C$8:$C$23,0)),"")="緑"</formula>
    </cfRule>
    <cfRule type="expression" priority="69" dxfId="4">
      <formula>IFERROR(INDEX(設定!$D$8:$D$23,MATCH(Q7,設定!$C$8:$C$23,0)),"")="黄"</formula>
    </cfRule>
    <cfRule type="expression" priority="70" dxfId="5">
      <formula>IFERROR(INDEX(設定!$D$8:$D$23,MATCH(Q7,設定!$C$8:$C$23,0)),"")="橙"</formula>
    </cfRule>
    <cfRule type="expression" priority="71" dxfId="6">
      <formula>IFERROR(INDEX(設定!$D$8:$D$23,MATCH(Q7,設定!$C$8:$C$23,0)),"")="紫"</formula>
    </cfRule>
    <cfRule type="expression" priority="72" dxfId="7">
      <formula>IFERROR(INDEX(設定!$D$8:$D$23,MATCH(Q7,設定!$C$8:$C$23,0)),"")="茶"</formula>
    </cfRule>
  </conditionalFormatting>
  <conditionalFormatting sqref="S7:S46">
    <cfRule type="expression" priority="73" dxfId="0">
      <formula>IFERROR(INDEX(設定!$D$8:$D$23,MATCH(S7,設定!$C$8:$C$23,0)),"")="黒"</formula>
    </cfRule>
    <cfRule type="expression" priority="74" dxfId="1">
      <formula>IFERROR(INDEX(設定!$D$8:$D$23,MATCH(S7,設定!$C$8:$C$23,0)),"")="赤"</formula>
    </cfRule>
    <cfRule type="expression" priority="75" dxfId="2">
      <formula>IFERROR(INDEX(設定!$D$8:$D$23,MATCH(S7,設定!$C$8:$C$23,0)),"")="青"</formula>
    </cfRule>
    <cfRule type="expression" priority="76" dxfId="3">
      <formula>IFERROR(INDEX(設定!$D$8:$D$23,MATCH(S7,設定!$C$8:$C$23,0)),"")="緑"</formula>
    </cfRule>
    <cfRule type="expression" priority="77" dxfId="4">
      <formula>IFERROR(INDEX(設定!$D$8:$D$23,MATCH(S7,設定!$C$8:$C$23,0)),"")="黄"</formula>
    </cfRule>
    <cfRule type="expression" priority="78" dxfId="5">
      <formula>IFERROR(INDEX(設定!$D$8:$D$23,MATCH(S7,設定!$C$8:$C$23,0)),"")="橙"</formula>
    </cfRule>
    <cfRule type="expression" priority="79" dxfId="6">
      <formula>IFERROR(INDEX(設定!$D$8:$D$23,MATCH(S7,設定!$C$8:$C$23,0)),"")="紫"</formula>
    </cfRule>
    <cfRule type="expression" priority="80" dxfId="7">
      <formula>IFERROR(INDEX(設定!$D$8:$D$23,MATCH(S7,設定!$C$8:$C$23,0)),"")="茶"</formula>
    </cfRule>
  </conditionalFormatting>
  <conditionalFormatting sqref="A52:A91">
    <cfRule type="expression" priority="81" dxfId="0">
      <formula>IFERROR(INDEX(設定!$D$8:$D$23,MATCH(A52,設定!$C$8:$C$23,0)),"")="黒"</formula>
    </cfRule>
    <cfRule type="expression" priority="82" dxfId="1">
      <formula>IFERROR(INDEX(設定!$D$8:$D$23,MATCH(A52,設定!$C$8:$C$23,0)),"")="赤"</formula>
    </cfRule>
    <cfRule type="expression" priority="83" dxfId="2">
      <formula>IFERROR(INDEX(設定!$D$8:$D$23,MATCH(A52,設定!$C$8:$C$23,0)),"")="青"</formula>
    </cfRule>
    <cfRule type="expression" priority="84" dxfId="3">
      <formula>IFERROR(INDEX(設定!$D$8:$D$23,MATCH(A52,設定!$C$8:$C$23,0)),"")="緑"</formula>
    </cfRule>
    <cfRule type="expression" priority="85" dxfId="4">
      <formula>IFERROR(INDEX(設定!$D$8:$D$23,MATCH(A52,設定!$C$8:$C$23,0)),"")="黄"</formula>
    </cfRule>
    <cfRule type="expression" priority="86" dxfId="5">
      <formula>IFERROR(INDEX(設定!$D$8:$D$23,MATCH(A52,設定!$C$8:$C$23,0)),"")="橙"</formula>
    </cfRule>
    <cfRule type="expression" priority="87" dxfId="6">
      <formula>IFERROR(INDEX(設定!$D$8:$D$23,MATCH(A52,設定!$C$8:$C$23,0)),"")="紫"</formula>
    </cfRule>
    <cfRule type="expression" priority="88" dxfId="7">
      <formula>IFERROR(INDEX(設定!$D$8:$D$23,MATCH(A52,設定!$C$8:$C$23,0)),"")="茶"</formula>
    </cfRule>
  </conditionalFormatting>
  <conditionalFormatting sqref="C52:C91">
    <cfRule type="expression" priority="89" dxfId="0">
      <formula>IFERROR(INDEX(設定!$D$8:$D$23,MATCH(C52,設定!$C$8:$C$23,0)),"")="黒"</formula>
    </cfRule>
    <cfRule type="expression" priority="90" dxfId="1">
      <formula>IFERROR(INDEX(設定!$D$8:$D$23,MATCH(C52,設定!$C$8:$C$23,0)),"")="赤"</formula>
    </cfRule>
    <cfRule type="expression" priority="91" dxfId="2">
      <formula>IFERROR(INDEX(設定!$D$8:$D$23,MATCH(C52,設定!$C$8:$C$23,0)),"")="青"</formula>
    </cfRule>
    <cfRule type="expression" priority="92" dxfId="3">
      <formula>IFERROR(INDEX(設定!$D$8:$D$23,MATCH(C52,設定!$C$8:$C$23,0)),"")="緑"</formula>
    </cfRule>
    <cfRule type="expression" priority="93" dxfId="4">
      <formula>IFERROR(INDEX(設定!$D$8:$D$23,MATCH(C52,設定!$C$8:$C$23,0)),"")="黄"</formula>
    </cfRule>
    <cfRule type="expression" priority="94" dxfId="5">
      <formula>IFERROR(INDEX(設定!$D$8:$D$23,MATCH(C52,設定!$C$8:$C$23,0)),"")="橙"</formula>
    </cfRule>
    <cfRule type="expression" priority="95" dxfId="6">
      <formula>IFERROR(INDEX(設定!$D$8:$D$23,MATCH(C52,設定!$C$8:$C$23,0)),"")="紫"</formula>
    </cfRule>
    <cfRule type="expression" priority="96" dxfId="7">
      <formula>IFERROR(INDEX(設定!$D$8:$D$23,MATCH(C52,設定!$C$8:$C$23,0)),"")="茶"</formula>
    </cfRule>
  </conditionalFormatting>
  <conditionalFormatting sqref="E52:E91">
    <cfRule type="expression" priority="97" dxfId="0">
      <formula>IFERROR(INDEX(設定!$D$8:$D$23,MATCH(E52,設定!$C$8:$C$23,0)),"")="黒"</formula>
    </cfRule>
    <cfRule type="expression" priority="98" dxfId="1">
      <formula>IFERROR(INDEX(設定!$D$8:$D$23,MATCH(E52,設定!$C$8:$C$23,0)),"")="赤"</formula>
    </cfRule>
    <cfRule type="expression" priority="99" dxfId="2">
      <formula>IFERROR(INDEX(設定!$D$8:$D$23,MATCH(E52,設定!$C$8:$C$23,0)),"")="青"</formula>
    </cfRule>
    <cfRule type="expression" priority="100" dxfId="3">
      <formula>IFERROR(INDEX(設定!$D$8:$D$23,MATCH(E52,設定!$C$8:$C$23,0)),"")="緑"</formula>
    </cfRule>
    <cfRule type="expression" priority="101" dxfId="4">
      <formula>IFERROR(INDEX(設定!$D$8:$D$23,MATCH(E52,設定!$C$8:$C$23,0)),"")="黄"</formula>
    </cfRule>
    <cfRule type="expression" priority="102" dxfId="5">
      <formula>IFERROR(INDEX(設定!$D$8:$D$23,MATCH(E52,設定!$C$8:$C$23,0)),"")="橙"</formula>
    </cfRule>
    <cfRule type="expression" priority="103" dxfId="6">
      <formula>IFERROR(INDEX(設定!$D$8:$D$23,MATCH(E52,設定!$C$8:$C$23,0)),"")="紫"</formula>
    </cfRule>
    <cfRule type="expression" priority="104" dxfId="7">
      <formula>IFERROR(INDEX(設定!$D$8:$D$23,MATCH(E52,設定!$C$8:$C$23,0)),"")="茶"</formula>
    </cfRule>
  </conditionalFormatting>
  <conditionalFormatting sqref="G52:G91">
    <cfRule type="expression" priority="105" dxfId="0">
      <formula>IFERROR(INDEX(設定!$D$8:$D$23,MATCH(G52,設定!$C$8:$C$23,0)),"")="黒"</formula>
    </cfRule>
    <cfRule type="expression" priority="106" dxfId="1">
      <formula>IFERROR(INDEX(設定!$D$8:$D$23,MATCH(G52,設定!$C$8:$C$23,0)),"")="赤"</formula>
    </cfRule>
    <cfRule type="expression" priority="107" dxfId="2">
      <formula>IFERROR(INDEX(設定!$D$8:$D$23,MATCH(G52,設定!$C$8:$C$23,0)),"")="青"</formula>
    </cfRule>
    <cfRule type="expression" priority="108" dxfId="3">
      <formula>IFERROR(INDEX(設定!$D$8:$D$23,MATCH(G52,設定!$C$8:$C$23,0)),"")="緑"</formula>
    </cfRule>
    <cfRule type="expression" priority="109" dxfId="4">
      <formula>IFERROR(INDEX(設定!$D$8:$D$23,MATCH(G52,設定!$C$8:$C$23,0)),"")="黄"</formula>
    </cfRule>
    <cfRule type="expression" priority="110" dxfId="5">
      <formula>IFERROR(INDEX(設定!$D$8:$D$23,MATCH(G52,設定!$C$8:$C$23,0)),"")="橙"</formula>
    </cfRule>
    <cfRule type="expression" priority="111" dxfId="6">
      <formula>IFERROR(INDEX(設定!$D$8:$D$23,MATCH(G52,設定!$C$8:$C$23,0)),"")="紫"</formula>
    </cfRule>
    <cfRule type="expression" priority="112" dxfId="7">
      <formula>IFERROR(INDEX(設定!$D$8:$D$23,MATCH(G52,設定!$C$8:$C$23,0)),"")="茶"</formula>
    </cfRule>
  </conditionalFormatting>
  <conditionalFormatting sqref="I52:I91">
    <cfRule type="expression" priority="113" dxfId="0">
      <formula>IFERROR(INDEX(設定!$D$8:$D$23,MATCH(I52,設定!$C$8:$C$23,0)),"")="黒"</formula>
    </cfRule>
    <cfRule type="expression" priority="114" dxfId="1">
      <formula>IFERROR(INDEX(設定!$D$8:$D$23,MATCH(I52,設定!$C$8:$C$23,0)),"")="赤"</formula>
    </cfRule>
    <cfRule type="expression" priority="115" dxfId="2">
      <formula>IFERROR(INDEX(設定!$D$8:$D$23,MATCH(I52,設定!$C$8:$C$23,0)),"")="青"</formula>
    </cfRule>
    <cfRule type="expression" priority="116" dxfId="3">
      <formula>IFERROR(INDEX(設定!$D$8:$D$23,MATCH(I52,設定!$C$8:$C$23,0)),"")="緑"</formula>
    </cfRule>
    <cfRule type="expression" priority="117" dxfId="4">
      <formula>IFERROR(INDEX(設定!$D$8:$D$23,MATCH(I52,設定!$C$8:$C$23,0)),"")="黄"</formula>
    </cfRule>
    <cfRule type="expression" priority="118" dxfId="5">
      <formula>IFERROR(INDEX(設定!$D$8:$D$23,MATCH(I52,設定!$C$8:$C$23,0)),"")="橙"</formula>
    </cfRule>
    <cfRule type="expression" priority="119" dxfId="6">
      <formula>IFERROR(INDEX(設定!$D$8:$D$23,MATCH(I52,設定!$C$8:$C$23,0)),"")="紫"</formula>
    </cfRule>
    <cfRule type="expression" priority="120" dxfId="7">
      <formula>IFERROR(INDEX(設定!$D$8:$D$23,MATCH(I52,設定!$C$8:$C$23,0)),"")="茶"</formula>
    </cfRule>
  </conditionalFormatting>
  <conditionalFormatting sqref="K52:K91">
    <cfRule type="expression" priority="121" dxfId="0">
      <formula>IFERROR(INDEX(設定!$D$8:$D$23,MATCH(K52,設定!$C$8:$C$23,0)),"")="黒"</formula>
    </cfRule>
    <cfRule type="expression" priority="122" dxfId="1">
      <formula>IFERROR(INDEX(設定!$D$8:$D$23,MATCH(K52,設定!$C$8:$C$23,0)),"")="赤"</formula>
    </cfRule>
    <cfRule type="expression" priority="123" dxfId="2">
      <formula>IFERROR(INDEX(設定!$D$8:$D$23,MATCH(K52,設定!$C$8:$C$23,0)),"")="青"</formula>
    </cfRule>
    <cfRule type="expression" priority="124" dxfId="3">
      <formula>IFERROR(INDEX(設定!$D$8:$D$23,MATCH(K52,設定!$C$8:$C$23,0)),"")="緑"</formula>
    </cfRule>
    <cfRule type="expression" priority="125" dxfId="4">
      <formula>IFERROR(INDEX(設定!$D$8:$D$23,MATCH(K52,設定!$C$8:$C$23,0)),"")="黄"</formula>
    </cfRule>
    <cfRule type="expression" priority="126" dxfId="5">
      <formula>IFERROR(INDEX(設定!$D$8:$D$23,MATCH(K52,設定!$C$8:$C$23,0)),"")="橙"</formula>
    </cfRule>
    <cfRule type="expression" priority="127" dxfId="6">
      <formula>IFERROR(INDEX(設定!$D$8:$D$23,MATCH(K52,設定!$C$8:$C$23,0)),"")="紫"</formula>
    </cfRule>
    <cfRule type="expression" priority="128" dxfId="7">
      <formula>IFERROR(INDEX(設定!$D$8:$D$23,MATCH(K52,設定!$C$8:$C$23,0)),"")="茶"</formula>
    </cfRule>
  </conditionalFormatting>
  <conditionalFormatting sqref="M52:M91">
    <cfRule type="expression" priority="129" dxfId="0">
      <formula>IFERROR(INDEX(設定!$D$8:$D$23,MATCH(M52,設定!$C$8:$C$23,0)),"")="黒"</formula>
    </cfRule>
    <cfRule type="expression" priority="130" dxfId="1">
      <formula>IFERROR(INDEX(設定!$D$8:$D$23,MATCH(M52,設定!$C$8:$C$23,0)),"")="赤"</formula>
    </cfRule>
    <cfRule type="expression" priority="131" dxfId="2">
      <formula>IFERROR(INDEX(設定!$D$8:$D$23,MATCH(M52,設定!$C$8:$C$23,0)),"")="青"</formula>
    </cfRule>
    <cfRule type="expression" priority="132" dxfId="3">
      <formula>IFERROR(INDEX(設定!$D$8:$D$23,MATCH(M52,設定!$C$8:$C$23,0)),"")="緑"</formula>
    </cfRule>
    <cfRule type="expression" priority="133" dxfId="4">
      <formula>IFERROR(INDEX(設定!$D$8:$D$23,MATCH(M52,設定!$C$8:$C$23,0)),"")="黄"</formula>
    </cfRule>
    <cfRule type="expression" priority="134" dxfId="5">
      <formula>IFERROR(INDEX(設定!$D$8:$D$23,MATCH(M52,設定!$C$8:$C$23,0)),"")="橙"</formula>
    </cfRule>
    <cfRule type="expression" priority="135" dxfId="6">
      <formula>IFERROR(INDEX(設定!$D$8:$D$23,MATCH(M52,設定!$C$8:$C$23,0)),"")="紫"</formula>
    </cfRule>
    <cfRule type="expression" priority="136" dxfId="7">
      <formula>IFERROR(INDEX(設定!$D$8:$D$23,MATCH(M52,設定!$C$8:$C$23,0)),"")="茶"</formula>
    </cfRule>
  </conditionalFormatting>
  <conditionalFormatting sqref="O52:O91">
    <cfRule type="expression" priority="137" dxfId="0">
      <formula>IFERROR(INDEX(設定!$D$8:$D$23,MATCH(O52,設定!$C$8:$C$23,0)),"")="黒"</formula>
    </cfRule>
    <cfRule type="expression" priority="138" dxfId="1">
      <formula>IFERROR(INDEX(設定!$D$8:$D$23,MATCH(O52,設定!$C$8:$C$23,0)),"")="赤"</formula>
    </cfRule>
    <cfRule type="expression" priority="139" dxfId="2">
      <formula>IFERROR(INDEX(設定!$D$8:$D$23,MATCH(O52,設定!$C$8:$C$23,0)),"")="青"</formula>
    </cfRule>
    <cfRule type="expression" priority="140" dxfId="3">
      <formula>IFERROR(INDEX(設定!$D$8:$D$23,MATCH(O52,設定!$C$8:$C$23,0)),"")="緑"</formula>
    </cfRule>
    <cfRule type="expression" priority="141" dxfId="4">
      <formula>IFERROR(INDEX(設定!$D$8:$D$23,MATCH(O52,設定!$C$8:$C$23,0)),"")="黄"</formula>
    </cfRule>
    <cfRule type="expression" priority="142" dxfId="5">
      <formula>IFERROR(INDEX(設定!$D$8:$D$23,MATCH(O52,設定!$C$8:$C$23,0)),"")="橙"</formula>
    </cfRule>
    <cfRule type="expression" priority="143" dxfId="6">
      <formula>IFERROR(INDEX(設定!$D$8:$D$23,MATCH(O52,設定!$C$8:$C$23,0)),"")="紫"</formula>
    </cfRule>
    <cfRule type="expression" priority="144" dxfId="7">
      <formula>IFERROR(INDEX(設定!$D$8:$D$23,MATCH(O52,設定!$C$8:$C$23,0)),"")="茶"</formula>
    </cfRule>
  </conditionalFormatting>
  <conditionalFormatting sqref="Q52:Q91">
    <cfRule type="expression" priority="145" dxfId="0">
      <formula>IFERROR(INDEX(設定!$D$8:$D$23,MATCH(Q52,設定!$C$8:$C$23,0)),"")="黒"</formula>
    </cfRule>
    <cfRule type="expression" priority="146" dxfId="1">
      <formula>IFERROR(INDEX(設定!$D$8:$D$23,MATCH(Q52,設定!$C$8:$C$23,0)),"")="赤"</formula>
    </cfRule>
    <cfRule type="expression" priority="147" dxfId="2">
      <formula>IFERROR(INDEX(設定!$D$8:$D$23,MATCH(Q52,設定!$C$8:$C$23,0)),"")="青"</formula>
    </cfRule>
    <cfRule type="expression" priority="148" dxfId="3">
      <formula>IFERROR(INDEX(設定!$D$8:$D$23,MATCH(Q52,設定!$C$8:$C$23,0)),"")="緑"</formula>
    </cfRule>
    <cfRule type="expression" priority="149" dxfId="4">
      <formula>IFERROR(INDEX(設定!$D$8:$D$23,MATCH(Q52,設定!$C$8:$C$23,0)),"")="黄"</formula>
    </cfRule>
    <cfRule type="expression" priority="150" dxfId="5">
      <formula>IFERROR(INDEX(設定!$D$8:$D$23,MATCH(Q52,設定!$C$8:$C$23,0)),"")="橙"</formula>
    </cfRule>
    <cfRule type="expression" priority="151" dxfId="6">
      <formula>IFERROR(INDEX(設定!$D$8:$D$23,MATCH(Q52,設定!$C$8:$C$23,0)),"")="紫"</formula>
    </cfRule>
    <cfRule type="expression" priority="152" dxfId="7">
      <formula>IFERROR(INDEX(設定!$D$8:$D$23,MATCH(Q52,設定!$C$8:$C$23,0)),"")="茶"</formula>
    </cfRule>
  </conditionalFormatting>
  <conditionalFormatting sqref="S52:S91">
    <cfRule type="expression" priority="153" dxfId="0">
      <formula>IFERROR(INDEX(設定!$D$8:$D$23,MATCH(S52,設定!$C$8:$C$23,0)),"")="黒"</formula>
    </cfRule>
    <cfRule type="expression" priority="154" dxfId="1">
      <formula>IFERROR(INDEX(設定!$D$8:$D$23,MATCH(S52,設定!$C$8:$C$23,0)),"")="赤"</formula>
    </cfRule>
    <cfRule type="expression" priority="155" dxfId="2">
      <formula>IFERROR(INDEX(設定!$D$8:$D$23,MATCH(S52,設定!$C$8:$C$23,0)),"")="青"</formula>
    </cfRule>
    <cfRule type="expression" priority="156" dxfId="3">
      <formula>IFERROR(INDEX(設定!$D$8:$D$23,MATCH(S52,設定!$C$8:$C$23,0)),"")="緑"</formula>
    </cfRule>
    <cfRule type="expression" priority="157" dxfId="4">
      <formula>IFERROR(INDEX(設定!$D$8:$D$23,MATCH(S52,設定!$C$8:$C$23,0)),"")="黄"</formula>
    </cfRule>
    <cfRule type="expression" priority="158" dxfId="5">
      <formula>IFERROR(INDEX(設定!$D$8:$D$23,MATCH(S52,設定!$C$8:$C$23,0)),"")="橙"</formula>
    </cfRule>
    <cfRule type="expression" priority="159" dxfId="6">
      <formula>IFERROR(INDEX(設定!$D$8:$D$23,MATCH(S52,設定!$C$8:$C$23,0)),"")="紫"</formula>
    </cfRule>
    <cfRule type="expression" priority="160" dxfId="7">
      <formula>IFERROR(INDEX(設定!$D$8:$D$23,MATCH(S52,設定!$C$8:$C$23,0)),"")="茶"</formula>
    </cfRule>
  </conditionalFormatting>
  <printOptions horizontalCentered="1"/>
  <pageMargins left="0.4" right="0.4" top="0.5" bottom="0.5" header="0.5" footer="0.5"/>
  <pageSetup orientation="landscape" paperSize="8" fitToHeight="0" fitToWidth="1"/>
  <rowBreaks count="1" manualBreakCount="1">
    <brk id="46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IF(設定!$G$8="","",設定!$B$3&amp;"　"&amp;設定!$G$8&amp;設定!$B$4&amp;"名簿")</f>
        <v/>
      </c>
    </row>
    <row r="2">
      <c r="A2" s="23">
        <f>IF(設定!$G$8="","","担当："&amp;設定!$J$8&amp;"　　活動場所："&amp;設定!$K$8&amp;"　　人数："&amp;COUNTIF(振り分け!$I$3:$I$302,設定!$G$8)&amp;"名")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IF(計算用!$A$2="","",1)</f>
        <v/>
      </c>
      <c r="B5" s="28">
        <f>IF(計算用!$A$2="","",INDEX(振り分け!$A$3:$A$302,計算用!$A$2))</f>
        <v/>
      </c>
      <c r="C5" s="28">
        <f>IF(計算用!$A$2="","",INDEX(振り分け!$B$3:$B$302,計算用!$A$2))</f>
        <v/>
      </c>
      <c r="D5" s="35">
        <f>IF(計算用!$A$2="","",INDEX(振り分け!$C$3:$C$302,計算用!$A$2))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IF(計算用!$A$3="","",2)</f>
        <v/>
      </c>
      <c r="B6" s="28">
        <f>IF(計算用!$A$3="","",INDEX(振り分け!$A$3:$A$302,計算用!$A$3))</f>
        <v/>
      </c>
      <c r="C6" s="28">
        <f>IF(計算用!$A$3="","",INDEX(振り分け!$B$3:$B$302,計算用!$A$3))</f>
        <v/>
      </c>
      <c r="D6" s="35">
        <f>IF(計算用!$A$3="","",INDEX(振り分け!$C$3:$C$302,計算用!$A$3))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IF(計算用!$A$4="","",3)</f>
        <v/>
      </c>
      <c r="B7" s="28">
        <f>IF(計算用!$A$4="","",INDEX(振り分け!$A$3:$A$302,計算用!$A$4))</f>
        <v/>
      </c>
      <c r="C7" s="28">
        <f>IF(計算用!$A$4="","",INDEX(振り分け!$B$3:$B$302,計算用!$A$4))</f>
        <v/>
      </c>
      <c r="D7" s="35">
        <f>IF(計算用!$A$4="","",INDEX(振り分け!$C$3:$C$302,計算用!$A$4))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IF(計算用!$A$5="","",4)</f>
        <v/>
      </c>
      <c r="B8" s="28">
        <f>IF(計算用!$A$5="","",INDEX(振り分け!$A$3:$A$302,計算用!$A$5))</f>
        <v/>
      </c>
      <c r="C8" s="28">
        <f>IF(計算用!$A$5="","",INDEX(振り分け!$B$3:$B$302,計算用!$A$5))</f>
        <v/>
      </c>
      <c r="D8" s="35">
        <f>IF(計算用!$A$5="","",INDEX(振り分け!$C$3:$C$302,計算用!$A$5))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IF(計算用!$A$6="","",5)</f>
        <v/>
      </c>
      <c r="B9" s="28">
        <f>IF(計算用!$A$6="","",INDEX(振り分け!$A$3:$A$302,計算用!$A$6))</f>
        <v/>
      </c>
      <c r="C9" s="28">
        <f>IF(計算用!$A$6="","",INDEX(振り分け!$B$3:$B$302,計算用!$A$6))</f>
        <v/>
      </c>
      <c r="D9" s="35">
        <f>IF(計算用!$A$6="","",INDEX(振り分け!$C$3:$C$302,計算用!$A$6))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IF(計算用!$A$7="","",6)</f>
        <v/>
      </c>
      <c r="B10" s="28">
        <f>IF(計算用!$A$7="","",INDEX(振り分け!$A$3:$A$302,計算用!$A$7))</f>
        <v/>
      </c>
      <c r="C10" s="28">
        <f>IF(計算用!$A$7="","",INDEX(振り分け!$B$3:$B$302,計算用!$A$7))</f>
        <v/>
      </c>
      <c r="D10" s="35">
        <f>IF(計算用!$A$7="","",INDEX(振り分け!$C$3:$C$302,計算用!$A$7))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IF(計算用!$A$8="","",7)</f>
        <v/>
      </c>
      <c r="B11" s="28">
        <f>IF(計算用!$A$8="","",INDEX(振り分け!$A$3:$A$302,計算用!$A$8))</f>
        <v/>
      </c>
      <c r="C11" s="28">
        <f>IF(計算用!$A$8="","",INDEX(振り分け!$B$3:$B$302,計算用!$A$8))</f>
        <v/>
      </c>
      <c r="D11" s="35">
        <f>IF(計算用!$A$8="","",INDEX(振り分け!$C$3:$C$302,計算用!$A$8))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IF(計算用!$A$9="","",8)</f>
        <v/>
      </c>
      <c r="B12" s="28">
        <f>IF(計算用!$A$9="","",INDEX(振り分け!$A$3:$A$302,計算用!$A$9))</f>
        <v/>
      </c>
      <c r="C12" s="28">
        <f>IF(計算用!$A$9="","",INDEX(振り分け!$B$3:$B$302,計算用!$A$9))</f>
        <v/>
      </c>
      <c r="D12" s="35">
        <f>IF(計算用!$A$9="","",INDEX(振り分け!$C$3:$C$302,計算用!$A$9))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IF(計算用!$A$10="","",9)</f>
        <v/>
      </c>
      <c r="B13" s="28">
        <f>IF(計算用!$A$10="","",INDEX(振り分け!$A$3:$A$302,計算用!$A$10))</f>
        <v/>
      </c>
      <c r="C13" s="28">
        <f>IF(計算用!$A$10="","",INDEX(振り分け!$B$3:$B$302,計算用!$A$10))</f>
        <v/>
      </c>
      <c r="D13" s="35">
        <f>IF(計算用!$A$10="","",INDEX(振り分け!$C$3:$C$302,計算用!$A$10))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IF(計算用!$A$11="","",10)</f>
        <v/>
      </c>
      <c r="B14" s="28">
        <f>IF(計算用!$A$11="","",INDEX(振り分け!$A$3:$A$302,計算用!$A$11))</f>
        <v/>
      </c>
      <c r="C14" s="28">
        <f>IF(計算用!$A$11="","",INDEX(振り分け!$B$3:$B$302,計算用!$A$11))</f>
        <v/>
      </c>
      <c r="D14" s="35">
        <f>IF(計算用!$A$11="","",INDEX(振り分け!$C$3:$C$302,計算用!$A$11))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IF(計算用!$A$12="","",11)</f>
        <v/>
      </c>
      <c r="B15" s="28">
        <f>IF(計算用!$A$12="","",INDEX(振り分け!$A$3:$A$302,計算用!$A$12))</f>
        <v/>
      </c>
      <c r="C15" s="28">
        <f>IF(計算用!$A$12="","",INDEX(振り分け!$B$3:$B$302,計算用!$A$12))</f>
        <v/>
      </c>
      <c r="D15" s="35">
        <f>IF(計算用!$A$12="","",INDEX(振り分け!$C$3:$C$302,計算用!$A$12))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IF(計算用!$A$13="","",12)</f>
        <v/>
      </c>
      <c r="B16" s="28">
        <f>IF(計算用!$A$13="","",INDEX(振り分け!$A$3:$A$302,計算用!$A$13))</f>
        <v/>
      </c>
      <c r="C16" s="28">
        <f>IF(計算用!$A$13="","",INDEX(振り分け!$B$3:$B$302,計算用!$A$13))</f>
        <v/>
      </c>
      <c r="D16" s="35">
        <f>IF(計算用!$A$13="","",INDEX(振り分け!$C$3:$C$302,計算用!$A$13))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IF(計算用!$A$14="","",13)</f>
        <v/>
      </c>
      <c r="B17" s="28">
        <f>IF(計算用!$A$14="","",INDEX(振り分け!$A$3:$A$302,計算用!$A$14))</f>
        <v/>
      </c>
      <c r="C17" s="28">
        <f>IF(計算用!$A$14="","",INDEX(振り分け!$B$3:$B$302,計算用!$A$14))</f>
        <v/>
      </c>
      <c r="D17" s="35">
        <f>IF(計算用!$A$14="","",INDEX(振り分け!$C$3:$C$302,計算用!$A$14))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IF(計算用!$A$15="","",14)</f>
        <v/>
      </c>
      <c r="B18" s="28">
        <f>IF(計算用!$A$15="","",INDEX(振り分け!$A$3:$A$302,計算用!$A$15))</f>
        <v/>
      </c>
      <c r="C18" s="28">
        <f>IF(計算用!$A$15="","",INDEX(振り分け!$B$3:$B$302,計算用!$A$15))</f>
        <v/>
      </c>
      <c r="D18" s="35">
        <f>IF(計算用!$A$15="","",INDEX(振り分け!$C$3:$C$302,計算用!$A$15))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IF(計算用!$A$16="","",15)</f>
        <v/>
      </c>
      <c r="B19" s="28">
        <f>IF(計算用!$A$16="","",INDEX(振り分け!$A$3:$A$302,計算用!$A$16))</f>
        <v/>
      </c>
      <c r="C19" s="28">
        <f>IF(計算用!$A$16="","",INDEX(振り分け!$B$3:$B$302,計算用!$A$16))</f>
        <v/>
      </c>
      <c r="D19" s="35">
        <f>IF(計算用!$A$16="","",INDEX(振り分け!$C$3:$C$302,計算用!$A$16))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IF(計算用!$A$17="","",16)</f>
        <v/>
      </c>
      <c r="B20" s="28">
        <f>IF(計算用!$A$17="","",INDEX(振り分け!$A$3:$A$302,計算用!$A$17))</f>
        <v/>
      </c>
      <c r="C20" s="28">
        <f>IF(計算用!$A$17="","",INDEX(振り分け!$B$3:$B$302,計算用!$A$17))</f>
        <v/>
      </c>
      <c r="D20" s="35">
        <f>IF(計算用!$A$17="","",INDEX(振り分け!$C$3:$C$302,計算用!$A$17))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IF(計算用!$A$18="","",17)</f>
        <v/>
      </c>
      <c r="B21" s="28">
        <f>IF(計算用!$A$18="","",INDEX(振り分け!$A$3:$A$302,計算用!$A$18))</f>
        <v/>
      </c>
      <c r="C21" s="28">
        <f>IF(計算用!$A$18="","",INDEX(振り分け!$B$3:$B$302,計算用!$A$18))</f>
        <v/>
      </c>
      <c r="D21" s="35">
        <f>IF(計算用!$A$18="","",INDEX(振り分け!$C$3:$C$302,計算用!$A$18))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IF(計算用!$A$19="","",18)</f>
        <v/>
      </c>
      <c r="B22" s="28">
        <f>IF(計算用!$A$19="","",INDEX(振り分け!$A$3:$A$302,計算用!$A$19))</f>
        <v/>
      </c>
      <c r="C22" s="28">
        <f>IF(計算用!$A$19="","",INDEX(振り分け!$B$3:$B$302,計算用!$A$19))</f>
        <v/>
      </c>
      <c r="D22" s="35">
        <f>IF(計算用!$A$19="","",INDEX(振り分け!$C$3:$C$302,計算用!$A$19))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IF(計算用!$A$20="","",19)</f>
        <v/>
      </c>
      <c r="B23" s="28">
        <f>IF(計算用!$A$20="","",INDEX(振り分け!$A$3:$A$302,計算用!$A$20))</f>
        <v/>
      </c>
      <c r="C23" s="28">
        <f>IF(計算用!$A$20="","",INDEX(振り分け!$B$3:$B$302,計算用!$A$20))</f>
        <v/>
      </c>
      <c r="D23" s="35">
        <f>IF(計算用!$A$20="","",INDEX(振り分け!$C$3:$C$302,計算用!$A$20))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IF(計算用!$A$21="","",20)</f>
        <v/>
      </c>
      <c r="B24" s="28">
        <f>IF(計算用!$A$21="","",INDEX(振り分け!$A$3:$A$302,計算用!$A$21))</f>
        <v/>
      </c>
      <c r="C24" s="28">
        <f>IF(計算用!$A$21="","",INDEX(振り分け!$B$3:$B$302,計算用!$A$21))</f>
        <v/>
      </c>
      <c r="D24" s="35">
        <f>IF(計算用!$A$21="","",INDEX(振り分け!$C$3:$C$302,計算用!$A$21))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IF(計算用!$A$22="","",21)</f>
        <v/>
      </c>
      <c r="B25" s="28">
        <f>IF(計算用!$A$22="","",INDEX(振り分け!$A$3:$A$302,計算用!$A$22))</f>
        <v/>
      </c>
      <c r="C25" s="28">
        <f>IF(計算用!$A$22="","",INDEX(振り分け!$B$3:$B$302,計算用!$A$22))</f>
        <v/>
      </c>
      <c r="D25" s="35">
        <f>IF(計算用!$A$22="","",INDEX(振り分け!$C$3:$C$302,計算用!$A$22))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IF(計算用!$A$23="","",22)</f>
        <v/>
      </c>
      <c r="B26" s="28">
        <f>IF(計算用!$A$23="","",INDEX(振り分け!$A$3:$A$302,計算用!$A$23))</f>
        <v/>
      </c>
      <c r="C26" s="28">
        <f>IF(計算用!$A$23="","",INDEX(振り分け!$B$3:$B$302,計算用!$A$23))</f>
        <v/>
      </c>
      <c r="D26" s="35">
        <f>IF(計算用!$A$23="","",INDEX(振り分け!$C$3:$C$302,計算用!$A$23))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IF(計算用!$A$24="","",23)</f>
        <v/>
      </c>
      <c r="B27" s="28">
        <f>IF(計算用!$A$24="","",INDEX(振り分け!$A$3:$A$302,計算用!$A$24))</f>
        <v/>
      </c>
      <c r="C27" s="28">
        <f>IF(計算用!$A$24="","",INDEX(振り分け!$B$3:$B$302,計算用!$A$24))</f>
        <v/>
      </c>
      <c r="D27" s="35">
        <f>IF(計算用!$A$24="","",INDEX(振り分け!$C$3:$C$302,計算用!$A$24))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IF(計算用!$A$25="","",24)</f>
        <v/>
      </c>
      <c r="B28" s="28">
        <f>IF(計算用!$A$25="","",INDEX(振り分け!$A$3:$A$302,計算用!$A$25))</f>
        <v/>
      </c>
      <c r="C28" s="28">
        <f>IF(計算用!$A$25="","",INDEX(振り分け!$B$3:$B$302,計算用!$A$25))</f>
        <v/>
      </c>
      <c r="D28" s="35">
        <f>IF(計算用!$A$25="","",INDEX(振り分け!$C$3:$C$302,計算用!$A$25))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IF(計算用!$A$26="","",25)</f>
        <v/>
      </c>
      <c r="B29" s="28">
        <f>IF(計算用!$A$26="","",INDEX(振り分け!$A$3:$A$302,計算用!$A$26))</f>
        <v/>
      </c>
      <c r="C29" s="28">
        <f>IF(計算用!$A$26="","",INDEX(振り分け!$B$3:$B$302,計算用!$A$26))</f>
        <v/>
      </c>
      <c r="D29" s="35">
        <f>IF(計算用!$A$26="","",INDEX(振り分け!$C$3:$C$302,計算用!$A$26))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IF(計算用!$A$27="","",26)</f>
        <v/>
      </c>
      <c r="B30" s="28">
        <f>IF(計算用!$A$27="","",INDEX(振り分け!$A$3:$A$302,計算用!$A$27))</f>
        <v/>
      </c>
      <c r="C30" s="28">
        <f>IF(計算用!$A$27="","",INDEX(振り分け!$B$3:$B$302,計算用!$A$27))</f>
        <v/>
      </c>
      <c r="D30" s="35">
        <f>IF(計算用!$A$27="","",INDEX(振り分け!$C$3:$C$302,計算用!$A$27))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IF(計算用!$A$28="","",27)</f>
        <v/>
      </c>
      <c r="B31" s="28">
        <f>IF(計算用!$A$28="","",INDEX(振り分け!$A$3:$A$302,計算用!$A$28))</f>
        <v/>
      </c>
      <c r="C31" s="28">
        <f>IF(計算用!$A$28="","",INDEX(振り分け!$B$3:$B$302,計算用!$A$28))</f>
        <v/>
      </c>
      <c r="D31" s="35">
        <f>IF(計算用!$A$28="","",INDEX(振り分け!$C$3:$C$302,計算用!$A$28))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IF(計算用!$A$29="","",28)</f>
        <v/>
      </c>
      <c r="B32" s="28">
        <f>IF(計算用!$A$29="","",INDEX(振り分け!$A$3:$A$302,計算用!$A$29))</f>
        <v/>
      </c>
      <c r="C32" s="28">
        <f>IF(計算用!$A$29="","",INDEX(振り分け!$B$3:$B$302,計算用!$A$29))</f>
        <v/>
      </c>
      <c r="D32" s="35">
        <f>IF(計算用!$A$29="","",INDEX(振り分け!$C$3:$C$302,計算用!$A$29))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IF(計算用!$A$30="","",29)</f>
        <v/>
      </c>
      <c r="B33" s="28">
        <f>IF(計算用!$A$30="","",INDEX(振り分け!$A$3:$A$302,計算用!$A$30))</f>
        <v/>
      </c>
      <c r="C33" s="28">
        <f>IF(計算用!$A$30="","",INDEX(振り分け!$B$3:$B$302,計算用!$A$30))</f>
        <v/>
      </c>
      <c r="D33" s="35">
        <f>IF(計算用!$A$30="","",INDEX(振り分け!$C$3:$C$302,計算用!$A$30))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IF(計算用!$A$31="","",30)</f>
        <v/>
      </c>
      <c r="B34" s="28">
        <f>IF(計算用!$A$31="","",INDEX(振り分け!$A$3:$A$302,計算用!$A$31))</f>
        <v/>
      </c>
      <c r="C34" s="28">
        <f>IF(計算用!$A$31="","",INDEX(振り分け!$B$3:$B$302,計算用!$A$31))</f>
        <v/>
      </c>
      <c r="D34" s="35">
        <f>IF(計算用!$A$31="","",INDEX(振り分け!$C$3:$C$302,計算用!$A$31))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IF(計算用!$A$32="","",31)</f>
        <v/>
      </c>
      <c r="B35" s="28">
        <f>IF(計算用!$A$32="","",INDEX(振り分け!$A$3:$A$302,計算用!$A$32))</f>
        <v/>
      </c>
      <c r="C35" s="28">
        <f>IF(計算用!$A$32="","",INDEX(振り分け!$B$3:$B$302,計算用!$A$32))</f>
        <v/>
      </c>
      <c r="D35" s="35">
        <f>IF(計算用!$A$32="","",INDEX(振り分け!$C$3:$C$302,計算用!$A$32))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IF(計算用!$A$33="","",32)</f>
        <v/>
      </c>
      <c r="B36" s="28">
        <f>IF(計算用!$A$33="","",INDEX(振り分け!$A$3:$A$302,計算用!$A$33))</f>
        <v/>
      </c>
      <c r="C36" s="28">
        <f>IF(計算用!$A$33="","",INDEX(振り分け!$B$3:$B$302,計算用!$A$33))</f>
        <v/>
      </c>
      <c r="D36" s="35">
        <f>IF(計算用!$A$33="","",INDEX(振り分け!$C$3:$C$302,計算用!$A$33))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IF(計算用!$A$34="","",33)</f>
        <v/>
      </c>
      <c r="B37" s="28">
        <f>IF(計算用!$A$34="","",INDEX(振り分け!$A$3:$A$302,計算用!$A$34))</f>
        <v/>
      </c>
      <c r="C37" s="28">
        <f>IF(計算用!$A$34="","",INDEX(振り分け!$B$3:$B$302,計算用!$A$34))</f>
        <v/>
      </c>
      <c r="D37" s="35">
        <f>IF(計算用!$A$34="","",INDEX(振り分け!$C$3:$C$302,計算用!$A$34))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IF(計算用!$A$35="","",34)</f>
        <v/>
      </c>
      <c r="B38" s="28">
        <f>IF(計算用!$A$35="","",INDEX(振り分け!$A$3:$A$302,計算用!$A$35))</f>
        <v/>
      </c>
      <c r="C38" s="28">
        <f>IF(計算用!$A$35="","",INDEX(振り分け!$B$3:$B$302,計算用!$A$35))</f>
        <v/>
      </c>
      <c r="D38" s="35">
        <f>IF(計算用!$A$35="","",INDEX(振り分け!$C$3:$C$302,計算用!$A$35))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IF(計算用!$A$36="","",35)</f>
        <v/>
      </c>
      <c r="B39" s="28">
        <f>IF(計算用!$A$36="","",INDEX(振り分け!$A$3:$A$302,計算用!$A$36))</f>
        <v/>
      </c>
      <c r="C39" s="28">
        <f>IF(計算用!$A$36="","",INDEX(振り分け!$B$3:$B$302,計算用!$A$36))</f>
        <v/>
      </c>
      <c r="D39" s="35">
        <f>IF(計算用!$A$36="","",INDEX(振り分け!$C$3:$C$302,計算用!$A$36))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IF(計算用!$A$37="","",36)</f>
        <v/>
      </c>
      <c r="B40" s="28">
        <f>IF(計算用!$A$37="","",INDEX(振り分け!$A$3:$A$302,計算用!$A$37))</f>
        <v/>
      </c>
      <c r="C40" s="28">
        <f>IF(計算用!$A$37="","",INDEX(振り分け!$B$3:$B$302,計算用!$A$37))</f>
        <v/>
      </c>
      <c r="D40" s="35">
        <f>IF(計算用!$A$37="","",INDEX(振り分け!$C$3:$C$302,計算用!$A$37))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IF(計算用!$A$38="","",37)</f>
        <v/>
      </c>
      <c r="B41" s="28">
        <f>IF(計算用!$A$38="","",INDEX(振り分け!$A$3:$A$302,計算用!$A$38))</f>
        <v/>
      </c>
      <c r="C41" s="28">
        <f>IF(計算用!$A$38="","",INDEX(振り分け!$B$3:$B$302,計算用!$A$38))</f>
        <v/>
      </c>
      <c r="D41" s="35">
        <f>IF(計算用!$A$38="","",INDEX(振り分け!$C$3:$C$302,計算用!$A$38))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IF(計算用!$A$39="","",38)</f>
        <v/>
      </c>
      <c r="B42" s="28">
        <f>IF(計算用!$A$39="","",INDEX(振り分け!$A$3:$A$302,計算用!$A$39))</f>
        <v/>
      </c>
      <c r="C42" s="28">
        <f>IF(計算用!$A$39="","",INDEX(振り分け!$B$3:$B$302,計算用!$A$39))</f>
        <v/>
      </c>
      <c r="D42" s="35">
        <f>IF(計算用!$A$39="","",INDEX(振り分け!$C$3:$C$302,計算用!$A$39))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IF(計算用!$A$40="","",39)</f>
        <v/>
      </c>
      <c r="B43" s="28">
        <f>IF(計算用!$A$40="","",INDEX(振り分け!$A$3:$A$302,計算用!$A$40))</f>
        <v/>
      </c>
      <c r="C43" s="28">
        <f>IF(計算用!$A$40="","",INDEX(振り分け!$B$3:$B$302,計算用!$A$40))</f>
        <v/>
      </c>
      <c r="D43" s="35">
        <f>IF(計算用!$A$40="","",INDEX(振り分け!$C$3:$C$302,計算用!$A$40))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IF(計算用!$A$41="","",40)</f>
        <v/>
      </c>
      <c r="B44" s="28">
        <f>IF(計算用!$A$41="","",INDEX(振り分け!$A$3:$A$302,計算用!$A$41))</f>
        <v/>
      </c>
      <c r="C44" s="28">
        <f>IF(計算用!$A$41="","",INDEX(振り分け!$B$3:$B$302,計算用!$A$41))</f>
        <v/>
      </c>
      <c r="D44" s="35">
        <f>IF(計算用!$A$41="","",INDEX(振り分け!$C$3:$C$302,計算用!$A$41))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IF(設定!$G$9="","",設定!$B$3&amp;"　"&amp;設定!$G$9&amp;設定!$B$4&amp;"名簿")</f>
        <v/>
      </c>
    </row>
    <row r="2">
      <c r="A2" s="23">
        <f>IF(設定!$G$9="","","担当："&amp;設定!$J$9&amp;"　　活動場所："&amp;設定!$K$9&amp;"　　人数："&amp;COUNTIF(振り分け!$I$3:$I$302,設定!$G$9)&amp;"名")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IF(計算用!$B$2="","",1)</f>
        <v/>
      </c>
      <c r="B5" s="28">
        <f>IF(計算用!$B$2="","",INDEX(振り分け!$A$3:$A$302,計算用!$B$2))</f>
        <v/>
      </c>
      <c r="C5" s="28">
        <f>IF(計算用!$B$2="","",INDEX(振り分け!$B$3:$B$302,計算用!$B$2))</f>
        <v/>
      </c>
      <c r="D5" s="35">
        <f>IF(計算用!$B$2="","",INDEX(振り分け!$C$3:$C$302,計算用!$B$2))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IF(計算用!$B$3="","",2)</f>
        <v/>
      </c>
      <c r="B6" s="28">
        <f>IF(計算用!$B$3="","",INDEX(振り分け!$A$3:$A$302,計算用!$B$3))</f>
        <v/>
      </c>
      <c r="C6" s="28">
        <f>IF(計算用!$B$3="","",INDEX(振り分け!$B$3:$B$302,計算用!$B$3))</f>
        <v/>
      </c>
      <c r="D6" s="35">
        <f>IF(計算用!$B$3="","",INDEX(振り分け!$C$3:$C$302,計算用!$B$3))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IF(計算用!$B$4="","",3)</f>
        <v/>
      </c>
      <c r="B7" s="28">
        <f>IF(計算用!$B$4="","",INDEX(振り分け!$A$3:$A$302,計算用!$B$4))</f>
        <v/>
      </c>
      <c r="C7" s="28">
        <f>IF(計算用!$B$4="","",INDEX(振り分け!$B$3:$B$302,計算用!$B$4))</f>
        <v/>
      </c>
      <c r="D7" s="35">
        <f>IF(計算用!$B$4="","",INDEX(振り分け!$C$3:$C$302,計算用!$B$4))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IF(計算用!$B$5="","",4)</f>
        <v/>
      </c>
      <c r="B8" s="28">
        <f>IF(計算用!$B$5="","",INDEX(振り分け!$A$3:$A$302,計算用!$B$5))</f>
        <v/>
      </c>
      <c r="C8" s="28">
        <f>IF(計算用!$B$5="","",INDEX(振り分け!$B$3:$B$302,計算用!$B$5))</f>
        <v/>
      </c>
      <c r="D8" s="35">
        <f>IF(計算用!$B$5="","",INDEX(振り分け!$C$3:$C$302,計算用!$B$5))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IF(計算用!$B$6="","",5)</f>
        <v/>
      </c>
      <c r="B9" s="28">
        <f>IF(計算用!$B$6="","",INDEX(振り分け!$A$3:$A$302,計算用!$B$6))</f>
        <v/>
      </c>
      <c r="C9" s="28">
        <f>IF(計算用!$B$6="","",INDEX(振り分け!$B$3:$B$302,計算用!$B$6))</f>
        <v/>
      </c>
      <c r="D9" s="35">
        <f>IF(計算用!$B$6="","",INDEX(振り分け!$C$3:$C$302,計算用!$B$6))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IF(計算用!$B$7="","",6)</f>
        <v/>
      </c>
      <c r="B10" s="28">
        <f>IF(計算用!$B$7="","",INDEX(振り分け!$A$3:$A$302,計算用!$B$7))</f>
        <v/>
      </c>
      <c r="C10" s="28">
        <f>IF(計算用!$B$7="","",INDEX(振り分け!$B$3:$B$302,計算用!$B$7))</f>
        <v/>
      </c>
      <c r="D10" s="35">
        <f>IF(計算用!$B$7="","",INDEX(振り分け!$C$3:$C$302,計算用!$B$7))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IF(計算用!$B$8="","",7)</f>
        <v/>
      </c>
      <c r="B11" s="28">
        <f>IF(計算用!$B$8="","",INDEX(振り分け!$A$3:$A$302,計算用!$B$8))</f>
        <v/>
      </c>
      <c r="C11" s="28">
        <f>IF(計算用!$B$8="","",INDEX(振り分け!$B$3:$B$302,計算用!$B$8))</f>
        <v/>
      </c>
      <c r="D11" s="35">
        <f>IF(計算用!$B$8="","",INDEX(振り分け!$C$3:$C$302,計算用!$B$8))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IF(計算用!$B$9="","",8)</f>
        <v/>
      </c>
      <c r="B12" s="28">
        <f>IF(計算用!$B$9="","",INDEX(振り分け!$A$3:$A$302,計算用!$B$9))</f>
        <v/>
      </c>
      <c r="C12" s="28">
        <f>IF(計算用!$B$9="","",INDEX(振り分け!$B$3:$B$302,計算用!$B$9))</f>
        <v/>
      </c>
      <c r="D12" s="35">
        <f>IF(計算用!$B$9="","",INDEX(振り分け!$C$3:$C$302,計算用!$B$9))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IF(計算用!$B$10="","",9)</f>
        <v/>
      </c>
      <c r="B13" s="28">
        <f>IF(計算用!$B$10="","",INDEX(振り分け!$A$3:$A$302,計算用!$B$10))</f>
        <v/>
      </c>
      <c r="C13" s="28">
        <f>IF(計算用!$B$10="","",INDEX(振り分け!$B$3:$B$302,計算用!$B$10))</f>
        <v/>
      </c>
      <c r="D13" s="35">
        <f>IF(計算用!$B$10="","",INDEX(振り分け!$C$3:$C$302,計算用!$B$10))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IF(計算用!$B$11="","",10)</f>
        <v/>
      </c>
      <c r="B14" s="28">
        <f>IF(計算用!$B$11="","",INDEX(振り分け!$A$3:$A$302,計算用!$B$11))</f>
        <v/>
      </c>
      <c r="C14" s="28">
        <f>IF(計算用!$B$11="","",INDEX(振り分け!$B$3:$B$302,計算用!$B$11))</f>
        <v/>
      </c>
      <c r="D14" s="35">
        <f>IF(計算用!$B$11="","",INDEX(振り分け!$C$3:$C$302,計算用!$B$11))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IF(計算用!$B$12="","",11)</f>
        <v/>
      </c>
      <c r="B15" s="28">
        <f>IF(計算用!$B$12="","",INDEX(振り分け!$A$3:$A$302,計算用!$B$12))</f>
        <v/>
      </c>
      <c r="C15" s="28">
        <f>IF(計算用!$B$12="","",INDEX(振り分け!$B$3:$B$302,計算用!$B$12))</f>
        <v/>
      </c>
      <c r="D15" s="35">
        <f>IF(計算用!$B$12="","",INDEX(振り分け!$C$3:$C$302,計算用!$B$12))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IF(計算用!$B$13="","",12)</f>
        <v/>
      </c>
      <c r="B16" s="28">
        <f>IF(計算用!$B$13="","",INDEX(振り分け!$A$3:$A$302,計算用!$B$13))</f>
        <v/>
      </c>
      <c r="C16" s="28">
        <f>IF(計算用!$B$13="","",INDEX(振り分け!$B$3:$B$302,計算用!$B$13))</f>
        <v/>
      </c>
      <c r="D16" s="35">
        <f>IF(計算用!$B$13="","",INDEX(振り分け!$C$3:$C$302,計算用!$B$13))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IF(計算用!$B$14="","",13)</f>
        <v/>
      </c>
      <c r="B17" s="28">
        <f>IF(計算用!$B$14="","",INDEX(振り分け!$A$3:$A$302,計算用!$B$14))</f>
        <v/>
      </c>
      <c r="C17" s="28">
        <f>IF(計算用!$B$14="","",INDEX(振り分け!$B$3:$B$302,計算用!$B$14))</f>
        <v/>
      </c>
      <c r="D17" s="35">
        <f>IF(計算用!$B$14="","",INDEX(振り分け!$C$3:$C$302,計算用!$B$14))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IF(計算用!$B$15="","",14)</f>
        <v/>
      </c>
      <c r="B18" s="28">
        <f>IF(計算用!$B$15="","",INDEX(振り分け!$A$3:$A$302,計算用!$B$15))</f>
        <v/>
      </c>
      <c r="C18" s="28">
        <f>IF(計算用!$B$15="","",INDEX(振り分け!$B$3:$B$302,計算用!$B$15))</f>
        <v/>
      </c>
      <c r="D18" s="35">
        <f>IF(計算用!$B$15="","",INDEX(振り分け!$C$3:$C$302,計算用!$B$15))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IF(計算用!$B$16="","",15)</f>
        <v/>
      </c>
      <c r="B19" s="28">
        <f>IF(計算用!$B$16="","",INDEX(振り分け!$A$3:$A$302,計算用!$B$16))</f>
        <v/>
      </c>
      <c r="C19" s="28">
        <f>IF(計算用!$B$16="","",INDEX(振り分け!$B$3:$B$302,計算用!$B$16))</f>
        <v/>
      </c>
      <c r="D19" s="35">
        <f>IF(計算用!$B$16="","",INDEX(振り分け!$C$3:$C$302,計算用!$B$16))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IF(計算用!$B$17="","",16)</f>
        <v/>
      </c>
      <c r="B20" s="28">
        <f>IF(計算用!$B$17="","",INDEX(振り分け!$A$3:$A$302,計算用!$B$17))</f>
        <v/>
      </c>
      <c r="C20" s="28">
        <f>IF(計算用!$B$17="","",INDEX(振り分け!$B$3:$B$302,計算用!$B$17))</f>
        <v/>
      </c>
      <c r="D20" s="35">
        <f>IF(計算用!$B$17="","",INDEX(振り分け!$C$3:$C$302,計算用!$B$17))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IF(計算用!$B$18="","",17)</f>
        <v/>
      </c>
      <c r="B21" s="28">
        <f>IF(計算用!$B$18="","",INDEX(振り分け!$A$3:$A$302,計算用!$B$18))</f>
        <v/>
      </c>
      <c r="C21" s="28">
        <f>IF(計算用!$B$18="","",INDEX(振り分け!$B$3:$B$302,計算用!$B$18))</f>
        <v/>
      </c>
      <c r="D21" s="35">
        <f>IF(計算用!$B$18="","",INDEX(振り分け!$C$3:$C$302,計算用!$B$18))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IF(計算用!$B$19="","",18)</f>
        <v/>
      </c>
      <c r="B22" s="28">
        <f>IF(計算用!$B$19="","",INDEX(振り分け!$A$3:$A$302,計算用!$B$19))</f>
        <v/>
      </c>
      <c r="C22" s="28">
        <f>IF(計算用!$B$19="","",INDEX(振り分け!$B$3:$B$302,計算用!$B$19))</f>
        <v/>
      </c>
      <c r="D22" s="35">
        <f>IF(計算用!$B$19="","",INDEX(振り分け!$C$3:$C$302,計算用!$B$19))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IF(計算用!$B$20="","",19)</f>
        <v/>
      </c>
      <c r="B23" s="28">
        <f>IF(計算用!$B$20="","",INDEX(振り分け!$A$3:$A$302,計算用!$B$20))</f>
        <v/>
      </c>
      <c r="C23" s="28">
        <f>IF(計算用!$B$20="","",INDEX(振り分け!$B$3:$B$302,計算用!$B$20))</f>
        <v/>
      </c>
      <c r="D23" s="35">
        <f>IF(計算用!$B$20="","",INDEX(振り分け!$C$3:$C$302,計算用!$B$20))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IF(計算用!$B$21="","",20)</f>
        <v/>
      </c>
      <c r="B24" s="28">
        <f>IF(計算用!$B$21="","",INDEX(振り分け!$A$3:$A$302,計算用!$B$21))</f>
        <v/>
      </c>
      <c r="C24" s="28">
        <f>IF(計算用!$B$21="","",INDEX(振り分け!$B$3:$B$302,計算用!$B$21))</f>
        <v/>
      </c>
      <c r="D24" s="35">
        <f>IF(計算用!$B$21="","",INDEX(振り分け!$C$3:$C$302,計算用!$B$21))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IF(計算用!$B$22="","",21)</f>
        <v/>
      </c>
      <c r="B25" s="28">
        <f>IF(計算用!$B$22="","",INDEX(振り分け!$A$3:$A$302,計算用!$B$22))</f>
        <v/>
      </c>
      <c r="C25" s="28">
        <f>IF(計算用!$B$22="","",INDEX(振り分け!$B$3:$B$302,計算用!$B$22))</f>
        <v/>
      </c>
      <c r="D25" s="35">
        <f>IF(計算用!$B$22="","",INDEX(振り分け!$C$3:$C$302,計算用!$B$22))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IF(計算用!$B$23="","",22)</f>
        <v/>
      </c>
      <c r="B26" s="28">
        <f>IF(計算用!$B$23="","",INDEX(振り分け!$A$3:$A$302,計算用!$B$23))</f>
        <v/>
      </c>
      <c r="C26" s="28">
        <f>IF(計算用!$B$23="","",INDEX(振り分け!$B$3:$B$302,計算用!$B$23))</f>
        <v/>
      </c>
      <c r="D26" s="35">
        <f>IF(計算用!$B$23="","",INDEX(振り分け!$C$3:$C$302,計算用!$B$23))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IF(計算用!$B$24="","",23)</f>
        <v/>
      </c>
      <c r="B27" s="28">
        <f>IF(計算用!$B$24="","",INDEX(振り分け!$A$3:$A$302,計算用!$B$24))</f>
        <v/>
      </c>
      <c r="C27" s="28">
        <f>IF(計算用!$B$24="","",INDEX(振り分け!$B$3:$B$302,計算用!$B$24))</f>
        <v/>
      </c>
      <c r="D27" s="35">
        <f>IF(計算用!$B$24="","",INDEX(振り分け!$C$3:$C$302,計算用!$B$24))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IF(計算用!$B$25="","",24)</f>
        <v/>
      </c>
      <c r="B28" s="28">
        <f>IF(計算用!$B$25="","",INDEX(振り分け!$A$3:$A$302,計算用!$B$25))</f>
        <v/>
      </c>
      <c r="C28" s="28">
        <f>IF(計算用!$B$25="","",INDEX(振り分け!$B$3:$B$302,計算用!$B$25))</f>
        <v/>
      </c>
      <c r="D28" s="35">
        <f>IF(計算用!$B$25="","",INDEX(振り分け!$C$3:$C$302,計算用!$B$25))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IF(計算用!$B$26="","",25)</f>
        <v/>
      </c>
      <c r="B29" s="28">
        <f>IF(計算用!$B$26="","",INDEX(振り分け!$A$3:$A$302,計算用!$B$26))</f>
        <v/>
      </c>
      <c r="C29" s="28">
        <f>IF(計算用!$B$26="","",INDEX(振り分け!$B$3:$B$302,計算用!$B$26))</f>
        <v/>
      </c>
      <c r="D29" s="35">
        <f>IF(計算用!$B$26="","",INDEX(振り分け!$C$3:$C$302,計算用!$B$26))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IF(計算用!$B$27="","",26)</f>
        <v/>
      </c>
      <c r="B30" s="28">
        <f>IF(計算用!$B$27="","",INDEX(振り分け!$A$3:$A$302,計算用!$B$27))</f>
        <v/>
      </c>
      <c r="C30" s="28">
        <f>IF(計算用!$B$27="","",INDEX(振り分け!$B$3:$B$302,計算用!$B$27))</f>
        <v/>
      </c>
      <c r="D30" s="35">
        <f>IF(計算用!$B$27="","",INDEX(振り分け!$C$3:$C$302,計算用!$B$27))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IF(計算用!$B$28="","",27)</f>
        <v/>
      </c>
      <c r="B31" s="28">
        <f>IF(計算用!$B$28="","",INDEX(振り分け!$A$3:$A$302,計算用!$B$28))</f>
        <v/>
      </c>
      <c r="C31" s="28">
        <f>IF(計算用!$B$28="","",INDEX(振り分け!$B$3:$B$302,計算用!$B$28))</f>
        <v/>
      </c>
      <c r="D31" s="35">
        <f>IF(計算用!$B$28="","",INDEX(振り分け!$C$3:$C$302,計算用!$B$28))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IF(計算用!$B$29="","",28)</f>
        <v/>
      </c>
      <c r="B32" s="28">
        <f>IF(計算用!$B$29="","",INDEX(振り分け!$A$3:$A$302,計算用!$B$29))</f>
        <v/>
      </c>
      <c r="C32" s="28">
        <f>IF(計算用!$B$29="","",INDEX(振り分け!$B$3:$B$302,計算用!$B$29))</f>
        <v/>
      </c>
      <c r="D32" s="35">
        <f>IF(計算用!$B$29="","",INDEX(振り分け!$C$3:$C$302,計算用!$B$29))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IF(計算用!$B$30="","",29)</f>
        <v/>
      </c>
      <c r="B33" s="28">
        <f>IF(計算用!$B$30="","",INDEX(振り分け!$A$3:$A$302,計算用!$B$30))</f>
        <v/>
      </c>
      <c r="C33" s="28">
        <f>IF(計算用!$B$30="","",INDEX(振り分け!$B$3:$B$302,計算用!$B$30))</f>
        <v/>
      </c>
      <c r="D33" s="35">
        <f>IF(計算用!$B$30="","",INDEX(振り分け!$C$3:$C$302,計算用!$B$30))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IF(計算用!$B$31="","",30)</f>
        <v/>
      </c>
      <c r="B34" s="28">
        <f>IF(計算用!$B$31="","",INDEX(振り分け!$A$3:$A$302,計算用!$B$31))</f>
        <v/>
      </c>
      <c r="C34" s="28">
        <f>IF(計算用!$B$31="","",INDEX(振り分け!$B$3:$B$302,計算用!$B$31))</f>
        <v/>
      </c>
      <c r="D34" s="35">
        <f>IF(計算用!$B$31="","",INDEX(振り分け!$C$3:$C$302,計算用!$B$31))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IF(計算用!$B$32="","",31)</f>
        <v/>
      </c>
      <c r="B35" s="28">
        <f>IF(計算用!$B$32="","",INDEX(振り分け!$A$3:$A$302,計算用!$B$32))</f>
        <v/>
      </c>
      <c r="C35" s="28">
        <f>IF(計算用!$B$32="","",INDEX(振り分け!$B$3:$B$302,計算用!$B$32))</f>
        <v/>
      </c>
      <c r="D35" s="35">
        <f>IF(計算用!$B$32="","",INDEX(振り分け!$C$3:$C$302,計算用!$B$32))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IF(計算用!$B$33="","",32)</f>
        <v/>
      </c>
      <c r="B36" s="28">
        <f>IF(計算用!$B$33="","",INDEX(振り分け!$A$3:$A$302,計算用!$B$33))</f>
        <v/>
      </c>
      <c r="C36" s="28">
        <f>IF(計算用!$B$33="","",INDEX(振り分け!$B$3:$B$302,計算用!$B$33))</f>
        <v/>
      </c>
      <c r="D36" s="35">
        <f>IF(計算用!$B$33="","",INDEX(振り分け!$C$3:$C$302,計算用!$B$33))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IF(計算用!$B$34="","",33)</f>
        <v/>
      </c>
      <c r="B37" s="28">
        <f>IF(計算用!$B$34="","",INDEX(振り分け!$A$3:$A$302,計算用!$B$34))</f>
        <v/>
      </c>
      <c r="C37" s="28">
        <f>IF(計算用!$B$34="","",INDEX(振り分け!$B$3:$B$302,計算用!$B$34))</f>
        <v/>
      </c>
      <c r="D37" s="35">
        <f>IF(計算用!$B$34="","",INDEX(振り分け!$C$3:$C$302,計算用!$B$34))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IF(計算用!$B$35="","",34)</f>
        <v/>
      </c>
      <c r="B38" s="28">
        <f>IF(計算用!$B$35="","",INDEX(振り分け!$A$3:$A$302,計算用!$B$35))</f>
        <v/>
      </c>
      <c r="C38" s="28">
        <f>IF(計算用!$B$35="","",INDEX(振り分け!$B$3:$B$302,計算用!$B$35))</f>
        <v/>
      </c>
      <c r="D38" s="35">
        <f>IF(計算用!$B$35="","",INDEX(振り分け!$C$3:$C$302,計算用!$B$35))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IF(計算用!$B$36="","",35)</f>
        <v/>
      </c>
      <c r="B39" s="28">
        <f>IF(計算用!$B$36="","",INDEX(振り分け!$A$3:$A$302,計算用!$B$36))</f>
        <v/>
      </c>
      <c r="C39" s="28">
        <f>IF(計算用!$B$36="","",INDEX(振り分け!$B$3:$B$302,計算用!$B$36))</f>
        <v/>
      </c>
      <c r="D39" s="35">
        <f>IF(計算用!$B$36="","",INDEX(振り分け!$C$3:$C$302,計算用!$B$36))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IF(計算用!$B$37="","",36)</f>
        <v/>
      </c>
      <c r="B40" s="28">
        <f>IF(計算用!$B$37="","",INDEX(振り分け!$A$3:$A$302,計算用!$B$37))</f>
        <v/>
      </c>
      <c r="C40" s="28">
        <f>IF(計算用!$B$37="","",INDEX(振り分け!$B$3:$B$302,計算用!$B$37))</f>
        <v/>
      </c>
      <c r="D40" s="35">
        <f>IF(計算用!$B$37="","",INDEX(振り分け!$C$3:$C$302,計算用!$B$37))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IF(計算用!$B$38="","",37)</f>
        <v/>
      </c>
      <c r="B41" s="28">
        <f>IF(計算用!$B$38="","",INDEX(振り分け!$A$3:$A$302,計算用!$B$38))</f>
        <v/>
      </c>
      <c r="C41" s="28">
        <f>IF(計算用!$B$38="","",INDEX(振り分け!$B$3:$B$302,計算用!$B$38))</f>
        <v/>
      </c>
      <c r="D41" s="35">
        <f>IF(計算用!$B$38="","",INDEX(振り分け!$C$3:$C$302,計算用!$B$38))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IF(計算用!$B$39="","",38)</f>
        <v/>
      </c>
      <c r="B42" s="28">
        <f>IF(計算用!$B$39="","",INDEX(振り分け!$A$3:$A$302,計算用!$B$39))</f>
        <v/>
      </c>
      <c r="C42" s="28">
        <f>IF(計算用!$B$39="","",INDEX(振り分け!$B$3:$B$302,計算用!$B$39))</f>
        <v/>
      </c>
      <c r="D42" s="35">
        <f>IF(計算用!$B$39="","",INDEX(振り分け!$C$3:$C$302,計算用!$B$39))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IF(計算用!$B$40="","",39)</f>
        <v/>
      </c>
      <c r="B43" s="28">
        <f>IF(計算用!$B$40="","",INDEX(振り分け!$A$3:$A$302,計算用!$B$40))</f>
        <v/>
      </c>
      <c r="C43" s="28">
        <f>IF(計算用!$B$40="","",INDEX(振り分け!$B$3:$B$302,計算用!$B$40))</f>
        <v/>
      </c>
      <c r="D43" s="35">
        <f>IF(計算用!$B$40="","",INDEX(振り分け!$C$3:$C$302,計算用!$B$40))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IF(計算用!$B$41="","",40)</f>
        <v/>
      </c>
      <c r="B44" s="28">
        <f>IF(計算用!$B$41="","",INDEX(振り分け!$A$3:$A$302,計算用!$B$41))</f>
        <v/>
      </c>
      <c r="C44" s="28">
        <f>IF(計算用!$B$41="","",INDEX(振り分け!$B$3:$B$302,計算用!$B$41))</f>
        <v/>
      </c>
      <c r="D44" s="35">
        <f>IF(計算用!$B$41="","",INDEX(振り分け!$C$3:$C$302,計算用!$B$41))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IF(設定!$G$10="","",設定!$B$3&amp;"　"&amp;設定!$G$10&amp;設定!$B$4&amp;"名簿")</f>
        <v/>
      </c>
    </row>
    <row r="2">
      <c r="A2" s="23">
        <f>IF(設定!$G$10="","","担当："&amp;設定!$J$10&amp;"　　活動場所："&amp;設定!$K$10&amp;"　　人数："&amp;COUNTIF(振り分け!$I$3:$I$302,設定!$G$10)&amp;"名")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IF(計算用!$C$2="","",1)</f>
        <v/>
      </c>
      <c r="B5" s="28">
        <f>IF(計算用!$C$2="","",INDEX(振り分け!$A$3:$A$302,計算用!$C$2))</f>
        <v/>
      </c>
      <c r="C5" s="28">
        <f>IF(計算用!$C$2="","",INDEX(振り分け!$B$3:$B$302,計算用!$C$2))</f>
        <v/>
      </c>
      <c r="D5" s="35">
        <f>IF(計算用!$C$2="","",INDEX(振り分け!$C$3:$C$302,計算用!$C$2))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IF(計算用!$C$3="","",2)</f>
        <v/>
      </c>
      <c r="B6" s="28">
        <f>IF(計算用!$C$3="","",INDEX(振り分け!$A$3:$A$302,計算用!$C$3))</f>
        <v/>
      </c>
      <c r="C6" s="28">
        <f>IF(計算用!$C$3="","",INDEX(振り分け!$B$3:$B$302,計算用!$C$3))</f>
        <v/>
      </c>
      <c r="D6" s="35">
        <f>IF(計算用!$C$3="","",INDEX(振り分け!$C$3:$C$302,計算用!$C$3))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IF(計算用!$C$4="","",3)</f>
        <v/>
      </c>
      <c r="B7" s="28">
        <f>IF(計算用!$C$4="","",INDEX(振り分け!$A$3:$A$302,計算用!$C$4))</f>
        <v/>
      </c>
      <c r="C7" s="28">
        <f>IF(計算用!$C$4="","",INDEX(振り分け!$B$3:$B$302,計算用!$C$4))</f>
        <v/>
      </c>
      <c r="D7" s="35">
        <f>IF(計算用!$C$4="","",INDEX(振り分け!$C$3:$C$302,計算用!$C$4))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IF(計算用!$C$5="","",4)</f>
        <v/>
      </c>
      <c r="B8" s="28">
        <f>IF(計算用!$C$5="","",INDEX(振り分け!$A$3:$A$302,計算用!$C$5))</f>
        <v/>
      </c>
      <c r="C8" s="28">
        <f>IF(計算用!$C$5="","",INDEX(振り分け!$B$3:$B$302,計算用!$C$5))</f>
        <v/>
      </c>
      <c r="D8" s="35">
        <f>IF(計算用!$C$5="","",INDEX(振り分け!$C$3:$C$302,計算用!$C$5))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IF(計算用!$C$6="","",5)</f>
        <v/>
      </c>
      <c r="B9" s="28">
        <f>IF(計算用!$C$6="","",INDEX(振り分け!$A$3:$A$302,計算用!$C$6))</f>
        <v/>
      </c>
      <c r="C9" s="28">
        <f>IF(計算用!$C$6="","",INDEX(振り分け!$B$3:$B$302,計算用!$C$6))</f>
        <v/>
      </c>
      <c r="D9" s="35">
        <f>IF(計算用!$C$6="","",INDEX(振り分け!$C$3:$C$302,計算用!$C$6))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IF(計算用!$C$7="","",6)</f>
        <v/>
      </c>
      <c r="B10" s="28">
        <f>IF(計算用!$C$7="","",INDEX(振り分け!$A$3:$A$302,計算用!$C$7))</f>
        <v/>
      </c>
      <c r="C10" s="28">
        <f>IF(計算用!$C$7="","",INDEX(振り分け!$B$3:$B$302,計算用!$C$7))</f>
        <v/>
      </c>
      <c r="D10" s="35">
        <f>IF(計算用!$C$7="","",INDEX(振り分け!$C$3:$C$302,計算用!$C$7))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IF(計算用!$C$8="","",7)</f>
        <v/>
      </c>
      <c r="B11" s="28">
        <f>IF(計算用!$C$8="","",INDEX(振り分け!$A$3:$A$302,計算用!$C$8))</f>
        <v/>
      </c>
      <c r="C11" s="28">
        <f>IF(計算用!$C$8="","",INDEX(振り分け!$B$3:$B$302,計算用!$C$8))</f>
        <v/>
      </c>
      <c r="D11" s="35">
        <f>IF(計算用!$C$8="","",INDEX(振り分け!$C$3:$C$302,計算用!$C$8))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IF(計算用!$C$9="","",8)</f>
        <v/>
      </c>
      <c r="B12" s="28">
        <f>IF(計算用!$C$9="","",INDEX(振り分け!$A$3:$A$302,計算用!$C$9))</f>
        <v/>
      </c>
      <c r="C12" s="28">
        <f>IF(計算用!$C$9="","",INDEX(振り分け!$B$3:$B$302,計算用!$C$9))</f>
        <v/>
      </c>
      <c r="D12" s="35">
        <f>IF(計算用!$C$9="","",INDEX(振り分け!$C$3:$C$302,計算用!$C$9))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IF(計算用!$C$10="","",9)</f>
        <v/>
      </c>
      <c r="B13" s="28">
        <f>IF(計算用!$C$10="","",INDEX(振り分け!$A$3:$A$302,計算用!$C$10))</f>
        <v/>
      </c>
      <c r="C13" s="28">
        <f>IF(計算用!$C$10="","",INDEX(振り分け!$B$3:$B$302,計算用!$C$10))</f>
        <v/>
      </c>
      <c r="D13" s="35">
        <f>IF(計算用!$C$10="","",INDEX(振り分け!$C$3:$C$302,計算用!$C$10))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IF(計算用!$C$11="","",10)</f>
        <v/>
      </c>
      <c r="B14" s="28">
        <f>IF(計算用!$C$11="","",INDEX(振り分け!$A$3:$A$302,計算用!$C$11))</f>
        <v/>
      </c>
      <c r="C14" s="28">
        <f>IF(計算用!$C$11="","",INDEX(振り分け!$B$3:$B$302,計算用!$C$11))</f>
        <v/>
      </c>
      <c r="D14" s="35">
        <f>IF(計算用!$C$11="","",INDEX(振り分け!$C$3:$C$302,計算用!$C$11))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IF(計算用!$C$12="","",11)</f>
        <v/>
      </c>
      <c r="B15" s="28">
        <f>IF(計算用!$C$12="","",INDEX(振り分け!$A$3:$A$302,計算用!$C$12))</f>
        <v/>
      </c>
      <c r="C15" s="28">
        <f>IF(計算用!$C$12="","",INDEX(振り分け!$B$3:$B$302,計算用!$C$12))</f>
        <v/>
      </c>
      <c r="D15" s="35">
        <f>IF(計算用!$C$12="","",INDEX(振り分け!$C$3:$C$302,計算用!$C$12))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IF(計算用!$C$13="","",12)</f>
        <v/>
      </c>
      <c r="B16" s="28">
        <f>IF(計算用!$C$13="","",INDEX(振り分け!$A$3:$A$302,計算用!$C$13))</f>
        <v/>
      </c>
      <c r="C16" s="28">
        <f>IF(計算用!$C$13="","",INDEX(振り分け!$B$3:$B$302,計算用!$C$13))</f>
        <v/>
      </c>
      <c r="D16" s="35">
        <f>IF(計算用!$C$13="","",INDEX(振り分け!$C$3:$C$302,計算用!$C$13))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IF(計算用!$C$14="","",13)</f>
        <v/>
      </c>
      <c r="B17" s="28">
        <f>IF(計算用!$C$14="","",INDEX(振り分け!$A$3:$A$302,計算用!$C$14))</f>
        <v/>
      </c>
      <c r="C17" s="28">
        <f>IF(計算用!$C$14="","",INDEX(振り分け!$B$3:$B$302,計算用!$C$14))</f>
        <v/>
      </c>
      <c r="D17" s="35">
        <f>IF(計算用!$C$14="","",INDEX(振り分け!$C$3:$C$302,計算用!$C$14))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IF(計算用!$C$15="","",14)</f>
        <v/>
      </c>
      <c r="B18" s="28">
        <f>IF(計算用!$C$15="","",INDEX(振り分け!$A$3:$A$302,計算用!$C$15))</f>
        <v/>
      </c>
      <c r="C18" s="28">
        <f>IF(計算用!$C$15="","",INDEX(振り分け!$B$3:$B$302,計算用!$C$15))</f>
        <v/>
      </c>
      <c r="D18" s="35">
        <f>IF(計算用!$C$15="","",INDEX(振り分け!$C$3:$C$302,計算用!$C$15))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IF(計算用!$C$16="","",15)</f>
        <v/>
      </c>
      <c r="B19" s="28">
        <f>IF(計算用!$C$16="","",INDEX(振り分け!$A$3:$A$302,計算用!$C$16))</f>
        <v/>
      </c>
      <c r="C19" s="28">
        <f>IF(計算用!$C$16="","",INDEX(振り分け!$B$3:$B$302,計算用!$C$16))</f>
        <v/>
      </c>
      <c r="D19" s="35">
        <f>IF(計算用!$C$16="","",INDEX(振り分け!$C$3:$C$302,計算用!$C$16))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IF(計算用!$C$17="","",16)</f>
        <v/>
      </c>
      <c r="B20" s="28">
        <f>IF(計算用!$C$17="","",INDEX(振り分け!$A$3:$A$302,計算用!$C$17))</f>
        <v/>
      </c>
      <c r="C20" s="28">
        <f>IF(計算用!$C$17="","",INDEX(振り分け!$B$3:$B$302,計算用!$C$17))</f>
        <v/>
      </c>
      <c r="D20" s="35">
        <f>IF(計算用!$C$17="","",INDEX(振り分け!$C$3:$C$302,計算用!$C$17))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IF(計算用!$C$18="","",17)</f>
        <v/>
      </c>
      <c r="B21" s="28">
        <f>IF(計算用!$C$18="","",INDEX(振り分け!$A$3:$A$302,計算用!$C$18))</f>
        <v/>
      </c>
      <c r="C21" s="28">
        <f>IF(計算用!$C$18="","",INDEX(振り分け!$B$3:$B$302,計算用!$C$18))</f>
        <v/>
      </c>
      <c r="D21" s="35">
        <f>IF(計算用!$C$18="","",INDEX(振り分け!$C$3:$C$302,計算用!$C$18))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IF(計算用!$C$19="","",18)</f>
        <v/>
      </c>
      <c r="B22" s="28">
        <f>IF(計算用!$C$19="","",INDEX(振り分け!$A$3:$A$302,計算用!$C$19))</f>
        <v/>
      </c>
      <c r="C22" s="28">
        <f>IF(計算用!$C$19="","",INDEX(振り分け!$B$3:$B$302,計算用!$C$19))</f>
        <v/>
      </c>
      <c r="D22" s="35">
        <f>IF(計算用!$C$19="","",INDEX(振り分け!$C$3:$C$302,計算用!$C$19))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IF(計算用!$C$20="","",19)</f>
        <v/>
      </c>
      <c r="B23" s="28">
        <f>IF(計算用!$C$20="","",INDEX(振り分け!$A$3:$A$302,計算用!$C$20))</f>
        <v/>
      </c>
      <c r="C23" s="28">
        <f>IF(計算用!$C$20="","",INDEX(振り分け!$B$3:$B$302,計算用!$C$20))</f>
        <v/>
      </c>
      <c r="D23" s="35">
        <f>IF(計算用!$C$20="","",INDEX(振り分け!$C$3:$C$302,計算用!$C$20))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IF(計算用!$C$21="","",20)</f>
        <v/>
      </c>
      <c r="B24" s="28">
        <f>IF(計算用!$C$21="","",INDEX(振り分け!$A$3:$A$302,計算用!$C$21))</f>
        <v/>
      </c>
      <c r="C24" s="28">
        <f>IF(計算用!$C$21="","",INDEX(振り分け!$B$3:$B$302,計算用!$C$21))</f>
        <v/>
      </c>
      <c r="D24" s="35">
        <f>IF(計算用!$C$21="","",INDEX(振り分け!$C$3:$C$302,計算用!$C$21))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IF(計算用!$C$22="","",21)</f>
        <v/>
      </c>
      <c r="B25" s="28">
        <f>IF(計算用!$C$22="","",INDEX(振り分け!$A$3:$A$302,計算用!$C$22))</f>
        <v/>
      </c>
      <c r="C25" s="28">
        <f>IF(計算用!$C$22="","",INDEX(振り分け!$B$3:$B$302,計算用!$C$22))</f>
        <v/>
      </c>
      <c r="D25" s="35">
        <f>IF(計算用!$C$22="","",INDEX(振り分け!$C$3:$C$302,計算用!$C$22))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IF(計算用!$C$23="","",22)</f>
        <v/>
      </c>
      <c r="B26" s="28">
        <f>IF(計算用!$C$23="","",INDEX(振り分け!$A$3:$A$302,計算用!$C$23))</f>
        <v/>
      </c>
      <c r="C26" s="28">
        <f>IF(計算用!$C$23="","",INDEX(振り分け!$B$3:$B$302,計算用!$C$23))</f>
        <v/>
      </c>
      <c r="D26" s="35">
        <f>IF(計算用!$C$23="","",INDEX(振り分け!$C$3:$C$302,計算用!$C$23))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IF(計算用!$C$24="","",23)</f>
        <v/>
      </c>
      <c r="B27" s="28">
        <f>IF(計算用!$C$24="","",INDEX(振り分け!$A$3:$A$302,計算用!$C$24))</f>
        <v/>
      </c>
      <c r="C27" s="28">
        <f>IF(計算用!$C$24="","",INDEX(振り分け!$B$3:$B$302,計算用!$C$24))</f>
        <v/>
      </c>
      <c r="D27" s="35">
        <f>IF(計算用!$C$24="","",INDEX(振り分け!$C$3:$C$302,計算用!$C$24))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IF(計算用!$C$25="","",24)</f>
        <v/>
      </c>
      <c r="B28" s="28">
        <f>IF(計算用!$C$25="","",INDEX(振り分け!$A$3:$A$302,計算用!$C$25))</f>
        <v/>
      </c>
      <c r="C28" s="28">
        <f>IF(計算用!$C$25="","",INDEX(振り分け!$B$3:$B$302,計算用!$C$25))</f>
        <v/>
      </c>
      <c r="D28" s="35">
        <f>IF(計算用!$C$25="","",INDEX(振り分け!$C$3:$C$302,計算用!$C$25))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IF(計算用!$C$26="","",25)</f>
        <v/>
      </c>
      <c r="B29" s="28">
        <f>IF(計算用!$C$26="","",INDEX(振り分け!$A$3:$A$302,計算用!$C$26))</f>
        <v/>
      </c>
      <c r="C29" s="28">
        <f>IF(計算用!$C$26="","",INDEX(振り分け!$B$3:$B$302,計算用!$C$26))</f>
        <v/>
      </c>
      <c r="D29" s="35">
        <f>IF(計算用!$C$26="","",INDEX(振り分け!$C$3:$C$302,計算用!$C$26))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IF(計算用!$C$27="","",26)</f>
        <v/>
      </c>
      <c r="B30" s="28">
        <f>IF(計算用!$C$27="","",INDEX(振り分け!$A$3:$A$302,計算用!$C$27))</f>
        <v/>
      </c>
      <c r="C30" s="28">
        <f>IF(計算用!$C$27="","",INDEX(振り分け!$B$3:$B$302,計算用!$C$27))</f>
        <v/>
      </c>
      <c r="D30" s="35">
        <f>IF(計算用!$C$27="","",INDEX(振り分け!$C$3:$C$302,計算用!$C$27))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IF(計算用!$C$28="","",27)</f>
        <v/>
      </c>
      <c r="B31" s="28">
        <f>IF(計算用!$C$28="","",INDEX(振り分け!$A$3:$A$302,計算用!$C$28))</f>
        <v/>
      </c>
      <c r="C31" s="28">
        <f>IF(計算用!$C$28="","",INDEX(振り分け!$B$3:$B$302,計算用!$C$28))</f>
        <v/>
      </c>
      <c r="D31" s="35">
        <f>IF(計算用!$C$28="","",INDEX(振り分け!$C$3:$C$302,計算用!$C$28))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IF(計算用!$C$29="","",28)</f>
        <v/>
      </c>
      <c r="B32" s="28">
        <f>IF(計算用!$C$29="","",INDEX(振り分け!$A$3:$A$302,計算用!$C$29))</f>
        <v/>
      </c>
      <c r="C32" s="28">
        <f>IF(計算用!$C$29="","",INDEX(振り分け!$B$3:$B$302,計算用!$C$29))</f>
        <v/>
      </c>
      <c r="D32" s="35">
        <f>IF(計算用!$C$29="","",INDEX(振り分け!$C$3:$C$302,計算用!$C$29))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IF(計算用!$C$30="","",29)</f>
        <v/>
      </c>
      <c r="B33" s="28">
        <f>IF(計算用!$C$30="","",INDEX(振り分け!$A$3:$A$302,計算用!$C$30))</f>
        <v/>
      </c>
      <c r="C33" s="28">
        <f>IF(計算用!$C$30="","",INDEX(振り分け!$B$3:$B$302,計算用!$C$30))</f>
        <v/>
      </c>
      <c r="D33" s="35">
        <f>IF(計算用!$C$30="","",INDEX(振り分け!$C$3:$C$302,計算用!$C$30))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IF(計算用!$C$31="","",30)</f>
        <v/>
      </c>
      <c r="B34" s="28">
        <f>IF(計算用!$C$31="","",INDEX(振り分け!$A$3:$A$302,計算用!$C$31))</f>
        <v/>
      </c>
      <c r="C34" s="28">
        <f>IF(計算用!$C$31="","",INDEX(振り分け!$B$3:$B$302,計算用!$C$31))</f>
        <v/>
      </c>
      <c r="D34" s="35">
        <f>IF(計算用!$C$31="","",INDEX(振り分け!$C$3:$C$302,計算用!$C$31))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IF(計算用!$C$32="","",31)</f>
        <v/>
      </c>
      <c r="B35" s="28">
        <f>IF(計算用!$C$32="","",INDEX(振り分け!$A$3:$A$302,計算用!$C$32))</f>
        <v/>
      </c>
      <c r="C35" s="28">
        <f>IF(計算用!$C$32="","",INDEX(振り分け!$B$3:$B$302,計算用!$C$32))</f>
        <v/>
      </c>
      <c r="D35" s="35">
        <f>IF(計算用!$C$32="","",INDEX(振り分け!$C$3:$C$302,計算用!$C$32))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IF(計算用!$C$33="","",32)</f>
        <v/>
      </c>
      <c r="B36" s="28">
        <f>IF(計算用!$C$33="","",INDEX(振り分け!$A$3:$A$302,計算用!$C$33))</f>
        <v/>
      </c>
      <c r="C36" s="28">
        <f>IF(計算用!$C$33="","",INDEX(振り分け!$B$3:$B$302,計算用!$C$33))</f>
        <v/>
      </c>
      <c r="D36" s="35">
        <f>IF(計算用!$C$33="","",INDEX(振り分け!$C$3:$C$302,計算用!$C$33))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IF(計算用!$C$34="","",33)</f>
        <v/>
      </c>
      <c r="B37" s="28">
        <f>IF(計算用!$C$34="","",INDEX(振り分け!$A$3:$A$302,計算用!$C$34))</f>
        <v/>
      </c>
      <c r="C37" s="28">
        <f>IF(計算用!$C$34="","",INDEX(振り分け!$B$3:$B$302,計算用!$C$34))</f>
        <v/>
      </c>
      <c r="D37" s="35">
        <f>IF(計算用!$C$34="","",INDEX(振り分け!$C$3:$C$302,計算用!$C$34))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IF(計算用!$C$35="","",34)</f>
        <v/>
      </c>
      <c r="B38" s="28">
        <f>IF(計算用!$C$35="","",INDEX(振り分け!$A$3:$A$302,計算用!$C$35))</f>
        <v/>
      </c>
      <c r="C38" s="28">
        <f>IF(計算用!$C$35="","",INDEX(振り分け!$B$3:$B$302,計算用!$C$35))</f>
        <v/>
      </c>
      <c r="D38" s="35">
        <f>IF(計算用!$C$35="","",INDEX(振り分け!$C$3:$C$302,計算用!$C$35))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IF(計算用!$C$36="","",35)</f>
        <v/>
      </c>
      <c r="B39" s="28">
        <f>IF(計算用!$C$36="","",INDEX(振り分け!$A$3:$A$302,計算用!$C$36))</f>
        <v/>
      </c>
      <c r="C39" s="28">
        <f>IF(計算用!$C$36="","",INDEX(振り分け!$B$3:$B$302,計算用!$C$36))</f>
        <v/>
      </c>
      <c r="D39" s="35">
        <f>IF(計算用!$C$36="","",INDEX(振り分け!$C$3:$C$302,計算用!$C$36))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IF(計算用!$C$37="","",36)</f>
        <v/>
      </c>
      <c r="B40" s="28">
        <f>IF(計算用!$C$37="","",INDEX(振り分け!$A$3:$A$302,計算用!$C$37))</f>
        <v/>
      </c>
      <c r="C40" s="28">
        <f>IF(計算用!$C$37="","",INDEX(振り分け!$B$3:$B$302,計算用!$C$37))</f>
        <v/>
      </c>
      <c r="D40" s="35">
        <f>IF(計算用!$C$37="","",INDEX(振り分け!$C$3:$C$302,計算用!$C$37))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IF(計算用!$C$38="","",37)</f>
        <v/>
      </c>
      <c r="B41" s="28">
        <f>IF(計算用!$C$38="","",INDEX(振り分け!$A$3:$A$302,計算用!$C$38))</f>
        <v/>
      </c>
      <c r="C41" s="28">
        <f>IF(計算用!$C$38="","",INDEX(振り分け!$B$3:$B$302,計算用!$C$38))</f>
        <v/>
      </c>
      <c r="D41" s="35">
        <f>IF(計算用!$C$38="","",INDEX(振り分け!$C$3:$C$302,計算用!$C$38))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IF(計算用!$C$39="","",38)</f>
        <v/>
      </c>
      <c r="B42" s="28">
        <f>IF(計算用!$C$39="","",INDEX(振り分け!$A$3:$A$302,計算用!$C$39))</f>
        <v/>
      </c>
      <c r="C42" s="28">
        <f>IF(計算用!$C$39="","",INDEX(振り分け!$B$3:$B$302,計算用!$C$39))</f>
        <v/>
      </c>
      <c r="D42" s="35">
        <f>IF(計算用!$C$39="","",INDEX(振り分け!$C$3:$C$302,計算用!$C$39))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IF(計算用!$C$40="","",39)</f>
        <v/>
      </c>
      <c r="B43" s="28">
        <f>IF(計算用!$C$40="","",INDEX(振り分け!$A$3:$A$302,計算用!$C$40))</f>
        <v/>
      </c>
      <c r="C43" s="28">
        <f>IF(計算用!$C$40="","",INDEX(振り分け!$B$3:$B$302,計算用!$C$40))</f>
        <v/>
      </c>
      <c r="D43" s="35">
        <f>IF(計算用!$C$40="","",INDEX(振り分け!$C$3:$C$302,計算用!$C$40))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IF(計算用!$C$41="","",40)</f>
        <v/>
      </c>
      <c r="B44" s="28">
        <f>IF(計算用!$C$41="","",INDEX(振り分け!$A$3:$A$302,計算用!$C$41))</f>
        <v/>
      </c>
      <c r="C44" s="28">
        <f>IF(計算用!$C$41="","",INDEX(振り分け!$B$3:$B$302,計算用!$C$41))</f>
        <v/>
      </c>
      <c r="D44" s="35">
        <f>IF(計算用!$C$41="","",INDEX(振り分け!$C$3:$C$302,計算用!$C$41))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IF(設定!$G$11="","",設定!$B$3&amp;"　"&amp;設定!$G$11&amp;設定!$B$4&amp;"名簿")</f>
        <v/>
      </c>
    </row>
    <row r="2">
      <c r="A2" s="23">
        <f>IF(設定!$G$11="","","担当："&amp;設定!$J$11&amp;"　　活動場所："&amp;設定!$K$11&amp;"　　人数："&amp;COUNTIF(振り分け!$I$3:$I$302,設定!$G$11)&amp;"名")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IF(計算用!$D$2="","",1)</f>
        <v/>
      </c>
      <c r="B5" s="28">
        <f>IF(計算用!$D$2="","",INDEX(振り分け!$A$3:$A$302,計算用!$D$2))</f>
        <v/>
      </c>
      <c r="C5" s="28">
        <f>IF(計算用!$D$2="","",INDEX(振り分け!$B$3:$B$302,計算用!$D$2))</f>
        <v/>
      </c>
      <c r="D5" s="35">
        <f>IF(計算用!$D$2="","",INDEX(振り分け!$C$3:$C$302,計算用!$D$2))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IF(計算用!$D$3="","",2)</f>
        <v/>
      </c>
      <c r="B6" s="28">
        <f>IF(計算用!$D$3="","",INDEX(振り分け!$A$3:$A$302,計算用!$D$3))</f>
        <v/>
      </c>
      <c r="C6" s="28">
        <f>IF(計算用!$D$3="","",INDEX(振り分け!$B$3:$B$302,計算用!$D$3))</f>
        <v/>
      </c>
      <c r="D6" s="35">
        <f>IF(計算用!$D$3="","",INDEX(振り分け!$C$3:$C$302,計算用!$D$3))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IF(計算用!$D$4="","",3)</f>
        <v/>
      </c>
      <c r="B7" s="28">
        <f>IF(計算用!$D$4="","",INDEX(振り分け!$A$3:$A$302,計算用!$D$4))</f>
        <v/>
      </c>
      <c r="C7" s="28">
        <f>IF(計算用!$D$4="","",INDEX(振り分け!$B$3:$B$302,計算用!$D$4))</f>
        <v/>
      </c>
      <c r="D7" s="35">
        <f>IF(計算用!$D$4="","",INDEX(振り分け!$C$3:$C$302,計算用!$D$4))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IF(計算用!$D$5="","",4)</f>
        <v/>
      </c>
      <c r="B8" s="28">
        <f>IF(計算用!$D$5="","",INDEX(振り分け!$A$3:$A$302,計算用!$D$5))</f>
        <v/>
      </c>
      <c r="C8" s="28">
        <f>IF(計算用!$D$5="","",INDEX(振り分け!$B$3:$B$302,計算用!$D$5))</f>
        <v/>
      </c>
      <c r="D8" s="35">
        <f>IF(計算用!$D$5="","",INDEX(振り分け!$C$3:$C$302,計算用!$D$5))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IF(計算用!$D$6="","",5)</f>
        <v/>
      </c>
      <c r="B9" s="28">
        <f>IF(計算用!$D$6="","",INDEX(振り分け!$A$3:$A$302,計算用!$D$6))</f>
        <v/>
      </c>
      <c r="C9" s="28">
        <f>IF(計算用!$D$6="","",INDEX(振り分け!$B$3:$B$302,計算用!$D$6))</f>
        <v/>
      </c>
      <c r="D9" s="35">
        <f>IF(計算用!$D$6="","",INDEX(振り分け!$C$3:$C$302,計算用!$D$6))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IF(計算用!$D$7="","",6)</f>
        <v/>
      </c>
      <c r="B10" s="28">
        <f>IF(計算用!$D$7="","",INDEX(振り分け!$A$3:$A$302,計算用!$D$7))</f>
        <v/>
      </c>
      <c r="C10" s="28">
        <f>IF(計算用!$D$7="","",INDEX(振り分け!$B$3:$B$302,計算用!$D$7))</f>
        <v/>
      </c>
      <c r="D10" s="35">
        <f>IF(計算用!$D$7="","",INDEX(振り分け!$C$3:$C$302,計算用!$D$7))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IF(計算用!$D$8="","",7)</f>
        <v/>
      </c>
      <c r="B11" s="28">
        <f>IF(計算用!$D$8="","",INDEX(振り分け!$A$3:$A$302,計算用!$D$8))</f>
        <v/>
      </c>
      <c r="C11" s="28">
        <f>IF(計算用!$D$8="","",INDEX(振り分け!$B$3:$B$302,計算用!$D$8))</f>
        <v/>
      </c>
      <c r="D11" s="35">
        <f>IF(計算用!$D$8="","",INDEX(振り分け!$C$3:$C$302,計算用!$D$8))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IF(計算用!$D$9="","",8)</f>
        <v/>
      </c>
      <c r="B12" s="28">
        <f>IF(計算用!$D$9="","",INDEX(振り分け!$A$3:$A$302,計算用!$D$9))</f>
        <v/>
      </c>
      <c r="C12" s="28">
        <f>IF(計算用!$D$9="","",INDEX(振り分け!$B$3:$B$302,計算用!$D$9))</f>
        <v/>
      </c>
      <c r="D12" s="35">
        <f>IF(計算用!$D$9="","",INDEX(振り分け!$C$3:$C$302,計算用!$D$9))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IF(計算用!$D$10="","",9)</f>
        <v/>
      </c>
      <c r="B13" s="28">
        <f>IF(計算用!$D$10="","",INDEX(振り分け!$A$3:$A$302,計算用!$D$10))</f>
        <v/>
      </c>
      <c r="C13" s="28">
        <f>IF(計算用!$D$10="","",INDEX(振り分け!$B$3:$B$302,計算用!$D$10))</f>
        <v/>
      </c>
      <c r="D13" s="35">
        <f>IF(計算用!$D$10="","",INDEX(振り分け!$C$3:$C$302,計算用!$D$10))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IF(計算用!$D$11="","",10)</f>
        <v/>
      </c>
      <c r="B14" s="28">
        <f>IF(計算用!$D$11="","",INDEX(振り分け!$A$3:$A$302,計算用!$D$11))</f>
        <v/>
      </c>
      <c r="C14" s="28">
        <f>IF(計算用!$D$11="","",INDEX(振り分け!$B$3:$B$302,計算用!$D$11))</f>
        <v/>
      </c>
      <c r="D14" s="35">
        <f>IF(計算用!$D$11="","",INDEX(振り分け!$C$3:$C$302,計算用!$D$11))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IF(計算用!$D$12="","",11)</f>
        <v/>
      </c>
      <c r="B15" s="28">
        <f>IF(計算用!$D$12="","",INDEX(振り分け!$A$3:$A$302,計算用!$D$12))</f>
        <v/>
      </c>
      <c r="C15" s="28">
        <f>IF(計算用!$D$12="","",INDEX(振り分け!$B$3:$B$302,計算用!$D$12))</f>
        <v/>
      </c>
      <c r="D15" s="35">
        <f>IF(計算用!$D$12="","",INDEX(振り分け!$C$3:$C$302,計算用!$D$12))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IF(計算用!$D$13="","",12)</f>
        <v/>
      </c>
      <c r="B16" s="28">
        <f>IF(計算用!$D$13="","",INDEX(振り分け!$A$3:$A$302,計算用!$D$13))</f>
        <v/>
      </c>
      <c r="C16" s="28">
        <f>IF(計算用!$D$13="","",INDEX(振り分け!$B$3:$B$302,計算用!$D$13))</f>
        <v/>
      </c>
      <c r="D16" s="35">
        <f>IF(計算用!$D$13="","",INDEX(振り分け!$C$3:$C$302,計算用!$D$13))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IF(計算用!$D$14="","",13)</f>
        <v/>
      </c>
      <c r="B17" s="28">
        <f>IF(計算用!$D$14="","",INDEX(振り分け!$A$3:$A$302,計算用!$D$14))</f>
        <v/>
      </c>
      <c r="C17" s="28">
        <f>IF(計算用!$D$14="","",INDEX(振り分け!$B$3:$B$302,計算用!$D$14))</f>
        <v/>
      </c>
      <c r="D17" s="35">
        <f>IF(計算用!$D$14="","",INDEX(振り分け!$C$3:$C$302,計算用!$D$14))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IF(計算用!$D$15="","",14)</f>
        <v/>
      </c>
      <c r="B18" s="28">
        <f>IF(計算用!$D$15="","",INDEX(振り分け!$A$3:$A$302,計算用!$D$15))</f>
        <v/>
      </c>
      <c r="C18" s="28">
        <f>IF(計算用!$D$15="","",INDEX(振り分け!$B$3:$B$302,計算用!$D$15))</f>
        <v/>
      </c>
      <c r="D18" s="35">
        <f>IF(計算用!$D$15="","",INDEX(振り分け!$C$3:$C$302,計算用!$D$15))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IF(計算用!$D$16="","",15)</f>
        <v/>
      </c>
      <c r="B19" s="28">
        <f>IF(計算用!$D$16="","",INDEX(振り分け!$A$3:$A$302,計算用!$D$16))</f>
        <v/>
      </c>
      <c r="C19" s="28">
        <f>IF(計算用!$D$16="","",INDEX(振り分け!$B$3:$B$302,計算用!$D$16))</f>
        <v/>
      </c>
      <c r="D19" s="35">
        <f>IF(計算用!$D$16="","",INDEX(振り分け!$C$3:$C$302,計算用!$D$16))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IF(計算用!$D$17="","",16)</f>
        <v/>
      </c>
      <c r="B20" s="28">
        <f>IF(計算用!$D$17="","",INDEX(振り分け!$A$3:$A$302,計算用!$D$17))</f>
        <v/>
      </c>
      <c r="C20" s="28">
        <f>IF(計算用!$D$17="","",INDEX(振り分け!$B$3:$B$302,計算用!$D$17))</f>
        <v/>
      </c>
      <c r="D20" s="35">
        <f>IF(計算用!$D$17="","",INDEX(振り分け!$C$3:$C$302,計算用!$D$17))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IF(計算用!$D$18="","",17)</f>
        <v/>
      </c>
      <c r="B21" s="28">
        <f>IF(計算用!$D$18="","",INDEX(振り分け!$A$3:$A$302,計算用!$D$18))</f>
        <v/>
      </c>
      <c r="C21" s="28">
        <f>IF(計算用!$D$18="","",INDEX(振り分け!$B$3:$B$302,計算用!$D$18))</f>
        <v/>
      </c>
      <c r="D21" s="35">
        <f>IF(計算用!$D$18="","",INDEX(振り分け!$C$3:$C$302,計算用!$D$18))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IF(計算用!$D$19="","",18)</f>
        <v/>
      </c>
      <c r="B22" s="28">
        <f>IF(計算用!$D$19="","",INDEX(振り分け!$A$3:$A$302,計算用!$D$19))</f>
        <v/>
      </c>
      <c r="C22" s="28">
        <f>IF(計算用!$D$19="","",INDEX(振り分け!$B$3:$B$302,計算用!$D$19))</f>
        <v/>
      </c>
      <c r="D22" s="35">
        <f>IF(計算用!$D$19="","",INDEX(振り分け!$C$3:$C$302,計算用!$D$19))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IF(計算用!$D$20="","",19)</f>
        <v/>
      </c>
      <c r="B23" s="28">
        <f>IF(計算用!$D$20="","",INDEX(振り分け!$A$3:$A$302,計算用!$D$20))</f>
        <v/>
      </c>
      <c r="C23" s="28">
        <f>IF(計算用!$D$20="","",INDEX(振り分け!$B$3:$B$302,計算用!$D$20))</f>
        <v/>
      </c>
      <c r="D23" s="35">
        <f>IF(計算用!$D$20="","",INDEX(振り分け!$C$3:$C$302,計算用!$D$20))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IF(計算用!$D$21="","",20)</f>
        <v/>
      </c>
      <c r="B24" s="28">
        <f>IF(計算用!$D$21="","",INDEX(振り分け!$A$3:$A$302,計算用!$D$21))</f>
        <v/>
      </c>
      <c r="C24" s="28">
        <f>IF(計算用!$D$21="","",INDEX(振り分け!$B$3:$B$302,計算用!$D$21))</f>
        <v/>
      </c>
      <c r="D24" s="35">
        <f>IF(計算用!$D$21="","",INDEX(振り分け!$C$3:$C$302,計算用!$D$21))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IF(計算用!$D$22="","",21)</f>
        <v/>
      </c>
      <c r="B25" s="28">
        <f>IF(計算用!$D$22="","",INDEX(振り分け!$A$3:$A$302,計算用!$D$22))</f>
        <v/>
      </c>
      <c r="C25" s="28">
        <f>IF(計算用!$D$22="","",INDEX(振り分け!$B$3:$B$302,計算用!$D$22))</f>
        <v/>
      </c>
      <c r="D25" s="35">
        <f>IF(計算用!$D$22="","",INDEX(振り分け!$C$3:$C$302,計算用!$D$22))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IF(計算用!$D$23="","",22)</f>
        <v/>
      </c>
      <c r="B26" s="28">
        <f>IF(計算用!$D$23="","",INDEX(振り分け!$A$3:$A$302,計算用!$D$23))</f>
        <v/>
      </c>
      <c r="C26" s="28">
        <f>IF(計算用!$D$23="","",INDEX(振り分け!$B$3:$B$302,計算用!$D$23))</f>
        <v/>
      </c>
      <c r="D26" s="35">
        <f>IF(計算用!$D$23="","",INDEX(振り分け!$C$3:$C$302,計算用!$D$23))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IF(計算用!$D$24="","",23)</f>
        <v/>
      </c>
      <c r="B27" s="28">
        <f>IF(計算用!$D$24="","",INDEX(振り分け!$A$3:$A$302,計算用!$D$24))</f>
        <v/>
      </c>
      <c r="C27" s="28">
        <f>IF(計算用!$D$24="","",INDEX(振り分け!$B$3:$B$302,計算用!$D$24))</f>
        <v/>
      </c>
      <c r="D27" s="35">
        <f>IF(計算用!$D$24="","",INDEX(振り分け!$C$3:$C$302,計算用!$D$24))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IF(計算用!$D$25="","",24)</f>
        <v/>
      </c>
      <c r="B28" s="28">
        <f>IF(計算用!$D$25="","",INDEX(振り分け!$A$3:$A$302,計算用!$D$25))</f>
        <v/>
      </c>
      <c r="C28" s="28">
        <f>IF(計算用!$D$25="","",INDEX(振り分け!$B$3:$B$302,計算用!$D$25))</f>
        <v/>
      </c>
      <c r="D28" s="35">
        <f>IF(計算用!$D$25="","",INDEX(振り分け!$C$3:$C$302,計算用!$D$25))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IF(計算用!$D$26="","",25)</f>
        <v/>
      </c>
      <c r="B29" s="28">
        <f>IF(計算用!$D$26="","",INDEX(振り分け!$A$3:$A$302,計算用!$D$26))</f>
        <v/>
      </c>
      <c r="C29" s="28">
        <f>IF(計算用!$D$26="","",INDEX(振り分け!$B$3:$B$302,計算用!$D$26))</f>
        <v/>
      </c>
      <c r="D29" s="35">
        <f>IF(計算用!$D$26="","",INDEX(振り分け!$C$3:$C$302,計算用!$D$26))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IF(計算用!$D$27="","",26)</f>
        <v/>
      </c>
      <c r="B30" s="28">
        <f>IF(計算用!$D$27="","",INDEX(振り分け!$A$3:$A$302,計算用!$D$27))</f>
        <v/>
      </c>
      <c r="C30" s="28">
        <f>IF(計算用!$D$27="","",INDEX(振り分け!$B$3:$B$302,計算用!$D$27))</f>
        <v/>
      </c>
      <c r="D30" s="35">
        <f>IF(計算用!$D$27="","",INDEX(振り分け!$C$3:$C$302,計算用!$D$27))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IF(計算用!$D$28="","",27)</f>
        <v/>
      </c>
      <c r="B31" s="28">
        <f>IF(計算用!$D$28="","",INDEX(振り分け!$A$3:$A$302,計算用!$D$28))</f>
        <v/>
      </c>
      <c r="C31" s="28">
        <f>IF(計算用!$D$28="","",INDEX(振り分け!$B$3:$B$302,計算用!$D$28))</f>
        <v/>
      </c>
      <c r="D31" s="35">
        <f>IF(計算用!$D$28="","",INDEX(振り分け!$C$3:$C$302,計算用!$D$28))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IF(計算用!$D$29="","",28)</f>
        <v/>
      </c>
      <c r="B32" s="28">
        <f>IF(計算用!$D$29="","",INDEX(振り分け!$A$3:$A$302,計算用!$D$29))</f>
        <v/>
      </c>
      <c r="C32" s="28">
        <f>IF(計算用!$D$29="","",INDEX(振り分け!$B$3:$B$302,計算用!$D$29))</f>
        <v/>
      </c>
      <c r="D32" s="35">
        <f>IF(計算用!$D$29="","",INDEX(振り分け!$C$3:$C$302,計算用!$D$29))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IF(計算用!$D$30="","",29)</f>
        <v/>
      </c>
      <c r="B33" s="28">
        <f>IF(計算用!$D$30="","",INDEX(振り分け!$A$3:$A$302,計算用!$D$30))</f>
        <v/>
      </c>
      <c r="C33" s="28">
        <f>IF(計算用!$D$30="","",INDEX(振り分け!$B$3:$B$302,計算用!$D$30))</f>
        <v/>
      </c>
      <c r="D33" s="35">
        <f>IF(計算用!$D$30="","",INDEX(振り分け!$C$3:$C$302,計算用!$D$30))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IF(計算用!$D$31="","",30)</f>
        <v/>
      </c>
      <c r="B34" s="28">
        <f>IF(計算用!$D$31="","",INDEX(振り分け!$A$3:$A$302,計算用!$D$31))</f>
        <v/>
      </c>
      <c r="C34" s="28">
        <f>IF(計算用!$D$31="","",INDEX(振り分け!$B$3:$B$302,計算用!$D$31))</f>
        <v/>
      </c>
      <c r="D34" s="35">
        <f>IF(計算用!$D$31="","",INDEX(振り分け!$C$3:$C$302,計算用!$D$31))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IF(計算用!$D$32="","",31)</f>
        <v/>
      </c>
      <c r="B35" s="28">
        <f>IF(計算用!$D$32="","",INDEX(振り分け!$A$3:$A$302,計算用!$D$32))</f>
        <v/>
      </c>
      <c r="C35" s="28">
        <f>IF(計算用!$D$32="","",INDEX(振り分け!$B$3:$B$302,計算用!$D$32))</f>
        <v/>
      </c>
      <c r="D35" s="35">
        <f>IF(計算用!$D$32="","",INDEX(振り分け!$C$3:$C$302,計算用!$D$32))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IF(計算用!$D$33="","",32)</f>
        <v/>
      </c>
      <c r="B36" s="28">
        <f>IF(計算用!$D$33="","",INDEX(振り分け!$A$3:$A$302,計算用!$D$33))</f>
        <v/>
      </c>
      <c r="C36" s="28">
        <f>IF(計算用!$D$33="","",INDEX(振り分け!$B$3:$B$302,計算用!$D$33))</f>
        <v/>
      </c>
      <c r="D36" s="35">
        <f>IF(計算用!$D$33="","",INDEX(振り分け!$C$3:$C$302,計算用!$D$33))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IF(計算用!$D$34="","",33)</f>
        <v/>
      </c>
      <c r="B37" s="28">
        <f>IF(計算用!$D$34="","",INDEX(振り分け!$A$3:$A$302,計算用!$D$34))</f>
        <v/>
      </c>
      <c r="C37" s="28">
        <f>IF(計算用!$D$34="","",INDEX(振り分け!$B$3:$B$302,計算用!$D$34))</f>
        <v/>
      </c>
      <c r="D37" s="35">
        <f>IF(計算用!$D$34="","",INDEX(振り分け!$C$3:$C$302,計算用!$D$34))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IF(計算用!$D$35="","",34)</f>
        <v/>
      </c>
      <c r="B38" s="28">
        <f>IF(計算用!$D$35="","",INDEX(振り分け!$A$3:$A$302,計算用!$D$35))</f>
        <v/>
      </c>
      <c r="C38" s="28">
        <f>IF(計算用!$D$35="","",INDEX(振り分け!$B$3:$B$302,計算用!$D$35))</f>
        <v/>
      </c>
      <c r="D38" s="35">
        <f>IF(計算用!$D$35="","",INDEX(振り分け!$C$3:$C$302,計算用!$D$35))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IF(計算用!$D$36="","",35)</f>
        <v/>
      </c>
      <c r="B39" s="28">
        <f>IF(計算用!$D$36="","",INDEX(振り分け!$A$3:$A$302,計算用!$D$36))</f>
        <v/>
      </c>
      <c r="C39" s="28">
        <f>IF(計算用!$D$36="","",INDEX(振り分け!$B$3:$B$302,計算用!$D$36))</f>
        <v/>
      </c>
      <c r="D39" s="35">
        <f>IF(計算用!$D$36="","",INDEX(振り分け!$C$3:$C$302,計算用!$D$36))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IF(計算用!$D$37="","",36)</f>
        <v/>
      </c>
      <c r="B40" s="28">
        <f>IF(計算用!$D$37="","",INDEX(振り分け!$A$3:$A$302,計算用!$D$37))</f>
        <v/>
      </c>
      <c r="C40" s="28">
        <f>IF(計算用!$D$37="","",INDEX(振り分け!$B$3:$B$302,計算用!$D$37))</f>
        <v/>
      </c>
      <c r="D40" s="35">
        <f>IF(計算用!$D$37="","",INDEX(振り分け!$C$3:$C$302,計算用!$D$37))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IF(計算用!$D$38="","",37)</f>
        <v/>
      </c>
      <c r="B41" s="28">
        <f>IF(計算用!$D$38="","",INDEX(振り分け!$A$3:$A$302,計算用!$D$38))</f>
        <v/>
      </c>
      <c r="C41" s="28">
        <f>IF(計算用!$D$38="","",INDEX(振り分け!$B$3:$B$302,計算用!$D$38))</f>
        <v/>
      </c>
      <c r="D41" s="35">
        <f>IF(計算用!$D$38="","",INDEX(振り分け!$C$3:$C$302,計算用!$D$38))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IF(計算用!$D$39="","",38)</f>
        <v/>
      </c>
      <c r="B42" s="28">
        <f>IF(計算用!$D$39="","",INDEX(振り分け!$A$3:$A$302,計算用!$D$39))</f>
        <v/>
      </c>
      <c r="C42" s="28">
        <f>IF(計算用!$D$39="","",INDEX(振り分け!$B$3:$B$302,計算用!$D$39))</f>
        <v/>
      </c>
      <c r="D42" s="35">
        <f>IF(計算用!$D$39="","",INDEX(振り分け!$C$3:$C$302,計算用!$D$39))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IF(計算用!$D$40="","",39)</f>
        <v/>
      </c>
      <c r="B43" s="28">
        <f>IF(計算用!$D$40="","",INDEX(振り分け!$A$3:$A$302,計算用!$D$40))</f>
        <v/>
      </c>
      <c r="C43" s="28">
        <f>IF(計算用!$D$40="","",INDEX(振り分け!$B$3:$B$302,計算用!$D$40))</f>
        <v/>
      </c>
      <c r="D43" s="35">
        <f>IF(計算用!$D$40="","",INDEX(振り分け!$C$3:$C$302,計算用!$D$40))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IF(計算用!$D$41="","",40)</f>
        <v/>
      </c>
      <c r="B44" s="28">
        <f>IF(計算用!$D$41="","",INDEX(振り分け!$A$3:$A$302,計算用!$D$41))</f>
        <v/>
      </c>
      <c r="C44" s="28">
        <f>IF(計算用!$D$41="","",INDEX(振り分け!$B$3:$B$302,計算用!$D$41))</f>
        <v/>
      </c>
      <c r="D44" s="35">
        <f>IF(計算用!$D$41="","",INDEX(振り分け!$C$3:$C$302,計算用!$D$41))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IF(設定!$G$12="","",設定!$B$3&amp;"　"&amp;設定!$G$12&amp;設定!$B$4&amp;"名簿")</f>
        <v/>
      </c>
    </row>
    <row r="2">
      <c r="A2" s="23">
        <f>IF(設定!$G$12="","","担当："&amp;設定!$J$12&amp;"　　活動場所："&amp;設定!$K$12&amp;"　　人数："&amp;COUNTIF(振り分け!$I$3:$I$302,設定!$G$12)&amp;"名")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IF(計算用!$E$2="","",1)</f>
        <v/>
      </c>
      <c r="B5" s="28">
        <f>IF(計算用!$E$2="","",INDEX(振り分け!$A$3:$A$302,計算用!$E$2))</f>
        <v/>
      </c>
      <c r="C5" s="28">
        <f>IF(計算用!$E$2="","",INDEX(振り分け!$B$3:$B$302,計算用!$E$2))</f>
        <v/>
      </c>
      <c r="D5" s="35">
        <f>IF(計算用!$E$2="","",INDEX(振り分け!$C$3:$C$302,計算用!$E$2))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IF(計算用!$E$3="","",2)</f>
        <v/>
      </c>
      <c r="B6" s="28">
        <f>IF(計算用!$E$3="","",INDEX(振り分け!$A$3:$A$302,計算用!$E$3))</f>
        <v/>
      </c>
      <c r="C6" s="28">
        <f>IF(計算用!$E$3="","",INDEX(振り分け!$B$3:$B$302,計算用!$E$3))</f>
        <v/>
      </c>
      <c r="D6" s="35">
        <f>IF(計算用!$E$3="","",INDEX(振り分け!$C$3:$C$302,計算用!$E$3))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IF(計算用!$E$4="","",3)</f>
        <v/>
      </c>
      <c r="B7" s="28">
        <f>IF(計算用!$E$4="","",INDEX(振り分け!$A$3:$A$302,計算用!$E$4))</f>
        <v/>
      </c>
      <c r="C7" s="28">
        <f>IF(計算用!$E$4="","",INDEX(振り分け!$B$3:$B$302,計算用!$E$4))</f>
        <v/>
      </c>
      <c r="D7" s="35">
        <f>IF(計算用!$E$4="","",INDEX(振り分け!$C$3:$C$302,計算用!$E$4))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IF(計算用!$E$5="","",4)</f>
        <v/>
      </c>
      <c r="B8" s="28">
        <f>IF(計算用!$E$5="","",INDEX(振り分け!$A$3:$A$302,計算用!$E$5))</f>
        <v/>
      </c>
      <c r="C8" s="28">
        <f>IF(計算用!$E$5="","",INDEX(振り分け!$B$3:$B$302,計算用!$E$5))</f>
        <v/>
      </c>
      <c r="D8" s="35">
        <f>IF(計算用!$E$5="","",INDEX(振り分け!$C$3:$C$302,計算用!$E$5))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IF(計算用!$E$6="","",5)</f>
        <v/>
      </c>
      <c r="B9" s="28">
        <f>IF(計算用!$E$6="","",INDEX(振り分け!$A$3:$A$302,計算用!$E$6))</f>
        <v/>
      </c>
      <c r="C9" s="28">
        <f>IF(計算用!$E$6="","",INDEX(振り分け!$B$3:$B$302,計算用!$E$6))</f>
        <v/>
      </c>
      <c r="D9" s="35">
        <f>IF(計算用!$E$6="","",INDEX(振り分け!$C$3:$C$302,計算用!$E$6))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IF(計算用!$E$7="","",6)</f>
        <v/>
      </c>
      <c r="B10" s="28">
        <f>IF(計算用!$E$7="","",INDEX(振り分け!$A$3:$A$302,計算用!$E$7))</f>
        <v/>
      </c>
      <c r="C10" s="28">
        <f>IF(計算用!$E$7="","",INDEX(振り分け!$B$3:$B$302,計算用!$E$7))</f>
        <v/>
      </c>
      <c r="D10" s="35">
        <f>IF(計算用!$E$7="","",INDEX(振り分け!$C$3:$C$302,計算用!$E$7))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IF(計算用!$E$8="","",7)</f>
        <v/>
      </c>
      <c r="B11" s="28">
        <f>IF(計算用!$E$8="","",INDEX(振り分け!$A$3:$A$302,計算用!$E$8))</f>
        <v/>
      </c>
      <c r="C11" s="28">
        <f>IF(計算用!$E$8="","",INDEX(振り分け!$B$3:$B$302,計算用!$E$8))</f>
        <v/>
      </c>
      <c r="D11" s="35">
        <f>IF(計算用!$E$8="","",INDEX(振り分け!$C$3:$C$302,計算用!$E$8))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IF(計算用!$E$9="","",8)</f>
        <v/>
      </c>
      <c r="B12" s="28">
        <f>IF(計算用!$E$9="","",INDEX(振り分け!$A$3:$A$302,計算用!$E$9))</f>
        <v/>
      </c>
      <c r="C12" s="28">
        <f>IF(計算用!$E$9="","",INDEX(振り分け!$B$3:$B$302,計算用!$E$9))</f>
        <v/>
      </c>
      <c r="D12" s="35">
        <f>IF(計算用!$E$9="","",INDEX(振り分け!$C$3:$C$302,計算用!$E$9))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IF(計算用!$E$10="","",9)</f>
        <v/>
      </c>
      <c r="B13" s="28">
        <f>IF(計算用!$E$10="","",INDEX(振り分け!$A$3:$A$302,計算用!$E$10))</f>
        <v/>
      </c>
      <c r="C13" s="28">
        <f>IF(計算用!$E$10="","",INDEX(振り分け!$B$3:$B$302,計算用!$E$10))</f>
        <v/>
      </c>
      <c r="D13" s="35">
        <f>IF(計算用!$E$10="","",INDEX(振り分け!$C$3:$C$302,計算用!$E$10))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IF(計算用!$E$11="","",10)</f>
        <v/>
      </c>
      <c r="B14" s="28">
        <f>IF(計算用!$E$11="","",INDEX(振り分け!$A$3:$A$302,計算用!$E$11))</f>
        <v/>
      </c>
      <c r="C14" s="28">
        <f>IF(計算用!$E$11="","",INDEX(振り分け!$B$3:$B$302,計算用!$E$11))</f>
        <v/>
      </c>
      <c r="D14" s="35">
        <f>IF(計算用!$E$11="","",INDEX(振り分け!$C$3:$C$302,計算用!$E$11))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IF(計算用!$E$12="","",11)</f>
        <v/>
      </c>
      <c r="B15" s="28">
        <f>IF(計算用!$E$12="","",INDEX(振り分け!$A$3:$A$302,計算用!$E$12))</f>
        <v/>
      </c>
      <c r="C15" s="28">
        <f>IF(計算用!$E$12="","",INDEX(振り分け!$B$3:$B$302,計算用!$E$12))</f>
        <v/>
      </c>
      <c r="D15" s="35">
        <f>IF(計算用!$E$12="","",INDEX(振り分け!$C$3:$C$302,計算用!$E$12))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IF(計算用!$E$13="","",12)</f>
        <v/>
      </c>
      <c r="B16" s="28">
        <f>IF(計算用!$E$13="","",INDEX(振り分け!$A$3:$A$302,計算用!$E$13))</f>
        <v/>
      </c>
      <c r="C16" s="28">
        <f>IF(計算用!$E$13="","",INDEX(振り分け!$B$3:$B$302,計算用!$E$13))</f>
        <v/>
      </c>
      <c r="D16" s="35">
        <f>IF(計算用!$E$13="","",INDEX(振り分け!$C$3:$C$302,計算用!$E$13))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IF(計算用!$E$14="","",13)</f>
        <v/>
      </c>
      <c r="B17" s="28">
        <f>IF(計算用!$E$14="","",INDEX(振り分け!$A$3:$A$302,計算用!$E$14))</f>
        <v/>
      </c>
      <c r="C17" s="28">
        <f>IF(計算用!$E$14="","",INDEX(振り分け!$B$3:$B$302,計算用!$E$14))</f>
        <v/>
      </c>
      <c r="D17" s="35">
        <f>IF(計算用!$E$14="","",INDEX(振り分け!$C$3:$C$302,計算用!$E$14))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IF(計算用!$E$15="","",14)</f>
        <v/>
      </c>
      <c r="B18" s="28">
        <f>IF(計算用!$E$15="","",INDEX(振り分け!$A$3:$A$302,計算用!$E$15))</f>
        <v/>
      </c>
      <c r="C18" s="28">
        <f>IF(計算用!$E$15="","",INDEX(振り分け!$B$3:$B$302,計算用!$E$15))</f>
        <v/>
      </c>
      <c r="D18" s="35">
        <f>IF(計算用!$E$15="","",INDEX(振り分け!$C$3:$C$302,計算用!$E$15))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IF(計算用!$E$16="","",15)</f>
        <v/>
      </c>
      <c r="B19" s="28">
        <f>IF(計算用!$E$16="","",INDEX(振り分け!$A$3:$A$302,計算用!$E$16))</f>
        <v/>
      </c>
      <c r="C19" s="28">
        <f>IF(計算用!$E$16="","",INDEX(振り分け!$B$3:$B$302,計算用!$E$16))</f>
        <v/>
      </c>
      <c r="D19" s="35">
        <f>IF(計算用!$E$16="","",INDEX(振り分け!$C$3:$C$302,計算用!$E$16))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IF(計算用!$E$17="","",16)</f>
        <v/>
      </c>
      <c r="B20" s="28">
        <f>IF(計算用!$E$17="","",INDEX(振り分け!$A$3:$A$302,計算用!$E$17))</f>
        <v/>
      </c>
      <c r="C20" s="28">
        <f>IF(計算用!$E$17="","",INDEX(振り分け!$B$3:$B$302,計算用!$E$17))</f>
        <v/>
      </c>
      <c r="D20" s="35">
        <f>IF(計算用!$E$17="","",INDEX(振り分け!$C$3:$C$302,計算用!$E$17))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IF(計算用!$E$18="","",17)</f>
        <v/>
      </c>
      <c r="B21" s="28">
        <f>IF(計算用!$E$18="","",INDEX(振り分け!$A$3:$A$302,計算用!$E$18))</f>
        <v/>
      </c>
      <c r="C21" s="28">
        <f>IF(計算用!$E$18="","",INDEX(振り分け!$B$3:$B$302,計算用!$E$18))</f>
        <v/>
      </c>
      <c r="D21" s="35">
        <f>IF(計算用!$E$18="","",INDEX(振り分け!$C$3:$C$302,計算用!$E$18))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IF(計算用!$E$19="","",18)</f>
        <v/>
      </c>
      <c r="B22" s="28">
        <f>IF(計算用!$E$19="","",INDEX(振り分け!$A$3:$A$302,計算用!$E$19))</f>
        <v/>
      </c>
      <c r="C22" s="28">
        <f>IF(計算用!$E$19="","",INDEX(振り分け!$B$3:$B$302,計算用!$E$19))</f>
        <v/>
      </c>
      <c r="D22" s="35">
        <f>IF(計算用!$E$19="","",INDEX(振り分け!$C$3:$C$302,計算用!$E$19))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IF(計算用!$E$20="","",19)</f>
        <v/>
      </c>
      <c r="B23" s="28">
        <f>IF(計算用!$E$20="","",INDEX(振り分け!$A$3:$A$302,計算用!$E$20))</f>
        <v/>
      </c>
      <c r="C23" s="28">
        <f>IF(計算用!$E$20="","",INDEX(振り分け!$B$3:$B$302,計算用!$E$20))</f>
        <v/>
      </c>
      <c r="D23" s="35">
        <f>IF(計算用!$E$20="","",INDEX(振り分け!$C$3:$C$302,計算用!$E$20))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IF(計算用!$E$21="","",20)</f>
        <v/>
      </c>
      <c r="B24" s="28">
        <f>IF(計算用!$E$21="","",INDEX(振り分け!$A$3:$A$302,計算用!$E$21))</f>
        <v/>
      </c>
      <c r="C24" s="28">
        <f>IF(計算用!$E$21="","",INDEX(振り分け!$B$3:$B$302,計算用!$E$21))</f>
        <v/>
      </c>
      <c r="D24" s="35">
        <f>IF(計算用!$E$21="","",INDEX(振り分け!$C$3:$C$302,計算用!$E$21))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IF(計算用!$E$22="","",21)</f>
        <v/>
      </c>
      <c r="B25" s="28">
        <f>IF(計算用!$E$22="","",INDEX(振り分け!$A$3:$A$302,計算用!$E$22))</f>
        <v/>
      </c>
      <c r="C25" s="28">
        <f>IF(計算用!$E$22="","",INDEX(振り分け!$B$3:$B$302,計算用!$E$22))</f>
        <v/>
      </c>
      <c r="D25" s="35">
        <f>IF(計算用!$E$22="","",INDEX(振り分け!$C$3:$C$302,計算用!$E$22))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IF(計算用!$E$23="","",22)</f>
        <v/>
      </c>
      <c r="B26" s="28">
        <f>IF(計算用!$E$23="","",INDEX(振り分け!$A$3:$A$302,計算用!$E$23))</f>
        <v/>
      </c>
      <c r="C26" s="28">
        <f>IF(計算用!$E$23="","",INDEX(振り分け!$B$3:$B$302,計算用!$E$23))</f>
        <v/>
      </c>
      <c r="D26" s="35">
        <f>IF(計算用!$E$23="","",INDEX(振り分け!$C$3:$C$302,計算用!$E$23))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IF(計算用!$E$24="","",23)</f>
        <v/>
      </c>
      <c r="B27" s="28">
        <f>IF(計算用!$E$24="","",INDEX(振り分け!$A$3:$A$302,計算用!$E$24))</f>
        <v/>
      </c>
      <c r="C27" s="28">
        <f>IF(計算用!$E$24="","",INDEX(振り分け!$B$3:$B$302,計算用!$E$24))</f>
        <v/>
      </c>
      <c r="D27" s="35">
        <f>IF(計算用!$E$24="","",INDEX(振り分け!$C$3:$C$302,計算用!$E$24))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IF(計算用!$E$25="","",24)</f>
        <v/>
      </c>
      <c r="B28" s="28">
        <f>IF(計算用!$E$25="","",INDEX(振り分け!$A$3:$A$302,計算用!$E$25))</f>
        <v/>
      </c>
      <c r="C28" s="28">
        <f>IF(計算用!$E$25="","",INDEX(振り分け!$B$3:$B$302,計算用!$E$25))</f>
        <v/>
      </c>
      <c r="D28" s="35">
        <f>IF(計算用!$E$25="","",INDEX(振り分け!$C$3:$C$302,計算用!$E$25))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IF(計算用!$E$26="","",25)</f>
        <v/>
      </c>
      <c r="B29" s="28">
        <f>IF(計算用!$E$26="","",INDEX(振り分け!$A$3:$A$302,計算用!$E$26))</f>
        <v/>
      </c>
      <c r="C29" s="28">
        <f>IF(計算用!$E$26="","",INDEX(振り分け!$B$3:$B$302,計算用!$E$26))</f>
        <v/>
      </c>
      <c r="D29" s="35">
        <f>IF(計算用!$E$26="","",INDEX(振り分け!$C$3:$C$302,計算用!$E$26))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IF(計算用!$E$27="","",26)</f>
        <v/>
      </c>
      <c r="B30" s="28">
        <f>IF(計算用!$E$27="","",INDEX(振り分け!$A$3:$A$302,計算用!$E$27))</f>
        <v/>
      </c>
      <c r="C30" s="28">
        <f>IF(計算用!$E$27="","",INDEX(振り分け!$B$3:$B$302,計算用!$E$27))</f>
        <v/>
      </c>
      <c r="D30" s="35">
        <f>IF(計算用!$E$27="","",INDEX(振り分け!$C$3:$C$302,計算用!$E$27))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IF(計算用!$E$28="","",27)</f>
        <v/>
      </c>
      <c r="B31" s="28">
        <f>IF(計算用!$E$28="","",INDEX(振り分け!$A$3:$A$302,計算用!$E$28))</f>
        <v/>
      </c>
      <c r="C31" s="28">
        <f>IF(計算用!$E$28="","",INDEX(振り分け!$B$3:$B$302,計算用!$E$28))</f>
        <v/>
      </c>
      <c r="D31" s="35">
        <f>IF(計算用!$E$28="","",INDEX(振り分け!$C$3:$C$302,計算用!$E$28))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IF(計算用!$E$29="","",28)</f>
        <v/>
      </c>
      <c r="B32" s="28">
        <f>IF(計算用!$E$29="","",INDEX(振り分け!$A$3:$A$302,計算用!$E$29))</f>
        <v/>
      </c>
      <c r="C32" s="28">
        <f>IF(計算用!$E$29="","",INDEX(振り分け!$B$3:$B$302,計算用!$E$29))</f>
        <v/>
      </c>
      <c r="D32" s="35">
        <f>IF(計算用!$E$29="","",INDEX(振り分け!$C$3:$C$302,計算用!$E$29))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IF(計算用!$E$30="","",29)</f>
        <v/>
      </c>
      <c r="B33" s="28">
        <f>IF(計算用!$E$30="","",INDEX(振り分け!$A$3:$A$302,計算用!$E$30))</f>
        <v/>
      </c>
      <c r="C33" s="28">
        <f>IF(計算用!$E$30="","",INDEX(振り分け!$B$3:$B$302,計算用!$E$30))</f>
        <v/>
      </c>
      <c r="D33" s="35">
        <f>IF(計算用!$E$30="","",INDEX(振り分け!$C$3:$C$302,計算用!$E$30))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IF(計算用!$E$31="","",30)</f>
        <v/>
      </c>
      <c r="B34" s="28">
        <f>IF(計算用!$E$31="","",INDEX(振り分け!$A$3:$A$302,計算用!$E$31))</f>
        <v/>
      </c>
      <c r="C34" s="28">
        <f>IF(計算用!$E$31="","",INDEX(振り分け!$B$3:$B$302,計算用!$E$31))</f>
        <v/>
      </c>
      <c r="D34" s="35">
        <f>IF(計算用!$E$31="","",INDEX(振り分け!$C$3:$C$302,計算用!$E$31))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IF(計算用!$E$32="","",31)</f>
        <v/>
      </c>
      <c r="B35" s="28">
        <f>IF(計算用!$E$32="","",INDEX(振り分け!$A$3:$A$302,計算用!$E$32))</f>
        <v/>
      </c>
      <c r="C35" s="28">
        <f>IF(計算用!$E$32="","",INDEX(振り分け!$B$3:$B$302,計算用!$E$32))</f>
        <v/>
      </c>
      <c r="D35" s="35">
        <f>IF(計算用!$E$32="","",INDEX(振り分け!$C$3:$C$302,計算用!$E$32))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IF(計算用!$E$33="","",32)</f>
        <v/>
      </c>
      <c r="B36" s="28">
        <f>IF(計算用!$E$33="","",INDEX(振り分け!$A$3:$A$302,計算用!$E$33))</f>
        <v/>
      </c>
      <c r="C36" s="28">
        <f>IF(計算用!$E$33="","",INDEX(振り分け!$B$3:$B$302,計算用!$E$33))</f>
        <v/>
      </c>
      <c r="D36" s="35">
        <f>IF(計算用!$E$33="","",INDEX(振り分け!$C$3:$C$302,計算用!$E$33))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IF(計算用!$E$34="","",33)</f>
        <v/>
      </c>
      <c r="B37" s="28">
        <f>IF(計算用!$E$34="","",INDEX(振り分け!$A$3:$A$302,計算用!$E$34))</f>
        <v/>
      </c>
      <c r="C37" s="28">
        <f>IF(計算用!$E$34="","",INDEX(振り分け!$B$3:$B$302,計算用!$E$34))</f>
        <v/>
      </c>
      <c r="D37" s="35">
        <f>IF(計算用!$E$34="","",INDEX(振り分け!$C$3:$C$302,計算用!$E$34))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IF(計算用!$E$35="","",34)</f>
        <v/>
      </c>
      <c r="B38" s="28">
        <f>IF(計算用!$E$35="","",INDEX(振り分け!$A$3:$A$302,計算用!$E$35))</f>
        <v/>
      </c>
      <c r="C38" s="28">
        <f>IF(計算用!$E$35="","",INDEX(振り分け!$B$3:$B$302,計算用!$E$35))</f>
        <v/>
      </c>
      <c r="D38" s="35">
        <f>IF(計算用!$E$35="","",INDEX(振り分け!$C$3:$C$302,計算用!$E$35))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IF(計算用!$E$36="","",35)</f>
        <v/>
      </c>
      <c r="B39" s="28">
        <f>IF(計算用!$E$36="","",INDEX(振り分け!$A$3:$A$302,計算用!$E$36))</f>
        <v/>
      </c>
      <c r="C39" s="28">
        <f>IF(計算用!$E$36="","",INDEX(振り分け!$B$3:$B$302,計算用!$E$36))</f>
        <v/>
      </c>
      <c r="D39" s="35">
        <f>IF(計算用!$E$36="","",INDEX(振り分け!$C$3:$C$302,計算用!$E$36))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IF(計算用!$E$37="","",36)</f>
        <v/>
      </c>
      <c r="B40" s="28">
        <f>IF(計算用!$E$37="","",INDEX(振り分け!$A$3:$A$302,計算用!$E$37))</f>
        <v/>
      </c>
      <c r="C40" s="28">
        <f>IF(計算用!$E$37="","",INDEX(振り分け!$B$3:$B$302,計算用!$E$37))</f>
        <v/>
      </c>
      <c r="D40" s="35">
        <f>IF(計算用!$E$37="","",INDEX(振り分け!$C$3:$C$302,計算用!$E$37))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IF(計算用!$E$38="","",37)</f>
        <v/>
      </c>
      <c r="B41" s="28">
        <f>IF(計算用!$E$38="","",INDEX(振り分け!$A$3:$A$302,計算用!$E$38))</f>
        <v/>
      </c>
      <c r="C41" s="28">
        <f>IF(計算用!$E$38="","",INDEX(振り分け!$B$3:$B$302,計算用!$E$38))</f>
        <v/>
      </c>
      <c r="D41" s="35">
        <f>IF(計算用!$E$38="","",INDEX(振り分け!$C$3:$C$302,計算用!$E$38))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IF(計算用!$E$39="","",38)</f>
        <v/>
      </c>
      <c r="B42" s="28">
        <f>IF(計算用!$E$39="","",INDEX(振り分け!$A$3:$A$302,計算用!$E$39))</f>
        <v/>
      </c>
      <c r="C42" s="28">
        <f>IF(計算用!$E$39="","",INDEX(振り分け!$B$3:$B$302,計算用!$E$39))</f>
        <v/>
      </c>
      <c r="D42" s="35">
        <f>IF(計算用!$E$39="","",INDEX(振り分け!$C$3:$C$302,計算用!$E$39))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IF(計算用!$E$40="","",39)</f>
        <v/>
      </c>
      <c r="B43" s="28">
        <f>IF(計算用!$E$40="","",INDEX(振り分け!$A$3:$A$302,計算用!$E$40))</f>
        <v/>
      </c>
      <c r="C43" s="28">
        <f>IF(計算用!$E$40="","",INDEX(振り分け!$B$3:$B$302,計算用!$E$40))</f>
        <v/>
      </c>
      <c r="D43" s="35">
        <f>IF(計算用!$E$40="","",INDEX(振り分け!$C$3:$C$302,計算用!$E$40))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IF(計算用!$E$41="","",40)</f>
        <v/>
      </c>
      <c r="B44" s="28">
        <f>IF(計算用!$E$41="","",INDEX(振り分け!$A$3:$A$302,計算用!$E$41))</f>
        <v/>
      </c>
      <c r="C44" s="28">
        <f>IF(計算用!$E$41="","",INDEX(振り分け!$B$3:$B$302,計算用!$E$41))</f>
        <v/>
      </c>
      <c r="D44" s="35">
        <f>IF(計算用!$E$41="","",INDEX(振り分け!$C$3:$C$302,計算用!$E$41))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IF(設定!$G$13="","",設定!$B$3&amp;"　"&amp;設定!$G$13&amp;設定!$B$4&amp;"名簿")</f>
        <v/>
      </c>
    </row>
    <row r="2">
      <c r="A2" s="23">
        <f>IF(設定!$G$13="","","担当："&amp;設定!$J$13&amp;"　　活動場所："&amp;設定!$K$13&amp;"　　人数："&amp;COUNTIF(振り分け!$I$3:$I$302,設定!$G$13)&amp;"名")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IF(計算用!$F$2="","",1)</f>
        <v/>
      </c>
      <c r="B5" s="28">
        <f>IF(計算用!$F$2="","",INDEX(振り分け!$A$3:$A$302,計算用!$F$2))</f>
        <v/>
      </c>
      <c r="C5" s="28">
        <f>IF(計算用!$F$2="","",INDEX(振り分け!$B$3:$B$302,計算用!$F$2))</f>
        <v/>
      </c>
      <c r="D5" s="35">
        <f>IF(計算用!$F$2="","",INDEX(振り分け!$C$3:$C$302,計算用!$F$2))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IF(計算用!$F$3="","",2)</f>
        <v/>
      </c>
      <c r="B6" s="28">
        <f>IF(計算用!$F$3="","",INDEX(振り分け!$A$3:$A$302,計算用!$F$3))</f>
        <v/>
      </c>
      <c r="C6" s="28">
        <f>IF(計算用!$F$3="","",INDEX(振り分け!$B$3:$B$302,計算用!$F$3))</f>
        <v/>
      </c>
      <c r="D6" s="35">
        <f>IF(計算用!$F$3="","",INDEX(振り分け!$C$3:$C$302,計算用!$F$3))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IF(計算用!$F$4="","",3)</f>
        <v/>
      </c>
      <c r="B7" s="28">
        <f>IF(計算用!$F$4="","",INDEX(振り分け!$A$3:$A$302,計算用!$F$4))</f>
        <v/>
      </c>
      <c r="C7" s="28">
        <f>IF(計算用!$F$4="","",INDEX(振り分け!$B$3:$B$302,計算用!$F$4))</f>
        <v/>
      </c>
      <c r="D7" s="35">
        <f>IF(計算用!$F$4="","",INDEX(振り分け!$C$3:$C$302,計算用!$F$4))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IF(計算用!$F$5="","",4)</f>
        <v/>
      </c>
      <c r="B8" s="28">
        <f>IF(計算用!$F$5="","",INDEX(振り分け!$A$3:$A$302,計算用!$F$5))</f>
        <v/>
      </c>
      <c r="C8" s="28">
        <f>IF(計算用!$F$5="","",INDEX(振り分け!$B$3:$B$302,計算用!$F$5))</f>
        <v/>
      </c>
      <c r="D8" s="35">
        <f>IF(計算用!$F$5="","",INDEX(振り分け!$C$3:$C$302,計算用!$F$5))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IF(計算用!$F$6="","",5)</f>
        <v/>
      </c>
      <c r="B9" s="28">
        <f>IF(計算用!$F$6="","",INDEX(振り分け!$A$3:$A$302,計算用!$F$6))</f>
        <v/>
      </c>
      <c r="C9" s="28">
        <f>IF(計算用!$F$6="","",INDEX(振り分け!$B$3:$B$302,計算用!$F$6))</f>
        <v/>
      </c>
      <c r="D9" s="35">
        <f>IF(計算用!$F$6="","",INDEX(振り分け!$C$3:$C$302,計算用!$F$6))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IF(計算用!$F$7="","",6)</f>
        <v/>
      </c>
      <c r="B10" s="28">
        <f>IF(計算用!$F$7="","",INDEX(振り分け!$A$3:$A$302,計算用!$F$7))</f>
        <v/>
      </c>
      <c r="C10" s="28">
        <f>IF(計算用!$F$7="","",INDEX(振り分け!$B$3:$B$302,計算用!$F$7))</f>
        <v/>
      </c>
      <c r="D10" s="35">
        <f>IF(計算用!$F$7="","",INDEX(振り分け!$C$3:$C$302,計算用!$F$7))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IF(計算用!$F$8="","",7)</f>
        <v/>
      </c>
      <c r="B11" s="28">
        <f>IF(計算用!$F$8="","",INDEX(振り分け!$A$3:$A$302,計算用!$F$8))</f>
        <v/>
      </c>
      <c r="C11" s="28">
        <f>IF(計算用!$F$8="","",INDEX(振り分け!$B$3:$B$302,計算用!$F$8))</f>
        <v/>
      </c>
      <c r="D11" s="35">
        <f>IF(計算用!$F$8="","",INDEX(振り分け!$C$3:$C$302,計算用!$F$8))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IF(計算用!$F$9="","",8)</f>
        <v/>
      </c>
      <c r="B12" s="28">
        <f>IF(計算用!$F$9="","",INDEX(振り分け!$A$3:$A$302,計算用!$F$9))</f>
        <v/>
      </c>
      <c r="C12" s="28">
        <f>IF(計算用!$F$9="","",INDEX(振り分け!$B$3:$B$302,計算用!$F$9))</f>
        <v/>
      </c>
      <c r="D12" s="35">
        <f>IF(計算用!$F$9="","",INDEX(振り分け!$C$3:$C$302,計算用!$F$9))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IF(計算用!$F$10="","",9)</f>
        <v/>
      </c>
      <c r="B13" s="28">
        <f>IF(計算用!$F$10="","",INDEX(振り分け!$A$3:$A$302,計算用!$F$10))</f>
        <v/>
      </c>
      <c r="C13" s="28">
        <f>IF(計算用!$F$10="","",INDEX(振り分け!$B$3:$B$302,計算用!$F$10))</f>
        <v/>
      </c>
      <c r="D13" s="35">
        <f>IF(計算用!$F$10="","",INDEX(振り分け!$C$3:$C$302,計算用!$F$10))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IF(計算用!$F$11="","",10)</f>
        <v/>
      </c>
      <c r="B14" s="28">
        <f>IF(計算用!$F$11="","",INDEX(振り分け!$A$3:$A$302,計算用!$F$11))</f>
        <v/>
      </c>
      <c r="C14" s="28">
        <f>IF(計算用!$F$11="","",INDEX(振り分け!$B$3:$B$302,計算用!$F$11))</f>
        <v/>
      </c>
      <c r="D14" s="35">
        <f>IF(計算用!$F$11="","",INDEX(振り分け!$C$3:$C$302,計算用!$F$11))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IF(計算用!$F$12="","",11)</f>
        <v/>
      </c>
      <c r="B15" s="28">
        <f>IF(計算用!$F$12="","",INDEX(振り分け!$A$3:$A$302,計算用!$F$12))</f>
        <v/>
      </c>
      <c r="C15" s="28">
        <f>IF(計算用!$F$12="","",INDEX(振り分け!$B$3:$B$302,計算用!$F$12))</f>
        <v/>
      </c>
      <c r="D15" s="35">
        <f>IF(計算用!$F$12="","",INDEX(振り分け!$C$3:$C$302,計算用!$F$12))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IF(計算用!$F$13="","",12)</f>
        <v/>
      </c>
      <c r="B16" s="28">
        <f>IF(計算用!$F$13="","",INDEX(振り分け!$A$3:$A$302,計算用!$F$13))</f>
        <v/>
      </c>
      <c r="C16" s="28">
        <f>IF(計算用!$F$13="","",INDEX(振り分け!$B$3:$B$302,計算用!$F$13))</f>
        <v/>
      </c>
      <c r="D16" s="35">
        <f>IF(計算用!$F$13="","",INDEX(振り分け!$C$3:$C$302,計算用!$F$13))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IF(計算用!$F$14="","",13)</f>
        <v/>
      </c>
      <c r="B17" s="28">
        <f>IF(計算用!$F$14="","",INDEX(振り分け!$A$3:$A$302,計算用!$F$14))</f>
        <v/>
      </c>
      <c r="C17" s="28">
        <f>IF(計算用!$F$14="","",INDEX(振り分け!$B$3:$B$302,計算用!$F$14))</f>
        <v/>
      </c>
      <c r="D17" s="35">
        <f>IF(計算用!$F$14="","",INDEX(振り分け!$C$3:$C$302,計算用!$F$14))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IF(計算用!$F$15="","",14)</f>
        <v/>
      </c>
      <c r="B18" s="28">
        <f>IF(計算用!$F$15="","",INDEX(振り分け!$A$3:$A$302,計算用!$F$15))</f>
        <v/>
      </c>
      <c r="C18" s="28">
        <f>IF(計算用!$F$15="","",INDEX(振り分け!$B$3:$B$302,計算用!$F$15))</f>
        <v/>
      </c>
      <c r="D18" s="35">
        <f>IF(計算用!$F$15="","",INDEX(振り分け!$C$3:$C$302,計算用!$F$15))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IF(計算用!$F$16="","",15)</f>
        <v/>
      </c>
      <c r="B19" s="28">
        <f>IF(計算用!$F$16="","",INDEX(振り分け!$A$3:$A$302,計算用!$F$16))</f>
        <v/>
      </c>
      <c r="C19" s="28">
        <f>IF(計算用!$F$16="","",INDEX(振り分け!$B$3:$B$302,計算用!$F$16))</f>
        <v/>
      </c>
      <c r="D19" s="35">
        <f>IF(計算用!$F$16="","",INDEX(振り分け!$C$3:$C$302,計算用!$F$16))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IF(計算用!$F$17="","",16)</f>
        <v/>
      </c>
      <c r="B20" s="28">
        <f>IF(計算用!$F$17="","",INDEX(振り分け!$A$3:$A$302,計算用!$F$17))</f>
        <v/>
      </c>
      <c r="C20" s="28">
        <f>IF(計算用!$F$17="","",INDEX(振り分け!$B$3:$B$302,計算用!$F$17))</f>
        <v/>
      </c>
      <c r="D20" s="35">
        <f>IF(計算用!$F$17="","",INDEX(振り分け!$C$3:$C$302,計算用!$F$17))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IF(計算用!$F$18="","",17)</f>
        <v/>
      </c>
      <c r="B21" s="28">
        <f>IF(計算用!$F$18="","",INDEX(振り分け!$A$3:$A$302,計算用!$F$18))</f>
        <v/>
      </c>
      <c r="C21" s="28">
        <f>IF(計算用!$F$18="","",INDEX(振り分け!$B$3:$B$302,計算用!$F$18))</f>
        <v/>
      </c>
      <c r="D21" s="35">
        <f>IF(計算用!$F$18="","",INDEX(振り分け!$C$3:$C$302,計算用!$F$18))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IF(計算用!$F$19="","",18)</f>
        <v/>
      </c>
      <c r="B22" s="28">
        <f>IF(計算用!$F$19="","",INDEX(振り分け!$A$3:$A$302,計算用!$F$19))</f>
        <v/>
      </c>
      <c r="C22" s="28">
        <f>IF(計算用!$F$19="","",INDEX(振り分け!$B$3:$B$302,計算用!$F$19))</f>
        <v/>
      </c>
      <c r="D22" s="35">
        <f>IF(計算用!$F$19="","",INDEX(振り分け!$C$3:$C$302,計算用!$F$19))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IF(計算用!$F$20="","",19)</f>
        <v/>
      </c>
      <c r="B23" s="28">
        <f>IF(計算用!$F$20="","",INDEX(振り分け!$A$3:$A$302,計算用!$F$20))</f>
        <v/>
      </c>
      <c r="C23" s="28">
        <f>IF(計算用!$F$20="","",INDEX(振り分け!$B$3:$B$302,計算用!$F$20))</f>
        <v/>
      </c>
      <c r="D23" s="35">
        <f>IF(計算用!$F$20="","",INDEX(振り分け!$C$3:$C$302,計算用!$F$20))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IF(計算用!$F$21="","",20)</f>
        <v/>
      </c>
      <c r="B24" s="28">
        <f>IF(計算用!$F$21="","",INDEX(振り分け!$A$3:$A$302,計算用!$F$21))</f>
        <v/>
      </c>
      <c r="C24" s="28">
        <f>IF(計算用!$F$21="","",INDEX(振り分け!$B$3:$B$302,計算用!$F$21))</f>
        <v/>
      </c>
      <c r="D24" s="35">
        <f>IF(計算用!$F$21="","",INDEX(振り分け!$C$3:$C$302,計算用!$F$21))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IF(計算用!$F$22="","",21)</f>
        <v/>
      </c>
      <c r="B25" s="28">
        <f>IF(計算用!$F$22="","",INDEX(振り分け!$A$3:$A$302,計算用!$F$22))</f>
        <v/>
      </c>
      <c r="C25" s="28">
        <f>IF(計算用!$F$22="","",INDEX(振り分け!$B$3:$B$302,計算用!$F$22))</f>
        <v/>
      </c>
      <c r="D25" s="35">
        <f>IF(計算用!$F$22="","",INDEX(振り分け!$C$3:$C$302,計算用!$F$22))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IF(計算用!$F$23="","",22)</f>
        <v/>
      </c>
      <c r="B26" s="28">
        <f>IF(計算用!$F$23="","",INDEX(振り分け!$A$3:$A$302,計算用!$F$23))</f>
        <v/>
      </c>
      <c r="C26" s="28">
        <f>IF(計算用!$F$23="","",INDEX(振り分け!$B$3:$B$302,計算用!$F$23))</f>
        <v/>
      </c>
      <c r="D26" s="35">
        <f>IF(計算用!$F$23="","",INDEX(振り分け!$C$3:$C$302,計算用!$F$23))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IF(計算用!$F$24="","",23)</f>
        <v/>
      </c>
      <c r="B27" s="28">
        <f>IF(計算用!$F$24="","",INDEX(振り分け!$A$3:$A$302,計算用!$F$24))</f>
        <v/>
      </c>
      <c r="C27" s="28">
        <f>IF(計算用!$F$24="","",INDEX(振り分け!$B$3:$B$302,計算用!$F$24))</f>
        <v/>
      </c>
      <c r="D27" s="35">
        <f>IF(計算用!$F$24="","",INDEX(振り分け!$C$3:$C$302,計算用!$F$24))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IF(計算用!$F$25="","",24)</f>
        <v/>
      </c>
      <c r="B28" s="28">
        <f>IF(計算用!$F$25="","",INDEX(振り分け!$A$3:$A$302,計算用!$F$25))</f>
        <v/>
      </c>
      <c r="C28" s="28">
        <f>IF(計算用!$F$25="","",INDEX(振り分け!$B$3:$B$302,計算用!$F$25))</f>
        <v/>
      </c>
      <c r="D28" s="35">
        <f>IF(計算用!$F$25="","",INDEX(振り分け!$C$3:$C$302,計算用!$F$25))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IF(計算用!$F$26="","",25)</f>
        <v/>
      </c>
      <c r="B29" s="28">
        <f>IF(計算用!$F$26="","",INDEX(振り分け!$A$3:$A$302,計算用!$F$26))</f>
        <v/>
      </c>
      <c r="C29" s="28">
        <f>IF(計算用!$F$26="","",INDEX(振り分け!$B$3:$B$302,計算用!$F$26))</f>
        <v/>
      </c>
      <c r="D29" s="35">
        <f>IF(計算用!$F$26="","",INDEX(振り分け!$C$3:$C$302,計算用!$F$26))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IF(計算用!$F$27="","",26)</f>
        <v/>
      </c>
      <c r="B30" s="28">
        <f>IF(計算用!$F$27="","",INDEX(振り分け!$A$3:$A$302,計算用!$F$27))</f>
        <v/>
      </c>
      <c r="C30" s="28">
        <f>IF(計算用!$F$27="","",INDEX(振り分け!$B$3:$B$302,計算用!$F$27))</f>
        <v/>
      </c>
      <c r="D30" s="35">
        <f>IF(計算用!$F$27="","",INDEX(振り分け!$C$3:$C$302,計算用!$F$27))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IF(計算用!$F$28="","",27)</f>
        <v/>
      </c>
      <c r="B31" s="28">
        <f>IF(計算用!$F$28="","",INDEX(振り分け!$A$3:$A$302,計算用!$F$28))</f>
        <v/>
      </c>
      <c r="C31" s="28">
        <f>IF(計算用!$F$28="","",INDEX(振り分け!$B$3:$B$302,計算用!$F$28))</f>
        <v/>
      </c>
      <c r="D31" s="35">
        <f>IF(計算用!$F$28="","",INDEX(振り分け!$C$3:$C$302,計算用!$F$28))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IF(計算用!$F$29="","",28)</f>
        <v/>
      </c>
      <c r="B32" s="28">
        <f>IF(計算用!$F$29="","",INDEX(振り分け!$A$3:$A$302,計算用!$F$29))</f>
        <v/>
      </c>
      <c r="C32" s="28">
        <f>IF(計算用!$F$29="","",INDEX(振り分け!$B$3:$B$302,計算用!$F$29))</f>
        <v/>
      </c>
      <c r="D32" s="35">
        <f>IF(計算用!$F$29="","",INDEX(振り分け!$C$3:$C$302,計算用!$F$29))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IF(計算用!$F$30="","",29)</f>
        <v/>
      </c>
      <c r="B33" s="28">
        <f>IF(計算用!$F$30="","",INDEX(振り分け!$A$3:$A$302,計算用!$F$30))</f>
        <v/>
      </c>
      <c r="C33" s="28">
        <f>IF(計算用!$F$30="","",INDEX(振り分け!$B$3:$B$302,計算用!$F$30))</f>
        <v/>
      </c>
      <c r="D33" s="35">
        <f>IF(計算用!$F$30="","",INDEX(振り分け!$C$3:$C$302,計算用!$F$30))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IF(計算用!$F$31="","",30)</f>
        <v/>
      </c>
      <c r="B34" s="28">
        <f>IF(計算用!$F$31="","",INDEX(振り分け!$A$3:$A$302,計算用!$F$31))</f>
        <v/>
      </c>
      <c r="C34" s="28">
        <f>IF(計算用!$F$31="","",INDEX(振り分け!$B$3:$B$302,計算用!$F$31))</f>
        <v/>
      </c>
      <c r="D34" s="35">
        <f>IF(計算用!$F$31="","",INDEX(振り分け!$C$3:$C$302,計算用!$F$31))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IF(計算用!$F$32="","",31)</f>
        <v/>
      </c>
      <c r="B35" s="28">
        <f>IF(計算用!$F$32="","",INDEX(振り分け!$A$3:$A$302,計算用!$F$32))</f>
        <v/>
      </c>
      <c r="C35" s="28">
        <f>IF(計算用!$F$32="","",INDEX(振り分け!$B$3:$B$302,計算用!$F$32))</f>
        <v/>
      </c>
      <c r="D35" s="35">
        <f>IF(計算用!$F$32="","",INDEX(振り分け!$C$3:$C$302,計算用!$F$32))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IF(計算用!$F$33="","",32)</f>
        <v/>
      </c>
      <c r="B36" s="28">
        <f>IF(計算用!$F$33="","",INDEX(振り分け!$A$3:$A$302,計算用!$F$33))</f>
        <v/>
      </c>
      <c r="C36" s="28">
        <f>IF(計算用!$F$33="","",INDEX(振り分け!$B$3:$B$302,計算用!$F$33))</f>
        <v/>
      </c>
      <c r="D36" s="35">
        <f>IF(計算用!$F$33="","",INDEX(振り分け!$C$3:$C$302,計算用!$F$33))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IF(計算用!$F$34="","",33)</f>
        <v/>
      </c>
      <c r="B37" s="28">
        <f>IF(計算用!$F$34="","",INDEX(振り分け!$A$3:$A$302,計算用!$F$34))</f>
        <v/>
      </c>
      <c r="C37" s="28">
        <f>IF(計算用!$F$34="","",INDEX(振り分け!$B$3:$B$302,計算用!$F$34))</f>
        <v/>
      </c>
      <c r="D37" s="35">
        <f>IF(計算用!$F$34="","",INDEX(振り分け!$C$3:$C$302,計算用!$F$34))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IF(計算用!$F$35="","",34)</f>
        <v/>
      </c>
      <c r="B38" s="28">
        <f>IF(計算用!$F$35="","",INDEX(振り分け!$A$3:$A$302,計算用!$F$35))</f>
        <v/>
      </c>
      <c r="C38" s="28">
        <f>IF(計算用!$F$35="","",INDEX(振り分け!$B$3:$B$302,計算用!$F$35))</f>
        <v/>
      </c>
      <c r="D38" s="35">
        <f>IF(計算用!$F$35="","",INDEX(振り分け!$C$3:$C$302,計算用!$F$35))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IF(計算用!$F$36="","",35)</f>
        <v/>
      </c>
      <c r="B39" s="28">
        <f>IF(計算用!$F$36="","",INDEX(振り分け!$A$3:$A$302,計算用!$F$36))</f>
        <v/>
      </c>
      <c r="C39" s="28">
        <f>IF(計算用!$F$36="","",INDEX(振り分け!$B$3:$B$302,計算用!$F$36))</f>
        <v/>
      </c>
      <c r="D39" s="35">
        <f>IF(計算用!$F$36="","",INDEX(振り分け!$C$3:$C$302,計算用!$F$36))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IF(計算用!$F$37="","",36)</f>
        <v/>
      </c>
      <c r="B40" s="28">
        <f>IF(計算用!$F$37="","",INDEX(振り分け!$A$3:$A$302,計算用!$F$37))</f>
        <v/>
      </c>
      <c r="C40" s="28">
        <f>IF(計算用!$F$37="","",INDEX(振り分け!$B$3:$B$302,計算用!$F$37))</f>
        <v/>
      </c>
      <c r="D40" s="35">
        <f>IF(計算用!$F$37="","",INDEX(振り分け!$C$3:$C$302,計算用!$F$37))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IF(計算用!$F$38="","",37)</f>
        <v/>
      </c>
      <c r="B41" s="28">
        <f>IF(計算用!$F$38="","",INDEX(振り分け!$A$3:$A$302,計算用!$F$38))</f>
        <v/>
      </c>
      <c r="C41" s="28">
        <f>IF(計算用!$F$38="","",INDEX(振り分け!$B$3:$B$302,計算用!$F$38))</f>
        <v/>
      </c>
      <c r="D41" s="35">
        <f>IF(計算用!$F$38="","",INDEX(振り分け!$C$3:$C$302,計算用!$F$38))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IF(計算用!$F$39="","",38)</f>
        <v/>
      </c>
      <c r="B42" s="28">
        <f>IF(計算用!$F$39="","",INDEX(振り分け!$A$3:$A$302,計算用!$F$39))</f>
        <v/>
      </c>
      <c r="C42" s="28">
        <f>IF(計算用!$F$39="","",INDEX(振り分け!$B$3:$B$302,計算用!$F$39))</f>
        <v/>
      </c>
      <c r="D42" s="35">
        <f>IF(計算用!$F$39="","",INDEX(振り分け!$C$3:$C$302,計算用!$F$39))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IF(計算用!$F$40="","",39)</f>
        <v/>
      </c>
      <c r="B43" s="28">
        <f>IF(計算用!$F$40="","",INDEX(振り分け!$A$3:$A$302,計算用!$F$40))</f>
        <v/>
      </c>
      <c r="C43" s="28">
        <f>IF(計算用!$F$40="","",INDEX(振り分け!$B$3:$B$302,計算用!$F$40))</f>
        <v/>
      </c>
      <c r="D43" s="35">
        <f>IF(計算用!$F$40="","",INDEX(振り分け!$C$3:$C$302,計算用!$F$40))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IF(計算用!$F$41="","",40)</f>
        <v/>
      </c>
      <c r="B44" s="28">
        <f>IF(計算用!$F$41="","",INDEX(振り分け!$A$3:$A$302,計算用!$F$41))</f>
        <v/>
      </c>
      <c r="C44" s="28">
        <f>IF(計算用!$F$41="","",INDEX(振り分け!$B$3:$B$302,計算用!$F$41))</f>
        <v/>
      </c>
      <c r="D44" s="35">
        <f>IF(計算用!$F$41="","",INDEX(振り分け!$C$3:$C$302,計算用!$F$41))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IF(設定!$G$14="","",設定!$B$3&amp;"　"&amp;設定!$G$14&amp;設定!$B$4&amp;"名簿")</f>
        <v/>
      </c>
    </row>
    <row r="2">
      <c r="A2" s="23">
        <f>IF(設定!$G$14="","","担当："&amp;設定!$J$14&amp;"　　活動場所："&amp;設定!$K$14&amp;"　　人数："&amp;COUNTIF(振り分け!$I$3:$I$302,設定!$G$14)&amp;"名")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IF(計算用!$G$2="","",1)</f>
        <v/>
      </c>
      <c r="B5" s="28">
        <f>IF(計算用!$G$2="","",INDEX(振り分け!$A$3:$A$302,計算用!$G$2))</f>
        <v/>
      </c>
      <c r="C5" s="28">
        <f>IF(計算用!$G$2="","",INDEX(振り分け!$B$3:$B$302,計算用!$G$2))</f>
        <v/>
      </c>
      <c r="D5" s="35">
        <f>IF(計算用!$G$2="","",INDEX(振り分け!$C$3:$C$302,計算用!$G$2))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IF(計算用!$G$3="","",2)</f>
        <v/>
      </c>
      <c r="B6" s="28">
        <f>IF(計算用!$G$3="","",INDEX(振り分け!$A$3:$A$302,計算用!$G$3))</f>
        <v/>
      </c>
      <c r="C6" s="28">
        <f>IF(計算用!$G$3="","",INDEX(振り分け!$B$3:$B$302,計算用!$G$3))</f>
        <v/>
      </c>
      <c r="D6" s="35">
        <f>IF(計算用!$G$3="","",INDEX(振り分け!$C$3:$C$302,計算用!$G$3))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IF(計算用!$G$4="","",3)</f>
        <v/>
      </c>
      <c r="B7" s="28">
        <f>IF(計算用!$G$4="","",INDEX(振り分け!$A$3:$A$302,計算用!$G$4))</f>
        <v/>
      </c>
      <c r="C7" s="28">
        <f>IF(計算用!$G$4="","",INDEX(振り分け!$B$3:$B$302,計算用!$G$4))</f>
        <v/>
      </c>
      <c r="D7" s="35">
        <f>IF(計算用!$G$4="","",INDEX(振り分け!$C$3:$C$302,計算用!$G$4))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IF(計算用!$G$5="","",4)</f>
        <v/>
      </c>
      <c r="B8" s="28">
        <f>IF(計算用!$G$5="","",INDEX(振り分け!$A$3:$A$302,計算用!$G$5))</f>
        <v/>
      </c>
      <c r="C8" s="28">
        <f>IF(計算用!$G$5="","",INDEX(振り分け!$B$3:$B$302,計算用!$G$5))</f>
        <v/>
      </c>
      <c r="D8" s="35">
        <f>IF(計算用!$G$5="","",INDEX(振り分け!$C$3:$C$302,計算用!$G$5))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IF(計算用!$G$6="","",5)</f>
        <v/>
      </c>
      <c r="B9" s="28">
        <f>IF(計算用!$G$6="","",INDEX(振り分け!$A$3:$A$302,計算用!$G$6))</f>
        <v/>
      </c>
      <c r="C9" s="28">
        <f>IF(計算用!$G$6="","",INDEX(振り分け!$B$3:$B$302,計算用!$G$6))</f>
        <v/>
      </c>
      <c r="D9" s="35">
        <f>IF(計算用!$G$6="","",INDEX(振り分け!$C$3:$C$302,計算用!$G$6))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IF(計算用!$G$7="","",6)</f>
        <v/>
      </c>
      <c r="B10" s="28">
        <f>IF(計算用!$G$7="","",INDEX(振り分け!$A$3:$A$302,計算用!$G$7))</f>
        <v/>
      </c>
      <c r="C10" s="28">
        <f>IF(計算用!$G$7="","",INDEX(振り分け!$B$3:$B$302,計算用!$G$7))</f>
        <v/>
      </c>
      <c r="D10" s="35">
        <f>IF(計算用!$G$7="","",INDEX(振り分け!$C$3:$C$302,計算用!$G$7))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IF(計算用!$G$8="","",7)</f>
        <v/>
      </c>
      <c r="B11" s="28">
        <f>IF(計算用!$G$8="","",INDEX(振り分け!$A$3:$A$302,計算用!$G$8))</f>
        <v/>
      </c>
      <c r="C11" s="28">
        <f>IF(計算用!$G$8="","",INDEX(振り分け!$B$3:$B$302,計算用!$G$8))</f>
        <v/>
      </c>
      <c r="D11" s="35">
        <f>IF(計算用!$G$8="","",INDEX(振り分け!$C$3:$C$302,計算用!$G$8))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IF(計算用!$G$9="","",8)</f>
        <v/>
      </c>
      <c r="B12" s="28">
        <f>IF(計算用!$G$9="","",INDEX(振り分け!$A$3:$A$302,計算用!$G$9))</f>
        <v/>
      </c>
      <c r="C12" s="28">
        <f>IF(計算用!$G$9="","",INDEX(振り分け!$B$3:$B$302,計算用!$G$9))</f>
        <v/>
      </c>
      <c r="D12" s="35">
        <f>IF(計算用!$G$9="","",INDEX(振り分け!$C$3:$C$302,計算用!$G$9))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IF(計算用!$G$10="","",9)</f>
        <v/>
      </c>
      <c r="B13" s="28">
        <f>IF(計算用!$G$10="","",INDEX(振り分け!$A$3:$A$302,計算用!$G$10))</f>
        <v/>
      </c>
      <c r="C13" s="28">
        <f>IF(計算用!$G$10="","",INDEX(振り分け!$B$3:$B$302,計算用!$G$10))</f>
        <v/>
      </c>
      <c r="D13" s="35">
        <f>IF(計算用!$G$10="","",INDEX(振り分け!$C$3:$C$302,計算用!$G$10))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IF(計算用!$G$11="","",10)</f>
        <v/>
      </c>
      <c r="B14" s="28">
        <f>IF(計算用!$G$11="","",INDEX(振り分け!$A$3:$A$302,計算用!$G$11))</f>
        <v/>
      </c>
      <c r="C14" s="28">
        <f>IF(計算用!$G$11="","",INDEX(振り分け!$B$3:$B$302,計算用!$G$11))</f>
        <v/>
      </c>
      <c r="D14" s="35">
        <f>IF(計算用!$G$11="","",INDEX(振り分け!$C$3:$C$302,計算用!$G$11))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IF(計算用!$G$12="","",11)</f>
        <v/>
      </c>
      <c r="B15" s="28">
        <f>IF(計算用!$G$12="","",INDEX(振り分け!$A$3:$A$302,計算用!$G$12))</f>
        <v/>
      </c>
      <c r="C15" s="28">
        <f>IF(計算用!$G$12="","",INDEX(振り分け!$B$3:$B$302,計算用!$G$12))</f>
        <v/>
      </c>
      <c r="D15" s="35">
        <f>IF(計算用!$G$12="","",INDEX(振り分け!$C$3:$C$302,計算用!$G$12))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IF(計算用!$G$13="","",12)</f>
        <v/>
      </c>
      <c r="B16" s="28">
        <f>IF(計算用!$G$13="","",INDEX(振り分け!$A$3:$A$302,計算用!$G$13))</f>
        <v/>
      </c>
      <c r="C16" s="28">
        <f>IF(計算用!$G$13="","",INDEX(振り分け!$B$3:$B$302,計算用!$G$13))</f>
        <v/>
      </c>
      <c r="D16" s="35">
        <f>IF(計算用!$G$13="","",INDEX(振り分け!$C$3:$C$302,計算用!$G$13))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IF(計算用!$G$14="","",13)</f>
        <v/>
      </c>
      <c r="B17" s="28">
        <f>IF(計算用!$G$14="","",INDEX(振り分け!$A$3:$A$302,計算用!$G$14))</f>
        <v/>
      </c>
      <c r="C17" s="28">
        <f>IF(計算用!$G$14="","",INDEX(振り分け!$B$3:$B$302,計算用!$G$14))</f>
        <v/>
      </c>
      <c r="D17" s="35">
        <f>IF(計算用!$G$14="","",INDEX(振り分け!$C$3:$C$302,計算用!$G$14))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IF(計算用!$G$15="","",14)</f>
        <v/>
      </c>
      <c r="B18" s="28">
        <f>IF(計算用!$G$15="","",INDEX(振り分け!$A$3:$A$302,計算用!$G$15))</f>
        <v/>
      </c>
      <c r="C18" s="28">
        <f>IF(計算用!$G$15="","",INDEX(振り分け!$B$3:$B$302,計算用!$G$15))</f>
        <v/>
      </c>
      <c r="D18" s="35">
        <f>IF(計算用!$G$15="","",INDEX(振り分け!$C$3:$C$302,計算用!$G$15))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IF(計算用!$G$16="","",15)</f>
        <v/>
      </c>
      <c r="B19" s="28">
        <f>IF(計算用!$G$16="","",INDEX(振り分け!$A$3:$A$302,計算用!$G$16))</f>
        <v/>
      </c>
      <c r="C19" s="28">
        <f>IF(計算用!$G$16="","",INDEX(振り分け!$B$3:$B$302,計算用!$G$16))</f>
        <v/>
      </c>
      <c r="D19" s="35">
        <f>IF(計算用!$G$16="","",INDEX(振り分け!$C$3:$C$302,計算用!$G$16))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IF(計算用!$G$17="","",16)</f>
        <v/>
      </c>
      <c r="B20" s="28">
        <f>IF(計算用!$G$17="","",INDEX(振り分け!$A$3:$A$302,計算用!$G$17))</f>
        <v/>
      </c>
      <c r="C20" s="28">
        <f>IF(計算用!$G$17="","",INDEX(振り分け!$B$3:$B$302,計算用!$G$17))</f>
        <v/>
      </c>
      <c r="D20" s="35">
        <f>IF(計算用!$G$17="","",INDEX(振り分け!$C$3:$C$302,計算用!$G$17))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IF(計算用!$G$18="","",17)</f>
        <v/>
      </c>
      <c r="B21" s="28">
        <f>IF(計算用!$G$18="","",INDEX(振り分け!$A$3:$A$302,計算用!$G$18))</f>
        <v/>
      </c>
      <c r="C21" s="28">
        <f>IF(計算用!$G$18="","",INDEX(振り分け!$B$3:$B$302,計算用!$G$18))</f>
        <v/>
      </c>
      <c r="D21" s="35">
        <f>IF(計算用!$G$18="","",INDEX(振り分け!$C$3:$C$302,計算用!$G$18))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IF(計算用!$G$19="","",18)</f>
        <v/>
      </c>
      <c r="B22" s="28">
        <f>IF(計算用!$G$19="","",INDEX(振り分け!$A$3:$A$302,計算用!$G$19))</f>
        <v/>
      </c>
      <c r="C22" s="28">
        <f>IF(計算用!$G$19="","",INDEX(振り分け!$B$3:$B$302,計算用!$G$19))</f>
        <v/>
      </c>
      <c r="D22" s="35">
        <f>IF(計算用!$G$19="","",INDEX(振り分け!$C$3:$C$302,計算用!$G$19))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IF(計算用!$G$20="","",19)</f>
        <v/>
      </c>
      <c r="B23" s="28">
        <f>IF(計算用!$G$20="","",INDEX(振り分け!$A$3:$A$302,計算用!$G$20))</f>
        <v/>
      </c>
      <c r="C23" s="28">
        <f>IF(計算用!$G$20="","",INDEX(振り分け!$B$3:$B$302,計算用!$G$20))</f>
        <v/>
      </c>
      <c r="D23" s="35">
        <f>IF(計算用!$G$20="","",INDEX(振り分け!$C$3:$C$302,計算用!$G$20))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IF(計算用!$G$21="","",20)</f>
        <v/>
      </c>
      <c r="B24" s="28">
        <f>IF(計算用!$G$21="","",INDEX(振り分け!$A$3:$A$302,計算用!$G$21))</f>
        <v/>
      </c>
      <c r="C24" s="28">
        <f>IF(計算用!$G$21="","",INDEX(振り分け!$B$3:$B$302,計算用!$G$21))</f>
        <v/>
      </c>
      <c r="D24" s="35">
        <f>IF(計算用!$G$21="","",INDEX(振り分け!$C$3:$C$302,計算用!$G$21))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IF(計算用!$G$22="","",21)</f>
        <v/>
      </c>
      <c r="B25" s="28">
        <f>IF(計算用!$G$22="","",INDEX(振り分け!$A$3:$A$302,計算用!$G$22))</f>
        <v/>
      </c>
      <c r="C25" s="28">
        <f>IF(計算用!$G$22="","",INDEX(振り分け!$B$3:$B$302,計算用!$G$22))</f>
        <v/>
      </c>
      <c r="D25" s="35">
        <f>IF(計算用!$G$22="","",INDEX(振り分け!$C$3:$C$302,計算用!$G$22))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IF(計算用!$G$23="","",22)</f>
        <v/>
      </c>
      <c r="B26" s="28">
        <f>IF(計算用!$G$23="","",INDEX(振り分け!$A$3:$A$302,計算用!$G$23))</f>
        <v/>
      </c>
      <c r="C26" s="28">
        <f>IF(計算用!$G$23="","",INDEX(振り分け!$B$3:$B$302,計算用!$G$23))</f>
        <v/>
      </c>
      <c r="D26" s="35">
        <f>IF(計算用!$G$23="","",INDEX(振り分け!$C$3:$C$302,計算用!$G$23))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IF(計算用!$G$24="","",23)</f>
        <v/>
      </c>
      <c r="B27" s="28">
        <f>IF(計算用!$G$24="","",INDEX(振り分け!$A$3:$A$302,計算用!$G$24))</f>
        <v/>
      </c>
      <c r="C27" s="28">
        <f>IF(計算用!$G$24="","",INDEX(振り分け!$B$3:$B$302,計算用!$G$24))</f>
        <v/>
      </c>
      <c r="D27" s="35">
        <f>IF(計算用!$G$24="","",INDEX(振り分け!$C$3:$C$302,計算用!$G$24))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IF(計算用!$G$25="","",24)</f>
        <v/>
      </c>
      <c r="B28" s="28">
        <f>IF(計算用!$G$25="","",INDEX(振り分け!$A$3:$A$302,計算用!$G$25))</f>
        <v/>
      </c>
      <c r="C28" s="28">
        <f>IF(計算用!$G$25="","",INDEX(振り分け!$B$3:$B$302,計算用!$G$25))</f>
        <v/>
      </c>
      <c r="D28" s="35">
        <f>IF(計算用!$G$25="","",INDEX(振り分け!$C$3:$C$302,計算用!$G$25))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IF(計算用!$G$26="","",25)</f>
        <v/>
      </c>
      <c r="B29" s="28">
        <f>IF(計算用!$G$26="","",INDEX(振り分け!$A$3:$A$302,計算用!$G$26))</f>
        <v/>
      </c>
      <c r="C29" s="28">
        <f>IF(計算用!$G$26="","",INDEX(振り分け!$B$3:$B$302,計算用!$G$26))</f>
        <v/>
      </c>
      <c r="D29" s="35">
        <f>IF(計算用!$G$26="","",INDEX(振り分け!$C$3:$C$302,計算用!$G$26))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IF(計算用!$G$27="","",26)</f>
        <v/>
      </c>
      <c r="B30" s="28">
        <f>IF(計算用!$G$27="","",INDEX(振り分け!$A$3:$A$302,計算用!$G$27))</f>
        <v/>
      </c>
      <c r="C30" s="28">
        <f>IF(計算用!$G$27="","",INDEX(振り分け!$B$3:$B$302,計算用!$G$27))</f>
        <v/>
      </c>
      <c r="D30" s="35">
        <f>IF(計算用!$G$27="","",INDEX(振り分け!$C$3:$C$302,計算用!$G$27))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IF(計算用!$G$28="","",27)</f>
        <v/>
      </c>
      <c r="B31" s="28">
        <f>IF(計算用!$G$28="","",INDEX(振り分け!$A$3:$A$302,計算用!$G$28))</f>
        <v/>
      </c>
      <c r="C31" s="28">
        <f>IF(計算用!$G$28="","",INDEX(振り分け!$B$3:$B$302,計算用!$G$28))</f>
        <v/>
      </c>
      <c r="D31" s="35">
        <f>IF(計算用!$G$28="","",INDEX(振り分け!$C$3:$C$302,計算用!$G$28))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IF(計算用!$G$29="","",28)</f>
        <v/>
      </c>
      <c r="B32" s="28">
        <f>IF(計算用!$G$29="","",INDEX(振り分け!$A$3:$A$302,計算用!$G$29))</f>
        <v/>
      </c>
      <c r="C32" s="28">
        <f>IF(計算用!$G$29="","",INDEX(振り分け!$B$3:$B$302,計算用!$G$29))</f>
        <v/>
      </c>
      <c r="D32" s="35">
        <f>IF(計算用!$G$29="","",INDEX(振り分け!$C$3:$C$302,計算用!$G$29))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IF(計算用!$G$30="","",29)</f>
        <v/>
      </c>
      <c r="B33" s="28">
        <f>IF(計算用!$G$30="","",INDEX(振り分け!$A$3:$A$302,計算用!$G$30))</f>
        <v/>
      </c>
      <c r="C33" s="28">
        <f>IF(計算用!$G$30="","",INDEX(振り分け!$B$3:$B$302,計算用!$G$30))</f>
        <v/>
      </c>
      <c r="D33" s="35">
        <f>IF(計算用!$G$30="","",INDEX(振り分け!$C$3:$C$302,計算用!$G$30))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IF(計算用!$G$31="","",30)</f>
        <v/>
      </c>
      <c r="B34" s="28">
        <f>IF(計算用!$G$31="","",INDEX(振り分け!$A$3:$A$302,計算用!$G$31))</f>
        <v/>
      </c>
      <c r="C34" s="28">
        <f>IF(計算用!$G$31="","",INDEX(振り分け!$B$3:$B$302,計算用!$G$31))</f>
        <v/>
      </c>
      <c r="D34" s="35">
        <f>IF(計算用!$G$31="","",INDEX(振り分け!$C$3:$C$302,計算用!$G$31))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IF(計算用!$G$32="","",31)</f>
        <v/>
      </c>
      <c r="B35" s="28">
        <f>IF(計算用!$G$32="","",INDEX(振り分け!$A$3:$A$302,計算用!$G$32))</f>
        <v/>
      </c>
      <c r="C35" s="28">
        <f>IF(計算用!$G$32="","",INDEX(振り分け!$B$3:$B$302,計算用!$G$32))</f>
        <v/>
      </c>
      <c r="D35" s="35">
        <f>IF(計算用!$G$32="","",INDEX(振り分け!$C$3:$C$302,計算用!$G$32))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IF(計算用!$G$33="","",32)</f>
        <v/>
      </c>
      <c r="B36" s="28">
        <f>IF(計算用!$G$33="","",INDEX(振り分け!$A$3:$A$302,計算用!$G$33))</f>
        <v/>
      </c>
      <c r="C36" s="28">
        <f>IF(計算用!$G$33="","",INDEX(振り分け!$B$3:$B$302,計算用!$G$33))</f>
        <v/>
      </c>
      <c r="D36" s="35">
        <f>IF(計算用!$G$33="","",INDEX(振り分け!$C$3:$C$302,計算用!$G$33))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IF(計算用!$G$34="","",33)</f>
        <v/>
      </c>
      <c r="B37" s="28">
        <f>IF(計算用!$G$34="","",INDEX(振り分け!$A$3:$A$302,計算用!$G$34))</f>
        <v/>
      </c>
      <c r="C37" s="28">
        <f>IF(計算用!$G$34="","",INDEX(振り分け!$B$3:$B$302,計算用!$G$34))</f>
        <v/>
      </c>
      <c r="D37" s="35">
        <f>IF(計算用!$G$34="","",INDEX(振り分け!$C$3:$C$302,計算用!$G$34))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IF(計算用!$G$35="","",34)</f>
        <v/>
      </c>
      <c r="B38" s="28">
        <f>IF(計算用!$G$35="","",INDEX(振り分け!$A$3:$A$302,計算用!$G$35))</f>
        <v/>
      </c>
      <c r="C38" s="28">
        <f>IF(計算用!$G$35="","",INDEX(振り分け!$B$3:$B$302,計算用!$G$35))</f>
        <v/>
      </c>
      <c r="D38" s="35">
        <f>IF(計算用!$G$35="","",INDEX(振り分け!$C$3:$C$302,計算用!$G$35))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IF(計算用!$G$36="","",35)</f>
        <v/>
      </c>
      <c r="B39" s="28">
        <f>IF(計算用!$G$36="","",INDEX(振り分け!$A$3:$A$302,計算用!$G$36))</f>
        <v/>
      </c>
      <c r="C39" s="28">
        <f>IF(計算用!$G$36="","",INDEX(振り分け!$B$3:$B$302,計算用!$G$36))</f>
        <v/>
      </c>
      <c r="D39" s="35">
        <f>IF(計算用!$G$36="","",INDEX(振り分け!$C$3:$C$302,計算用!$G$36))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IF(計算用!$G$37="","",36)</f>
        <v/>
      </c>
      <c r="B40" s="28">
        <f>IF(計算用!$G$37="","",INDEX(振り分け!$A$3:$A$302,計算用!$G$37))</f>
        <v/>
      </c>
      <c r="C40" s="28">
        <f>IF(計算用!$G$37="","",INDEX(振り分け!$B$3:$B$302,計算用!$G$37))</f>
        <v/>
      </c>
      <c r="D40" s="35">
        <f>IF(計算用!$G$37="","",INDEX(振り分け!$C$3:$C$302,計算用!$G$37))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IF(計算用!$G$38="","",37)</f>
        <v/>
      </c>
      <c r="B41" s="28">
        <f>IF(計算用!$G$38="","",INDEX(振り分け!$A$3:$A$302,計算用!$G$38))</f>
        <v/>
      </c>
      <c r="C41" s="28">
        <f>IF(計算用!$G$38="","",INDEX(振り分け!$B$3:$B$302,計算用!$G$38))</f>
        <v/>
      </c>
      <c r="D41" s="35">
        <f>IF(計算用!$G$38="","",INDEX(振り分け!$C$3:$C$302,計算用!$G$38))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IF(計算用!$G$39="","",38)</f>
        <v/>
      </c>
      <c r="B42" s="28">
        <f>IF(計算用!$G$39="","",INDEX(振り分け!$A$3:$A$302,計算用!$G$39))</f>
        <v/>
      </c>
      <c r="C42" s="28">
        <f>IF(計算用!$G$39="","",INDEX(振り分け!$B$3:$B$302,計算用!$G$39))</f>
        <v/>
      </c>
      <c r="D42" s="35">
        <f>IF(計算用!$G$39="","",INDEX(振り分け!$C$3:$C$302,計算用!$G$39))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IF(計算用!$G$40="","",39)</f>
        <v/>
      </c>
      <c r="B43" s="28">
        <f>IF(計算用!$G$40="","",INDEX(振り分け!$A$3:$A$302,計算用!$G$40))</f>
        <v/>
      </c>
      <c r="C43" s="28">
        <f>IF(計算用!$G$40="","",INDEX(振り分け!$B$3:$B$302,計算用!$G$40))</f>
        <v/>
      </c>
      <c r="D43" s="35">
        <f>IF(計算用!$G$40="","",INDEX(振り分け!$C$3:$C$302,計算用!$G$40))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IF(計算用!$G$41="","",40)</f>
        <v/>
      </c>
      <c r="B44" s="28">
        <f>IF(計算用!$G$41="","",INDEX(振り分け!$A$3:$A$302,計算用!$G$41))</f>
        <v/>
      </c>
      <c r="C44" s="28">
        <f>IF(計算用!$G$41="","",INDEX(振り分け!$B$3:$B$302,計算用!$G$41))</f>
        <v/>
      </c>
      <c r="D44" s="35">
        <f>IF(計算用!$G$41="","",INDEX(振り分け!$C$3:$C$302,計算用!$G$41))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IF(設定!$G$15="","",設定!$B$3&amp;"　"&amp;設定!$G$15&amp;設定!$B$4&amp;"名簿")</f>
        <v/>
      </c>
    </row>
    <row r="2">
      <c r="A2" s="23">
        <f>IF(設定!$G$15="","","担当："&amp;設定!$J$15&amp;"　　活動場所："&amp;設定!$K$15&amp;"　　人数："&amp;COUNTIF(振り分け!$I$3:$I$302,設定!$G$15)&amp;"名")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IF(計算用!$H$2="","",1)</f>
        <v/>
      </c>
      <c r="B5" s="28">
        <f>IF(計算用!$H$2="","",INDEX(振り分け!$A$3:$A$302,計算用!$H$2))</f>
        <v/>
      </c>
      <c r="C5" s="28">
        <f>IF(計算用!$H$2="","",INDEX(振り分け!$B$3:$B$302,計算用!$H$2))</f>
        <v/>
      </c>
      <c r="D5" s="35">
        <f>IF(計算用!$H$2="","",INDEX(振り分け!$C$3:$C$302,計算用!$H$2))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IF(計算用!$H$3="","",2)</f>
        <v/>
      </c>
      <c r="B6" s="28">
        <f>IF(計算用!$H$3="","",INDEX(振り分け!$A$3:$A$302,計算用!$H$3))</f>
        <v/>
      </c>
      <c r="C6" s="28">
        <f>IF(計算用!$H$3="","",INDEX(振り分け!$B$3:$B$302,計算用!$H$3))</f>
        <v/>
      </c>
      <c r="D6" s="35">
        <f>IF(計算用!$H$3="","",INDEX(振り分け!$C$3:$C$302,計算用!$H$3))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IF(計算用!$H$4="","",3)</f>
        <v/>
      </c>
      <c r="B7" s="28">
        <f>IF(計算用!$H$4="","",INDEX(振り分け!$A$3:$A$302,計算用!$H$4))</f>
        <v/>
      </c>
      <c r="C7" s="28">
        <f>IF(計算用!$H$4="","",INDEX(振り分け!$B$3:$B$302,計算用!$H$4))</f>
        <v/>
      </c>
      <c r="D7" s="35">
        <f>IF(計算用!$H$4="","",INDEX(振り分け!$C$3:$C$302,計算用!$H$4))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IF(計算用!$H$5="","",4)</f>
        <v/>
      </c>
      <c r="B8" s="28">
        <f>IF(計算用!$H$5="","",INDEX(振り分け!$A$3:$A$302,計算用!$H$5))</f>
        <v/>
      </c>
      <c r="C8" s="28">
        <f>IF(計算用!$H$5="","",INDEX(振り分け!$B$3:$B$302,計算用!$H$5))</f>
        <v/>
      </c>
      <c r="D8" s="35">
        <f>IF(計算用!$H$5="","",INDEX(振り分け!$C$3:$C$302,計算用!$H$5))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IF(計算用!$H$6="","",5)</f>
        <v/>
      </c>
      <c r="B9" s="28">
        <f>IF(計算用!$H$6="","",INDEX(振り分け!$A$3:$A$302,計算用!$H$6))</f>
        <v/>
      </c>
      <c r="C9" s="28">
        <f>IF(計算用!$H$6="","",INDEX(振り分け!$B$3:$B$302,計算用!$H$6))</f>
        <v/>
      </c>
      <c r="D9" s="35">
        <f>IF(計算用!$H$6="","",INDEX(振り分け!$C$3:$C$302,計算用!$H$6))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IF(計算用!$H$7="","",6)</f>
        <v/>
      </c>
      <c r="B10" s="28">
        <f>IF(計算用!$H$7="","",INDEX(振り分け!$A$3:$A$302,計算用!$H$7))</f>
        <v/>
      </c>
      <c r="C10" s="28">
        <f>IF(計算用!$H$7="","",INDEX(振り分け!$B$3:$B$302,計算用!$H$7))</f>
        <v/>
      </c>
      <c r="D10" s="35">
        <f>IF(計算用!$H$7="","",INDEX(振り分け!$C$3:$C$302,計算用!$H$7))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IF(計算用!$H$8="","",7)</f>
        <v/>
      </c>
      <c r="B11" s="28">
        <f>IF(計算用!$H$8="","",INDEX(振り分け!$A$3:$A$302,計算用!$H$8))</f>
        <v/>
      </c>
      <c r="C11" s="28">
        <f>IF(計算用!$H$8="","",INDEX(振り分け!$B$3:$B$302,計算用!$H$8))</f>
        <v/>
      </c>
      <c r="D11" s="35">
        <f>IF(計算用!$H$8="","",INDEX(振り分け!$C$3:$C$302,計算用!$H$8))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IF(計算用!$H$9="","",8)</f>
        <v/>
      </c>
      <c r="B12" s="28">
        <f>IF(計算用!$H$9="","",INDEX(振り分け!$A$3:$A$302,計算用!$H$9))</f>
        <v/>
      </c>
      <c r="C12" s="28">
        <f>IF(計算用!$H$9="","",INDEX(振り分け!$B$3:$B$302,計算用!$H$9))</f>
        <v/>
      </c>
      <c r="D12" s="35">
        <f>IF(計算用!$H$9="","",INDEX(振り分け!$C$3:$C$302,計算用!$H$9))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IF(計算用!$H$10="","",9)</f>
        <v/>
      </c>
      <c r="B13" s="28">
        <f>IF(計算用!$H$10="","",INDEX(振り分け!$A$3:$A$302,計算用!$H$10))</f>
        <v/>
      </c>
      <c r="C13" s="28">
        <f>IF(計算用!$H$10="","",INDEX(振り分け!$B$3:$B$302,計算用!$H$10))</f>
        <v/>
      </c>
      <c r="D13" s="35">
        <f>IF(計算用!$H$10="","",INDEX(振り分け!$C$3:$C$302,計算用!$H$10))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IF(計算用!$H$11="","",10)</f>
        <v/>
      </c>
      <c r="B14" s="28">
        <f>IF(計算用!$H$11="","",INDEX(振り分け!$A$3:$A$302,計算用!$H$11))</f>
        <v/>
      </c>
      <c r="C14" s="28">
        <f>IF(計算用!$H$11="","",INDEX(振り分け!$B$3:$B$302,計算用!$H$11))</f>
        <v/>
      </c>
      <c r="D14" s="35">
        <f>IF(計算用!$H$11="","",INDEX(振り分け!$C$3:$C$302,計算用!$H$11))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IF(計算用!$H$12="","",11)</f>
        <v/>
      </c>
      <c r="B15" s="28">
        <f>IF(計算用!$H$12="","",INDEX(振り分け!$A$3:$A$302,計算用!$H$12))</f>
        <v/>
      </c>
      <c r="C15" s="28">
        <f>IF(計算用!$H$12="","",INDEX(振り分け!$B$3:$B$302,計算用!$H$12))</f>
        <v/>
      </c>
      <c r="D15" s="35">
        <f>IF(計算用!$H$12="","",INDEX(振り分け!$C$3:$C$302,計算用!$H$12))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IF(計算用!$H$13="","",12)</f>
        <v/>
      </c>
      <c r="B16" s="28">
        <f>IF(計算用!$H$13="","",INDEX(振り分け!$A$3:$A$302,計算用!$H$13))</f>
        <v/>
      </c>
      <c r="C16" s="28">
        <f>IF(計算用!$H$13="","",INDEX(振り分け!$B$3:$B$302,計算用!$H$13))</f>
        <v/>
      </c>
      <c r="D16" s="35">
        <f>IF(計算用!$H$13="","",INDEX(振り分け!$C$3:$C$302,計算用!$H$13))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IF(計算用!$H$14="","",13)</f>
        <v/>
      </c>
      <c r="B17" s="28">
        <f>IF(計算用!$H$14="","",INDEX(振り分け!$A$3:$A$302,計算用!$H$14))</f>
        <v/>
      </c>
      <c r="C17" s="28">
        <f>IF(計算用!$H$14="","",INDEX(振り分け!$B$3:$B$302,計算用!$H$14))</f>
        <v/>
      </c>
      <c r="D17" s="35">
        <f>IF(計算用!$H$14="","",INDEX(振り分け!$C$3:$C$302,計算用!$H$14))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IF(計算用!$H$15="","",14)</f>
        <v/>
      </c>
      <c r="B18" s="28">
        <f>IF(計算用!$H$15="","",INDEX(振り分け!$A$3:$A$302,計算用!$H$15))</f>
        <v/>
      </c>
      <c r="C18" s="28">
        <f>IF(計算用!$H$15="","",INDEX(振り分け!$B$3:$B$302,計算用!$H$15))</f>
        <v/>
      </c>
      <c r="D18" s="35">
        <f>IF(計算用!$H$15="","",INDEX(振り分け!$C$3:$C$302,計算用!$H$15))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IF(計算用!$H$16="","",15)</f>
        <v/>
      </c>
      <c r="B19" s="28">
        <f>IF(計算用!$H$16="","",INDEX(振り分け!$A$3:$A$302,計算用!$H$16))</f>
        <v/>
      </c>
      <c r="C19" s="28">
        <f>IF(計算用!$H$16="","",INDEX(振り分け!$B$3:$B$302,計算用!$H$16))</f>
        <v/>
      </c>
      <c r="D19" s="35">
        <f>IF(計算用!$H$16="","",INDEX(振り分け!$C$3:$C$302,計算用!$H$16))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IF(計算用!$H$17="","",16)</f>
        <v/>
      </c>
      <c r="B20" s="28">
        <f>IF(計算用!$H$17="","",INDEX(振り分け!$A$3:$A$302,計算用!$H$17))</f>
        <v/>
      </c>
      <c r="C20" s="28">
        <f>IF(計算用!$H$17="","",INDEX(振り分け!$B$3:$B$302,計算用!$H$17))</f>
        <v/>
      </c>
      <c r="D20" s="35">
        <f>IF(計算用!$H$17="","",INDEX(振り分け!$C$3:$C$302,計算用!$H$17))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IF(計算用!$H$18="","",17)</f>
        <v/>
      </c>
      <c r="B21" s="28">
        <f>IF(計算用!$H$18="","",INDEX(振り分け!$A$3:$A$302,計算用!$H$18))</f>
        <v/>
      </c>
      <c r="C21" s="28">
        <f>IF(計算用!$H$18="","",INDEX(振り分け!$B$3:$B$302,計算用!$H$18))</f>
        <v/>
      </c>
      <c r="D21" s="35">
        <f>IF(計算用!$H$18="","",INDEX(振り分け!$C$3:$C$302,計算用!$H$18))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IF(計算用!$H$19="","",18)</f>
        <v/>
      </c>
      <c r="B22" s="28">
        <f>IF(計算用!$H$19="","",INDEX(振り分け!$A$3:$A$302,計算用!$H$19))</f>
        <v/>
      </c>
      <c r="C22" s="28">
        <f>IF(計算用!$H$19="","",INDEX(振り分け!$B$3:$B$302,計算用!$H$19))</f>
        <v/>
      </c>
      <c r="D22" s="35">
        <f>IF(計算用!$H$19="","",INDEX(振り分け!$C$3:$C$302,計算用!$H$19))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IF(計算用!$H$20="","",19)</f>
        <v/>
      </c>
      <c r="B23" s="28">
        <f>IF(計算用!$H$20="","",INDEX(振り分け!$A$3:$A$302,計算用!$H$20))</f>
        <v/>
      </c>
      <c r="C23" s="28">
        <f>IF(計算用!$H$20="","",INDEX(振り分け!$B$3:$B$302,計算用!$H$20))</f>
        <v/>
      </c>
      <c r="D23" s="35">
        <f>IF(計算用!$H$20="","",INDEX(振り分け!$C$3:$C$302,計算用!$H$20))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IF(計算用!$H$21="","",20)</f>
        <v/>
      </c>
      <c r="B24" s="28">
        <f>IF(計算用!$H$21="","",INDEX(振り分け!$A$3:$A$302,計算用!$H$21))</f>
        <v/>
      </c>
      <c r="C24" s="28">
        <f>IF(計算用!$H$21="","",INDEX(振り分け!$B$3:$B$302,計算用!$H$21))</f>
        <v/>
      </c>
      <c r="D24" s="35">
        <f>IF(計算用!$H$21="","",INDEX(振り分け!$C$3:$C$302,計算用!$H$21))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IF(計算用!$H$22="","",21)</f>
        <v/>
      </c>
      <c r="B25" s="28">
        <f>IF(計算用!$H$22="","",INDEX(振り分け!$A$3:$A$302,計算用!$H$22))</f>
        <v/>
      </c>
      <c r="C25" s="28">
        <f>IF(計算用!$H$22="","",INDEX(振り分け!$B$3:$B$302,計算用!$H$22))</f>
        <v/>
      </c>
      <c r="D25" s="35">
        <f>IF(計算用!$H$22="","",INDEX(振り分け!$C$3:$C$302,計算用!$H$22))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IF(計算用!$H$23="","",22)</f>
        <v/>
      </c>
      <c r="B26" s="28">
        <f>IF(計算用!$H$23="","",INDEX(振り分け!$A$3:$A$302,計算用!$H$23))</f>
        <v/>
      </c>
      <c r="C26" s="28">
        <f>IF(計算用!$H$23="","",INDEX(振り分け!$B$3:$B$302,計算用!$H$23))</f>
        <v/>
      </c>
      <c r="D26" s="35">
        <f>IF(計算用!$H$23="","",INDEX(振り分け!$C$3:$C$302,計算用!$H$23))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IF(計算用!$H$24="","",23)</f>
        <v/>
      </c>
      <c r="B27" s="28">
        <f>IF(計算用!$H$24="","",INDEX(振り分け!$A$3:$A$302,計算用!$H$24))</f>
        <v/>
      </c>
      <c r="C27" s="28">
        <f>IF(計算用!$H$24="","",INDEX(振り分け!$B$3:$B$302,計算用!$H$24))</f>
        <v/>
      </c>
      <c r="D27" s="35">
        <f>IF(計算用!$H$24="","",INDEX(振り分け!$C$3:$C$302,計算用!$H$24))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IF(計算用!$H$25="","",24)</f>
        <v/>
      </c>
      <c r="B28" s="28">
        <f>IF(計算用!$H$25="","",INDEX(振り分け!$A$3:$A$302,計算用!$H$25))</f>
        <v/>
      </c>
      <c r="C28" s="28">
        <f>IF(計算用!$H$25="","",INDEX(振り分け!$B$3:$B$302,計算用!$H$25))</f>
        <v/>
      </c>
      <c r="D28" s="35">
        <f>IF(計算用!$H$25="","",INDEX(振り分け!$C$3:$C$302,計算用!$H$25))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IF(計算用!$H$26="","",25)</f>
        <v/>
      </c>
      <c r="B29" s="28">
        <f>IF(計算用!$H$26="","",INDEX(振り分け!$A$3:$A$302,計算用!$H$26))</f>
        <v/>
      </c>
      <c r="C29" s="28">
        <f>IF(計算用!$H$26="","",INDEX(振り分け!$B$3:$B$302,計算用!$H$26))</f>
        <v/>
      </c>
      <c r="D29" s="35">
        <f>IF(計算用!$H$26="","",INDEX(振り分け!$C$3:$C$302,計算用!$H$26))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IF(計算用!$H$27="","",26)</f>
        <v/>
      </c>
      <c r="B30" s="28">
        <f>IF(計算用!$H$27="","",INDEX(振り分け!$A$3:$A$302,計算用!$H$27))</f>
        <v/>
      </c>
      <c r="C30" s="28">
        <f>IF(計算用!$H$27="","",INDEX(振り分け!$B$3:$B$302,計算用!$H$27))</f>
        <v/>
      </c>
      <c r="D30" s="35">
        <f>IF(計算用!$H$27="","",INDEX(振り分け!$C$3:$C$302,計算用!$H$27))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IF(計算用!$H$28="","",27)</f>
        <v/>
      </c>
      <c r="B31" s="28">
        <f>IF(計算用!$H$28="","",INDEX(振り分け!$A$3:$A$302,計算用!$H$28))</f>
        <v/>
      </c>
      <c r="C31" s="28">
        <f>IF(計算用!$H$28="","",INDEX(振り分け!$B$3:$B$302,計算用!$H$28))</f>
        <v/>
      </c>
      <c r="D31" s="35">
        <f>IF(計算用!$H$28="","",INDEX(振り分け!$C$3:$C$302,計算用!$H$28))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IF(計算用!$H$29="","",28)</f>
        <v/>
      </c>
      <c r="B32" s="28">
        <f>IF(計算用!$H$29="","",INDEX(振り分け!$A$3:$A$302,計算用!$H$29))</f>
        <v/>
      </c>
      <c r="C32" s="28">
        <f>IF(計算用!$H$29="","",INDEX(振り分け!$B$3:$B$302,計算用!$H$29))</f>
        <v/>
      </c>
      <c r="D32" s="35">
        <f>IF(計算用!$H$29="","",INDEX(振り分け!$C$3:$C$302,計算用!$H$29))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IF(計算用!$H$30="","",29)</f>
        <v/>
      </c>
      <c r="B33" s="28">
        <f>IF(計算用!$H$30="","",INDEX(振り分け!$A$3:$A$302,計算用!$H$30))</f>
        <v/>
      </c>
      <c r="C33" s="28">
        <f>IF(計算用!$H$30="","",INDEX(振り分け!$B$3:$B$302,計算用!$H$30))</f>
        <v/>
      </c>
      <c r="D33" s="35">
        <f>IF(計算用!$H$30="","",INDEX(振り分け!$C$3:$C$302,計算用!$H$30))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IF(計算用!$H$31="","",30)</f>
        <v/>
      </c>
      <c r="B34" s="28">
        <f>IF(計算用!$H$31="","",INDEX(振り分け!$A$3:$A$302,計算用!$H$31))</f>
        <v/>
      </c>
      <c r="C34" s="28">
        <f>IF(計算用!$H$31="","",INDEX(振り分け!$B$3:$B$302,計算用!$H$31))</f>
        <v/>
      </c>
      <c r="D34" s="35">
        <f>IF(計算用!$H$31="","",INDEX(振り分け!$C$3:$C$302,計算用!$H$31))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IF(計算用!$H$32="","",31)</f>
        <v/>
      </c>
      <c r="B35" s="28">
        <f>IF(計算用!$H$32="","",INDEX(振り分け!$A$3:$A$302,計算用!$H$32))</f>
        <v/>
      </c>
      <c r="C35" s="28">
        <f>IF(計算用!$H$32="","",INDEX(振り分け!$B$3:$B$302,計算用!$H$32))</f>
        <v/>
      </c>
      <c r="D35" s="35">
        <f>IF(計算用!$H$32="","",INDEX(振り分け!$C$3:$C$302,計算用!$H$32))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IF(計算用!$H$33="","",32)</f>
        <v/>
      </c>
      <c r="B36" s="28">
        <f>IF(計算用!$H$33="","",INDEX(振り分け!$A$3:$A$302,計算用!$H$33))</f>
        <v/>
      </c>
      <c r="C36" s="28">
        <f>IF(計算用!$H$33="","",INDEX(振り分け!$B$3:$B$302,計算用!$H$33))</f>
        <v/>
      </c>
      <c r="D36" s="35">
        <f>IF(計算用!$H$33="","",INDEX(振り分け!$C$3:$C$302,計算用!$H$33))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IF(計算用!$H$34="","",33)</f>
        <v/>
      </c>
      <c r="B37" s="28">
        <f>IF(計算用!$H$34="","",INDEX(振り分け!$A$3:$A$302,計算用!$H$34))</f>
        <v/>
      </c>
      <c r="C37" s="28">
        <f>IF(計算用!$H$34="","",INDEX(振り分け!$B$3:$B$302,計算用!$H$34))</f>
        <v/>
      </c>
      <c r="D37" s="35">
        <f>IF(計算用!$H$34="","",INDEX(振り分け!$C$3:$C$302,計算用!$H$34))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IF(計算用!$H$35="","",34)</f>
        <v/>
      </c>
      <c r="B38" s="28">
        <f>IF(計算用!$H$35="","",INDEX(振り分け!$A$3:$A$302,計算用!$H$35))</f>
        <v/>
      </c>
      <c r="C38" s="28">
        <f>IF(計算用!$H$35="","",INDEX(振り分け!$B$3:$B$302,計算用!$H$35))</f>
        <v/>
      </c>
      <c r="D38" s="35">
        <f>IF(計算用!$H$35="","",INDEX(振り分け!$C$3:$C$302,計算用!$H$35))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IF(計算用!$H$36="","",35)</f>
        <v/>
      </c>
      <c r="B39" s="28">
        <f>IF(計算用!$H$36="","",INDEX(振り分け!$A$3:$A$302,計算用!$H$36))</f>
        <v/>
      </c>
      <c r="C39" s="28">
        <f>IF(計算用!$H$36="","",INDEX(振り分け!$B$3:$B$302,計算用!$H$36))</f>
        <v/>
      </c>
      <c r="D39" s="35">
        <f>IF(計算用!$H$36="","",INDEX(振り分け!$C$3:$C$302,計算用!$H$36))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IF(計算用!$H$37="","",36)</f>
        <v/>
      </c>
      <c r="B40" s="28">
        <f>IF(計算用!$H$37="","",INDEX(振り分け!$A$3:$A$302,計算用!$H$37))</f>
        <v/>
      </c>
      <c r="C40" s="28">
        <f>IF(計算用!$H$37="","",INDEX(振り分け!$B$3:$B$302,計算用!$H$37))</f>
        <v/>
      </c>
      <c r="D40" s="35">
        <f>IF(計算用!$H$37="","",INDEX(振り分け!$C$3:$C$302,計算用!$H$37))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IF(計算用!$H$38="","",37)</f>
        <v/>
      </c>
      <c r="B41" s="28">
        <f>IF(計算用!$H$38="","",INDEX(振り分け!$A$3:$A$302,計算用!$H$38))</f>
        <v/>
      </c>
      <c r="C41" s="28">
        <f>IF(計算用!$H$38="","",INDEX(振り分け!$B$3:$B$302,計算用!$H$38))</f>
        <v/>
      </c>
      <c r="D41" s="35">
        <f>IF(計算用!$H$38="","",INDEX(振り分け!$C$3:$C$302,計算用!$H$38))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IF(計算用!$H$39="","",38)</f>
        <v/>
      </c>
      <c r="B42" s="28">
        <f>IF(計算用!$H$39="","",INDEX(振り分け!$A$3:$A$302,計算用!$H$39))</f>
        <v/>
      </c>
      <c r="C42" s="28">
        <f>IF(計算用!$H$39="","",INDEX(振り分け!$B$3:$B$302,計算用!$H$39))</f>
        <v/>
      </c>
      <c r="D42" s="35">
        <f>IF(計算用!$H$39="","",INDEX(振り分け!$C$3:$C$302,計算用!$H$39))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IF(計算用!$H$40="","",39)</f>
        <v/>
      </c>
      <c r="B43" s="28">
        <f>IF(計算用!$H$40="","",INDEX(振り分け!$A$3:$A$302,計算用!$H$40))</f>
        <v/>
      </c>
      <c r="C43" s="28">
        <f>IF(計算用!$H$40="","",INDEX(振り分け!$B$3:$B$302,計算用!$H$40))</f>
        <v/>
      </c>
      <c r="D43" s="35">
        <f>IF(計算用!$H$40="","",INDEX(振り分け!$C$3:$C$302,計算用!$H$40))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IF(計算用!$H$41="","",40)</f>
        <v/>
      </c>
      <c r="B44" s="28">
        <f>IF(計算用!$H$41="","",INDEX(振り分け!$A$3:$A$302,計算用!$H$41))</f>
        <v/>
      </c>
      <c r="C44" s="28">
        <f>IF(計算用!$H$41="","",INDEX(振り分け!$B$3:$B$302,計算用!$H$41))</f>
        <v/>
      </c>
      <c r="D44" s="35">
        <f>IF(計算用!$H$41="","",INDEX(振り分け!$C$3:$C$302,計算用!$H$41))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IF(設定!$G$16="","",設定!$B$3&amp;"　"&amp;設定!$G$16&amp;設定!$B$4&amp;"名簿")</f>
        <v/>
      </c>
    </row>
    <row r="2">
      <c r="A2" s="23">
        <f>IF(設定!$G$16="","","担当："&amp;設定!$J$16&amp;"　　活動場所："&amp;設定!$K$16&amp;"　　人数："&amp;COUNTIF(振り分け!$I$3:$I$302,設定!$G$16)&amp;"名")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IF(計算用!$I$2="","",1)</f>
        <v/>
      </c>
      <c r="B5" s="28">
        <f>IF(計算用!$I$2="","",INDEX(振り分け!$A$3:$A$302,計算用!$I$2))</f>
        <v/>
      </c>
      <c r="C5" s="28">
        <f>IF(計算用!$I$2="","",INDEX(振り分け!$B$3:$B$302,計算用!$I$2))</f>
        <v/>
      </c>
      <c r="D5" s="35">
        <f>IF(計算用!$I$2="","",INDEX(振り分け!$C$3:$C$302,計算用!$I$2))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IF(計算用!$I$3="","",2)</f>
        <v/>
      </c>
      <c r="B6" s="28">
        <f>IF(計算用!$I$3="","",INDEX(振り分け!$A$3:$A$302,計算用!$I$3))</f>
        <v/>
      </c>
      <c r="C6" s="28">
        <f>IF(計算用!$I$3="","",INDEX(振り分け!$B$3:$B$302,計算用!$I$3))</f>
        <v/>
      </c>
      <c r="D6" s="35">
        <f>IF(計算用!$I$3="","",INDEX(振り分け!$C$3:$C$302,計算用!$I$3))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IF(計算用!$I$4="","",3)</f>
        <v/>
      </c>
      <c r="B7" s="28">
        <f>IF(計算用!$I$4="","",INDEX(振り分け!$A$3:$A$302,計算用!$I$4))</f>
        <v/>
      </c>
      <c r="C7" s="28">
        <f>IF(計算用!$I$4="","",INDEX(振り分け!$B$3:$B$302,計算用!$I$4))</f>
        <v/>
      </c>
      <c r="D7" s="35">
        <f>IF(計算用!$I$4="","",INDEX(振り分け!$C$3:$C$302,計算用!$I$4))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IF(計算用!$I$5="","",4)</f>
        <v/>
      </c>
      <c r="B8" s="28">
        <f>IF(計算用!$I$5="","",INDEX(振り分け!$A$3:$A$302,計算用!$I$5))</f>
        <v/>
      </c>
      <c r="C8" s="28">
        <f>IF(計算用!$I$5="","",INDEX(振り分け!$B$3:$B$302,計算用!$I$5))</f>
        <v/>
      </c>
      <c r="D8" s="35">
        <f>IF(計算用!$I$5="","",INDEX(振り分け!$C$3:$C$302,計算用!$I$5))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IF(計算用!$I$6="","",5)</f>
        <v/>
      </c>
      <c r="B9" s="28">
        <f>IF(計算用!$I$6="","",INDEX(振り分け!$A$3:$A$302,計算用!$I$6))</f>
        <v/>
      </c>
      <c r="C9" s="28">
        <f>IF(計算用!$I$6="","",INDEX(振り分け!$B$3:$B$302,計算用!$I$6))</f>
        <v/>
      </c>
      <c r="D9" s="35">
        <f>IF(計算用!$I$6="","",INDEX(振り分け!$C$3:$C$302,計算用!$I$6))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IF(計算用!$I$7="","",6)</f>
        <v/>
      </c>
      <c r="B10" s="28">
        <f>IF(計算用!$I$7="","",INDEX(振り分け!$A$3:$A$302,計算用!$I$7))</f>
        <v/>
      </c>
      <c r="C10" s="28">
        <f>IF(計算用!$I$7="","",INDEX(振り分け!$B$3:$B$302,計算用!$I$7))</f>
        <v/>
      </c>
      <c r="D10" s="35">
        <f>IF(計算用!$I$7="","",INDEX(振り分け!$C$3:$C$302,計算用!$I$7))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IF(計算用!$I$8="","",7)</f>
        <v/>
      </c>
      <c r="B11" s="28">
        <f>IF(計算用!$I$8="","",INDEX(振り分け!$A$3:$A$302,計算用!$I$8))</f>
        <v/>
      </c>
      <c r="C11" s="28">
        <f>IF(計算用!$I$8="","",INDEX(振り分け!$B$3:$B$302,計算用!$I$8))</f>
        <v/>
      </c>
      <c r="D11" s="35">
        <f>IF(計算用!$I$8="","",INDEX(振り分け!$C$3:$C$302,計算用!$I$8))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IF(計算用!$I$9="","",8)</f>
        <v/>
      </c>
      <c r="B12" s="28">
        <f>IF(計算用!$I$9="","",INDEX(振り分け!$A$3:$A$302,計算用!$I$9))</f>
        <v/>
      </c>
      <c r="C12" s="28">
        <f>IF(計算用!$I$9="","",INDEX(振り分け!$B$3:$B$302,計算用!$I$9))</f>
        <v/>
      </c>
      <c r="D12" s="35">
        <f>IF(計算用!$I$9="","",INDEX(振り分け!$C$3:$C$302,計算用!$I$9))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IF(計算用!$I$10="","",9)</f>
        <v/>
      </c>
      <c r="B13" s="28">
        <f>IF(計算用!$I$10="","",INDEX(振り分け!$A$3:$A$302,計算用!$I$10))</f>
        <v/>
      </c>
      <c r="C13" s="28">
        <f>IF(計算用!$I$10="","",INDEX(振り分け!$B$3:$B$302,計算用!$I$10))</f>
        <v/>
      </c>
      <c r="D13" s="35">
        <f>IF(計算用!$I$10="","",INDEX(振り分け!$C$3:$C$302,計算用!$I$10))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IF(計算用!$I$11="","",10)</f>
        <v/>
      </c>
      <c r="B14" s="28">
        <f>IF(計算用!$I$11="","",INDEX(振り分け!$A$3:$A$302,計算用!$I$11))</f>
        <v/>
      </c>
      <c r="C14" s="28">
        <f>IF(計算用!$I$11="","",INDEX(振り分け!$B$3:$B$302,計算用!$I$11))</f>
        <v/>
      </c>
      <c r="D14" s="35">
        <f>IF(計算用!$I$11="","",INDEX(振り分け!$C$3:$C$302,計算用!$I$11))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IF(計算用!$I$12="","",11)</f>
        <v/>
      </c>
      <c r="B15" s="28">
        <f>IF(計算用!$I$12="","",INDEX(振り分け!$A$3:$A$302,計算用!$I$12))</f>
        <v/>
      </c>
      <c r="C15" s="28">
        <f>IF(計算用!$I$12="","",INDEX(振り分け!$B$3:$B$302,計算用!$I$12))</f>
        <v/>
      </c>
      <c r="D15" s="35">
        <f>IF(計算用!$I$12="","",INDEX(振り分け!$C$3:$C$302,計算用!$I$12))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IF(計算用!$I$13="","",12)</f>
        <v/>
      </c>
      <c r="B16" s="28">
        <f>IF(計算用!$I$13="","",INDEX(振り分け!$A$3:$A$302,計算用!$I$13))</f>
        <v/>
      </c>
      <c r="C16" s="28">
        <f>IF(計算用!$I$13="","",INDEX(振り分け!$B$3:$B$302,計算用!$I$13))</f>
        <v/>
      </c>
      <c r="D16" s="35">
        <f>IF(計算用!$I$13="","",INDEX(振り分け!$C$3:$C$302,計算用!$I$13))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IF(計算用!$I$14="","",13)</f>
        <v/>
      </c>
      <c r="B17" s="28">
        <f>IF(計算用!$I$14="","",INDEX(振り分け!$A$3:$A$302,計算用!$I$14))</f>
        <v/>
      </c>
      <c r="C17" s="28">
        <f>IF(計算用!$I$14="","",INDEX(振り分け!$B$3:$B$302,計算用!$I$14))</f>
        <v/>
      </c>
      <c r="D17" s="35">
        <f>IF(計算用!$I$14="","",INDEX(振り分け!$C$3:$C$302,計算用!$I$14))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IF(計算用!$I$15="","",14)</f>
        <v/>
      </c>
      <c r="B18" s="28">
        <f>IF(計算用!$I$15="","",INDEX(振り分け!$A$3:$A$302,計算用!$I$15))</f>
        <v/>
      </c>
      <c r="C18" s="28">
        <f>IF(計算用!$I$15="","",INDEX(振り分け!$B$3:$B$302,計算用!$I$15))</f>
        <v/>
      </c>
      <c r="D18" s="35">
        <f>IF(計算用!$I$15="","",INDEX(振り分け!$C$3:$C$302,計算用!$I$15))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IF(計算用!$I$16="","",15)</f>
        <v/>
      </c>
      <c r="B19" s="28">
        <f>IF(計算用!$I$16="","",INDEX(振り分け!$A$3:$A$302,計算用!$I$16))</f>
        <v/>
      </c>
      <c r="C19" s="28">
        <f>IF(計算用!$I$16="","",INDEX(振り分け!$B$3:$B$302,計算用!$I$16))</f>
        <v/>
      </c>
      <c r="D19" s="35">
        <f>IF(計算用!$I$16="","",INDEX(振り分け!$C$3:$C$302,計算用!$I$16))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IF(計算用!$I$17="","",16)</f>
        <v/>
      </c>
      <c r="B20" s="28">
        <f>IF(計算用!$I$17="","",INDEX(振り分け!$A$3:$A$302,計算用!$I$17))</f>
        <v/>
      </c>
      <c r="C20" s="28">
        <f>IF(計算用!$I$17="","",INDEX(振り分け!$B$3:$B$302,計算用!$I$17))</f>
        <v/>
      </c>
      <c r="D20" s="35">
        <f>IF(計算用!$I$17="","",INDEX(振り分け!$C$3:$C$302,計算用!$I$17))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IF(計算用!$I$18="","",17)</f>
        <v/>
      </c>
      <c r="B21" s="28">
        <f>IF(計算用!$I$18="","",INDEX(振り分け!$A$3:$A$302,計算用!$I$18))</f>
        <v/>
      </c>
      <c r="C21" s="28">
        <f>IF(計算用!$I$18="","",INDEX(振り分け!$B$3:$B$302,計算用!$I$18))</f>
        <v/>
      </c>
      <c r="D21" s="35">
        <f>IF(計算用!$I$18="","",INDEX(振り分け!$C$3:$C$302,計算用!$I$18))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IF(計算用!$I$19="","",18)</f>
        <v/>
      </c>
      <c r="B22" s="28">
        <f>IF(計算用!$I$19="","",INDEX(振り分け!$A$3:$A$302,計算用!$I$19))</f>
        <v/>
      </c>
      <c r="C22" s="28">
        <f>IF(計算用!$I$19="","",INDEX(振り分け!$B$3:$B$302,計算用!$I$19))</f>
        <v/>
      </c>
      <c r="D22" s="35">
        <f>IF(計算用!$I$19="","",INDEX(振り分け!$C$3:$C$302,計算用!$I$19))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IF(計算用!$I$20="","",19)</f>
        <v/>
      </c>
      <c r="B23" s="28">
        <f>IF(計算用!$I$20="","",INDEX(振り分け!$A$3:$A$302,計算用!$I$20))</f>
        <v/>
      </c>
      <c r="C23" s="28">
        <f>IF(計算用!$I$20="","",INDEX(振り分け!$B$3:$B$302,計算用!$I$20))</f>
        <v/>
      </c>
      <c r="D23" s="35">
        <f>IF(計算用!$I$20="","",INDEX(振り分け!$C$3:$C$302,計算用!$I$20))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IF(計算用!$I$21="","",20)</f>
        <v/>
      </c>
      <c r="B24" s="28">
        <f>IF(計算用!$I$21="","",INDEX(振り分け!$A$3:$A$302,計算用!$I$21))</f>
        <v/>
      </c>
      <c r="C24" s="28">
        <f>IF(計算用!$I$21="","",INDEX(振り分け!$B$3:$B$302,計算用!$I$21))</f>
        <v/>
      </c>
      <c r="D24" s="35">
        <f>IF(計算用!$I$21="","",INDEX(振り分け!$C$3:$C$302,計算用!$I$21))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IF(計算用!$I$22="","",21)</f>
        <v/>
      </c>
      <c r="B25" s="28">
        <f>IF(計算用!$I$22="","",INDEX(振り分け!$A$3:$A$302,計算用!$I$22))</f>
        <v/>
      </c>
      <c r="C25" s="28">
        <f>IF(計算用!$I$22="","",INDEX(振り分け!$B$3:$B$302,計算用!$I$22))</f>
        <v/>
      </c>
      <c r="D25" s="35">
        <f>IF(計算用!$I$22="","",INDEX(振り分け!$C$3:$C$302,計算用!$I$22))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IF(計算用!$I$23="","",22)</f>
        <v/>
      </c>
      <c r="B26" s="28">
        <f>IF(計算用!$I$23="","",INDEX(振り分け!$A$3:$A$302,計算用!$I$23))</f>
        <v/>
      </c>
      <c r="C26" s="28">
        <f>IF(計算用!$I$23="","",INDEX(振り分け!$B$3:$B$302,計算用!$I$23))</f>
        <v/>
      </c>
      <c r="D26" s="35">
        <f>IF(計算用!$I$23="","",INDEX(振り分け!$C$3:$C$302,計算用!$I$23))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IF(計算用!$I$24="","",23)</f>
        <v/>
      </c>
      <c r="B27" s="28">
        <f>IF(計算用!$I$24="","",INDEX(振り分け!$A$3:$A$302,計算用!$I$24))</f>
        <v/>
      </c>
      <c r="C27" s="28">
        <f>IF(計算用!$I$24="","",INDEX(振り分け!$B$3:$B$302,計算用!$I$24))</f>
        <v/>
      </c>
      <c r="D27" s="35">
        <f>IF(計算用!$I$24="","",INDEX(振り分け!$C$3:$C$302,計算用!$I$24))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IF(計算用!$I$25="","",24)</f>
        <v/>
      </c>
      <c r="B28" s="28">
        <f>IF(計算用!$I$25="","",INDEX(振り分け!$A$3:$A$302,計算用!$I$25))</f>
        <v/>
      </c>
      <c r="C28" s="28">
        <f>IF(計算用!$I$25="","",INDEX(振り分け!$B$3:$B$302,計算用!$I$25))</f>
        <v/>
      </c>
      <c r="D28" s="35">
        <f>IF(計算用!$I$25="","",INDEX(振り分け!$C$3:$C$302,計算用!$I$25))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IF(計算用!$I$26="","",25)</f>
        <v/>
      </c>
      <c r="B29" s="28">
        <f>IF(計算用!$I$26="","",INDEX(振り分け!$A$3:$A$302,計算用!$I$26))</f>
        <v/>
      </c>
      <c r="C29" s="28">
        <f>IF(計算用!$I$26="","",INDEX(振り分け!$B$3:$B$302,計算用!$I$26))</f>
        <v/>
      </c>
      <c r="D29" s="35">
        <f>IF(計算用!$I$26="","",INDEX(振り分け!$C$3:$C$302,計算用!$I$26))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IF(計算用!$I$27="","",26)</f>
        <v/>
      </c>
      <c r="B30" s="28">
        <f>IF(計算用!$I$27="","",INDEX(振り分け!$A$3:$A$302,計算用!$I$27))</f>
        <v/>
      </c>
      <c r="C30" s="28">
        <f>IF(計算用!$I$27="","",INDEX(振り分け!$B$3:$B$302,計算用!$I$27))</f>
        <v/>
      </c>
      <c r="D30" s="35">
        <f>IF(計算用!$I$27="","",INDEX(振り分け!$C$3:$C$302,計算用!$I$27))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IF(計算用!$I$28="","",27)</f>
        <v/>
      </c>
      <c r="B31" s="28">
        <f>IF(計算用!$I$28="","",INDEX(振り分け!$A$3:$A$302,計算用!$I$28))</f>
        <v/>
      </c>
      <c r="C31" s="28">
        <f>IF(計算用!$I$28="","",INDEX(振り分け!$B$3:$B$302,計算用!$I$28))</f>
        <v/>
      </c>
      <c r="D31" s="35">
        <f>IF(計算用!$I$28="","",INDEX(振り分け!$C$3:$C$302,計算用!$I$28))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IF(計算用!$I$29="","",28)</f>
        <v/>
      </c>
      <c r="B32" s="28">
        <f>IF(計算用!$I$29="","",INDEX(振り分け!$A$3:$A$302,計算用!$I$29))</f>
        <v/>
      </c>
      <c r="C32" s="28">
        <f>IF(計算用!$I$29="","",INDEX(振り分け!$B$3:$B$302,計算用!$I$29))</f>
        <v/>
      </c>
      <c r="D32" s="35">
        <f>IF(計算用!$I$29="","",INDEX(振り分け!$C$3:$C$302,計算用!$I$29))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IF(計算用!$I$30="","",29)</f>
        <v/>
      </c>
      <c r="B33" s="28">
        <f>IF(計算用!$I$30="","",INDEX(振り分け!$A$3:$A$302,計算用!$I$30))</f>
        <v/>
      </c>
      <c r="C33" s="28">
        <f>IF(計算用!$I$30="","",INDEX(振り分け!$B$3:$B$302,計算用!$I$30))</f>
        <v/>
      </c>
      <c r="D33" s="35">
        <f>IF(計算用!$I$30="","",INDEX(振り分け!$C$3:$C$302,計算用!$I$30))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IF(計算用!$I$31="","",30)</f>
        <v/>
      </c>
      <c r="B34" s="28">
        <f>IF(計算用!$I$31="","",INDEX(振り分け!$A$3:$A$302,計算用!$I$31))</f>
        <v/>
      </c>
      <c r="C34" s="28">
        <f>IF(計算用!$I$31="","",INDEX(振り分け!$B$3:$B$302,計算用!$I$31))</f>
        <v/>
      </c>
      <c r="D34" s="35">
        <f>IF(計算用!$I$31="","",INDEX(振り分け!$C$3:$C$302,計算用!$I$31))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IF(計算用!$I$32="","",31)</f>
        <v/>
      </c>
      <c r="B35" s="28">
        <f>IF(計算用!$I$32="","",INDEX(振り分け!$A$3:$A$302,計算用!$I$32))</f>
        <v/>
      </c>
      <c r="C35" s="28">
        <f>IF(計算用!$I$32="","",INDEX(振り分け!$B$3:$B$302,計算用!$I$32))</f>
        <v/>
      </c>
      <c r="D35" s="35">
        <f>IF(計算用!$I$32="","",INDEX(振り分け!$C$3:$C$302,計算用!$I$32))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IF(計算用!$I$33="","",32)</f>
        <v/>
      </c>
      <c r="B36" s="28">
        <f>IF(計算用!$I$33="","",INDEX(振り分け!$A$3:$A$302,計算用!$I$33))</f>
        <v/>
      </c>
      <c r="C36" s="28">
        <f>IF(計算用!$I$33="","",INDEX(振り分け!$B$3:$B$302,計算用!$I$33))</f>
        <v/>
      </c>
      <c r="D36" s="35">
        <f>IF(計算用!$I$33="","",INDEX(振り分け!$C$3:$C$302,計算用!$I$33))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IF(計算用!$I$34="","",33)</f>
        <v/>
      </c>
      <c r="B37" s="28">
        <f>IF(計算用!$I$34="","",INDEX(振り分け!$A$3:$A$302,計算用!$I$34))</f>
        <v/>
      </c>
      <c r="C37" s="28">
        <f>IF(計算用!$I$34="","",INDEX(振り分け!$B$3:$B$302,計算用!$I$34))</f>
        <v/>
      </c>
      <c r="D37" s="35">
        <f>IF(計算用!$I$34="","",INDEX(振り分け!$C$3:$C$302,計算用!$I$34))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IF(計算用!$I$35="","",34)</f>
        <v/>
      </c>
      <c r="B38" s="28">
        <f>IF(計算用!$I$35="","",INDEX(振り分け!$A$3:$A$302,計算用!$I$35))</f>
        <v/>
      </c>
      <c r="C38" s="28">
        <f>IF(計算用!$I$35="","",INDEX(振り分け!$B$3:$B$302,計算用!$I$35))</f>
        <v/>
      </c>
      <c r="D38" s="35">
        <f>IF(計算用!$I$35="","",INDEX(振り分け!$C$3:$C$302,計算用!$I$35))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IF(計算用!$I$36="","",35)</f>
        <v/>
      </c>
      <c r="B39" s="28">
        <f>IF(計算用!$I$36="","",INDEX(振り分け!$A$3:$A$302,計算用!$I$36))</f>
        <v/>
      </c>
      <c r="C39" s="28">
        <f>IF(計算用!$I$36="","",INDEX(振り分け!$B$3:$B$302,計算用!$I$36))</f>
        <v/>
      </c>
      <c r="D39" s="35">
        <f>IF(計算用!$I$36="","",INDEX(振り分け!$C$3:$C$302,計算用!$I$36))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IF(計算用!$I$37="","",36)</f>
        <v/>
      </c>
      <c r="B40" s="28">
        <f>IF(計算用!$I$37="","",INDEX(振り分け!$A$3:$A$302,計算用!$I$37))</f>
        <v/>
      </c>
      <c r="C40" s="28">
        <f>IF(計算用!$I$37="","",INDEX(振り分け!$B$3:$B$302,計算用!$I$37))</f>
        <v/>
      </c>
      <c r="D40" s="35">
        <f>IF(計算用!$I$37="","",INDEX(振り分け!$C$3:$C$302,計算用!$I$37))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IF(計算用!$I$38="","",37)</f>
        <v/>
      </c>
      <c r="B41" s="28">
        <f>IF(計算用!$I$38="","",INDEX(振り分け!$A$3:$A$302,計算用!$I$38))</f>
        <v/>
      </c>
      <c r="C41" s="28">
        <f>IF(計算用!$I$38="","",INDEX(振り分け!$B$3:$B$302,計算用!$I$38))</f>
        <v/>
      </c>
      <c r="D41" s="35">
        <f>IF(計算用!$I$38="","",INDEX(振り分け!$C$3:$C$302,計算用!$I$38))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IF(計算用!$I$39="","",38)</f>
        <v/>
      </c>
      <c r="B42" s="28">
        <f>IF(計算用!$I$39="","",INDEX(振り分け!$A$3:$A$302,計算用!$I$39))</f>
        <v/>
      </c>
      <c r="C42" s="28">
        <f>IF(計算用!$I$39="","",INDEX(振り分け!$B$3:$B$302,計算用!$I$39))</f>
        <v/>
      </c>
      <c r="D42" s="35">
        <f>IF(計算用!$I$39="","",INDEX(振り分け!$C$3:$C$302,計算用!$I$39))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IF(計算用!$I$40="","",39)</f>
        <v/>
      </c>
      <c r="B43" s="28">
        <f>IF(計算用!$I$40="","",INDEX(振り分け!$A$3:$A$302,計算用!$I$40))</f>
        <v/>
      </c>
      <c r="C43" s="28">
        <f>IF(計算用!$I$40="","",INDEX(振り分け!$B$3:$B$302,計算用!$I$40))</f>
        <v/>
      </c>
      <c r="D43" s="35">
        <f>IF(計算用!$I$40="","",INDEX(振り分け!$C$3:$C$302,計算用!$I$40))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IF(計算用!$I$41="","",40)</f>
        <v/>
      </c>
      <c r="B44" s="28">
        <f>IF(計算用!$I$41="","",INDEX(振り分け!$A$3:$A$302,計算用!$I$41))</f>
        <v/>
      </c>
      <c r="C44" s="28">
        <f>IF(計算用!$I$41="","",INDEX(振り分け!$B$3:$B$302,計算用!$I$41))</f>
        <v/>
      </c>
      <c r="D44" s="35">
        <f>IF(計算用!$I$41="","",INDEX(振り分け!$C$3:$C$302,計算用!$I$41))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IF(設定!$G$17="","",設定!$B$3&amp;"　"&amp;設定!$G$17&amp;設定!$B$4&amp;"名簿")</f>
        <v/>
      </c>
    </row>
    <row r="2">
      <c r="A2" s="23">
        <f>IF(設定!$G$17="","","担当："&amp;設定!$J$17&amp;"　　活動場所："&amp;設定!$K$17&amp;"　　人数："&amp;COUNTIF(振り分け!$I$3:$I$302,設定!$G$17)&amp;"名")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IF(計算用!$J$2="","",1)</f>
        <v/>
      </c>
      <c r="B5" s="28">
        <f>IF(計算用!$J$2="","",INDEX(振り分け!$A$3:$A$302,計算用!$J$2))</f>
        <v/>
      </c>
      <c r="C5" s="28">
        <f>IF(計算用!$J$2="","",INDEX(振り分け!$B$3:$B$302,計算用!$J$2))</f>
        <v/>
      </c>
      <c r="D5" s="35">
        <f>IF(計算用!$J$2="","",INDEX(振り分け!$C$3:$C$302,計算用!$J$2))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IF(計算用!$J$3="","",2)</f>
        <v/>
      </c>
      <c r="B6" s="28">
        <f>IF(計算用!$J$3="","",INDEX(振り分け!$A$3:$A$302,計算用!$J$3))</f>
        <v/>
      </c>
      <c r="C6" s="28">
        <f>IF(計算用!$J$3="","",INDEX(振り分け!$B$3:$B$302,計算用!$J$3))</f>
        <v/>
      </c>
      <c r="D6" s="35">
        <f>IF(計算用!$J$3="","",INDEX(振り分け!$C$3:$C$302,計算用!$J$3))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IF(計算用!$J$4="","",3)</f>
        <v/>
      </c>
      <c r="B7" s="28">
        <f>IF(計算用!$J$4="","",INDEX(振り分け!$A$3:$A$302,計算用!$J$4))</f>
        <v/>
      </c>
      <c r="C7" s="28">
        <f>IF(計算用!$J$4="","",INDEX(振り分け!$B$3:$B$302,計算用!$J$4))</f>
        <v/>
      </c>
      <c r="D7" s="35">
        <f>IF(計算用!$J$4="","",INDEX(振り分け!$C$3:$C$302,計算用!$J$4))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IF(計算用!$J$5="","",4)</f>
        <v/>
      </c>
      <c r="B8" s="28">
        <f>IF(計算用!$J$5="","",INDEX(振り分け!$A$3:$A$302,計算用!$J$5))</f>
        <v/>
      </c>
      <c r="C8" s="28">
        <f>IF(計算用!$J$5="","",INDEX(振り分け!$B$3:$B$302,計算用!$J$5))</f>
        <v/>
      </c>
      <c r="D8" s="35">
        <f>IF(計算用!$J$5="","",INDEX(振り分け!$C$3:$C$302,計算用!$J$5))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IF(計算用!$J$6="","",5)</f>
        <v/>
      </c>
      <c r="B9" s="28">
        <f>IF(計算用!$J$6="","",INDEX(振り分け!$A$3:$A$302,計算用!$J$6))</f>
        <v/>
      </c>
      <c r="C9" s="28">
        <f>IF(計算用!$J$6="","",INDEX(振り分け!$B$3:$B$302,計算用!$J$6))</f>
        <v/>
      </c>
      <c r="D9" s="35">
        <f>IF(計算用!$J$6="","",INDEX(振り分け!$C$3:$C$302,計算用!$J$6))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IF(計算用!$J$7="","",6)</f>
        <v/>
      </c>
      <c r="B10" s="28">
        <f>IF(計算用!$J$7="","",INDEX(振り分け!$A$3:$A$302,計算用!$J$7))</f>
        <v/>
      </c>
      <c r="C10" s="28">
        <f>IF(計算用!$J$7="","",INDEX(振り分け!$B$3:$B$302,計算用!$J$7))</f>
        <v/>
      </c>
      <c r="D10" s="35">
        <f>IF(計算用!$J$7="","",INDEX(振り分け!$C$3:$C$302,計算用!$J$7))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IF(計算用!$J$8="","",7)</f>
        <v/>
      </c>
      <c r="B11" s="28">
        <f>IF(計算用!$J$8="","",INDEX(振り分け!$A$3:$A$302,計算用!$J$8))</f>
        <v/>
      </c>
      <c r="C11" s="28">
        <f>IF(計算用!$J$8="","",INDEX(振り分け!$B$3:$B$302,計算用!$J$8))</f>
        <v/>
      </c>
      <c r="D11" s="35">
        <f>IF(計算用!$J$8="","",INDEX(振り分け!$C$3:$C$302,計算用!$J$8))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IF(計算用!$J$9="","",8)</f>
        <v/>
      </c>
      <c r="B12" s="28">
        <f>IF(計算用!$J$9="","",INDEX(振り分け!$A$3:$A$302,計算用!$J$9))</f>
        <v/>
      </c>
      <c r="C12" s="28">
        <f>IF(計算用!$J$9="","",INDEX(振り分け!$B$3:$B$302,計算用!$J$9))</f>
        <v/>
      </c>
      <c r="D12" s="35">
        <f>IF(計算用!$J$9="","",INDEX(振り分け!$C$3:$C$302,計算用!$J$9))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IF(計算用!$J$10="","",9)</f>
        <v/>
      </c>
      <c r="B13" s="28">
        <f>IF(計算用!$J$10="","",INDEX(振り分け!$A$3:$A$302,計算用!$J$10))</f>
        <v/>
      </c>
      <c r="C13" s="28">
        <f>IF(計算用!$J$10="","",INDEX(振り分け!$B$3:$B$302,計算用!$J$10))</f>
        <v/>
      </c>
      <c r="D13" s="35">
        <f>IF(計算用!$J$10="","",INDEX(振り分け!$C$3:$C$302,計算用!$J$10))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IF(計算用!$J$11="","",10)</f>
        <v/>
      </c>
      <c r="B14" s="28">
        <f>IF(計算用!$J$11="","",INDEX(振り分け!$A$3:$A$302,計算用!$J$11))</f>
        <v/>
      </c>
      <c r="C14" s="28">
        <f>IF(計算用!$J$11="","",INDEX(振り分け!$B$3:$B$302,計算用!$J$11))</f>
        <v/>
      </c>
      <c r="D14" s="35">
        <f>IF(計算用!$J$11="","",INDEX(振り分け!$C$3:$C$302,計算用!$J$11))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IF(計算用!$J$12="","",11)</f>
        <v/>
      </c>
      <c r="B15" s="28">
        <f>IF(計算用!$J$12="","",INDEX(振り分け!$A$3:$A$302,計算用!$J$12))</f>
        <v/>
      </c>
      <c r="C15" s="28">
        <f>IF(計算用!$J$12="","",INDEX(振り分け!$B$3:$B$302,計算用!$J$12))</f>
        <v/>
      </c>
      <c r="D15" s="35">
        <f>IF(計算用!$J$12="","",INDEX(振り分け!$C$3:$C$302,計算用!$J$12))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IF(計算用!$J$13="","",12)</f>
        <v/>
      </c>
      <c r="B16" s="28">
        <f>IF(計算用!$J$13="","",INDEX(振り分け!$A$3:$A$302,計算用!$J$13))</f>
        <v/>
      </c>
      <c r="C16" s="28">
        <f>IF(計算用!$J$13="","",INDEX(振り分け!$B$3:$B$302,計算用!$J$13))</f>
        <v/>
      </c>
      <c r="D16" s="35">
        <f>IF(計算用!$J$13="","",INDEX(振り分け!$C$3:$C$302,計算用!$J$13))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IF(計算用!$J$14="","",13)</f>
        <v/>
      </c>
      <c r="B17" s="28">
        <f>IF(計算用!$J$14="","",INDEX(振り分け!$A$3:$A$302,計算用!$J$14))</f>
        <v/>
      </c>
      <c r="C17" s="28">
        <f>IF(計算用!$J$14="","",INDEX(振り分け!$B$3:$B$302,計算用!$J$14))</f>
        <v/>
      </c>
      <c r="D17" s="35">
        <f>IF(計算用!$J$14="","",INDEX(振り分け!$C$3:$C$302,計算用!$J$14))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IF(計算用!$J$15="","",14)</f>
        <v/>
      </c>
      <c r="B18" s="28">
        <f>IF(計算用!$J$15="","",INDEX(振り分け!$A$3:$A$302,計算用!$J$15))</f>
        <v/>
      </c>
      <c r="C18" s="28">
        <f>IF(計算用!$J$15="","",INDEX(振り分け!$B$3:$B$302,計算用!$J$15))</f>
        <v/>
      </c>
      <c r="D18" s="35">
        <f>IF(計算用!$J$15="","",INDEX(振り分け!$C$3:$C$302,計算用!$J$15))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IF(計算用!$J$16="","",15)</f>
        <v/>
      </c>
      <c r="B19" s="28">
        <f>IF(計算用!$J$16="","",INDEX(振り分け!$A$3:$A$302,計算用!$J$16))</f>
        <v/>
      </c>
      <c r="C19" s="28">
        <f>IF(計算用!$J$16="","",INDEX(振り分け!$B$3:$B$302,計算用!$J$16))</f>
        <v/>
      </c>
      <c r="D19" s="35">
        <f>IF(計算用!$J$16="","",INDEX(振り分け!$C$3:$C$302,計算用!$J$16))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IF(計算用!$J$17="","",16)</f>
        <v/>
      </c>
      <c r="B20" s="28">
        <f>IF(計算用!$J$17="","",INDEX(振り分け!$A$3:$A$302,計算用!$J$17))</f>
        <v/>
      </c>
      <c r="C20" s="28">
        <f>IF(計算用!$J$17="","",INDEX(振り分け!$B$3:$B$302,計算用!$J$17))</f>
        <v/>
      </c>
      <c r="D20" s="35">
        <f>IF(計算用!$J$17="","",INDEX(振り分け!$C$3:$C$302,計算用!$J$17))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IF(計算用!$J$18="","",17)</f>
        <v/>
      </c>
      <c r="B21" s="28">
        <f>IF(計算用!$J$18="","",INDEX(振り分け!$A$3:$A$302,計算用!$J$18))</f>
        <v/>
      </c>
      <c r="C21" s="28">
        <f>IF(計算用!$J$18="","",INDEX(振り分け!$B$3:$B$302,計算用!$J$18))</f>
        <v/>
      </c>
      <c r="D21" s="35">
        <f>IF(計算用!$J$18="","",INDEX(振り分け!$C$3:$C$302,計算用!$J$18))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IF(計算用!$J$19="","",18)</f>
        <v/>
      </c>
      <c r="B22" s="28">
        <f>IF(計算用!$J$19="","",INDEX(振り分け!$A$3:$A$302,計算用!$J$19))</f>
        <v/>
      </c>
      <c r="C22" s="28">
        <f>IF(計算用!$J$19="","",INDEX(振り分け!$B$3:$B$302,計算用!$J$19))</f>
        <v/>
      </c>
      <c r="D22" s="35">
        <f>IF(計算用!$J$19="","",INDEX(振り分け!$C$3:$C$302,計算用!$J$19))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IF(計算用!$J$20="","",19)</f>
        <v/>
      </c>
      <c r="B23" s="28">
        <f>IF(計算用!$J$20="","",INDEX(振り分け!$A$3:$A$302,計算用!$J$20))</f>
        <v/>
      </c>
      <c r="C23" s="28">
        <f>IF(計算用!$J$20="","",INDEX(振り分け!$B$3:$B$302,計算用!$J$20))</f>
        <v/>
      </c>
      <c r="D23" s="35">
        <f>IF(計算用!$J$20="","",INDEX(振り分け!$C$3:$C$302,計算用!$J$20))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IF(計算用!$J$21="","",20)</f>
        <v/>
      </c>
      <c r="B24" s="28">
        <f>IF(計算用!$J$21="","",INDEX(振り分け!$A$3:$A$302,計算用!$J$21))</f>
        <v/>
      </c>
      <c r="C24" s="28">
        <f>IF(計算用!$J$21="","",INDEX(振り分け!$B$3:$B$302,計算用!$J$21))</f>
        <v/>
      </c>
      <c r="D24" s="35">
        <f>IF(計算用!$J$21="","",INDEX(振り分け!$C$3:$C$302,計算用!$J$21))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IF(計算用!$J$22="","",21)</f>
        <v/>
      </c>
      <c r="B25" s="28">
        <f>IF(計算用!$J$22="","",INDEX(振り分け!$A$3:$A$302,計算用!$J$22))</f>
        <v/>
      </c>
      <c r="C25" s="28">
        <f>IF(計算用!$J$22="","",INDEX(振り分け!$B$3:$B$302,計算用!$J$22))</f>
        <v/>
      </c>
      <c r="D25" s="35">
        <f>IF(計算用!$J$22="","",INDEX(振り分け!$C$3:$C$302,計算用!$J$22))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IF(計算用!$J$23="","",22)</f>
        <v/>
      </c>
      <c r="B26" s="28">
        <f>IF(計算用!$J$23="","",INDEX(振り分け!$A$3:$A$302,計算用!$J$23))</f>
        <v/>
      </c>
      <c r="C26" s="28">
        <f>IF(計算用!$J$23="","",INDEX(振り分け!$B$3:$B$302,計算用!$J$23))</f>
        <v/>
      </c>
      <c r="D26" s="35">
        <f>IF(計算用!$J$23="","",INDEX(振り分け!$C$3:$C$302,計算用!$J$23))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IF(計算用!$J$24="","",23)</f>
        <v/>
      </c>
      <c r="B27" s="28">
        <f>IF(計算用!$J$24="","",INDEX(振り分け!$A$3:$A$302,計算用!$J$24))</f>
        <v/>
      </c>
      <c r="C27" s="28">
        <f>IF(計算用!$J$24="","",INDEX(振り分け!$B$3:$B$302,計算用!$J$24))</f>
        <v/>
      </c>
      <c r="D27" s="35">
        <f>IF(計算用!$J$24="","",INDEX(振り分け!$C$3:$C$302,計算用!$J$24))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IF(計算用!$J$25="","",24)</f>
        <v/>
      </c>
      <c r="B28" s="28">
        <f>IF(計算用!$J$25="","",INDEX(振り分け!$A$3:$A$302,計算用!$J$25))</f>
        <v/>
      </c>
      <c r="C28" s="28">
        <f>IF(計算用!$J$25="","",INDEX(振り分け!$B$3:$B$302,計算用!$J$25))</f>
        <v/>
      </c>
      <c r="D28" s="35">
        <f>IF(計算用!$J$25="","",INDEX(振り分け!$C$3:$C$302,計算用!$J$25))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IF(計算用!$J$26="","",25)</f>
        <v/>
      </c>
      <c r="B29" s="28">
        <f>IF(計算用!$J$26="","",INDEX(振り分け!$A$3:$A$302,計算用!$J$26))</f>
        <v/>
      </c>
      <c r="C29" s="28">
        <f>IF(計算用!$J$26="","",INDEX(振り分け!$B$3:$B$302,計算用!$J$26))</f>
        <v/>
      </c>
      <c r="D29" s="35">
        <f>IF(計算用!$J$26="","",INDEX(振り分け!$C$3:$C$302,計算用!$J$26))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IF(計算用!$J$27="","",26)</f>
        <v/>
      </c>
      <c r="B30" s="28">
        <f>IF(計算用!$J$27="","",INDEX(振り分け!$A$3:$A$302,計算用!$J$27))</f>
        <v/>
      </c>
      <c r="C30" s="28">
        <f>IF(計算用!$J$27="","",INDEX(振り分け!$B$3:$B$302,計算用!$J$27))</f>
        <v/>
      </c>
      <c r="D30" s="35">
        <f>IF(計算用!$J$27="","",INDEX(振り分け!$C$3:$C$302,計算用!$J$27))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IF(計算用!$J$28="","",27)</f>
        <v/>
      </c>
      <c r="B31" s="28">
        <f>IF(計算用!$J$28="","",INDEX(振り分け!$A$3:$A$302,計算用!$J$28))</f>
        <v/>
      </c>
      <c r="C31" s="28">
        <f>IF(計算用!$J$28="","",INDEX(振り分け!$B$3:$B$302,計算用!$J$28))</f>
        <v/>
      </c>
      <c r="D31" s="35">
        <f>IF(計算用!$J$28="","",INDEX(振り分け!$C$3:$C$302,計算用!$J$28))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IF(計算用!$J$29="","",28)</f>
        <v/>
      </c>
      <c r="B32" s="28">
        <f>IF(計算用!$J$29="","",INDEX(振り分け!$A$3:$A$302,計算用!$J$29))</f>
        <v/>
      </c>
      <c r="C32" s="28">
        <f>IF(計算用!$J$29="","",INDEX(振り分け!$B$3:$B$302,計算用!$J$29))</f>
        <v/>
      </c>
      <c r="D32" s="35">
        <f>IF(計算用!$J$29="","",INDEX(振り分け!$C$3:$C$302,計算用!$J$29))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IF(計算用!$J$30="","",29)</f>
        <v/>
      </c>
      <c r="B33" s="28">
        <f>IF(計算用!$J$30="","",INDEX(振り分け!$A$3:$A$302,計算用!$J$30))</f>
        <v/>
      </c>
      <c r="C33" s="28">
        <f>IF(計算用!$J$30="","",INDEX(振り分け!$B$3:$B$302,計算用!$J$30))</f>
        <v/>
      </c>
      <c r="D33" s="35">
        <f>IF(計算用!$J$30="","",INDEX(振り分け!$C$3:$C$302,計算用!$J$30))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IF(計算用!$J$31="","",30)</f>
        <v/>
      </c>
      <c r="B34" s="28">
        <f>IF(計算用!$J$31="","",INDEX(振り分け!$A$3:$A$302,計算用!$J$31))</f>
        <v/>
      </c>
      <c r="C34" s="28">
        <f>IF(計算用!$J$31="","",INDEX(振り分け!$B$3:$B$302,計算用!$J$31))</f>
        <v/>
      </c>
      <c r="D34" s="35">
        <f>IF(計算用!$J$31="","",INDEX(振り分け!$C$3:$C$302,計算用!$J$31))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IF(計算用!$J$32="","",31)</f>
        <v/>
      </c>
      <c r="B35" s="28">
        <f>IF(計算用!$J$32="","",INDEX(振り分け!$A$3:$A$302,計算用!$J$32))</f>
        <v/>
      </c>
      <c r="C35" s="28">
        <f>IF(計算用!$J$32="","",INDEX(振り分け!$B$3:$B$302,計算用!$J$32))</f>
        <v/>
      </c>
      <c r="D35" s="35">
        <f>IF(計算用!$J$32="","",INDEX(振り分け!$C$3:$C$302,計算用!$J$32))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IF(計算用!$J$33="","",32)</f>
        <v/>
      </c>
      <c r="B36" s="28">
        <f>IF(計算用!$J$33="","",INDEX(振り分け!$A$3:$A$302,計算用!$J$33))</f>
        <v/>
      </c>
      <c r="C36" s="28">
        <f>IF(計算用!$J$33="","",INDEX(振り分け!$B$3:$B$302,計算用!$J$33))</f>
        <v/>
      </c>
      <c r="D36" s="35">
        <f>IF(計算用!$J$33="","",INDEX(振り分け!$C$3:$C$302,計算用!$J$33))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IF(計算用!$J$34="","",33)</f>
        <v/>
      </c>
      <c r="B37" s="28">
        <f>IF(計算用!$J$34="","",INDEX(振り分け!$A$3:$A$302,計算用!$J$34))</f>
        <v/>
      </c>
      <c r="C37" s="28">
        <f>IF(計算用!$J$34="","",INDEX(振り分け!$B$3:$B$302,計算用!$J$34))</f>
        <v/>
      </c>
      <c r="D37" s="35">
        <f>IF(計算用!$J$34="","",INDEX(振り分け!$C$3:$C$302,計算用!$J$34))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IF(計算用!$J$35="","",34)</f>
        <v/>
      </c>
      <c r="B38" s="28">
        <f>IF(計算用!$J$35="","",INDEX(振り分け!$A$3:$A$302,計算用!$J$35))</f>
        <v/>
      </c>
      <c r="C38" s="28">
        <f>IF(計算用!$J$35="","",INDEX(振り分け!$B$3:$B$302,計算用!$J$35))</f>
        <v/>
      </c>
      <c r="D38" s="35">
        <f>IF(計算用!$J$35="","",INDEX(振り分け!$C$3:$C$302,計算用!$J$35))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IF(計算用!$J$36="","",35)</f>
        <v/>
      </c>
      <c r="B39" s="28">
        <f>IF(計算用!$J$36="","",INDEX(振り分け!$A$3:$A$302,計算用!$J$36))</f>
        <v/>
      </c>
      <c r="C39" s="28">
        <f>IF(計算用!$J$36="","",INDEX(振り分け!$B$3:$B$302,計算用!$J$36))</f>
        <v/>
      </c>
      <c r="D39" s="35">
        <f>IF(計算用!$J$36="","",INDEX(振り分け!$C$3:$C$302,計算用!$J$36))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IF(計算用!$J$37="","",36)</f>
        <v/>
      </c>
      <c r="B40" s="28">
        <f>IF(計算用!$J$37="","",INDEX(振り分け!$A$3:$A$302,計算用!$J$37))</f>
        <v/>
      </c>
      <c r="C40" s="28">
        <f>IF(計算用!$J$37="","",INDEX(振り分け!$B$3:$B$302,計算用!$J$37))</f>
        <v/>
      </c>
      <c r="D40" s="35">
        <f>IF(計算用!$J$37="","",INDEX(振り分け!$C$3:$C$302,計算用!$J$37))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IF(計算用!$J$38="","",37)</f>
        <v/>
      </c>
      <c r="B41" s="28">
        <f>IF(計算用!$J$38="","",INDEX(振り分け!$A$3:$A$302,計算用!$J$38))</f>
        <v/>
      </c>
      <c r="C41" s="28">
        <f>IF(計算用!$J$38="","",INDEX(振り分け!$B$3:$B$302,計算用!$J$38))</f>
        <v/>
      </c>
      <c r="D41" s="35">
        <f>IF(計算用!$J$38="","",INDEX(振り分け!$C$3:$C$302,計算用!$J$38))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IF(計算用!$J$39="","",38)</f>
        <v/>
      </c>
      <c r="B42" s="28">
        <f>IF(計算用!$J$39="","",INDEX(振り分け!$A$3:$A$302,計算用!$J$39))</f>
        <v/>
      </c>
      <c r="C42" s="28">
        <f>IF(計算用!$J$39="","",INDEX(振り分け!$B$3:$B$302,計算用!$J$39))</f>
        <v/>
      </c>
      <c r="D42" s="35">
        <f>IF(計算用!$J$39="","",INDEX(振り分け!$C$3:$C$302,計算用!$J$39))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IF(計算用!$J$40="","",39)</f>
        <v/>
      </c>
      <c r="B43" s="28">
        <f>IF(計算用!$J$40="","",INDEX(振り分け!$A$3:$A$302,計算用!$J$40))</f>
        <v/>
      </c>
      <c r="C43" s="28">
        <f>IF(計算用!$J$40="","",INDEX(振り分け!$B$3:$B$302,計算用!$J$40))</f>
        <v/>
      </c>
      <c r="D43" s="35">
        <f>IF(計算用!$J$40="","",INDEX(振り分け!$C$3:$C$302,計算用!$J$40))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IF(計算用!$J$41="","",40)</f>
        <v/>
      </c>
      <c r="B44" s="28">
        <f>IF(計算用!$J$41="","",INDEX(振り分け!$A$3:$A$302,計算用!$J$41))</f>
        <v/>
      </c>
      <c r="C44" s="28">
        <f>IF(計算用!$J$41="","",INDEX(振り分け!$B$3:$B$302,計算用!$J$41))</f>
        <v/>
      </c>
      <c r="D44" s="35">
        <f>IF(計算用!$J$41="","",INDEX(振り分け!$C$3:$C$302,計算用!$J$41))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IF(設定!$G$18="","",設定!$B$3&amp;"　"&amp;設定!$G$18&amp;設定!$B$4&amp;"名簿")</f>
        <v/>
      </c>
    </row>
    <row r="2">
      <c r="A2" s="23">
        <f>IF(設定!$G$18="","","担当："&amp;設定!$J$18&amp;"　　活動場所："&amp;設定!$K$18&amp;"　　人数："&amp;COUNTIF(振り分け!$I$3:$I$302,設定!$G$18)&amp;"名")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IF(計算用!$K$2="","",1)</f>
        <v/>
      </c>
      <c r="B5" s="28">
        <f>IF(計算用!$K$2="","",INDEX(振り分け!$A$3:$A$302,計算用!$K$2))</f>
        <v/>
      </c>
      <c r="C5" s="28">
        <f>IF(計算用!$K$2="","",INDEX(振り分け!$B$3:$B$302,計算用!$K$2))</f>
        <v/>
      </c>
      <c r="D5" s="35">
        <f>IF(計算用!$K$2="","",INDEX(振り分け!$C$3:$C$302,計算用!$K$2))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IF(計算用!$K$3="","",2)</f>
        <v/>
      </c>
      <c r="B6" s="28">
        <f>IF(計算用!$K$3="","",INDEX(振り分け!$A$3:$A$302,計算用!$K$3))</f>
        <v/>
      </c>
      <c r="C6" s="28">
        <f>IF(計算用!$K$3="","",INDEX(振り分け!$B$3:$B$302,計算用!$K$3))</f>
        <v/>
      </c>
      <c r="D6" s="35">
        <f>IF(計算用!$K$3="","",INDEX(振り分け!$C$3:$C$302,計算用!$K$3))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IF(計算用!$K$4="","",3)</f>
        <v/>
      </c>
      <c r="B7" s="28">
        <f>IF(計算用!$K$4="","",INDEX(振り分け!$A$3:$A$302,計算用!$K$4))</f>
        <v/>
      </c>
      <c r="C7" s="28">
        <f>IF(計算用!$K$4="","",INDEX(振り分け!$B$3:$B$302,計算用!$K$4))</f>
        <v/>
      </c>
      <c r="D7" s="35">
        <f>IF(計算用!$K$4="","",INDEX(振り分け!$C$3:$C$302,計算用!$K$4))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IF(計算用!$K$5="","",4)</f>
        <v/>
      </c>
      <c r="B8" s="28">
        <f>IF(計算用!$K$5="","",INDEX(振り分け!$A$3:$A$302,計算用!$K$5))</f>
        <v/>
      </c>
      <c r="C8" s="28">
        <f>IF(計算用!$K$5="","",INDEX(振り分け!$B$3:$B$302,計算用!$K$5))</f>
        <v/>
      </c>
      <c r="D8" s="35">
        <f>IF(計算用!$K$5="","",INDEX(振り分け!$C$3:$C$302,計算用!$K$5))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IF(計算用!$K$6="","",5)</f>
        <v/>
      </c>
      <c r="B9" s="28">
        <f>IF(計算用!$K$6="","",INDEX(振り分け!$A$3:$A$302,計算用!$K$6))</f>
        <v/>
      </c>
      <c r="C9" s="28">
        <f>IF(計算用!$K$6="","",INDEX(振り分け!$B$3:$B$302,計算用!$K$6))</f>
        <v/>
      </c>
      <c r="D9" s="35">
        <f>IF(計算用!$K$6="","",INDEX(振り分け!$C$3:$C$302,計算用!$K$6))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IF(計算用!$K$7="","",6)</f>
        <v/>
      </c>
      <c r="B10" s="28">
        <f>IF(計算用!$K$7="","",INDEX(振り分け!$A$3:$A$302,計算用!$K$7))</f>
        <v/>
      </c>
      <c r="C10" s="28">
        <f>IF(計算用!$K$7="","",INDEX(振り分け!$B$3:$B$302,計算用!$K$7))</f>
        <v/>
      </c>
      <c r="D10" s="35">
        <f>IF(計算用!$K$7="","",INDEX(振り分け!$C$3:$C$302,計算用!$K$7))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IF(計算用!$K$8="","",7)</f>
        <v/>
      </c>
      <c r="B11" s="28">
        <f>IF(計算用!$K$8="","",INDEX(振り分け!$A$3:$A$302,計算用!$K$8))</f>
        <v/>
      </c>
      <c r="C11" s="28">
        <f>IF(計算用!$K$8="","",INDEX(振り分け!$B$3:$B$302,計算用!$K$8))</f>
        <v/>
      </c>
      <c r="D11" s="35">
        <f>IF(計算用!$K$8="","",INDEX(振り分け!$C$3:$C$302,計算用!$K$8))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IF(計算用!$K$9="","",8)</f>
        <v/>
      </c>
      <c r="B12" s="28">
        <f>IF(計算用!$K$9="","",INDEX(振り分け!$A$3:$A$302,計算用!$K$9))</f>
        <v/>
      </c>
      <c r="C12" s="28">
        <f>IF(計算用!$K$9="","",INDEX(振り分け!$B$3:$B$302,計算用!$K$9))</f>
        <v/>
      </c>
      <c r="D12" s="35">
        <f>IF(計算用!$K$9="","",INDEX(振り分け!$C$3:$C$302,計算用!$K$9))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IF(計算用!$K$10="","",9)</f>
        <v/>
      </c>
      <c r="B13" s="28">
        <f>IF(計算用!$K$10="","",INDEX(振り分け!$A$3:$A$302,計算用!$K$10))</f>
        <v/>
      </c>
      <c r="C13" s="28">
        <f>IF(計算用!$K$10="","",INDEX(振り分け!$B$3:$B$302,計算用!$K$10))</f>
        <v/>
      </c>
      <c r="D13" s="35">
        <f>IF(計算用!$K$10="","",INDEX(振り分け!$C$3:$C$302,計算用!$K$10))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IF(計算用!$K$11="","",10)</f>
        <v/>
      </c>
      <c r="B14" s="28">
        <f>IF(計算用!$K$11="","",INDEX(振り分け!$A$3:$A$302,計算用!$K$11))</f>
        <v/>
      </c>
      <c r="C14" s="28">
        <f>IF(計算用!$K$11="","",INDEX(振り分け!$B$3:$B$302,計算用!$K$11))</f>
        <v/>
      </c>
      <c r="D14" s="35">
        <f>IF(計算用!$K$11="","",INDEX(振り分け!$C$3:$C$302,計算用!$K$11))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IF(計算用!$K$12="","",11)</f>
        <v/>
      </c>
      <c r="B15" s="28">
        <f>IF(計算用!$K$12="","",INDEX(振り分け!$A$3:$A$302,計算用!$K$12))</f>
        <v/>
      </c>
      <c r="C15" s="28">
        <f>IF(計算用!$K$12="","",INDEX(振り分け!$B$3:$B$302,計算用!$K$12))</f>
        <v/>
      </c>
      <c r="D15" s="35">
        <f>IF(計算用!$K$12="","",INDEX(振り分け!$C$3:$C$302,計算用!$K$12))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IF(計算用!$K$13="","",12)</f>
        <v/>
      </c>
      <c r="B16" s="28">
        <f>IF(計算用!$K$13="","",INDEX(振り分け!$A$3:$A$302,計算用!$K$13))</f>
        <v/>
      </c>
      <c r="C16" s="28">
        <f>IF(計算用!$K$13="","",INDEX(振り分け!$B$3:$B$302,計算用!$K$13))</f>
        <v/>
      </c>
      <c r="D16" s="35">
        <f>IF(計算用!$K$13="","",INDEX(振り分け!$C$3:$C$302,計算用!$K$13))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IF(計算用!$K$14="","",13)</f>
        <v/>
      </c>
      <c r="B17" s="28">
        <f>IF(計算用!$K$14="","",INDEX(振り分け!$A$3:$A$302,計算用!$K$14))</f>
        <v/>
      </c>
      <c r="C17" s="28">
        <f>IF(計算用!$K$14="","",INDEX(振り分け!$B$3:$B$302,計算用!$K$14))</f>
        <v/>
      </c>
      <c r="D17" s="35">
        <f>IF(計算用!$K$14="","",INDEX(振り分け!$C$3:$C$302,計算用!$K$14))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IF(計算用!$K$15="","",14)</f>
        <v/>
      </c>
      <c r="B18" s="28">
        <f>IF(計算用!$K$15="","",INDEX(振り分け!$A$3:$A$302,計算用!$K$15))</f>
        <v/>
      </c>
      <c r="C18" s="28">
        <f>IF(計算用!$K$15="","",INDEX(振り分け!$B$3:$B$302,計算用!$K$15))</f>
        <v/>
      </c>
      <c r="D18" s="35">
        <f>IF(計算用!$K$15="","",INDEX(振り分け!$C$3:$C$302,計算用!$K$15))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IF(計算用!$K$16="","",15)</f>
        <v/>
      </c>
      <c r="B19" s="28">
        <f>IF(計算用!$K$16="","",INDEX(振り分け!$A$3:$A$302,計算用!$K$16))</f>
        <v/>
      </c>
      <c r="C19" s="28">
        <f>IF(計算用!$K$16="","",INDEX(振り分け!$B$3:$B$302,計算用!$K$16))</f>
        <v/>
      </c>
      <c r="D19" s="35">
        <f>IF(計算用!$K$16="","",INDEX(振り分け!$C$3:$C$302,計算用!$K$16))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IF(計算用!$K$17="","",16)</f>
        <v/>
      </c>
      <c r="B20" s="28">
        <f>IF(計算用!$K$17="","",INDEX(振り分け!$A$3:$A$302,計算用!$K$17))</f>
        <v/>
      </c>
      <c r="C20" s="28">
        <f>IF(計算用!$K$17="","",INDEX(振り分け!$B$3:$B$302,計算用!$K$17))</f>
        <v/>
      </c>
      <c r="D20" s="35">
        <f>IF(計算用!$K$17="","",INDEX(振り分け!$C$3:$C$302,計算用!$K$17))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IF(計算用!$K$18="","",17)</f>
        <v/>
      </c>
      <c r="B21" s="28">
        <f>IF(計算用!$K$18="","",INDEX(振り分け!$A$3:$A$302,計算用!$K$18))</f>
        <v/>
      </c>
      <c r="C21" s="28">
        <f>IF(計算用!$K$18="","",INDEX(振り分け!$B$3:$B$302,計算用!$K$18))</f>
        <v/>
      </c>
      <c r="D21" s="35">
        <f>IF(計算用!$K$18="","",INDEX(振り分け!$C$3:$C$302,計算用!$K$18))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IF(計算用!$K$19="","",18)</f>
        <v/>
      </c>
      <c r="B22" s="28">
        <f>IF(計算用!$K$19="","",INDEX(振り分け!$A$3:$A$302,計算用!$K$19))</f>
        <v/>
      </c>
      <c r="C22" s="28">
        <f>IF(計算用!$K$19="","",INDEX(振り分け!$B$3:$B$302,計算用!$K$19))</f>
        <v/>
      </c>
      <c r="D22" s="35">
        <f>IF(計算用!$K$19="","",INDEX(振り分け!$C$3:$C$302,計算用!$K$19))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IF(計算用!$K$20="","",19)</f>
        <v/>
      </c>
      <c r="B23" s="28">
        <f>IF(計算用!$K$20="","",INDEX(振り分け!$A$3:$A$302,計算用!$K$20))</f>
        <v/>
      </c>
      <c r="C23" s="28">
        <f>IF(計算用!$K$20="","",INDEX(振り分け!$B$3:$B$302,計算用!$K$20))</f>
        <v/>
      </c>
      <c r="D23" s="35">
        <f>IF(計算用!$K$20="","",INDEX(振り分け!$C$3:$C$302,計算用!$K$20))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IF(計算用!$K$21="","",20)</f>
        <v/>
      </c>
      <c r="B24" s="28">
        <f>IF(計算用!$K$21="","",INDEX(振り分け!$A$3:$A$302,計算用!$K$21))</f>
        <v/>
      </c>
      <c r="C24" s="28">
        <f>IF(計算用!$K$21="","",INDEX(振り分け!$B$3:$B$302,計算用!$K$21))</f>
        <v/>
      </c>
      <c r="D24" s="35">
        <f>IF(計算用!$K$21="","",INDEX(振り分け!$C$3:$C$302,計算用!$K$21))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IF(計算用!$K$22="","",21)</f>
        <v/>
      </c>
      <c r="B25" s="28">
        <f>IF(計算用!$K$22="","",INDEX(振り分け!$A$3:$A$302,計算用!$K$22))</f>
        <v/>
      </c>
      <c r="C25" s="28">
        <f>IF(計算用!$K$22="","",INDEX(振り分け!$B$3:$B$302,計算用!$K$22))</f>
        <v/>
      </c>
      <c r="D25" s="35">
        <f>IF(計算用!$K$22="","",INDEX(振り分け!$C$3:$C$302,計算用!$K$22))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IF(計算用!$K$23="","",22)</f>
        <v/>
      </c>
      <c r="B26" s="28">
        <f>IF(計算用!$K$23="","",INDEX(振り分け!$A$3:$A$302,計算用!$K$23))</f>
        <v/>
      </c>
      <c r="C26" s="28">
        <f>IF(計算用!$K$23="","",INDEX(振り分け!$B$3:$B$302,計算用!$K$23))</f>
        <v/>
      </c>
      <c r="D26" s="35">
        <f>IF(計算用!$K$23="","",INDEX(振り分け!$C$3:$C$302,計算用!$K$23))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IF(計算用!$K$24="","",23)</f>
        <v/>
      </c>
      <c r="B27" s="28">
        <f>IF(計算用!$K$24="","",INDEX(振り分け!$A$3:$A$302,計算用!$K$24))</f>
        <v/>
      </c>
      <c r="C27" s="28">
        <f>IF(計算用!$K$24="","",INDEX(振り分け!$B$3:$B$302,計算用!$K$24))</f>
        <v/>
      </c>
      <c r="D27" s="35">
        <f>IF(計算用!$K$24="","",INDEX(振り分け!$C$3:$C$302,計算用!$K$24))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IF(計算用!$K$25="","",24)</f>
        <v/>
      </c>
      <c r="B28" s="28">
        <f>IF(計算用!$K$25="","",INDEX(振り分け!$A$3:$A$302,計算用!$K$25))</f>
        <v/>
      </c>
      <c r="C28" s="28">
        <f>IF(計算用!$K$25="","",INDEX(振り分け!$B$3:$B$302,計算用!$K$25))</f>
        <v/>
      </c>
      <c r="D28" s="35">
        <f>IF(計算用!$K$25="","",INDEX(振り分け!$C$3:$C$302,計算用!$K$25))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IF(計算用!$K$26="","",25)</f>
        <v/>
      </c>
      <c r="B29" s="28">
        <f>IF(計算用!$K$26="","",INDEX(振り分け!$A$3:$A$302,計算用!$K$26))</f>
        <v/>
      </c>
      <c r="C29" s="28">
        <f>IF(計算用!$K$26="","",INDEX(振り分け!$B$3:$B$302,計算用!$K$26))</f>
        <v/>
      </c>
      <c r="D29" s="35">
        <f>IF(計算用!$K$26="","",INDEX(振り分け!$C$3:$C$302,計算用!$K$26))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IF(計算用!$K$27="","",26)</f>
        <v/>
      </c>
      <c r="B30" s="28">
        <f>IF(計算用!$K$27="","",INDEX(振り分け!$A$3:$A$302,計算用!$K$27))</f>
        <v/>
      </c>
      <c r="C30" s="28">
        <f>IF(計算用!$K$27="","",INDEX(振り分け!$B$3:$B$302,計算用!$K$27))</f>
        <v/>
      </c>
      <c r="D30" s="35">
        <f>IF(計算用!$K$27="","",INDEX(振り分け!$C$3:$C$302,計算用!$K$27))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IF(計算用!$K$28="","",27)</f>
        <v/>
      </c>
      <c r="B31" s="28">
        <f>IF(計算用!$K$28="","",INDEX(振り分け!$A$3:$A$302,計算用!$K$28))</f>
        <v/>
      </c>
      <c r="C31" s="28">
        <f>IF(計算用!$K$28="","",INDEX(振り分け!$B$3:$B$302,計算用!$K$28))</f>
        <v/>
      </c>
      <c r="D31" s="35">
        <f>IF(計算用!$K$28="","",INDEX(振り分け!$C$3:$C$302,計算用!$K$28))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IF(計算用!$K$29="","",28)</f>
        <v/>
      </c>
      <c r="B32" s="28">
        <f>IF(計算用!$K$29="","",INDEX(振り分け!$A$3:$A$302,計算用!$K$29))</f>
        <v/>
      </c>
      <c r="C32" s="28">
        <f>IF(計算用!$K$29="","",INDEX(振り分け!$B$3:$B$302,計算用!$K$29))</f>
        <v/>
      </c>
      <c r="D32" s="35">
        <f>IF(計算用!$K$29="","",INDEX(振り分け!$C$3:$C$302,計算用!$K$29))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IF(計算用!$K$30="","",29)</f>
        <v/>
      </c>
      <c r="B33" s="28">
        <f>IF(計算用!$K$30="","",INDEX(振り分け!$A$3:$A$302,計算用!$K$30))</f>
        <v/>
      </c>
      <c r="C33" s="28">
        <f>IF(計算用!$K$30="","",INDEX(振り分け!$B$3:$B$302,計算用!$K$30))</f>
        <v/>
      </c>
      <c r="D33" s="35">
        <f>IF(計算用!$K$30="","",INDEX(振り分け!$C$3:$C$302,計算用!$K$30))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IF(計算用!$K$31="","",30)</f>
        <v/>
      </c>
      <c r="B34" s="28">
        <f>IF(計算用!$K$31="","",INDEX(振り分け!$A$3:$A$302,計算用!$K$31))</f>
        <v/>
      </c>
      <c r="C34" s="28">
        <f>IF(計算用!$K$31="","",INDEX(振り分け!$B$3:$B$302,計算用!$K$31))</f>
        <v/>
      </c>
      <c r="D34" s="35">
        <f>IF(計算用!$K$31="","",INDEX(振り分け!$C$3:$C$302,計算用!$K$31))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IF(計算用!$K$32="","",31)</f>
        <v/>
      </c>
      <c r="B35" s="28">
        <f>IF(計算用!$K$32="","",INDEX(振り分け!$A$3:$A$302,計算用!$K$32))</f>
        <v/>
      </c>
      <c r="C35" s="28">
        <f>IF(計算用!$K$32="","",INDEX(振り分け!$B$3:$B$302,計算用!$K$32))</f>
        <v/>
      </c>
      <c r="D35" s="35">
        <f>IF(計算用!$K$32="","",INDEX(振り分け!$C$3:$C$302,計算用!$K$32))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IF(計算用!$K$33="","",32)</f>
        <v/>
      </c>
      <c r="B36" s="28">
        <f>IF(計算用!$K$33="","",INDEX(振り分け!$A$3:$A$302,計算用!$K$33))</f>
        <v/>
      </c>
      <c r="C36" s="28">
        <f>IF(計算用!$K$33="","",INDEX(振り分け!$B$3:$B$302,計算用!$K$33))</f>
        <v/>
      </c>
      <c r="D36" s="35">
        <f>IF(計算用!$K$33="","",INDEX(振り分け!$C$3:$C$302,計算用!$K$33))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IF(計算用!$K$34="","",33)</f>
        <v/>
      </c>
      <c r="B37" s="28">
        <f>IF(計算用!$K$34="","",INDEX(振り分け!$A$3:$A$302,計算用!$K$34))</f>
        <v/>
      </c>
      <c r="C37" s="28">
        <f>IF(計算用!$K$34="","",INDEX(振り分け!$B$3:$B$302,計算用!$K$34))</f>
        <v/>
      </c>
      <c r="D37" s="35">
        <f>IF(計算用!$K$34="","",INDEX(振り分け!$C$3:$C$302,計算用!$K$34))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IF(計算用!$K$35="","",34)</f>
        <v/>
      </c>
      <c r="B38" s="28">
        <f>IF(計算用!$K$35="","",INDEX(振り分け!$A$3:$A$302,計算用!$K$35))</f>
        <v/>
      </c>
      <c r="C38" s="28">
        <f>IF(計算用!$K$35="","",INDEX(振り分け!$B$3:$B$302,計算用!$K$35))</f>
        <v/>
      </c>
      <c r="D38" s="35">
        <f>IF(計算用!$K$35="","",INDEX(振り分け!$C$3:$C$302,計算用!$K$35))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IF(計算用!$K$36="","",35)</f>
        <v/>
      </c>
      <c r="B39" s="28">
        <f>IF(計算用!$K$36="","",INDEX(振り分け!$A$3:$A$302,計算用!$K$36))</f>
        <v/>
      </c>
      <c r="C39" s="28">
        <f>IF(計算用!$K$36="","",INDEX(振り分け!$B$3:$B$302,計算用!$K$36))</f>
        <v/>
      </c>
      <c r="D39" s="35">
        <f>IF(計算用!$K$36="","",INDEX(振り分け!$C$3:$C$302,計算用!$K$36))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IF(計算用!$K$37="","",36)</f>
        <v/>
      </c>
      <c r="B40" s="28">
        <f>IF(計算用!$K$37="","",INDEX(振り分け!$A$3:$A$302,計算用!$K$37))</f>
        <v/>
      </c>
      <c r="C40" s="28">
        <f>IF(計算用!$K$37="","",INDEX(振り分け!$B$3:$B$302,計算用!$K$37))</f>
        <v/>
      </c>
      <c r="D40" s="35">
        <f>IF(計算用!$K$37="","",INDEX(振り分け!$C$3:$C$302,計算用!$K$37))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IF(計算用!$K$38="","",37)</f>
        <v/>
      </c>
      <c r="B41" s="28">
        <f>IF(計算用!$K$38="","",INDEX(振り分け!$A$3:$A$302,計算用!$K$38))</f>
        <v/>
      </c>
      <c r="C41" s="28">
        <f>IF(計算用!$K$38="","",INDEX(振り分け!$B$3:$B$302,計算用!$K$38))</f>
        <v/>
      </c>
      <c r="D41" s="35">
        <f>IF(計算用!$K$38="","",INDEX(振り分け!$C$3:$C$302,計算用!$K$38))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IF(計算用!$K$39="","",38)</f>
        <v/>
      </c>
      <c r="B42" s="28">
        <f>IF(計算用!$K$39="","",INDEX(振り分け!$A$3:$A$302,計算用!$K$39))</f>
        <v/>
      </c>
      <c r="C42" s="28">
        <f>IF(計算用!$K$39="","",INDEX(振り分け!$B$3:$B$302,計算用!$K$39))</f>
        <v/>
      </c>
      <c r="D42" s="35">
        <f>IF(計算用!$K$39="","",INDEX(振り分け!$C$3:$C$302,計算用!$K$39))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IF(計算用!$K$40="","",39)</f>
        <v/>
      </c>
      <c r="B43" s="28">
        <f>IF(計算用!$K$40="","",INDEX(振り分け!$A$3:$A$302,計算用!$K$40))</f>
        <v/>
      </c>
      <c r="C43" s="28">
        <f>IF(計算用!$K$40="","",INDEX(振り分け!$B$3:$B$302,計算用!$K$40))</f>
        <v/>
      </c>
      <c r="D43" s="35">
        <f>IF(計算用!$K$40="","",INDEX(振り分け!$C$3:$C$302,計算用!$K$40))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IF(計算用!$K$41="","",40)</f>
        <v/>
      </c>
      <c r="B44" s="28">
        <f>IF(計算用!$K$41="","",INDEX(振り分け!$A$3:$A$302,計算用!$K$41))</f>
        <v/>
      </c>
      <c r="C44" s="28">
        <f>IF(計算用!$K$41="","",INDEX(振り分け!$B$3:$B$302,計算用!$K$41))</f>
        <v/>
      </c>
      <c r="D44" s="35">
        <f>IF(計算用!$K$41="","",INDEX(振り分け!$C$3:$C$302,計算用!$K$41))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IF(設定!$G$19="","",設定!$B$3&amp;"　"&amp;設定!$G$19&amp;設定!$B$4&amp;"名簿")</f>
        <v/>
      </c>
    </row>
    <row r="2">
      <c r="A2" s="23">
        <f>IF(設定!$G$19="","","担当："&amp;設定!$J$19&amp;"　　活動場所："&amp;設定!$K$19&amp;"　　人数："&amp;COUNTIF(振り分け!$I$3:$I$302,設定!$G$19)&amp;"名")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IF(計算用!$L$2="","",1)</f>
        <v/>
      </c>
      <c r="B5" s="28">
        <f>IF(計算用!$L$2="","",INDEX(振り分け!$A$3:$A$302,計算用!$L$2))</f>
        <v/>
      </c>
      <c r="C5" s="28">
        <f>IF(計算用!$L$2="","",INDEX(振り分け!$B$3:$B$302,計算用!$L$2))</f>
        <v/>
      </c>
      <c r="D5" s="35">
        <f>IF(計算用!$L$2="","",INDEX(振り分け!$C$3:$C$302,計算用!$L$2))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IF(計算用!$L$3="","",2)</f>
        <v/>
      </c>
      <c r="B6" s="28">
        <f>IF(計算用!$L$3="","",INDEX(振り分け!$A$3:$A$302,計算用!$L$3))</f>
        <v/>
      </c>
      <c r="C6" s="28">
        <f>IF(計算用!$L$3="","",INDEX(振り分け!$B$3:$B$302,計算用!$L$3))</f>
        <v/>
      </c>
      <c r="D6" s="35">
        <f>IF(計算用!$L$3="","",INDEX(振り分け!$C$3:$C$302,計算用!$L$3))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IF(計算用!$L$4="","",3)</f>
        <v/>
      </c>
      <c r="B7" s="28">
        <f>IF(計算用!$L$4="","",INDEX(振り分け!$A$3:$A$302,計算用!$L$4))</f>
        <v/>
      </c>
      <c r="C7" s="28">
        <f>IF(計算用!$L$4="","",INDEX(振り分け!$B$3:$B$302,計算用!$L$4))</f>
        <v/>
      </c>
      <c r="D7" s="35">
        <f>IF(計算用!$L$4="","",INDEX(振り分け!$C$3:$C$302,計算用!$L$4))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IF(計算用!$L$5="","",4)</f>
        <v/>
      </c>
      <c r="B8" s="28">
        <f>IF(計算用!$L$5="","",INDEX(振り分け!$A$3:$A$302,計算用!$L$5))</f>
        <v/>
      </c>
      <c r="C8" s="28">
        <f>IF(計算用!$L$5="","",INDEX(振り分け!$B$3:$B$302,計算用!$L$5))</f>
        <v/>
      </c>
      <c r="D8" s="35">
        <f>IF(計算用!$L$5="","",INDEX(振り分け!$C$3:$C$302,計算用!$L$5))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IF(計算用!$L$6="","",5)</f>
        <v/>
      </c>
      <c r="B9" s="28">
        <f>IF(計算用!$L$6="","",INDEX(振り分け!$A$3:$A$302,計算用!$L$6))</f>
        <v/>
      </c>
      <c r="C9" s="28">
        <f>IF(計算用!$L$6="","",INDEX(振り分け!$B$3:$B$302,計算用!$L$6))</f>
        <v/>
      </c>
      <c r="D9" s="35">
        <f>IF(計算用!$L$6="","",INDEX(振り分け!$C$3:$C$302,計算用!$L$6))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IF(計算用!$L$7="","",6)</f>
        <v/>
      </c>
      <c r="B10" s="28">
        <f>IF(計算用!$L$7="","",INDEX(振り分け!$A$3:$A$302,計算用!$L$7))</f>
        <v/>
      </c>
      <c r="C10" s="28">
        <f>IF(計算用!$L$7="","",INDEX(振り分け!$B$3:$B$302,計算用!$L$7))</f>
        <v/>
      </c>
      <c r="D10" s="35">
        <f>IF(計算用!$L$7="","",INDEX(振り分け!$C$3:$C$302,計算用!$L$7))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IF(計算用!$L$8="","",7)</f>
        <v/>
      </c>
      <c r="B11" s="28">
        <f>IF(計算用!$L$8="","",INDEX(振り分け!$A$3:$A$302,計算用!$L$8))</f>
        <v/>
      </c>
      <c r="C11" s="28">
        <f>IF(計算用!$L$8="","",INDEX(振り分け!$B$3:$B$302,計算用!$L$8))</f>
        <v/>
      </c>
      <c r="D11" s="35">
        <f>IF(計算用!$L$8="","",INDEX(振り分け!$C$3:$C$302,計算用!$L$8))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IF(計算用!$L$9="","",8)</f>
        <v/>
      </c>
      <c r="B12" s="28">
        <f>IF(計算用!$L$9="","",INDEX(振り分け!$A$3:$A$302,計算用!$L$9))</f>
        <v/>
      </c>
      <c r="C12" s="28">
        <f>IF(計算用!$L$9="","",INDEX(振り分け!$B$3:$B$302,計算用!$L$9))</f>
        <v/>
      </c>
      <c r="D12" s="35">
        <f>IF(計算用!$L$9="","",INDEX(振り分け!$C$3:$C$302,計算用!$L$9))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IF(計算用!$L$10="","",9)</f>
        <v/>
      </c>
      <c r="B13" s="28">
        <f>IF(計算用!$L$10="","",INDEX(振り分け!$A$3:$A$302,計算用!$L$10))</f>
        <v/>
      </c>
      <c r="C13" s="28">
        <f>IF(計算用!$L$10="","",INDEX(振り分け!$B$3:$B$302,計算用!$L$10))</f>
        <v/>
      </c>
      <c r="D13" s="35">
        <f>IF(計算用!$L$10="","",INDEX(振り分け!$C$3:$C$302,計算用!$L$10))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IF(計算用!$L$11="","",10)</f>
        <v/>
      </c>
      <c r="B14" s="28">
        <f>IF(計算用!$L$11="","",INDEX(振り分け!$A$3:$A$302,計算用!$L$11))</f>
        <v/>
      </c>
      <c r="C14" s="28">
        <f>IF(計算用!$L$11="","",INDEX(振り分け!$B$3:$B$302,計算用!$L$11))</f>
        <v/>
      </c>
      <c r="D14" s="35">
        <f>IF(計算用!$L$11="","",INDEX(振り分け!$C$3:$C$302,計算用!$L$11))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IF(計算用!$L$12="","",11)</f>
        <v/>
      </c>
      <c r="B15" s="28">
        <f>IF(計算用!$L$12="","",INDEX(振り分け!$A$3:$A$302,計算用!$L$12))</f>
        <v/>
      </c>
      <c r="C15" s="28">
        <f>IF(計算用!$L$12="","",INDEX(振り分け!$B$3:$B$302,計算用!$L$12))</f>
        <v/>
      </c>
      <c r="D15" s="35">
        <f>IF(計算用!$L$12="","",INDEX(振り分け!$C$3:$C$302,計算用!$L$12))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IF(計算用!$L$13="","",12)</f>
        <v/>
      </c>
      <c r="B16" s="28">
        <f>IF(計算用!$L$13="","",INDEX(振り分け!$A$3:$A$302,計算用!$L$13))</f>
        <v/>
      </c>
      <c r="C16" s="28">
        <f>IF(計算用!$L$13="","",INDEX(振り分け!$B$3:$B$302,計算用!$L$13))</f>
        <v/>
      </c>
      <c r="D16" s="35">
        <f>IF(計算用!$L$13="","",INDEX(振り分け!$C$3:$C$302,計算用!$L$13))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IF(計算用!$L$14="","",13)</f>
        <v/>
      </c>
      <c r="B17" s="28">
        <f>IF(計算用!$L$14="","",INDEX(振り分け!$A$3:$A$302,計算用!$L$14))</f>
        <v/>
      </c>
      <c r="C17" s="28">
        <f>IF(計算用!$L$14="","",INDEX(振り分け!$B$3:$B$302,計算用!$L$14))</f>
        <v/>
      </c>
      <c r="D17" s="35">
        <f>IF(計算用!$L$14="","",INDEX(振り分け!$C$3:$C$302,計算用!$L$14))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IF(計算用!$L$15="","",14)</f>
        <v/>
      </c>
      <c r="B18" s="28">
        <f>IF(計算用!$L$15="","",INDEX(振り分け!$A$3:$A$302,計算用!$L$15))</f>
        <v/>
      </c>
      <c r="C18" s="28">
        <f>IF(計算用!$L$15="","",INDEX(振り分け!$B$3:$B$302,計算用!$L$15))</f>
        <v/>
      </c>
      <c r="D18" s="35">
        <f>IF(計算用!$L$15="","",INDEX(振り分け!$C$3:$C$302,計算用!$L$15))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IF(計算用!$L$16="","",15)</f>
        <v/>
      </c>
      <c r="B19" s="28">
        <f>IF(計算用!$L$16="","",INDEX(振り分け!$A$3:$A$302,計算用!$L$16))</f>
        <v/>
      </c>
      <c r="C19" s="28">
        <f>IF(計算用!$L$16="","",INDEX(振り分け!$B$3:$B$302,計算用!$L$16))</f>
        <v/>
      </c>
      <c r="D19" s="35">
        <f>IF(計算用!$L$16="","",INDEX(振り分け!$C$3:$C$302,計算用!$L$16))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IF(計算用!$L$17="","",16)</f>
        <v/>
      </c>
      <c r="B20" s="28">
        <f>IF(計算用!$L$17="","",INDEX(振り分け!$A$3:$A$302,計算用!$L$17))</f>
        <v/>
      </c>
      <c r="C20" s="28">
        <f>IF(計算用!$L$17="","",INDEX(振り分け!$B$3:$B$302,計算用!$L$17))</f>
        <v/>
      </c>
      <c r="D20" s="35">
        <f>IF(計算用!$L$17="","",INDEX(振り分け!$C$3:$C$302,計算用!$L$17))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IF(計算用!$L$18="","",17)</f>
        <v/>
      </c>
      <c r="B21" s="28">
        <f>IF(計算用!$L$18="","",INDEX(振り分け!$A$3:$A$302,計算用!$L$18))</f>
        <v/>
      </c>
      <c r="C21" s="28">
        <f>IF(計算用!$L$18="","",INDEX(振り分け!$B$3:$B$302,計算用!$L$18))</f>
        <v/>
      </c>
      <c r="D21" s="35">
        <f>IF(計算用!$L$18="","",INDEX(振り分け!$C$3:$C$302,計算用!$L$18))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IF(計算用!$L$19="","",18)</f>
        <v/>
      </c>
      <c r="B22" s="28">
        <f>IF(計算用!$L$19="","",INDEX(振り分け!$A$3:$A$302,計算用!$L$19))</f>
        <v/>
      </c>
      <c r="C22" s="28">
        <f>IF(計算用!$L$19="","",INDEX(振り分け!$B$3:$B$302,計算用!$L$19))</f>
        <v/>
      </c>
      <c r="D22" s="35">
        <f>IF(計算用!$L$19="","",INDEX(振り分け!$C$3:$C$302,計算用!$L$19))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IF(計算用!$L$20="","",19)</f>
        <v/>
      </c>
      <c r="B23" s="28">
        <f>IF(計算用!$L$20="","",INDEX(振り分け!$A$3:$A$302,計算用!$L$20))</f>
        <v/>
      </c>
      <c r="C23" s="28">
        <f>IF(計算用!$L$20="","",INDEX(振り分け!$B$3:$B$302,計算用!$L$20))</f>
        <v/>
      </c>
      <c r="D23" s="35">
        <f>IF(計算用!$L$20="","",INDEX(振り分け!$C$3:$C$302,計算用!$L$20))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IF(計算用!$L$21="","",20)</f>
        <v/>
      </c>
      <c r="B24" s="28">
        <f>IF(計算用!$L$21="","",INDEX(振り分け!$A$3:$A$302,計算用!$L$21))</f>
        <v/>
      </c>
      <c r="C24" s="28">
        <f>IF(計算用!$L$21="","",INDEX(振り分け!$B$3:$B$302,計算用!$L$21))</f>
        <v/>
      </c>
      <c r="D24" s="35">
        <f>IF(計算用!$L$21="","",INDEX(振り分け!$C$3:$C$302,計算用!$L$21))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IF(計算用!$L$22="","",21)</f>
        <v/>
      </c>
      <c r="B25" s="28">
        <f>IF(計算用!$L$22="","",INDEX(振り分け!$A$3:$A$302,計算用!$L$22))</f>
        <v/>
      </c>
      <c r="C25" s="28">
        <f>IF(計算用!$L$22="","",INDEX(振り分け!$B$3:$B$302,計算用!$L$22))</f>
        <v/>
      </c>
      <c r="D25" s="35">
        <f>IF(計算用!$L$22="","",INDEX(振り分け!$C$3:$C$302,計算用!$L$22))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IF(計算用!$L$23="","",22)</f>
        <v/>
      </c>
      <c r="B26" s="28">
        <f>IF(計算用!$L$23="","",INDEX(振り分け!$A$3:$A$302,計算用!$L$23))</f>
        <v/>
      </c>
      <c r="C26" s="28">
        <f>IF(計算用!$L$23="","",INDEX(振り分け!$B$3:$B$302,計算用!$L$23))</f>
        <v/>
      </c>
      <c r="D26" s="35">
        <f>IF(計算用!$L$23="","",INDEX(振り分け!$C$3:$C$302,計算用!$L$23))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IF(計算用!$L$24="","",23)</f>
        <v/>
      </c>
      <c r="B27" s="28">
        <f>IF(計算用!$L$24="","",INDEX(振り分け!$A$3:$A$302,計算用!$L$24))</f>
        <v/>
      </c>
      <c r="C27" s="28">
        <f>IF(計算用!$L$24="","",INDEX(振り分け!$B$3:$B$302,計算用!$L$24))</f>
        <v/>
      </c>
      <c r="D27" s="35">
        <f>IF(計算用!$L$24="","",INDEX(振り分け!$C$3:$C$302,計算用!$L$24))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IF(計算用!$L$25="","",24)</f>
        <v/>
      </c>
      <c r="B28" s="28">
        <f>IF(計算用!$L$25="","",INDEX(振り分け!$A$3:$A$302,計算用!$L$25))</f>
        <v/>
      </c>
      <c r="C28" s="28">
        <f>IF(計算用!$L$25="","",INDEX(振り分け!$B$3:$B$302,計算用!$L$25))</f>
        <v/>
      </c>
      <c r="D28" s="35">
        <f>IF(計算用!$L$25="","",INDEX(振り分け!$C$3:$C$302,計算用!$L$25))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IF(計算用!$L$26="","",25)</f>
        <v/>
      </c>
      <c r="B29" s="28">
        <f>IF(計算用!$L$26="","",INDEX(振り分け!$A$3:$A$302,計算用!$L$26))</f>
        <v/>
      </c>
      <c r="C29" s="28">
        <f>IF(計算用!$L$26="","",INDEX(振り分け!$B$3:$B$302,計算用!$L$26))</f>
        <v/>
      </c>
      <c r="D29" s="35">
        <f>IF(計算用!$L$26="","",INDEX(振り分け!$C$3:$C$302,計算用!$L$26))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IF(計算用!$L$27="","",26)</f>
        <v/>
      </c>
      <c r="B30" s="28">
        <f>IF(計算用!$L$27="","",INDEX(振り分け!$A$3:$A$302,計算用!$L$27))</f>
        <v/>
      </c>
      <c r="C30" s="28">
        <f>IF(計算用!$L$27="","",INDEX(振り分け!$B$3:$B$302,計算用!$L$27))</f>
        <v/>
      </c>
      <c r="D30" s="35">
        <f>IF(計算用!$L$27="","",INDEX(振り分け!$C$3:$C$302,計算用!$L$27))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IF(計算用!$L$28="","",27)</f>
        <v/>
      </c>
      <c r="B31" s="28">
        <f>IF(計算用!$L$28="","",INDEX(振り分け!$A$3:$A$302,計算用!$L$28))</f>
        <v/>
      </c>
      <c r="C31" s="28">
        <f>IF(計算用!$L$28="","",INDEX(振り分け!$B$3:$B$302,計算用!$L$28))</f>
        <v/>
      </c>
      <c r="D31" s="35">
        <f>IF(計算用!$L$28="","",INDEX(振り分け!$C$3:$C$302,計算用!$L$28))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IF(計算用!$L$29="","",28)</f>
        <v/>
      </c>
      <c r="B32" s="28">
        <f>IF(計算用!$L$29="","",INDEX(振り分け!$A$3:$A$302,計算用!$L$29))</f>
        <v/>
      </c>
      <c r="C32" s="28">
        <f>IF(計算用!$L$29="","",INDEX(振り分け!$B$3:$B$302,計算用!$L$29))</f>
        <v/>
      </c>
      <c r="D32" s="35">
        <f>IF(計算用!$L$29="","",INDEX(振り分け!$C$3:$C$302,計算用!$L$29))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IF(計算用!$L$30="","",29)</f>
        <v/>
      </c>
      <c r="B33" s="28">
        <f>IF(計算用!$L$30="","",INDEX(振り分け!$A$3:$A$302,計算用!$L$30))</f>
        <v/>
      </c>
      <c r="C33" s="28">
        <f>IF(計算用!$L$30="","",INDEX(振り分け!$B$3:$B$302,計算用!$L$30))</f>
        <v/>
      </c>
      <c r="D33" s="35">
        <f>IF(計算用!$L$30="","",INDEX(振り分け!$C$3:$C$302,計算用!$L$30))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IF(計算用!$L$31="","",30)</f>
        <v/>
      </c>
      <c r="B34" s="28">
        <f>IF(計算用!$L$31="","",INDEX(振り分け!$A$3:$A$302,計算用!$L$31))</f>
        <v/>
      </c>
      <c r="C34" s="28">
        <f>IF(計算用!$L$31="","",INDEX(振り分け!$B$3:$B$302,計算用!$L$31))</f>
        <v/>
      </c>
      <c r="D34" s="35">
        <f>IF(計算用!$L$31="","",INDEX(振り分け!$C$3:$C$302,計算用!$L$31))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IF(計算用!$L$32="","",31)</f>
        <v/>
      </c>
      <c r="B35" s="28">
        <f>IF(計算用!$L$32="","",INDEX(振り分け!$A$3:$A$302,計算用!$L$32))</f>
        <v/>
      </c>
      <c r="C35" s="28">
        <f>IF(計算用!$L$32="","",INDEX(振り分け!$B$3:$B$302,計算用!$L$32))</f>
        <v/>
      </c>
      <c r="D35" s="35">
        <f>IF(計算用!$L$32="","",INDEX(振り分け!$C$3:$C$302,計算用!$L$32))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IF(計算用!$L$33="","",32)</f>
        <v/>
      </c>
      <c r="B36" s="28">
        <f>IF(計算用!$L$33="","",INDEX(振り分け!$A$3:$A$302,計算用!$L$33))</f>
        <v/>
      </c>
      <c r="C36" s="28">
        <f>IF(計算用!$L$33="","",INDEX(振り分け!$B$3:$B$302,計算用!$L$33))</f>
        <v/>
      </c>
      <c r="D36" s="35">
        <f>IF(計算用!$L$33="","",INDEX(振り分け!$C$3:$C$302,計算用!$L$33))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IF(計算用!$L$34="","",33)</f>
        <v/>
      </c>
      <c r="B37" s="28">
        <f>IF(計算用!$L$34="","",INDEX(振り分け!$A$3:$A$302,計算用!$L$34))</f>
        <v/>
      </c>
      <c r="C37" s="28">
        <f>IF(計算用!$L$34="","",INDEX(振り分け!$B$3:$B$302,計算用!$L$34))</f>
        <v/>
      </c>
      <c r="D37" s="35">
        <f>IF(計算用!$L$34="","",INDEX(振り分け!$C$3:$C$302,計算用!$L$34))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IF(計算用!$L$35="","",34)</f>
        <v/>
      </c>
      <c r="B38" s="28">
        <f>IF(計算用!$L$35="","",INDEX(振り分け!$A$3:$A$302,計算用!$L$35))</f>
        <v/>
      </c>
      <c r="C38" s="28">
        <f>IF(計算用!$L$35="","",INDEX(振り分け!$B$3:$B$302,計算用!$L$35))</f>
        <v/>
      </c>
      <c r="D38" s="35">
        <f>IF(計算用!$L$35="","",INDEX(振り分け!$C$3:$C$302,計算用!$L$35))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IF(計算用!$L$36="","",35)</f>
        <v/>
      </c>
      <c r="B39" s="28">
        <f>IF(計算用!$L$36="","",INDEX(振り分け!$A$3:$A$302,計算用!$L$36))</f>
        <v/>
      </c>
      <c r="C39" s="28">
        <f>IF(計算用!$L$36="","",INDEX(振り分け!$B$3:$B$302,計算用!$L$36))</f>
        <v/>
      </c>
      <c r="D39" s="35">
        <f>IF(計算用!$L$36="","",INDEX(振り分け!$C$3:$C$302,計算用!$L$36))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IF(計算用!$L$37="","",36)</f>
        <v/>
      </c>
      <c r="B40" s="28">
        <f>IF(計算用!$L$37="","",INDEX(振り分け!$A$3:$A$302,計算用!$L$37))</f>
        <v/>
      </c>
      <c r="C40" s="28">
        <f>IF(計算用!$L$37="","",INDEX(振り分け!$B$3:$B$302,計算用!$L$37))</f>
        <v/>
      </c>
      <c r="D40" s="35">
        <f>IF(計算用!$L$37="","",INDEX(振り分け!$C$3:$C$302,計算用!$L$37))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IF(計算用!$L$38="","",37)</f>
        <v/>
      </c>
      <c r="B41" s="28">
        <f>IF(計算用!$L$38="","",INDEX(振り分け!$A$3:$A$302,計算用!$L$38))</f>
        <v/>
      </c>
      <c r="C41" s="28">
        <f>IF(計算用!$L$38="","",INDEX(振り分け!$B$3:$B$302,計算用!$L$38))</f>
        <v/>
      </c>
      <c r="D41" s="35">
        <f>IF(計算用!$L$38="","",INDEX(振り分け!$C$3:$C$302,計算用!$L$38))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IF(計算用!$L$39="","",38)</f>
        <v/>
      </c>
      <c r="B42" s="28">
        <f>IF(計算用!$L$39="","",INDEX(振り分け!$A$3:$A$302,計算用!$L$39))</f>
        <v/>
      </c>
      <c r="C42" s="28">
        <f>IF(計算用!$L$39="","",INDEX(振り分け!$B$3:$B$302,計算用!$L$39))</f>
        <v/>
      </c>
      <c r="D42" s="35">
        <f>IF(計算用!$L$39="","",INDEX(振り分け!$C$3:$C$302,計算用!$L$39))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IF(計算用!$L$40="","",39)</f>
        <v/>
      </c>
      <c r="B43" s="28">
        <f>IF(計算用!$L$40="","",INDEX(振り分け!$A$3:$A$302,計算用!$L$40))</f>
        <v/>
      </c>
      <c r="C43" s="28">
        <f>IF(計算用!$L$40="","",INDEX(振り分け!$B$3:$B$302,計算用!$L$40))</f>
        <v/>
      </c>
      <c r="D43" s="35">
        <f>IF(計算用!$L$40="","",INDEX(振り分け!$C$3:$C$302,計算用!$L$40))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IF(計算用!$L$41="","",40)</f>
        <v/>
      </c>
      <c r="B44" s="28">
        <f>IF(計算用!$L$41="","",INDEX(振り分け!$A$3:$A$302,計算用!$L$41))</f>
        <v/>
      </c>
      <c r="C44" s="28">
        <f>IF(計算用!$L$41="","",INDEX(振り分け!$B$3:$B$302,計算用!$L$41))</f>
        <v/>
      </c>
      <c r="D44" s="35">
        <f>IF(計算用!$L$41="","",INDEX(振り分け!$C$3:$C$302,計算用!$L$41))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IF(設定!$G$20="","",設定!$B$3&amp;"　"&amp;設定!$G$20&amp;設定!$B$4&amp;"名簿")</f>
        <v/>
      </c>
    </row>
    <row r="2">
      <c r="A2" s="23">
        <f>IF(設定!$G$20="","","担当："&amp;設定!$J$20&amp;"　　活動場所："&amp;設定!$K$20&amp;"　　人数："&amp;COUNTIF(振り分け!$I$3:$I$302,設定!$G$20)&amp;"名")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IF(計算用!$M$2="","",1)</f>
        <v/>
      </c>
      <c r="B5" s="28">
        <f>IF(計算用!$M$2="","",INDEX(振り分け!$A$3:$A$302,計算用!$M$2))</f>
        <v/>
      </c>
      <c r="C5" s="28">
        <f>IF(計算用!$M$2="","",INDEX(振り分け!$B$3:$B$302,計算用!$M$2))</f>
        <v/>
      </c>
      <c r="D5" s="35">
        <f>IF(計算用!$M$2="","",INDEX(振り分け!$C$3:$C$302,計算用!$M$2))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IF(計算用!$M$3="","",2)</f>
        <v/>
      </c>
      <c r="B6" s="28">
        <f>IF(計算用!$M$3="","",INDEX(振り分け!$A$3:$A$302,計算用!$M$3))</f>
        <v/>
      </c>
      <c r="C6" s="28">
        <f>IF(計算用!$M$3="","",INDEX(振り分け!$B$3:$B$302,計算用!$M$3))</f>
        <v/>
      </c>
      <c r="D6" s="35">
        <f>IF(計算用!$M$3="","",INDEX(振り分け!$C$3:$C$302,計算用!$M$3))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IF(計算用!$M$4="","",3)</f>
        <v/>
      </c>
      <c r="B7" s="28">
        <f>IF(計算用!$M$4="","",INDEX(振り分け!$A$3:$A$302,計算用!$M$4))</f>
        <v/>
      </c>
      <c r="C7" s="28">
        <f>IF(計算用!$M$4="","",INDEX(振り分け!$B$3:$B$302,計算用!$M$4))</f>
        <v/>
      </c>
      <c r="D7" s="35">
        <f>IF(計算用!$M$4="","",INDEX(振り分け!$C$3:$C$302,計算用!$M$4))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IF(計算用!$M$5="","",4)</f>
        <v/>
      </c>
      <c r="B8" s="28">
        <f>IF(計算用!$M$5="","",INDEX(振り分け!$A$3:$A$302,計算用!$M$5))</f>
        <v/>
      </c>
      <c r="C8" s="28">
        <f>IF(計算用!$M$5="","",INDEX(振り分け!$B$3:$B$302,計算用!$M$5))</f>
        <v/>
      </c>
      <c r="D8" s="35">
        <f>IF(計算用!$M$5="","",INDEX(振り分け!$C$3:$C$302,計算用!$M$5))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IF(計算用!$M$6="","",5)</f>
        <v/>
      </c>
      <c r="B9" s="28">
        <f>IF(計算用!$M$6="","",INDEX(振り分け!$A$3:$A$302,計算用!$M$6))</f>
        <v/>
      </c>
      <c r="C9" s="28">
        <f>IF(計算用!$M$6="","",INDEX(振り分け!$B$3:$B$302,計算用!$M$6))</f>
        <v/>
      </c>
      <c r="D9" s="35">
        <f>IF(計算用!$M$6="","",INDEX(振り分け!$C$3:$C$302,計算用!$M$6))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IF(計算用!$M$7="","",6)</f>
        <v/>
      </c>
      <c r="B10" s="28">
        <f>IF(計算用!$M$7="","",INDEX(振り分け!$A$3:$A$302,計算用!$M$7))</f>
        <v/>
      </c>
      <c r="C10" s="28">
        <f>IF(計算用!$M$7="","",INDEX(振り分け!$B$3:$B$302,計算用!$M$7))</f>
        <v/>
      </c>
      <c r="D10" s="35">
        <f>IF(計算用!$M$7="","",INDEX(振り分け!$C$3:$C$302,計算用!$M$7))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IF(計算用!$M$8="","",7)</f>
        <v/>
      </c>
      <c r="B11" s="28">
        <f>IF(計算用!$M$8="","",INDEX(振り分け!$A$3:$A$302,計算用!$M$8))</f>
        <v/>
      </c>
      <c r="C11" s="28">
        <f>IF(計算用!$M$8="","",INDEX(振り分け!$B$3:$B$302,計算用!$M$8))</f>
        <v/>
      </c>
      <c r="D11" s="35">
        <f>IF(計算用!$M$8="","",INDEX(振り分け!$C$3:$C$302,計算用!$M$8))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IF(計算用!$M$9="","",8)</f>
        <v/>
      </c>
      <c r="B12" s="28">
        <f>IF(計算用!$M$9="","",INDEX(振り分け!$A$3:$A$302,計算用!$M$9))</f>
        <v/>
      </c>
      <c r="C12" s="28">
        <f>IF(計算用!$M$9="","",INDEX(振り分け!$B$3:$B$302,計算用!$M$9))</f>
        <v/>
      </c>
      <c r="D12" s="35">
        <f>IF(計算用!$M$9="","",INDEX(振り分け!$C$3:$C$302,計算用!$M$9))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IF(計算用!$M$10="","",9)</f>
        <v/>
      </c>
      <c r="B13" s="28">
        <f>IF(計算用!$M$10="","",INDEX(振り分け!$A$3:$A$302,計算用!$M$10))</f>
        <v/>
      </c>
      <c r="C13" s="28">
        <f>IF(計算用!$M$10="","",INDEX(振り分け!$B$3:$B$302,計算用!$M$10))</f>
        <v/>
      </c>
      <c r="D13" s="35">
        <f>IF(計算用!$M$10="","",INDEX(振り分け!$C$3:$C$302,計算用!$M$10))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IF(計算用!$M$11="","",10)</f>
        <v/>
      </c>
      <c r="B14" s="28">
        <f>IF(計算用!$M$11="","",INDEX(振り分け!$A$3:$A$302,計算用!$M$11))</f>
        <v/>
      </c>
      <c r="C14" s="28">
        <f>IF(計算用!$M$11="","",INDEX(振り分け!$B$3:$B$302,計算用!$M$11))</f>
        <v/>
      </c>
      <c r="D14" s="35">
        <f>IF(計算用!$M$11="","",INDEX(振り分け!$C$3:$C$302,計算用!$M$11))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IF(計算用!$M$12="","",11)</f>
        <v/>
      </c>
      <c r="B15" s="28">
        <f>IF(計算用!$M$12="","",INDEX(振り分け!$A$3:$A$302,計算用!$M$12))</f>
        <v/>
      </c>
      <c r="C15" s="28">
        <f>IF(計算用!$M$12="","",INDEX(振り分け!$B$3:$B$302,計算用!$M$12))</f>
        <v/>
      </c>
      <c r="D15" s="35">
        <f>IF(計算用!$M$12="","",INDEX(振り分け!$C$3:$C$302,計算用!$M$12))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IF(計算用!$M$13="","",12)</f>
        <v/>
      </c>
      <c r="B16" s="28">
        <f>IF(計算用!$M$13="","",INDEX(振り分け!$A$3:$A$302,計算用!$M$13))</f>
        <v/>
      </c>
      <c r="C16" s="28">
        <f>IF(計算用!$M$13="","",INDEX(振り分け!$B$3:$B$302,計算用!$M$13))</f>
        <v/>
      </c>
      <c r="D16" s="35">
        <f>IF(計算用!$M$13="","",INDEX(振り分け!$C$3:$C$302,計算用!$M$13))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IF(計算用!$M$14="","",13)</f>
        <v/>
      </c>
      <c r="B17" s="28">
        <f>IF(計算用!$M$14="","",INDEX(振り分け!$A$3:$A$302,計算用!$M$14))</f>
        <v/>
      </c>
      <c r="C17" s="28">
        <f>IF(計算用!$M$14="","",INDEX(振り分け!$B$3:$B$302,計算用!$M$14))</f>
        <v/>
      </c>
      <c r="D17" s="35">
        <f>IF(計算用!$M$14="","",INDEX(振り分け!$C$3:$C$302,計算用!$M$14))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IF(計算用!$M$15="","",14)</f>
        <v/>
      </c>
      <c r="B18" s="28">
        <f>IF(計算用!$M$15="","",INDEX(振り分け!$A$3:$A$302,計算用!$M$15))</f>
        <v/>
      </c>
      <c r="C18" s="28">
        <f>IF(計算用!$M$15="","",INDEX(振り分け!$B$3:$B$302,計算用!$M$15))</f>
        <v/>
      </c>
      <c r="D18" s="35">
        <f>IF(計算用!$M$15="","",INDEX(振り分け!$C$3:$C$302,計算用!$M$15))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IF(計算用!$M$16="","",15)</f>
        <v/>
      </c>
      <c r="B19" s="28">
        <f>IF(計算用!$M$16="","",INDEX(振り分け!$A$3:$A$302,計算用!$M$16))</f>
        <v/>
      </c>
      <c r="C19" s="28">
        <f>IF(計算用!$M$16="","",INDEX(振り分け!$B$3:$B$302,計算用!$M$16))</f>
        <v/>
      </c>
      <c r="D19" s="35">
        <f>IF(計算用!$M$16="","",INDEX(振り分け!$C$3:$C$302,計算用!$M$16))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IF(計算用!$M$17="","",16)</f>
        <v/>
      </c>
      <c r="B20" s="28">
        <f>IF(計算用!$M$17="","",INDEX(振り分け!$A$3:$A$302,計算用!$M$17))</f>
        <v/>
      </c>
      <c r="C20" s="28">
        <f>IF(計算用!$M$17="","",INDEX(振り分け!$B$3:$B$302,計算用!$M$17))</f>
        <v/>
      </c>
      <c r="D20" s="35">
        <f>IF(計算用!$M$17="","",INDEX(振り分け!$C$3:$C$302,計算用!$M$17))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IF(計算用!$M$18="","",17)</f>
        <v/>
      </c>
      <c r="B21" s="28">
        <f>IF(計算用!$M$18="","",INDEX(振り分け!$A$3:$A$302,計算用!$M$18))</f>
        <v/>
      </c>
      <c r="C21" s="28">
        <f>IF(計算用!$M$18="","",INDEX(振り分け!$B$3:$B$302,計算用!$M$18))</f>
        <v/>
      </c>
      <c r="D21" s="35">
        <f>IF(計算用!$M$18="","",INDEX(振り分け!$C$3:$C$302,計算用!$M$18))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IF(計算用!$M$19="","",18)</f>
        <v/>
      </c>
      <c r="B22" s="28">
        <f>IF(計算用!$M$19="","",INDEX(振り分け!$A$3:$A$302,計算用!$M$19))</f>
        <v/>
      </c>
      <c r="C22" s="28">
        <f>IF(計算用!$M$19="","",INDEX(振り分け!$B$3:$B$302,計算用!$M$19))</f>
        <v/>
      </c>
      <c r="D22" s="35">
        <f>IF(計算用!$M$19="","",INDEX(振り分け!$C$3:$C$302,計算用!$M$19))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IF(計算用!$M$20="","",19)</f>
        <v/>
      </c>
      <c r="B23" s="28">
        <f>IF(計算用!$M$20="","",INDEX(振り分け!$A$3:$A$302,計算用!$M$20))</f>
        <v/>
      </c>
      <c r="C23" s="28">
        <f>IF(計算用!$M$20="","",INDEX(振り分け!$B$3:$B$302,計算用!$M$20))</f>
        <v/>
      </c>
      <c r="D23" s="35">
        <f>IF(計算用!$M$20="","",INDEX(振り分け!$C$3:$C$302,計算用!$M$20))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IF(計算用!$M$21="","",20)</f>
        <v/>
      </c>
      <c r="B24" s="28">
        <f>IF(計算用!$M$21="","",INDEX(振り分け!$A$3:$A$302,計算用!$M$21))</f>
        <v/>
      </c>
      <c r="C24" s="28">
        <f>IF(計算用!$M$21="","",INDEX(振り分け!$B$3:$B$302,計算用!$M$21))</f>
        <v/>
      </c>
      <c r="D24" s="35">
        <f>IF(計算用!$M$21="","",INDEX(振り分け!$C$3:$C$302,計算用!$M$21))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IF(計算用!$M$22="","",21)</f>
        <v/>
      </c>
      <c r="B25" s="28">
        <f>IF(計算用!$M$22="","",INDEX(振り分け!$A$3:$A$302,計算用!$M$22))</f>
        <v/>
      </c>
      <c r="C25" s="28">
        <f>IF(計算用!$M$22="","",INDEX(振り分け!$B$3:$B$302,計算用!$M$22))</f>
        <v/>
      </c>
      <c r="D25" s="35">
        <f>IF(計算用!$M$22="","",INDEX(振り分け!$C$3:$C$302,計算用!$M$22))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IF(計算用!$M$23="","",22)</f>
        <v/>
      </c>
      <c r="B26" s="28">
        <f>IF(計算用!$M$23="","",INDEX(振り分け!$A$3:$A$302,計算用!$M$23))</f>
        <v/>
      </c>
      <c r="C26" s="28">
        <f>IF(計算用!$M$23="","",INDEX(振り分け!$B$3:$B$302,計算用!$M$23))</f>
        <v/>
      </c>
      <c r="D26" s="35">
        <f>IF(計算用!$M$23="","",INDEX(振り分け!$C$3:$C$302,計算用!$M$23))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IF(計算用!$M$24="","",23)</f>
        <v/>
      </c>
      <c r="B27" s="28">
        <f>IF(計算用!$M$24="","",INDEX(振り分け!$A$3:$A$302,計算用!$M$24))</f>
        <v/>
      </c>
      <c r="C27" s="28">
        <f>IF(計算用!$M$24="","",INDEX(振り分け!$B$3:$B$302,計算用!$M$24))</f>
        <v/>
      </c>
      <c r="D27" s="35">
        <f>IF(計算用!$M$24="","",INDEX(振り分け!$C$3:$C$302,計算用!$M$24))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IF(計算用!$M$25="","",24)</f>
        <v/>
      </c>
      <c r="B28" s="28">
        <f>IF(計算用!$M$25="","",INDEX(振り分け!$A$3:$A$302,計算用!$M$25))</f>
        <v/>
      </c>
      <c r="C28" s="28">
        <f>IF(計算用!$M$25="","",INDEX(振り分け!$B$3:$B$302,計算用!$M$25))</f>
        <v/>
      </c>
      <c r="D28" s="35">
        <f>IF(計算用!$M$25="","",INDEX(振り分け!$C$3:$C$302,計算用!$M$25))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IF(計算用!$M$26="","",25)</f>
        <v/>
      </c>
      <c r="B29" s="28">
        <f>IF(計算用!$M$26="","",INDEX(振り分け!$A$3:$A$302,計算用!$M$26))</f>
        <v/>
      </c>
      <c r="C29" s="28">
        <f>IF(計算用!$M$26="","",INDEX(振り分け!$B$3:$B$302,計算用!$M$26))</f>
        <v/>
      </c>
      <c r="D29" s="35">
        <f>IF(計算用!$M$26="","",INDEX(振り分け!$C$3:$C$302,計算用!$M$26))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IF(計算用!$M$27="","",26)</f>
        <v/>
      </c>
      <c r="B30" s="28">
        <f>IF(計算用!$M$27="","",INDEX(振り分け!$A$3:$A$302,計算用!$M$27))</f>
        <v/>
      </c>
      <c r="C30" s="28">
        <f>IF(計算用!$M$27="","",INDEX(振り分け!$B$3:$B$302,計算用!$M$27))</f>
        <v/>
      </c>
      <c r="D30" s="35">
        <f>IF(計算用!$M$27="","",INDEX(振り分け!$C$3:$C$302,計算用!$M$27))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IF(計算用!$M$28="","",27)</f>
        <v/>
      </c>
      <c r="B31" s="28">
        <f>IF(計算用!$M$28="","",INDEX(振り分け!$A$3:$A$302,計算用!$M$28))</f>
        <v/>
      </c>
      <c r="C31" s="28">
        <f>IF(計算用!$M$28="","",INDEX(振り分け!$B$3:$B$302,計算用!$M$28))</f>
        <v/>
      </c>
      <c r="D31" s="35">
        <f>IF(計算用!$M$28="","",INDEX(振り分け!$C$3:$C$302,計算用!$M$28))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IF(計算用!$M$29="","",28)</f>
        <v/>
      </c>
      <c r="B32" s="28">
        <f>IF(計算用!$M$29="","",INDEX(振り分け!$A$3:$A$302,計算用!$M$29))</f>
        <v/>
      </c>
      <c r="C32" s="28">
        <f>IF(計算用!$M$29="","",INDEX(振り分け!$B$3:$B$302,計算用!$M$29))</f>
        <v/>
      </c>
      <c r="D32" s="35">
        <f>IF(計算用!$M$29="","",INDEX(振り分け!$C$3:$C$302,計算用!$M$29))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IF(計算用!$M$30="","",29)</f>
        <v/>
      </c>
      <c r="B33" s="28">
        <f>IF(計算用!$M$30="","",INDEX(振り分け!$A$3:$A$302,計算用!$M$30))</f>
        <v/>
      </c>
      <c r="C33" s="28">
        <f>IF(計算用!$M$30="","",INDEX(振り分け!$B$3:$B$302,計算用!$M$30))</f>
        <v/>
      </c>
      <c r="D33" s="35">
        <f>IF(計算用!$M$30="","",INDEX(振り分け!$C$3:$C$302,計算用!$M$30))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IF(計算用!$M$31="","",30)</f>
        <v/>
      </c>
      <c r="B34" s="28">
        <f>IF(計算用!$M$31="","",INDEX(振り分け!$A$3:$A$302,計算用!$M$31))</f>
        <v/>
      </c>
      <c r="C34" s="28">
        <f>IF(計算用!$M$31="","",INDEX(振り分け!$B$3:$B$302,計算用!$M$31))</f>
        <v/>
      </c>
      <c r="D34" s="35">
        <f>IF(計算用!$M$31="","",INDEX(振り分け!$C$3:$C$302,計算用!$M$31))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IF(計算用!$M$32="","",31)</f>
        <v/>
      </c>
      <c r="B35" s="28">
        <f>IF(計算用!$M$32="","",INDEX(振り分け!$A$3:$A$302,計算用!$M$32))</f>
        <v/>
      </c>
      <c r="C35" s="28">
        <f>IF(計算用!$M$32="","",INDEX(振り分け!$B$3:$B$302,計算用!$M$32))</f>
        <v/>
      </c>
      <c r="D35" s="35">
        <f>IF(計算用!$M$32="","",INDEX(振り分け!$C$3:$C$302,計算用!$M$32))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IF(計算用!$M$33="","",32)</f>
        <v/>
      </c>
      <c r="B36" s="28">
        <f>IF(計算用!$M$33="","",INDEX(振り分け!$A$3:$A$302,計算用!$M$33))</f>
        <v/>
      </c>
      <c r="C36" s="28">
        <f>IF(計算用!$M$33="","",INDEX(振り分け!$B$3:$B$302,計算用!$M$33))</f>
        <v/>
      </c>
      <c r="D36" s="35">
        <f>IF(計算用!$M$33="","",INDEX(振り分け!$C$3:$C$302,計算用!$M$33))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IF(計算用!$M$34="","",33)</f>
        <v/>
      </c>
      <c r="B37" s="28">
        <f>IF(計算用!$M$34="","",INDEX(振り分け!$A$3:$A$302,計算用!$M$34))</f>
        <v/>
      </c>
      <c r="C37" s="28">
        <f>IF(計算用!$M$34="","",INDEX(振り分け!$B$3:$B$302,計算用!$M$34))</f>
        <v/>
      </c>
      <c r="D37" s="35">
        <f>IF(計算用!$M$34="","",INDEX(振り分け!$C$3:$C$302,計算用!$M$34))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IF(計算用!$M$35="","",34)</f>
        <v/>
      </c>
      <c r="B38" s="28">
        <f>IF(計算用!$M$35="","",INDEX(振り分け!$A$3:$A$302,計算用!$M$35))</f>
        <v/>
      </c>
      <c r="C38" s="28">
        <f>IF(計算用!$M$35="","",INDEX(振り分け!$B$3:$B$302,計算用!$M$35))</f>
        <v/>
      </c>
      <c r="D38" s="35">
        <f>IF(計算用!$M$35="","",INDEX(振り分け!$C$3:$C$302,計算用!$M$35))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IF(計算用!$M$36="","",35)</f>
        <v/>
      </c>
      <c r="B39" s="28">
        <f>IF(計算用!$M$36="","",INDEX(振り分け!$A$3:$A$302,計算用!$M$36))</f>
        <v/>
      </c>
      <c r="C39" s="28">
        <f>IF(計算用!$M$36="","",INDEX(振り分け!$B$3:$B$302,計算用!$M$36))</f>
        <v/>
      </c>
      <c r="D39" s="35">
        <f>IF(計算用!$M$36="","",INDEX(振り分け!$C$3:$C$302,計算用!$M$36))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IF(計算用!$M$37="","",36)</f>
        <v/>
      </c>
      <c r="B40" s="28">
        <f>IF(計算用!$M$37="","",INDEX(振り分け!$A$3:$A$302,計算用!$M$37))</f>
        <v/>
      </c>
      <c r="C40" s="28">
        <f>IF(計算用!$M$37="","",INDEX(振り分け!$B$3:$B$302,計算用!$M$37))</f>
        <v/>
      </c>
      <c r="D40" s="35">
        <f>IF(計算用!$M$37="","",INDEX(振り分け!$C$3:$C$302,計算用!$M$37))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IF(計算用!$M$38="","",37)</f>
        <v/>
      </c>
      <c r="B41" s="28">
        <f>IF(計算用!$M$38="","",INDEX(振り分け!$A$3:$A$302,計算用!$M$38))</f>
        <v/>
      </c>
      <c r="C41" s="28">
        <f>IF(計算用!$M$38="","",INDEX(振り分け!$B$3:$B$302,計算用!$M$38))</f>
        <v/>
      </c>
      <c r="D41" s="35">
        <f>IF(計算用!$M$38="","",INDEX(振り分け!$C$3:$C$302,計算用!$M$38))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IF(計算用!$M$39="","",38)</f>
        <v/>
      </c>
      <c r="B42" s="28">
        <f>IF(計算用!$M$39="","",INDEX(振り分け!$A$3:$A$302,計算用!$M$39))</f>
        <v/>
      </c>
      <c r="C42" s="28">
        <f>IF(計算用!$M$39="","",INDEX(振り分け!$B$3:$B$302,計算用!$M$39))</f>
        <v/>
      </c>
      <c r="D42" s="35">
        <f>IF(計算用!$M$39="","",INDEX(振り分け!$C$3:$C$302,計算用!$M$39))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IF(計算用!$M$40="","",39)</f>
        <v/>
      </c>
      <c r="B43" s="28">
        <f>IF(計算用!$M$40="","",INDEX(振り分け!$A$3:$A$302,計算用!$M$40))</f>
        <v/>
      </c>
      <c r="C43" s="28">
        <f>IF(計算用!$M$40="","",INDEX(振り分け!$B$3:$B$302,計算用!$M$40))</f>
        <v/>
      </c>
      <c r="D43" s="35">
        <f>IF(計算用!$M$40="","",INDEX(振り分け!$C$3:$C$302,計算用!$M$40))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IF(計算用!$M$41="","",40)</f>
        <v/>
      </c>
      <c r="B44" s="28">
        <f>IF(計算用!$M$41="","",INDEX(振り分け!$A$3:$A$302,計算用!$M$41))</f>
        <v/>
      </c>
      <c r="C44" s="28">
        <f>IF(計算用!$M$41="","",INDEX(振り分け!$B$3:$B$302,計算用!$M$41))</f>
        <v/>
      </c>
      <c r="D44" s="35">
        <f>IF(計算用!$M$41="","",INDEX(振り分け!$C$3:$C$302,計算用!$M$41))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IF(設定!$G$21="","",設定!$B$3&amp;"　"&amp;設定!$G$21&amp;設定!$B$4&amp;"名簿")</f>
        <v/>
      </c>
    </row>
    <row r="2">
      <c r="A2" s="23">
        <f>IF(設定!$G$21="","","担当："&amp;設定!$J$21&amp;"　　活動場所："&amp;設定!$K$21&amp;"　　人数："&amp;COUNTIF(振り分け!$I$3:$I$302,設定!$G$21)&amp;"名")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IF(計算用!$N$2="","",1)</f>
        <v/>
      </c>
      <c r="B5" s="28">
        <f>IF(計算用!$N$2="","",INDEX(振り分け!$A$3:$A$302,計算用!$N$2))</f>
        <v/>
      </c>
      <c r="C5" s="28">
        <f>IF(計算用!$N$2="","",INDEX(振り分け!$B$3:$B$302,計算用!$N$2))</f>
        <v/>
      </c>
      <c r="D5" s="35">
        <f>IF(計算用!$N$2="","",INDEX(振り分け!$C$3:$C$302,計算用!$N$2))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IF(計算用!$N$3="","",2)</f>
        <v/>
      </c>
      <c r="B6" s="28">
        <f>IF(計算用!$N$3="","",INDEX(振り分け!$A$3:$A$302,計算用!$N$3))</f>
        <v/>
      </c>
      <c r="C6" s="28">
        <f>IF(計算用!$N$3="","",INDEX(振り分け!$B$3:$B$302,計算用!$N$3))</f>
        <v/>
      </c>
      <c r="D6" s="35">
        <f>IF(計算用!$N$3="","",INDEX(振り分け!$C$3:$C$302,計算用!$N$3))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IF(計算用!$N$4="","",3)</f>
        <v/>
      </c>
      <c r="B7" s="28">
        <f>IF(計算用!$N$4="","",INDEX(振り分け!$A$3:$A$302,計算用!$N$4))</f>
        <v/>
      </c>
      <c r="C7" s="28">
        <f>IF(計算用!$N$4="","",INDEX(振り分け!$B$3:$B$302,計算用!$N$4))</f>
        <v/>
      </c>
      <c r="D7" s="35">
        <f>IF(計算用!$N$4="","",INDEX(振り分け!$C$3:$C$302,計算用!$N$4))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IF(計算用!$N$5="","",4)</f>
        <v/>
      </c>
      <c r="B8" s="28">
        <f>IF(計算用!$N$5="","",INDEX(振り分け!$A$3:$A$302,計算用!$N$5))</f>
        <v/>
      </c>
      <c r="C8" s="28">
        <f>IF(計算用!$N$5="","",INDEX(振り分け!$B$3:$B$302,計算用!$N$5))</f>
        <v/>
      </c>
      <c r="D8" s="35">
        <f>IF(計算用!$N$5="","",INDEX(振り分け!$C$3:$C$302,計算用!$N$5))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IF(計算用!$N$6="","",5)</f>
        <v/>
      </c>
      <c r="B9" s="28">
        <f>IF(計算用!$N$6="","",INDEX(振り分け!$A$3:$A$302,計算用!$N$6))</f>
        <v/>
      </c>
      <c r="C9" s="28">
        <f>IF(計算用!$N$6="","",INDEX(振り分け!$B$3:$B$302,計算用!$N$6))</f>
        <v/>
      </c>
      <c r="D9" s="35">
        <f>IF(計算用!$N$6="","",INDEX(振り分け!$C$3:$C$302,計算用!$N$6))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IF(計算用!$N$7="","",6)</f>
        <v/>
      </c>
      <c r="B10" s="28">
        <f>IF(計算用!$N$7="","",INDEX(振り分け!$A$3:$A$302,計算用!$N$7))</f>
        <v/>
      </c>
      <c r="C10" s="28">
        <f>IF(計算用!$N$7="","",INDEX(振り分け!$B$3:$B$302,計算用!$N$7))</f>
        <v/>
      </c>
      <c r="D10" s="35">
        <f>IF(計算用!$N$7="","",INDEX(振り分け!$C$3:$C$302,計算用!$N$7))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IF(計算用!$N$8="","",7)</f>
        <v/>
      </c>
      <c r="B11" s="28">
        <f>IF(計算用!$N$8="","",INDEX(振り分け!$A$3:$A$302,計算用!$N$8))</f>
        <v/>
      </c>
      <c r="C11" s="28">
        <f>IF(計算用!$N$8="","",INDEX(振り分け!$B$3:$B$302,計算用!$N$8))</f>
        <v/>
      </c>
      <c r="D11" s="35">
        <f>IF(計算用!$N$8="","",INDEX(振り分け!$C$3:$C$302,計算用!$N$8))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IF(計算用!$N$9="","",8)</f>
        <v/>
      </c>
      <c r="B12" s="28">
        <f>IF(計算用!$N$9="","",INDEX(振り分け!$A$3:$A$302,計算用!$N$9))</f>
        <v/>
      </c>
      <c r="C12" s="28">
        <f>IF(計算用!$N$9="","",INDEX(振り分け!$B$3:$B$302,計算用!$N$9))</f>
        <v/>
      </c>
      <c r="D12" s="35">
        <f>IF(計算用!$N$9="","",INDEX(振り分け!$C$3:$C$302,計算用!$N$9))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IF(計算用!$N$10="","",9)</f>
        <v/>
      </c>
      <c r="B13" s="28">
        <f>IF(計算用!$N$10="","",INDEX(振り分け!$A$3:$A$302,計算用!$N$10))</f>
        <v/>
      </c>
      <c r="C13" s="28">
        <f>IF(計算用!$N$10="","",INDEX(振り分け!$B$3:$B$302,計算用!$N$10))</f>
        <v/>
      </c>
      <c r="D13" s="35">
        <f>IF(計算用!$N$10="","",INDEX(振り分け!$C$3:$C$302,計算用!$N$10))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IF(計算用!$N$11="","",10)</f>
        <v/>
      </c>
      <c r="B14" s="28">
        <f>IF(計算用!$N$11="","",INDEX(振り分け!$A$3:$A$302,計算用!$N$11))</f>
        <v/>
      </c>
      <c r="C14" s="28">
        <f>IF(計算用!$N$11="","",INDEX(振り分け!$B$3:$B$302,計算用!$N$11))</f>
        <v/>
      </c>
      <c r="D14" s="35">
        <f>IF(計算用!$N$11="","",INDEX(振り分け!$C$3:$C$302,計算用!$N$11))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IF(計算用!$N$12="","",11)</f>
        <v/>
      </c>
      <c r="B15" s="28">
        <f>IF(計算用!$N$12="","",INDEX(振り分け!$A$3:$A$302,計算用!$N$12))</f>
        <v/>
      </c>
      <c r="C15" s="28">
        <f>IF(計算用!$N$12="","",INDEX(振り分け!$B$3:$B$302,計算用!$N$12))</f>
        <v/>
      </c>
      <c r="D15" s="35">
        <f>IF(計算用!$N$12="","",INDEX(振り分け!$C$3:$C$302,計算用!$N$12))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IF(計算用!$N$13="","",12)</f>
        <v/>
      </c>
      <c r="B16" s="28">
        <f>IF(計算用!$N$13="","",INDEX(振り分け!$A$3:$A$302,計算用!$N$13))</f>
        <v/>
      </c>
      <c r="C16" s="28">
        <f>IF(計算用!$N$13="","",INDEX(振り分け!$B$3:$B$302,計算用!$N$13))</f>
        <v/>
      </c>
      <c r="D16" s="35">
        <f>IF(計算用!$N$13="","",INDEX(振り分け!$C$3:$C$302,計算用!$N$13))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IF(計算用!$N$14="","",13)</f>
        <v/>
      </c>
      <c r="B17" s="28">
        <f>IF(計算用!$N$14="","",INDEX(振り分け!$A$3:$A$302,計算用!$N$14))</f>
        <v/>
      </c>
      <c r="C17" s="28">
        <f>IF(計算用!$N$14="","",INDEX(振り分け!$B$3:$B$302,計算用!$N$14))</f>
        <v/>
      </c>
      <c r="D17" s="35">
        <f>IF(計算用!$N$14="","",INDEX(振り分け!$C$3:$C$302,計算用!$N$14))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IF(計算用!$N$15="","",14)</f>
        <v/>
      </c>
      <c r="B18" s="28">
        <f>IF(計算用!$N$15="","",INDEX(振り分け!$A$3:$A$302,計算用!$N$15))</f>
        <v/>
      </c>
      <c r="C18" s="28">
        <f>IF(計算用!$N$15="","",INDEX(振り分け!$B$3:$B$302,計算用!$N$15))</f>
        <v/>
      </c>
      <c r="D18" s="35">
        <f>IF(計算用!$N$15="","",INDEX(振り分け!$C$3:$C$302,計算用!$N$15))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IF(計算用!$N$16="","",15)</f>
        <v/>
      </c>
      <c r="B19" s="28">
        <f>IF(計算用!$N$16="","",INDEX(振り分け!$A$3:$A$302,計算用!$N$16))</f>
        <v/>
      </c>
      <c r="C19" s="28">
        <f>IF(計算用!$N$16="","",INDEX(振り分け!$B$3:$B$302,計算用!$N$16))</f>
        <v/>
      </c>
      <c r="D19" s="35">
        <f>IF(計算用!$N$16="","",INDEX(振り分け!$C$3:$C$302,計算用!$N$16))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IF(計算用!$N$17="","",16)</f>
        <v/>
      </c>
      <c r="B20" s="28">
        <f>IF(計算用!$N$17="","",INDEX(振り分け!$A$3:$A$302,計算用!$N$17))</f>
        <v/>
      </c>
      <c r="C20" s="28">
        <f>IF(計算用!$N$17="","",INDEX(振り分け!$B$3:$B$302,計算用!$N$17))</f>
        <v/>
      </c>
      <c r="D20" s="35">
        <f>IF(計算用!$N$17="","",INDEX(振り分け!$C$3:$C$302,計算用!$N$17))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IF(計算用!$N$18="","",17)</f>
        <v/>
      </c>
      <c r="B21" s="28">
        <f>IF(計算用!$N$18="","",INDEX(振り分け!$A$3:$A$302,計算用!$N$18))</f>
        <v/>
      </c>
      <c r="C21" s="28">
        <f>IF(計算用!$N$18="","",INDEX(振り分け!$B$3:$B$302,計算用!$N$18))</f>
        <v/>
      </c>
      <c r="D21" s="35">
        <f>IF(計算用!$N$18="","",INDEX(振り分け!$C$3:$C$302,計算用!$N$18))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IF(計算用!$N$19="","",18)</f>
        <v/>
      </c>
      <c r="B22" s="28">
        <f>IF(計算用!$N$19="","",INDEX(振り分け!$A$3:$A$302,計算用!$N$19))</f>
        <v/>
      </c>
      <c r="C22" s="28">
        <f>IF(計算用!$N$19="","",INDEX(振り分け!$B$3:$B$302,計算用!$N$19))</f>
        <v/>
      </c>
      <c r="D22" s="35">
        <f>IF(計算用!$N$19="","",INDEX(振り分け!$C$3:$C$302,計算用!$N$19))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IF(計算用!$N$20="","",19)</f>
        <v/>
      </c>
      <c r="B23" s="28">
        <f>IF(計算用!$N$20="","",INDEX(振り分け!$A$3:$A$302,計算用!$N$20))</f>
        <v/>
      </c>
      <c r="C23" s="28">
        <f>IF(計算用!$N$20="","",INDEX(振り分け!$B$3:$B$302,計算用!$N$20))</f>
        <v/>
      </c>
      <c r="D23" s="35">
        <f>IF(計算用!$N$20="","",INDEX(振り分け!$C$3:$C$302,計算用!$N$20))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IF(計算用!$N$21="","",20)</f>
        <v/>
      </c>
      <c r="B24" s="28">
        <f>IF(計算用!$N$21="","",INDEX(振り分け!$A$3:$A$302,計算用!$N$21))</f>
        <v/>
      </c>
      <c r="C24" s="28">
        <f>IF(計算用!$N$21="","",INDEX(振り分け!$B$3:$B$302,計算用!$N$21))</f>
        <v/>
      </c>
      <c r="D24" s="35">
        <f>IF(計算用!$N$21="","",INDEX(振り分け!$C$3:$C$302,計算用!$N$21))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IF(計算用!$N$22="","",21)</f>
        <v/>
      </c>
      <c r="B25" s="28">
        <f>IF(計算用!$N$22="","",INDEX(振り分け!$A$3:$A$302,計算用!$N$22))</f>
        <v/>
      </c>
      <c r="C25" s="28">
        <f>IF(計算用!$N$22="","",INDEX(振り分け!$B$3:$B$302,計算用!$N$22))</f>
        <v/>
      </c>
      <c r="D25" s="35">
        <f>IF(計算用!$N$22="","",INDEX(振り分け!$C$3:$C$302,計算用!$N$22))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IF(計算用!$N$23="","",22)</f>
        <v/>
      </c>
      <c r="B26" s="28">
        <f>IF(計算用!$N$23="","",INDEX(振り分け!$A$3:$A$302,計算用!$N$23))</f>
        <v/>
      </c>
      <c r="C26" s="28">
        <f>IF(計算用!$N$23="","",INDEX(振り分け!$B$3:$B$302,計算用!$N$23))</f>
        <v/>
      </c>
      <c r="D26" s="35">
        <f>IF(計算用!$N$23="","",INDEX(振り分け!$C$3:$C$302,計算用!$N$23))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IF(計算用!$N$24="","",23)</f>
        <v/>
      </c>
      <c r="B27" s="28">
        <f>IF(計算用!$N$24="","",INDEX(振り分け!$A$3:$A$302,計算用!$N$24))</f>
        <v/>
      </c>
      <c r="C27" s="28">
        <f>IF(計算用!$N$24="","",INDEX(振り分け!$B$3:$B$302,計算用!$N$24))</f>
        <v/>
      </c>
      <c r="D27" s="35">
        <f>IF(計算用!$N$24="","",INDEX(振り分け!$C$3:$C$302,計算用!$N$24))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IF(計算用!$N$25="","",24)</f>
        <v/>
      </c>
      <c r="B28" s="28">
        <f>IF(計算用!$N$25="","",INDEX(振り分け!$A$3:$A$302,計算用!$N$25))</f>
        <v/>
      </c>
      <c r="C28" s="28">
        <f>IF(計算用!$N$25="","",INDEX(振り分け!$B$3:$B$302,計算用!$N$25))</f>
        <v/>
      </c>
      <c r="D28" s="35">
        <f>IF(計算用!$N$25="","",INDEX(振り分け!$C$3:$C$302,計算用!$N$25))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IF(計算用!$N$26="","",25)</f>
        <v/>
      </c>
      <c r="B29" s="28">
        <f>IF(計算用!$N$26="","",INDEX(振り分け!$A$3:$A$302,計算用!$N$26))</f>
        <v/>
      </c>
      <c r="C29" s="28">
        <f>IF(計算用!$N$26="","",INDEX(振り分け!$B$3:$B$302,計算用!$N$26))</f>
        <v/>
      </c>
      <c r="D29" s="35">
        <f>IF(計算用!$N$26="","",INDEX(振り分け!$C$3:$C$302,計算用!$N$26))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IF(計算用!$N$27="","",26)</f>
        <v/>
      </c>
      <c r="B30" s="28">
        <f>IF(計算用!$N$27="","",INDEX(振り分け!$A$3:$A$302,計算用!$N$27))</f>
        <v/>
      </c>
      <c r="C30" s="28">
        <f>IF(計算用!$N$27="","",INDEX(振り分け!$B$3:$B$302,計算用!$N$27))</f>
        <v/>
      </c>
      <c r="D30" s="35">
        <f>IF(計算用!$N$27="","",INDEX(振り分け!$C$3:$C$302,計算用!$N$27))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IF(計算用!$N$28="","",27)</f>
        <v/>
      </c>
      <c r="B31" s="28">
        <f>IF(計算用!$N$28="","",INDEX(振り分け!$A$3:$A$302,計算用!$N$28))</f>
        <v/>
      </c>
      <c r="C31" s="28">
        <f>IF(計算用!$N$28="","",INDEX(振り分け!$B$3:$B$302,計算用!$N$28))</f>
        <v/>
      </c>
      <c r="D31" s="35">
        <f>IF(計算用!$N$28="","",INDEX(振り分け!$C$3:$C$302,計算用!$N$28))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IF(計算用!$N$29="","",28)</f>
        <v/>
      </c>
      <c r="B32" s="28">
        <f>IF(計算用!$N$29="","",INDEX(振り分け!$A$3:$A$302,計算用!$N$29))</f>
        <v/>
      </c>
      <c r="C32" s="28">
        <f>IF(計算用!$N$29="","",INDEX(振り分け!$B$3:$B$302,計算用!$N$29))</f>
        <v/>
      </c>
      <c r="D32" s="35">
        <f>IF(計算用!$N$29="","",INDEX(振り分け!$C$3:$C$302,計算用!$N$29))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IF(計算用!$N$30="","",29)</f>
        <v/>
      </c>
      <c r="B33" s="28">
        <f>IF(計算用!$N$30="","",INDEX(振り分け!$A$3:$A$302,計算用!$N$30))</f>
        <v/>
      </c>
      <c r="C33" s="28">
        <f>IF(計算用!$N$30="","",INDEX(振り分け!$B$3:$B$302,計算用!$N$30))</f>
        <v/>
      </c>
      <c r="D33" s="35">
        <f>IF(計算用!$N$30="","",INDEX(振り分け!$C$3:$C$302,計算用!$N$30))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IF(計算用!$N$31="","",30)</f>
        <v/>
      </c>
      <c r="B34" s="28">
        <f>IF(計算用!$N$31="","",INDEX(振り分け!$A$3:$A$302,計算用!$N$31))</f>
        <v/>
      </c>
      <c r="C34" s="28">
        <f>IF(計算用!$N$31="","",INDEX(振り分け!$B$3:$B$302,計算用!$N$31))</f>
        <v/>
      </c>
      <c r="D34" s="35">
        <f>IF(計算用!$N$31="","",INDEX(振り分け!$C$3:$C$302,計算用!$N$31))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IF(計算用!$N$32="","",31)</f>
        <v/>
      </c>
      <c r="B35" s="28">
        <f>IF(計算用!$N$32="","",INDEX(振り分け!$A$3:$A$302,計算用!$N$32))</f>
        <v/>
      </c>
      <c r="C35" s="28">
        <f>IF(計算用!$N$32="","",INDEX(振り分け!$B$3:$B$302,計算用!$N$32))</f>
        <v/>
      </c>
      <c r="D35" s="35">
        <f>IF(計算用!$N$32="","",INDEX(振り分け!$C$3:$C$302,計算用!$N$32))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IF(計算用!$N$33="","",32)</f>
        <v/>
      </c>
      <c r="B36" s="28">
        <f>IF(計算用!$N$33="","",INDEX(振り分け!$A$3:$A$302,計算用!$N$33))</f>
        <v/>
      </c>
      <c r="C36" s="28">
        <f>IF(計算用!$N$33="","",INDEX(振り分け!$B$3:$B$302,計算用!$N$33))</f>
        <v/>
      </c>
      <c r="D36" s="35">
        <f>IF(計算用!$N$33="","",INDEX(振り分け!$C$3:$C$302,計算用!$N$33))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IF(計算用!$N$34="","",33)</f>
        <v/>
      </c>
      <c r="B37" s="28">
        <f>IF(計算用!$N$34="","",INDEX(振り分け!$A$3:$A$302,計算用!$N$34))</f>
        <v/>
      </c>
      <c r="C37" s="28">
        <f>IF(計算用!$N$34="","",INDEX(振り分け!$B$3:$B$302,計算用!$N$34))</f>
        <v/>
      </c>
      <c r="D37" s="35">
        <f>IF(計算用!$N$34="","",INDEX(振り分け!$C$3:$C$302,計算用!$N$34))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IF(計算用!$N$35="","",34)</f>
        <v/>
      </c>
      <c r="B38" s="28">
        <f>IF(計算用!$N$35="","",INDEX(振り分け!$A$3:$A$302,計算用!$N$35))</f>
        <v/>
      </c>
      <c r="C38" s="28">
        <f>IF(計算用!$N$35="","",INDEX(振り分け!$B$3:$B$302,計算用!$N$35))</f>
        <v/>
      </c>
      <c r="D38" s="35">
        <f>IF(計算用!$N$35="","",INDEX(振り分け!$C$3:$C$302,計算用!$N$35))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IF(計算用!$N$36="","",35)</f>
        <v/>
      </c>
      <c r="B39" s="28">
        <f>IF(計算用!$N$36="","",INDEX(振り分け!$A$3:$A$302,計算用!$N$36))</f>
        <v/>
      </c>
      <c r="C39" s="28">
        <f>IF(計算用!$N$36="","",INDEX(振り分け!$B$3:$B$302,計算用!$N$36))</f>
        <v/>
      </c>
      <c r="D39" s="35">
        <f>IF(計算用!$N$36="","",INDEX(振り分け!$C$3:$C$302,計算用!$N$36))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IF(計算用!$N$37="","",36)</f>
        <v/>
      </c>
      <c r="B40" s="28">
        <f>IF(計算用!$N$37="","",INDEX(振り分け!$A$3:$A$302,計算用!$N$37))</f>
        <v/>
      </c>
      <c r="C40" s="28">
        <f>IF(計算用!$N$37="","",INDEX(振り分け!$B$3:$B$302,計算用!$N$37))</f>
        <v/>
      </c>
      <c r="D40" s="35">
        <f>IF(計算用!$N$37="","",INDEX(振り分け!$C$3:$C$302,計算用!$N$37))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IF(計算用!$N$38="","",37)</f>
        <v/>
      </c>
      <c r="B41" s="28">
        <f>IF(計算用!$N$38="","",INDEX(振り分け!$A$3:$A$302,計算用!$N$38))</f>
        <v/>
      </c>
      <c r="C41" s="28">
        <f>IF(計算用!$N$38="","",INDEX(振り分け!$B$3:$B$302,計算用!$N$38))</f>
        <v/>
      </c>
      <c r="D41" s="35">
        <f>IF(計算用!$N$38="","",INDEX(振り分け!$C$3:$C$302,計算用!$N$38))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IF(計算用!$N$39="","",38)</f>
        <v/>
      </c>
      <c r="B42" s="28">
        <f>IF(計算用!$N$39="","",INDEX(振り分け!$A$3:$A$302,計算用!$N$39))</f>
        <v/>
      </c>
      <c r="C42" s="28">
        <f>IF(計算用!$N$39="","",INDEX(振り分け!$B$3:$B$302,計算用!$N$39))</f>
        <v/>
      </c>
      <c r="D42" s="35">
        <f>IF(計算用!$N$39="","",INDEX(振り分け!$C$3:$C$302,計算用!$N$39))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IF(計算用!$N$40="","",39)</f>
        <v/>
      </c>
      <c r="B43" s="28">
        <f>IF(計算用!$N$40="","",INDEX(振り分け!$A$3:$A$302,計算用!$N$40))</f>
        <v/>
      </c>
      <c r="C43" s="28">
        <f>IF(計算用!$N$40="","",INDEX(振り分け!$B$3:$B$302,計算用!$N$40))</f>
        <v/>
      </c>
      <c r="D43" s="35">
        <f>IF(計算用!$N$40="","",INDEX(振り分け!$C$3:$C$302,計算用!$N$40))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IF(計算用!$N$41="","",40)</f>
        <v/>
      </c>
      <c r="B44" s="28">
        <f>IF(計算用!$N$41="","",INDEX(振り分け!$A$3:$A$302,計算用!$N$41))</f>
        <v/>
      </c>
      <c r="C44" s="28">
        <f>IF(計算用!$N$41="","",INDEX(振り分け!$B$3:$B$302,計算用!$N$41))</f>
        <v/>
      </c>
      <c r="D44" s="35">
        <f>IF(計算用!$N$41="","",INDEX(振り分け!$C$3:$C$302,計算用!$N$41))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IF(設定!$G$22="","",設定!$B$3&amp;"　"&amp;設定!$G$22&amp;設定!$B$4&amp;"名簿")</f>
        <v/>
      </c>
    </row>
    <row r="2">
      <c r="A2" s="23">
        <f>IF(設定!$G$22="","","担当："&amp;設定!$J$22&amp;"　　活動場所："&amp;設定!$K$22&amp;"　　人数："&amp;COUNTIF(振り分け!$I$3:$I$302,設定!$G$22)&amp;"名")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IF(計算用!$O$2="","",1)</f>
        <v/>
      </c>
      <c r="B5" s="28">
        <f>IF(計算用!$O$2="","",INDEX(振り分け!$A$3:$A$302,計算用!$O$2))</f>
        <v/>
      </c>
      <c r="C5" s="28">
        <f>IF(計算用!$O$2="","",INDEX(振り分け!$B$3:$B$302,計算用!$O$2))</f>
        <v/>
      </c>
      <c r="D5" s="35">
        <f>IF(計算用!$O$2="","",INDEX(振り分け!$C$3:$C$302,計算用!$O$2))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IF(計算用!$O$3="","",2)</f>
        <v/>
      </c>
      <c r="B6" s="28">
        <f>IF(計算用!$O$3="","",INDEX(振り分け!$A$3:$A$302,計算用!$O$3))</f>
        <v/>
      </c>
      <c r="C6" s="28">
        <f>IF(計算用!$O$3="","",INDEX(振り分け!$B$3:$B$302,計算用!$O$3))</f>
        <v/>
      </c>
      <c r="D6" s="35">
        <f>IF(計算用!$O$3="","",INDEX(振り分け!$C$3:$C$302,計算用!$O$3))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IF(計算用!$O$4="","",3)</f>
        <v/>
      </c>
      <c r="B7" s="28">
        <f>IF(計算用!$O$4="","",INDEX(振り分け!$A$3:$A$302,計算用!$O$4))</f>
        <v/>
      </c>
      <c r="C7" s="28">
        <f>IF(計算用!$O$4="","",INDEX(振り分け!$B$3:$B$302,計算用!$O$4))</f>
        <v/>
      </c>
      <c r="D7" s="35">
        <f>IF(計算用!$O$4="","",INDEX(振り分け!$C$3:$C$302,計算用!$O$4))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IF(計算用!$O$5="","",4)</f>
        <v/>
      </c>
      <c r="B8" s="28">
        <f>IF(計算用!$O$5="","",INDEX(振り分け!$A$3:$A$302,計算用!$O$5))</f>
        <v/>
      </c>
      <c r="C8" s="28">
        <f>IF(計算用!$O$5="","",INDEX(振り分け!$B$3:$B$302,計算用!$O$5))</f>
        <v/>
      </c>
      <c r="D8" s="35">
        <f>IF(計算用!$O$5="","",INDEX(振り分け!$C$3:$C$302,計算用!$O$5))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IF(計算用!$O$6="","",5)</f>
        <v/>
      </c>
      <c r="B9" s="28">
        <f>IF(計算用!$O$6="","",INDEX(振り分け!$A$3:$A$302,計算用!$O$6))</f>
        <v/>
      </c>
      <c r="C9" s="28">
        <f>IF(計算用!$O$6="","",INDEX(振り分け!$B$3:$B$302,計算用!$O$6))</f>
        <v/>
      </c>
      <c r="D9" s="35">
        <f>IF(計算用!$O$6="","",INDEX(振り分け!$C$3:$C$302,計算用!$O$6))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IF(計算用!$O$7="","",6)</f>
        <v/>
      </c>
      <c r="B10" s="28">
        <f>IF(計算用!$O$7="","",INDEX(振り分け!$A$3:$A$302,計算用!$O$7))</f>
        <v/>
      </c>
      <c r="C10" s="28">
        <f>IF(計算用!$O$7="","",INDEX(振り分け!$B$3:$B$302,計算用!$O$7))</f>
        <v/>
      </c>
      <c r="D10" s="35">
        <f>IF(計算用!$O$7="","",INDEX(振り分け!$C$3:$C$302,計算用!$O$7))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IF(計算用!$O$8="","",7)</f>
        <v/>
      </c>
      <c r="B11" s="28">
        <f>IF(計算用!$O$8="","",INDEX(振り分け!$A$3:$A$302,計算用!$O$8))</f>
        <v/>
      </c>
      <c r="C11" s="28">
        <f>IF(計算用!$O$8="","",INDEX(振り分け!$B$3:$B$302,計算用!$O$8))</f>
        <v/>
      </c>
      <c r="D11" s="35">
        <f>IF(計算用!$O$8="","",INDEX(振り分け!$C$3:$C$302,計算用!$O$8))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IF(計算用!$O$9="","",8)</f>
        <v/>
      </c>
      <c r="B12" s="28">
        <f>IF(計算用!$O$9="","",INDEX(振り分け!$A$3:$A$302,計算用!$O$9))</f>
        <v/>
      </c>
      <c r="C12" s="28">
        <f>IF(計算用!$O$9="","",INDEX(振り分け!$B$3:$B$302,計算用!$O$9))</f>
        <v/>
      </c>
      <c r="D12" s="35">
        <f>IF(計算用!$O$9="","",INDEX(振り分け!$C$3:$C$302,計算用!$O$9))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IF(計算用!$O$10="","",9)</f>
        <v/>
      </c>
      <c r="B13" s="28">
        <f>IF(計算用!$O$10="","",INDEX(振り分け!$A$3:$A$302,計算用!$O$10))</f>
        <v/>
      </c>
      <c r="C13" s="28">
        <f>IF(計算用!$O$10="","",INDEX(振り分け!$B$3:$B$302,計算用!$O$10))</f>
        <v/>
      </c>
      <c r="D13" s="35">
        <f>IF(計算用!$O$10="","",INDEX(振り分け!$C$3:$C$302,計算用!$O$10))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IF(計算用!$O$11="","",10)</f>
        <v/>
      </c>
      <c r="B14" s="28">
        <f>IF(計算用!$O$11="","",INDEX(振り分け!$A$3:$A$302,計算用!$O$11))</f>
        <v/>
      </c>
      <c r="C14" s="28">
        <f>IF(計算用!$O$11="","",INDEX(振り分け!$B$3:$B$302,計算用!$O$11))</f>
        <v/>
      </c>
      <c r="D14" s="35">
        <f>IF(計算用!$O$11="","",INDEX(振り分け!$C$3:$C$302,計算用!$O$11))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IF(計算用!$O$12="","",11)</f>
        <v/>
      </c>
      <c r="B15" s="28">
        <f>IF(計算用!$O$12="","",INDEX(振り分け!$A$3:$A$302,計算用!$O$12))</f>
        <v/>
      </c>
      <c r="C15" s="28">
        <f>IF(計算用!$O$12="","",INDEX(振り分け!$B$3:$B$302,計算用!$O$12))</f>
        <v/>
      </c>
      <c r="D15" s="35">
        <f>IF(計算用!$O$12="","",INDEX(振り分け!$C$3:$C$302,計算用!$O$12))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IF(計算用!$O$13="","",12)</f>
        <v/>
      </c>
      <c r="B16" s="28">
        <f>IF(計算用!$O$13="","",INDEX(振り分け!$A$3:$A$302,計算用!$O$13))</f>
        <v/>
      </c>
      <c r="C16" s="28">
        <f>IF(計算用!$O$13="","",INDEX(振り分け!$B$3:$B$302,計算用!$O$13))</f>
        <v/>
      </c>
      <c r="D16" s="35">
        <f>IF(計算用!$O$13="","",INDEX(振り分け!$C$3:$C$302,計算用!$O$13))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IF(計算用!$O$14="","",13)</f>
        <v/>
      </c>
      <c r="B17" s="28">
        <f>IF(計算用!$O$14="","",INDEX(振り分け!$A$3:$A$302,計算用!$O$14))</f>
        <v/>
      </c>
      <c r="C17" s="28">
        <f>IF(計算用!$O$14="","",INDEX(振り分け!$B$3:$B$302,計算用!$O$14))</f>
        <v/>
      </c>
      <c r="D17" s="35">
        <f>IF(計算用!$O$14="","",INDEX(振り分け!$C$3:$C$302,計算用!$O$14))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IF(計算用!$O$15="","",14)</f>
        <v/>
      </c>
      <c r="B18" s="28">
        <f>IF(計算用!$O$15="","",INDEX(振り分け!$A$3:$A$302,計算用!$O$15))</f>
        <v/>
      </c>
      <c r="C18" s="28">
        <f>IF(計算用!$O$15="","",INDEX(振り分け!$B$3:$B$302,計算用!$O$15))</f>
        <v/>
      </c>
      <c r="D18" s="35">
        <f>IF(計算用!$O$15="","",INDEX(振り分け!$C$3:$C$302,計算用!$O$15))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IF(計算用!$O$16="","",15)</f>
        <v/>
      </c>
      <c r="B19" s="28">
        <f>IF(計算用!$O$16="","",INDEX(振り分け!$A$3:$A$302,計算用!$O$16))</f>
        <v/>
      </c>
      <c r="C19" s="28">
        <f>IF(計算用!$O$16="","",INDEX(振り分け!$B$3:$B$302,計算用!$O$16))</f>
        <v/>
      </c>
      <c r="D19" s="35">
        <f>IF(計算用!$O$16="","",INDEX(振り分け!$C$3:$C$302,計算用!$O$16))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IF(計算用!$O$17="","",16)</f>
        <v/>
      </c>
      <c r="B20" s="28">
        <f>IF(計算用!$O$17="","",INDEX(振り分け!$A$3:$A$302,計算用!$O$17))</f>
        <v/>
      </c>
      <c r="C20" s="28">
        <f>IF(計算用!$O$17="","",INDEX(振り分け!$B$3:$B$302,計算用!$O$17))</f>
        <v/>
      </c>
      <c r="D20" s="35">
        <f>IF(計算用!$O$17="","",INDEX(振り分け!$C$3:$C$302,計算用!$O$17))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IF(計算用!$O$18="","",17)</f>
        <v/>
      </c>
      <c r="B21" s="28">
        <f>IF(計算用!$O$18="","",INDEX(振り分け!$A$3:$A$302,計算用!$O$18))</f>
        <v/>
      </c>
      <c r="C21" s="28">
        <f>IF(計算用!$O$18="","",INDEX(振り分け!$B$3:$B$302,計算用!$O$18))</f>
        <v/>
      </c>
      <c r="D21" s="35">
        <f>IF(計算用!$O$18="","",INDEX(振り分け!$C$3:$C$302,計算用!$O$18))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IF(計算用!$O$19="","",18)</f>
        <v/>
      </c>
      <c r="B22" s="28">
        <f>IF(計算用!$O$19="","",INDEX(振り分け!$A$3:$A$302,計算用!$O$19))</f>
        <v/>
      </c>
      <c r="C22" s="28">
        <f>IF(計算用!$O$19="","",INDEX(振り分け!$B$3:$B$302,計算用!$O$19))</f>
        <v/>
      </c>
      <c r="D22" s="35">
        <f>IF(計算用!$O$19="","",INDEX(振り分け!$C$3:$C$302,計算用!$O$19))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IF(計算用!$O$20="","",19)</f>
        <v/>
      </c>
      <c r="B23" s="28">
        <f>IF(計算用!$O$20="","",INDEX(振り分け!$A$3:$A$302,計算用!$O$20))</f>
        <v/>
      </c>
      <c r="C23" s="28">
        <f>IF(計算用!$O$20="","",INDEX(振り分け!$B$3:$B$302,計算用!$O$20))</f>
        <v/>
      </c>
      <c r="D23" s="35">
        <f>IF(計算用!$O$20="","",INDEX(振り分け!$C$3:$C$302,計算用!$O$20))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IF(計算用!$O$21="","",20)</f>
        <v/>
      </c>
      <c r="B24" s="28">
        <f>IF(計算用!$O$21="","",INDEX(振り分け!$A$3:$A$302,計算用!$O$21))</f>
        <v/>
      </c>
      <c r="C24" s="28">
        <f>IF(計算用!$O$21="","",INDEX(振り分け!$B$3:$B$302,計算用!$O$21))</f>
        <v/>
      </c>
      <c r="D24" s="35">
        <f>IF(計算用!$O$21="","",INDEX(振り分け!$C$3:$C$302,計算用!$O$21))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IF(計算用!$O$22="","",21)</f>
        <v/>
      </c>
      <c r="B25" s="28">
        <f>IF(計算用!$O$22="","",INDEX(振り分け!$A$3:$A$302,計算用!$O$22))</f>
        <v/>
      </c>
      <c r="C25" s="28">
        <f>IF(計算用!$O$22="","",INDEX(振り分け!$B$3:$B$302,計算用!$O$22))</f>
        <v/>
      </c>
      <c r="D25" s="35">
        <f>IF(計算用!$O$22="","",INDEX(振り分け!$C$3:$C$302,計算用!$O$22))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IF(計算用!$O$23="","",22)</f>
        <v/>
      </c>
      <c r="B26" s="28">
        <f>IF(計算用!$O$23="","",INDEX(振り分け!$A$3:$A$302,計算用!$O$23))</f>
        <v/>
      </c>
      <c r="C26" s="28">
        <f>IF(計算用!$O$23="","",INDEX(振り分け!$B$3:$B$302,計算用!$O$23))</f>
        <v/>
      </c>
      <c r="D26" s="35">
        <f>IF(計算用!$O$23="","",INDEX(振り分け!$C$3:$C$302,計算用!$O$23))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IF(計算用!$O$24="","",23)</f>
        <v/>
      </c>
      <c r="B27" s="28">
        <f>IF(計算用!$O$24="","",INDEX(振り分け!$A$3:$A$302,計算用!$O$24))</f>
        <v/>
      </c>
      <c r="C27" s="28">
        <f>IF(計算用!$O$24="","",INDEX(振り分け!$B$3:$B$302,計算用!$O$24))</f>
        <v/>
      </c>
      <c r="D27" s="35">
        <f>IF(計算用!$O$24="","",INDEX(振り分け!$C$3:$C$302,計算用!$O$24))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IF(計算用!$O$25="","",24)</f>
        <v/>
      </c>
      <c r="B28" s="28">
        <f>IF(計算用!$O$25="","",INDEX(振り分け!$A$3:$A$302,計算用!$O$25))</f>
        <v/>
      </c>
      <c r="C28" s="28">
        <f>IF(計算用!$O$25="","",INDEX(振り分け!$B$3:$B$302,計算用!$O$25))</f>
        <v/>
      </c>
      <c r="D28" s="35">
        <f>IF(計算用!$O$25="","",INDEX(振り分け!$C$3:$C$302,計算用!$O$25))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IF(計算用!$O$26="","",25)</f>
        <v/>
      </c>
      <c r="B29" s="28">
        <f>IF(計算用!$O$26="","",INDEX(振り分け!$A$3:$A$302,計算用!$O$26))</f>
        <v/>
      </c>
      <c r="C29" s="28">
        <f>IF(計算用!$O$26="","",INDEX(振り分け!$B$3:$B$302,計算用!$O$26))</f>
        <v/>
      </c>
      <c r="D29" s="35">
        <f>IF(計算用!$O$26="","",INDEX(振り分け!$C$3:$C$302,計算用!$O$26))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IF(計算用!$O$27="","",26)</f>
        <v/>
      </c>
      <c r="B30" s="28">
        <f>IF(計算用!$O$27="","",INDEX(振り分け!$A$3:$A$302,計算用!$O$27))</f>
        <v/>
      </c>
      <c r="C30" s="28">
        <f>IF(計算用!$O$27="","",INDEX(振り分け!$B$3:$B$302,計算用!$O$27))</f>
        <v/>
      </c>
      <c r="D30" s="35">
        <f>IF(計算用!$O$27="","",INDEX(振り分け!$C$3:$C$302,計算用!$O$27))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IF(計算用!$O$28="","",27)</f>
        <v/>
      </c>
      <c r="B31" s="28">
        <f>IF(計算用!$O$28="","",INDEX(振り分け!$A$3:$A$302,計算用!$O$28))</f>
        <v/>
      </c>
      <c r="C31" s="28">
        <f>IF(計算用!$O$28="","",INDEX(振り分け!$B$3:$B$302,計算用!$O$28))</f>
        <v/>
      </c>
      <c r="D31" s="35">
        <f>IF(計算用!$O$28="","",INDEX(振り分け!$C$3:$C$302,計算用!$O$28))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IF(計算用!$O$29="","",28)</f>
        <v/>
      </c>
      <c r="B32" s="28">
        <f>IF(計算用!$O$29="","",INDEX(振り分け!$A$3:$A$302,計算用!$O$29))</f>
        <v/>
      </c>
      <c r="C32" s="28">
        <f>IF(計算用!$O$29="","",INDEX(振り分け!$B$3:$B$302,計算用!$O$29))</f>
        <v/>
      </c>
      <c r="D32" s="35">
        <f>IF(計算用!$O$29="","",INDEX(振り分け!$C$3:$C$302,計算用!$O$29))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IF(計算用!$O$30="","",29)</f>
        <v/>
      </c>
      <c r="B33" s="28">
        <f>IF(計算用!$O$30="","",INDEX(振り分け!$A$3:$A$302,計算用!$O$30))</f>
        <v/>
      </c>
      <c r="C33" s="28">
        <f>IF(計算用!$O$30="","",INDEX(振り分け!$B$3:$B$302,計算用!$O$30))</f>
        <v/>
      </c>
      <c r="D33" s="35">
        <f>IF(計算用!$O$30="","",INDEX(振り分け!$C$3:$C$302,計算用!$O$30))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IF(計算用!$O$31="","",30)</f>
        <v/>
      </c>
      <c r="B34" s="28">
        <f>IF(計算用!$O$31="","",INDEX(振り分け!$A$3:$A$302,計算用!$O$31))</f>
        <v/>
      </c>
      <c r="C34" s="28">
        <f>IF(計算用!$O$31="","",INDEX(振り分け!$B$3:$B$302,計算用!$O$31))</f>
        <v/>
      </c>
      <c r="D34" s="35">
        <f>IF(計算用!$O$31="","",INDEX(振り分け!$C$3:$C$302,計算用!$O$31))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IF(計算用!$O$32="","",31)</f>
        <v/>
      </c>
      <c r="B35" s="28">
        <f>IF(計算用!$O$32="","",INDEX(振り分け!$A$3:$A$302,計算用!$O$32))</f>
        <v/>
      </c>
      <c r="C35" s="28">
        <f>IF(計算用!$O$32="","",INDEX(振り分け!$B$3:$B$302,計算用!$O$32))</f>
        <v/>
      </c>
      <c r="D35" s="35">
        <f>IF(計算用!$O$32="","",INDEX(振り分け!$C$3:$C$302,計算用!$O$32))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IF(計算用!$O$33="","",32)</f>
        <v/>
      </c>
      <c r="B36" s="28">
        <f>IF(計算用!$O$33="","",INDEX(振り分け!$A$3:$A$302,計算用!$O$33))</f>
        <v/>
      </c>
      <c r="C36" s="28">
        <f>IF(計算用!$O$33="","",INDEX(振り分け!$B$3:$B$302,計算用!$O$33))</f>
        <v/>
      </c>
      <c r="D36" s="35">
        <f>IF(計算用!$O$33="","",INDEX(振り分け!$C$3:$C$302,計算用!$O$33))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IF(計算用!$O$34="","",33)</f>
        <v/>
      </c>
      <c r="B37" s="28">
        <f>IF(計算用!$O$34="","",INDEX(振り分け!$A$3:$A$302,計算用!$O$34))</f>
        <v/>
      </c>
      <c r="C37" s="28">
        <f>IF(計算用!$O$34="","",INDEX(振り分け!$B$3:$B$302,計算用!$O$34))</f>
        <v/>
      </c>
      <c r="D37" s="35">
        <f>IF(計算用!$O$34="","",INDEX(振り分け!$C$3:$C$302,計算用!$O$34))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IF(計算用!$O$35="","",34)</f>
        <v/>
      </c>
      <c r="B38" s="28">
        <f>IF(計算用!$O$35="","",INDEX(振り分け!$A$3:$A$302,計算用!$O$35))</f>
        <v/>
      </c>
      <c r="C38" s="28">
        <f>IF(計算用!$O$35="","",INDEX(振り分け!$B$3:$B$302,計算用!$O$35))</f>
        <v/>
      </c>
      <c r="D38" s="35">
        <f>IF(計算用!$O$35="","",INDEX(振り分け!$C$3:$C$302,計算用!$O$35))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IF(計算用!$O$36="","",35)</f>
        <v/>
      </c>
      <c r="B39" s="28">
        <f>IF(計算用!$O$36="","",INDEX(振り分け!$A$3:$A$302,計算用!$O$36))</f>
        <v/>
      </c>
      <c r="C39" s="28">
        <f>IF(計算用!$O$36="","",INDEX(振り分け!$B$3:$B$302,計算用!$O$36))</f>
        <v/>
      </c>
      <c r="D39" s="35">
        <f>IF(計算用!$O$36="","",INDEX(振り分け!$C$3:$C$302,計算用!$O$36))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IF(計算用!$O$37="","",36)</f>
        <v/>
      </c>
      <c r="B40" s="28">
        <f>IF(計算用!$O$37="","",INDEX(振り分け!$A$3:$A$302,計算用!$O$37))</f>
        <v/>
      </c>
      <c r="C40" s="28">
        <f>IF(計算用!$O$37="","",INDEX(振り分け!$B$3:$B$302,計算用!$O$37))</f>
        <v/>
      </c>
      <c r="D40" s="35">
        <f>IF(計算用!$O$37="","",INDEX(振り分け!$C$3:$C$302,計算用!$O$37))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IF(計算用!$O$38="","",37)</f>
        <v/>
      </c>
      <c r="B41" s="28">
        <f>IF(計算用!$O$38="","",INDEX(振り分け!$A$3:$A$302,計算用!$O$38))</f>
        <v/>
      </c>
      <c r="C41" s="28">
        <f>IF(計算用!$O$38="","",INDEX(振り分け!$B$3:$B$302,計算用!$O$38))</f>
        <v/>
      </c>
      <c r="D41" s="35">
        <f>IF(計算用!$O$38="","",INDEX(振り分け!$C$3:$C$302,計算用!$O$38))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IF(計算用!$O$39="","",38)</f>
        <v/>
      </c>
      <c r="B42" s="28">
        <f>IF(計算用!$O$39="","",INDEX(振り分け!$A$3:$A$302,計算用!$O$39))</f>
        <v/>
      </c>
      <c r="C42" s="28">
        <f>IF(計算用!$O$39="","",INDEX(振り分け!$B$3:$B$302,計算用!$O$39))</f>
        <v/>
      </c>
      <c r="D42" s="35">
        <f>IF(計算用!$O$39="","",INDEX(振り分け!$C$3:$C$302,計算用!$O$39))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IF(計算用!$O$40="","",39)</f>
        <v/>
      </c>
      <c r="B43" s="28">
        <f>IF(計算用!$O$40="","",INDEX(振り分け!$A$3:$A$302,計算用!$O$40))</f>
        <v/>
      </c>
      <c r="C43" s="28">
        <f>IF(計算用!$O$40="","",INDEX(振り分け!$B$3:$B$302,計算用!$O$40))</f>
        <v/>
      </c>
      <c r="D43" s="35">
        <f>IF(計算用!$O$40="","",INDEX(振り分け!$C$3:$C$302,計算用!$O$40))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IF(計算用!$O$41="","",40)</f>
        <v/>
      </c>
      <c r="B44" s="28">
        <f>IF(計算用!$O$41="","",INDEX(振り分け!$A$3:$A$302,計算用!$O$41))</f>
        <v/>
      </c>
      <c r="C44" s="28">
        <f>IF(計算用!$O$41="","",INDEX(振り分け!$B$3:$B$302,計算用!$O$41))</f>
        <v/>
      </c>
      <c r="D44" s="35">
        <f>IF(計算用!$O$41="","",INDEX(振り分け!$C$3:$C$302,計算用!$O$41))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IF(設定!$G$23="","",設定!$B$3&amp;"　"&amp;設定!$G$23&amp;設定!$B$4&amp;"名簿")</f>
        <v/>
      </c>
    </row>
    <row r="2">
      <c r="A2" s="23">
        <f>IF(設定!$G$23="","","担当："&amp;設定!$J$23&amp;"　　活動場所："&amp;設定!$K$23&amp;"　　人数："&amp;COUNTIF(振り分け!$I$3:$I$302,設定!$G$23)&amp;"名")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IF(計算用!$P$2="","",1)</f>
        <v/>
      </c>
      <c r="B5" s="28">
        <f>IF(計算用!$P$2="","",INDEX(振り分け!$A$3:$A$302,計算用!$P$2))</f>
        <v/>
      </c>
      <c r="C5" s="28">
        <f>IF(計算用!$P$2="","",INDEX(振り分け!$B$3:$B$302,計算用!$P$2))</f>
        <v/>
      </c>
      <c r="D5" s="35">
        <f>IF(計算用!$P$2="","",INDEX(振り分け!$C$3:$C$302,計算用!$P$2))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IF(計算用!$P$3="","",2)</f>
        <v/>
      </c>
      <c r="B6" s="28">
        <f>IF(計算用!$P$3="","",INDEX(振り分け!$A$3:$A$302,計算用!$P$3))</f>
        <v/>
      </c>
      <c r="C6" s="28">
        <f>IF(計算用!$P$3="","",INDEX(振り分け!$B$3:$B$302,計算用!$P$3))</f>
        <v/>
      </c>
      <c r="D6" s="35">
        <f>IF(計算用!$P$3="","",INDEX(振り分け!$C$3:$C$302,計算用!$P$3))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IF(計算用!$P$4="","",3)</f>
        <v/>
      </c>
      <c r="B7" s="28">
        <f>IF(計算用!$P$4="","",INDEX(振り分け!$A$3:$A$302,計算用!$P$4))</f>
        <v/>
      </c>
      <c r="C7" s="28">
        <f>IF(計算用!$P$4="","",INDEX(振り分け!$B$3:$B$302,計算用!$P$4))</f>
        <v/>
      </c>
      <c r="D7" s="35">
        <f>IF(計算用!$P$4="","",INDEX(振り分け!$C$3:$C$302,計算用!$P$4))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IF(計算用!$P$5="","",4)</f>
        <v/>
      </c>
      <c r="B8" s="28">
        <f>IF(計算用!$P$5="","",INDEX(振り分け!$A$3:$A$302,計算用!$P$5))</f>
        <v/>
      </c>
      <c r="C8" s="28">
        <f>IF(計算用!$P$5="","",INDEX(振り分け!$B$3:$B$302,計算用!$P$5))</f>
        <v/>
      </c>
      <c r="D8" s="35">
        <f>IF(計算用!$P$5="","",INDEX(振り分け!$C$3:$C$302,計算用!$P$5))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IF(計算用!$P$6="","",5)</f>
        <v/>
      </c>
      <c r="B9" s="28">
        <f>IF(計算用!$P$6="","",INDEX(振り分け!$A$3:$A$302,計算用!$P$6))</f>
        <v/>
      </c>
      <c r="C9" s="28">
        <f>IF(計算用!$P$6="","",INDEX(振り分け!$B$3:$B$302,計算用!$P$6))</f>
        <v/>
      </c>
      <c r="D9" s="35">
        <f>IF(計算用!$P$6="","",INDEX(振り分け!$C$3:$C$302,計算用!$P$6))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IF(計算用!$P$7="","",6)</f>
        <v/>
      </c>
      <c r="B10" s="28">
        <f>IF(計算用!$P$7="","",INDEX(振り分け!$A$3:$A$302,計算用!$P$7))</f>
        <v/>
      </c>
      <c r="C10" s="28">
        <f>IF(計算用!$P$7="","",INDEX(振り分け!$B$3:$B$302,計算用!$P$7))</f>
        <v/>
      </c>
      <c r="D10" s="35">
        <f>IF(計算用!$P$7="","",INDEX(振り分け!$C$3:$C$302,計算用!$P$7))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IF(計算用!$P$8="","",7)</f>
        <v/>
      </c>
      <c r="B11" s="28">
        <f>IF(計算用!$P$8="","",INDEX(振り分け!$A$3:$A$302,計算用!$P$8))</f>
        <v/>
      </c>
      <c r="C11" s="28">
        <f>IF(計算用!$P$8="","",INDEX(振り分け!$B$3:$B$302,計算用!$P$8))</f>
        <v/>
      </c>
      <c r="D11" s="35">
        <f>IF(計算用!$P$8="","",INDEX(振り分け!$C$3:$C$302,計算用!$P$8))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IF(計算用!$P$9="","",8)</f>
        <v/>
      </c>
      <c r="B12" s="28">
        <f>IF(計算用!$P$9="","",INDEX(振り分け!$A$3:$A$302,計算用!$P$9))</f>
        <v/>
      </c>
      <c r="C12" s="28">
        <f>IF(計算用!$P$9="","",INDEX(振り分け!$B$3:$B$302,計算用!$P$9))</f>
        <v/>
      </c>
      <c r="D12" s="35">
        <f>IF(計算用!$P$9="","",INDEX(振り分け!$C$3:$C$302,計算用!$P$9))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IF(計算用!$P$10="","",9)</f>
        <v/>
      </c>
      <c r="B13" s="28">
        <f>IF(計算用!$P$10="","",INDEX(振り分け!$A$3:$A$302,計算用!$P$10))</f>
        <v/>
      </c>
      <c r="C13" s="28">
        <f>IF(計算用!$P$10="","",INDEX(振り分け!$B$3:$B$302,計算用!$P$10))</f>
        <v/>
      </c>
      <c r="D13" s="35">
        <f>IF(計算用!$P$10="","",INDEX(振り分け!$C$3:$C$302,計算用!$P$10))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IF(計算用!$P$11="","",10)</f>
        <v/>
      </c>
      <c r="B14" s="28">
        <f>IF(計算用!$P$11="","",INDEX(振り分け!$A$3:$A$302,計算用!$P$11))</f>
        <v/>
      </c>
      <c r="C14" s="28">
        <f>IF(計算用!$P$11="","",INDEX(振り分け!$B$3:$B$302,計算用!$P$11))</f>
        <v/>
      </c>
      <c r="D14" s="35">
        <f>IF(計算用!$P$11="","",INDEX(振り分け!$C$3:$C$302,計算用!$P$11))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IF(計算用!$P$12="","",11)</f>
        <v/>
      </c>
      <c r="B15" s="28">
        <f>IF(計算用!$P$12="","",INDEX(振り分け!$A$3:$A$302,計算用!$P$12))</f>
        <v/>
      </c>
      <c r="C15" s="28">
        <f>IF(計算用!$P$12="","",INDEX(振り分け!$B$3:$B$302,計算用!$P$12))</f>
        <v/>
      </c>
      <c r="D15" s="35">
        <f>IF(計算用!$P$12="","",INDEX(振り分け!$C$3:$C$302,計算用!$P$12))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IF(計算用!$P$13="","",12)</f>
        <v/>
      </c>
      <c r="B16" s="28">
        <f>IF(計算用!$P$13="","",INDEX(振り分け!$A$3:$A$302,計算用!$P$13))</f>
        <v/>
      </c>
      <c r="C16" s="28">
        <f>IF(計算用!$P$13="","",INDEX(振り分け!$B$3:$B$302,計算用!$P$13))</f>
        <v/>
      </c>
      <c r="D16" s="35">
        <f>IF(計算用!$P$13="","",INDEX(振り分け!$C$3:$C$302,計算用!$P$13))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IF(計算用!$P$14="","",13)</f>
        <v/>
      </c>
      <c r="B17" s="28">
        <f>IF(計算用!$P$14="","",INDEX(振り分け!$A$3:$A$302,計算用!$P$14))</f>
        <v/>
      </c>
      <c r="C17" s="28">
        <f>IF(計算用!$P$14="","",INDEX(振り分け!$B$3:$B$302,計算用!$P$14))</f>
        <v/>
      </c>
      <c r="D17" s="35">
        <f>IF(計算用!$P$14="","",INDEX(振り分け!$C$3:$C$302,計算用!$P$14))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IF(計算用!$P$15="","",14)</f>
        <v/>
      </c>
      <c r="B18" s="28">
        <f>IF(計算用!$P$15="","",INDEX(振り分け!$A$3:$A$302,計算用!$P$15))</f>
        <v/>
      </c>
      <c r="C18" s="28">
        <f>IF(計算用!$P$15="","",INDEX(振り分け!$B$3:$B$302,計算用!$P$15))</f>
        <v/>
      </c>
      <c r="D18" s="35">
        <f>IF(計算用!$P$15="","",INDEX(振り分け!$C$3:$C$302,計算用!$P$15))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IF(計算用!$P$16="","",15)</f>
        <v/>
      </c>
      <c r="B19" s="28">
        <f>IF(計算用!$P$16="","",INDEX(振り分け!$A$3:$A$302,計算用!$P$16))</f>
        <v/>
      </c>
      <c r="C19" s="28">
        <f>IF(計算用!$P$16="","",INDEX(振り分け!$B$3:$B$302,計算用!$P$16))</f>
        <v/>
      </c>
      <c r="D19" s="35">
        <f>IF(計算用!$P$16="","",INDEX(振り分け!$C$3:$C$302,計算用!$P$16))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IF(計算用!$P$17="","",16)</f>
        <v/>
      </c>
      <c r="B20" s="28">
        <f>IF(計算用!$P$17="","",INDEX(振り分け!$A$3:$A$302,計算用!$P$17))</f>
        <v/>
      </c>
      <c r="C20" s="28">
        <f>IF(計算用!$P$17="","",INDEX(振り分け!$B$3:$B$302,計算用!$P$17))</f>
        <v/>
      </c>
      <c r="D20" s="35">
        <f>IF(計算用!$P$17="","",INDEX(振り分け!$C$3:$C$302,計算用!$P$17))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IF(計算用!$P$18="","",17)</f>
        <v/>
      </c>
      <c r="B21" s="28">
        <f>IF(計算用!$P$18="","",INDEX(振り分け!$A$3:$A$302,計算用!$P$18))</f>
        <v/>
      </c>
      <c r="C21" s="28">
        <f>IF(計算用!$P$18="","",INDEX(振り分け!$B$3:$B$302,計算用!$P$18))</f>
        <v/>
      </c>
      <c r="D21" s="35">
        <f>IF(計算用!$P$18="","",INDEX(振り分け!$C$3:$C$302,計算用!$P$18))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IF(計算用!$P$19="","",18)</f>
        <v/>
      </c>
      <c r="B22" s="28">
        <f>IF(計算用!$P$19="","",INDEX(振り分け!$A$3:$A$302,計算用!$P$19))</f>
        <v/>
      </c>
      <c r="C22" s="28">
        <f>IF(計算用!$P$19="","",INDEX(振り分け!$B$3:$B$302,計算用!$P$19))</f>
        <v/>
      </c>
      <c r="D22" s="35">
        <f>IF(計算用!$P$19="","",INDEX(振り分け!$C$3:$C$302,計算用!$P$19))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IF(計算用!$P$20="","",19)</f>
        <v/>
      </c>
      <c r="B23" s="28">
        <f>IF(計算用!$P$20="","",INDEX(振り分け!$A$3:$A$302,計算用!$P$20))</f>
        <v/>
      </c>
      <c r="C23" s="28">
        <f>IF(計算用!$P$20="","",INDEX(振り分け!$B$3:$B$302,計算用!$P$20))</f>
        <v/>
      </c>
      <c r="D23" s="35">
        <f>IF(計算用!$P$20="","",INDEX(振り分け!$C$3:$C$302,計算用!$P$20))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IF(計算用!$P$21="","",20)</f>
        <v/>
      </c>
      <c r="B24" s="28">
        <f>IF(計算用!$P$21="","",INDEX(振り分け!$A$3:$A$302,計算用!$P$21))</f>
        <v/>
      </c>
      <c r="C24" s="28">
        <f>IF(計算用!$P$21="","",INDEX(振り分け!$B$3:$B$302,計算用!$P$21))</f>
        <v/>
      </c>
      <c r="D24" s="35">
        <f>IF(計算用!$P$21="","",INDEX(振り分け!$C$3:$C$302,計算用!$P$21))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IF(計算用!$P$22="","",21)</f>
        <v/>
      </c>
      <c r="B25" s="28">
        <f>IF(計算用!$P$22="","",INDEX(振り分け!$A$3:$A$302,計算用!$P$22))</f>
        <v/>
      </c>
      <c r="C25" s="28">
        <f>IF(計算用!$P$22="","",INDEX(振り分け!$B$3:$B$302,計算用!$P$22))</f>
        <v/>
      </c>
      <c r="D25" s="35">
        <f>IF(計算用!$P$22="","",INDEX(振り分け!$C$3:$C$302,計算用!$P$22))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IF(計算用!$P$23="","",22)</f>
        <v/>
      </c>
      <c r="B26" s="28">
        <f>IF(計算用!$P$23="","",INDEX(振り分け!$A$3:$A$302,計算用!$P$23))</f>
        <v/>
      </c>
      <c r="C26" s="28">
        <f>IF(計算用!$P$23="","",INDEX(振り分け!$B$3:$B$302,計算用!$P$23))</f>
        <v/>
      </c>
      <c r="D26" s="35">
        <f>IF(計算用!$P$23="","",INDEX(振り分け!$C$3:$C$302,計算用!$P$23))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IF(計算用!$P$24="","",23)</f>
        <v/>
      </c>
      <c r="B27" s="28">
        <f>IF(計算用!$P$24="","",INDEX(振り分け!$A$3:$A$302,計算用!$P$24))</f>
        <v/>
      </c>
      <c r="C27" s="28">
        <f>IF(計算用!$P$24="","",INDEX(振り分け!$B$3:$B$302,計算用!$P$24))</f>
        <v/>
      </c>
      <c r="D27" s="35">
        <f>IF(計算用!$P$24="","",INDEX(振り分け!$C$3:$C$302,計算用!$P$24))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IF(計算用!$P$25="","",24)</f>
        <v/>
      </c>
      <c r="B28" s="28">
        <f>IF(計算用!$P$25="","",INDEX(振り分け!$A$3:$A$302,計算用!$P$25))</f>
        <v/>
      </c>
      <c r="C28" s="28">
        <f>IF(計算用!$P$25="","",INDEX(振り分け!$B$3:$B$302,計算用!$P$25))</f>
        <v/>
      </c>
      <c r="D28" s="35">
        <f>IF(計算用!$P$25="","",INDEX(振り分け!$C$3:$C$302,計算用!$P$25))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IF(計算用!$P$26="","",25)</f>
        <v/>
      </c>
      <c r="B29" s="28">
        <f>IF(計算用!$P$26="","",INDEX(振り分け!$A$3:$A$302,計算用!$P$26))</f>
        <v/>
      </c>
      <c r="C29" s="28">
        <f>IF(計算用!$P$26="","",INDEX(振り分け!$B$3:$B$302,計算用!$P$26))</f>
        <v/>
      </c>
      <c r="D29" s="35">
        <f>IF(計算用!$P$26="","",INDEX(振り分け!$C$3:$C$302,計算用!$P$26))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IF(計算用!$P$27="","",26)</f>
        <v/>
      </c>
      <c r="B30" s="28">
        <f>IF(計算用!$P$27="","",INDEX(振り分け!$A$3:$A$302,計算用!$P$27))</f>
        <v/>
      </c>
      <c r="C30" s="28">
        <f>IF(計算用!$P$27="","",INDEX(振り分け!$B$3:$B$302,計算用!$P$27))</f>
        <v/>
      </c>
      <c r="D30" s="35">
        <f>IF(計算用!$P$27="","",INDEX(振り分け!$C$3:$C$302,計算用!$P$27))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IF(計算用!$P$28="","",27)</f>
        <v/>
      </c>
      <c r="B31" s="28">
        <f>IF(計算用!$P$28="","",INDEX(振り分け!$A$3:$A$302,計算用!$P$28))</f>
        <v/>
      </c>
      <c r="C31" s="28">
        <f>IF(計算用!$P$28="","",INDEX(振り分け!$B$3:$B$302,計算用!$P$28))</f>
        <v/>
      </c>
      <c r="D31" s="35">
        <f>IF(計算用!$P$28="","",INDEX(振り分け!$C$3:$C$302,計算用!$P$28))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IF(計算用!$P$29="","",28)</f>
        <v/>
      </c>
      <c r="B32" s="28">
        <f>IF(計算用!$P$29="","",INDEX(振り分け!$A$3:$A$302,計算用!$P$29))</f>
        <v/>
      </c>
      <c r="C32" s="28">
        <f>IF(計算用!$P$29="","",INDEX(振り分け!$B$3:$B$302,計算用!$P$29))</f>
        <v/>
      </c>
      <c r="D32" s="35">
        <f>IF(計算用!$P$29="","",INDEX(振り分け!$C$3:$C$302,計算用!$P$29))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IF(計算用!$P$30="","",29)</f>
        <v/>
      </c>
      <c r="B33" s="28">
        <f>IF(計算用!$P$30="","",INDEX(振り分け!$A$3:$A$302,計算用!$P$30))</f>
        <v/>
      </c>
      <c r="C33" s="28">
        <f>IF(計算用!$P$30="","",INDEX(振り分け!$B$3:$B$302,計算用!$P$30))</f>
        <v/>
      </c>
      <c r="D33" s="35">
        <f>IF(計算用!$P$30="","",INDEX(振り分け!$C$3:$C$302,計算用!$P$30))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IF(計算用!$P$31="","",30)</f>
        <v/>
      </c>
      <c r="B34" s="28">
        <f>IF(計算用!$P$31="","",INDEX(振り分け!$A$3:$A$302,計算用!$P$31))</f>
        <v/>
      </c>
      <c r="C34" s="28">
        <f>IF(計算用!$P$31="","",INDEX(振り分け!$B$3:$B$302,計算用!$P$31))</f>
        <v/>
      </c>
      <c r="D34" s="35">
        <f>IF(計算用!$P$31="","",INDEX(振り分け!$C$3:$C$302,計算用!$P$31))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IF(計算用!$P$32="","",31)</f>
        <v/>
      </c>
      <c r="B35" s="28">
        <f>IF(計算用!$P$32="","",INDEX(振り分け!$A$3:$A$302,計算用!$P$32))</f>
        <v/>
      </c>
      <c r="C35" s="28">
        <f>IF(計算用!$P$32="","",INDEX(振り分け!$B$3:$B$302,計算用!$P$32))</f>
        <v/>
      </c>
      <c r="D35" s="35">
        <f>IF(計算用!$P$32="","",INDEX(振り分け!$C$3:$C$302,計算用!$P$32))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IF(計算用!$P$33="","",32)</f>
        <v/>
      </c>
      <c r="B36" s="28">
        <f>IF(計算用!$P$33="","",INDEX(振り分け!$A$3:$A$302,計算用!$P$33))</f>
        <v/>
      </c>
      <c r="C36" s="28">
        <f>IF(計算用!$P$33="","",INDEX(振り分け!$B$3:$B$302,計算用!$P$33))</f>
        <v/>
      </c>
      <c r="D36" s="35">
        <f>IF(計算用!$P$33="","",INDEX(振り分け!$C$3:$C$302,計算用!$P$33))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IF(計算用!$P$34="","",33)</f>
        <v/>
      </c>
      <c r="B37" s="28">
        <f>IF(計算用!$P$34="","",INDEX(振り分け!$A$3:$A$302,計算用!$P$34))</f>
        <v/>
      </c>
      <c r="C37" s="28">
        <f>IF(計算用!$P$34="","",INDEX(振り分け!$B$3:$B$302,計算用!$P$34))</f>
        <v/>
      </c>
      <c r="D37" s="35">
        <f>IF(計算用!$P$34="","",INDEX(振り分け!$C$3:$C$302,計算用!$P$34))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IF(計算用!$P$35="","",34)</f>
        <v/>
      </c>
      <c r="B38" s="28">
        <f>IF(計算用!$P$35="","",INDEX(振り分け!$A$3:$A$302,計算用!$P$35))</f>
        <v/>
      </c>
      <c r="C38" s="28">
        <f>IF(計算用!$P$35="","",INDEX(振り分け!$B$3:$B$302,計算用!$P$35))</f>
        <v/>
      </c>
      <c r="D38" s="35">
        <f>IF(計算用!$P$35="","",INDEX(振り分け!$C$3:$C$302,計算用!$P$35))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IF(計算用!$P$36="","",35)</f>
        <v/>
      </c>
      <c r="B39" s="28">
        <f>IF(計算用!$P$36="","",INDEX(振り分け!$A$3:$A$302,計算用!$P$36))</f>
        <v/>
      </c>
      <c r="C39" s="28">
        <f>IF(計算用!$P$36="","",INDEX(振り分け!$B$3:$B$302,計算用!$P$36))</f>
        <v/>
      </c>
      <c r="D39" s="35">
        <f>IF(計算用!$P$36="","",INDEX(振り分け!$C$3:$C$302,計算用!$P$36))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IF(計算用!$P$37="","",36)</f>
        <v/>
      </c>
      <c r="B40" s="28">
        <f>IF(計算用!$P$37="","",INDEX(振り分け!$A$3:$A$302,計算用!$P$37))</f>
        <v/>
      </c>
      <c r="C40" s="28">
        <f>IF(計算用!$P$37="","",INDEX(振り分け!$B$3:$B$302,計算用!$P$37))</f>
        <v/>
      </c>
      <c r="D40" s="35">
        <f>IF(計算用!$P$37="","",INDEX(振り分け!$C$3:$C$302,計算用!$P$37))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IF(計算用!$P$38="","",37)</f>
        <v/>
      </c>
      <c r="B41" s="28">
        <f>IF(計算用!$P$38="","",INDEX(振り分け!$A$3:$A$302,計算用!$P$38))</f>
        <v/>
      </c>
      <c r="C41" s="28">
        <f>IF(計算用!$P$38="","",INDEX(振り分け!$B$3:$B$302,計算用!$P$38))</f>
        <v/>
      </c>
      <c r="D41" s="35">
        <f>IF(計算用!$P$38="","",INDEX(振り分け!$C$3:$C$302,計算用!$P$38))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IF(計算用!$P$39="","",38)</f>
        <v/>
      </c>
      <c r="B42" s="28">
        <f>IF(計算用!$P$39="","",INDEX(振り分け!$A$3:$A$302,計算用!$P$39))</f>
        <v/>
      </c>
      <c r="C42" s="28">
        <f>IF(計算用!$P$39="","",INDEX(振り分け!$B$3:$B$302,計算用!$P$39))</f>
        <v/>
      </c>
      <c r="D42" s="35">
        <f>IF(計算用!$P$39="","",INDEX(振り分け!$C$3:$C$302,計算用!$P$39))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IF(計算用!$P$40="","",39)</f>
        <v/>
      </c>
      <c r="B43" s="28">
        <f>IF(計算用!$P$40="","",INDEX(振り分け!$A$3:$A$302,計算用!$P$40))</f>
        <v/>
      </c>
      <c r="C43" s="28">
        <f>IF(計算用!$P$40="","",INDEX(振り分け!$B$3:$B$302,計算用!$P$40))</f>
        <v/>
      </c>
      <c r="D43" s="35">
        <f>IF(計算用!$P$40="","",INDEX(振り分け!$C$3:$C$302,計算用!$P$40))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IF(計算用!$P$41="","",40)</f>
        <v/>
      </c>
      <c r="B44" s="28">
        <f>IF(計算用!$P$41="","",INDEX(振り分け!$A$3:$A$302,計算用!$P$41))</f>
        <v/>
      </c>
      <c r="C44" s="28">
        <f>IF(計算用!$P$41="","",INDEX(振り分け!$B$3:$B$302,計算用!$P$41))</f>
        <v/>
      </c>
      <c r="D44" s="35">
        <f>IF(計算用!$P$41="","",INDEX(振り分け!$C$3:$C$302,計算用!$P$41))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IF(設定!$G$24="","",設定!$B$3&amp;"　"&amp;設定!$G$24&amp;設定!$B$4&amp;"名簿")</f>
        <v/>
      </c>
    </row>
    <row r="2">
      <c r="A2" s="23">
        <f>IF(設定!$G$24="","","担当："&amp;設定!$J$24&amp;"　　活動場所："&amp;設定!$K$24&amp;"　　人数："&amp;COUNTIF(振り分け!$I$3:$I$302,設定!$G$24)&amp;"名")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IF(計算用!$Q$2="","",1)</f>
        <v/>
      </c>
      <c r="B5" s="28">
        <f>IF(計算用!$Q$2="","",INDEX(振り分け!$A$3:$A$302,計算用!$Q$2))</f>
        <v/>
      </c>
      <c r="C5" s="28">
        <f>IF(計算用!$Q$2="","",INDEX(振り分け!$B$3:$B$302,計算用!$Q$2))</f>
        <v/>
      </c>
      <c r="D5" s="35">
        <f>IF(計算用!$Q$2="","",INDEX(振り分け!$C$3:$C$302,計算用!$Q$2))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IF(計算用!$Q$3="","",2)</f>
        <v/>
      </c>
      <c r="B6" s="28">
        <f>IF(計算用!$Q$3="","",INDEX(振り分け!$A$3:$A$302,計算用!$Q$3))</f>
        <v/>
      </c>
      <c r="C6" s="28">
        <f>IF(計算用!$Q$3="","",INDEX(振り分け!$B$3:$B$302,計算用!$Q$3))</f>
        <v/>
      </c>
      <c r="D6" s="35">
        <f>IF(計算用!$Q$3="","",INDEX(振り分け!$C$3:$C$302,計算用!$Q$3))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IF(計算用!$Q$4="","",3)</f>
        <v/>
      </c>
      <c r="B7" s="28">
        <f>IF(計算用!$Q$4="","",INDEX(振り分け!$A$3:$A$302,計算用!$Q$4))</f>
        <v/>
      </c>
      <c r="C7" s="28">
        <f>IF(計算用!$Q$4="","",INDEX(振り分け!$B$3:$B$302,計算用!$Q$4))</f>
        <v/>
      </c>
      <c r="D7" s="35">
        <f>IF(計算用!$Q$4="","",INDEX(振り分け!$C$3:$C$302,計算用!$Q$4))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IF(計算用!$Q$5="","",4)</f>
        <v/>
      </c>
      <c r="B8" s="28">
        <f>IF(計算用!$Q$5="","",INDEX(振り分け!$A$3:$A$302,計算用!$Q$5))</f>
        <v/>
      </c>
      <c r="C8" s="28">
        <f>IF(計算用!$Q$5="","",INDEX(振り分け!$B$3:$B$302,計算用!$Q$5))</f>
        <v/>
      </c>
      <c r="D8" s="35">
        <f>IF(計算用!$Q$5="","",INDEX(振り分け!$C$3:$C$302,計算用!$Q$5))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IF(計算用!$Q$6="","",5)</f>
        <v/>
      </c>
      <c r="B9" s="28">
        <f>IF(計算用!$Q$6="","",INDEX(振り分け!$A$3:$A$302,計算用!$Q$6))</f>
        <v/>
      </c>
      <c r="C9" s="28">
        <f>IF(計算用!$Q$6="","",INDEX(振り分け!$B$3:$B$302,計算用!$Q$6))</f>
        <v/>
      </c>
      <c r="D9" s="35">
        <f>IF(計算用!$Q$6="","",INDEX(振り分け!$C$3:$C$302,計算用!$Q$6))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IF(計算用!$Q$7="","",6)</f>
        <v/>
      </c>
      <c r="B10" s="28">
        <f>IF(計算用!$Q$7="","",INDEX(振り分け!$A$3:$A$302,計算用!$Q$7))</f>
        <v/>
      </c>
      <c r="C10" s="28">
        <f>IF(計算用!$Q$7="","",INDEX(振り分け!$B$3:$B$302,計算用!$Q$7))</f>
        <v/>
      </c>
      <c r="D10" s="35">
        <f>IF(計算用!$Q$7="","",INDEX(振り分け!$C$3:$C$302,計算用!$Q$7))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IF(計算用!$Q$8="","",7)</f>
        <v/>
      </c>
      <c r="B11" s="28">
        <f>IF(計算用!$Q$8="","",INDEX(振り分け!$A$3:$A$302,計算用!$Q$8))</f>
        <v/>
      </c>
      <c r="C11" s="28">
        <f>IF(計算用!$Q$8="","",INDEX(振り分け!$B$3:$B$302,計算用!$Q$8))</f>
        <v/>
      </c>
      <c r="D11" s="35">
        <f>IF(計算用!$Q$8="","",INDEX(振り分け!$C$3:$C$302,計算用!$Q$8))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IF(計算用!$Q$9="","",8)</f>
        <v/>
      </c>
      <c r="B12" s="28">
        <f>IF(計算用!$Q$9="","",INDEX(振り分け!$A$3:$A$302,計算用!$Q$9))</f>
        <v/>
      </c>
      <c r="C12" s="28">
        <f>IF(計算用!$Q$9="","",INDEX(振り分け!$B$3:$B$302,計算用!$Q$9))</f>
        <v/>
      </c>
      <c r="D12" s="35">
        <f>IF(計算用!$Q$9="","",INDEX(振り分け!$C$3:$C$302,計算用!$Q$9))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IF(計算用!$Q$10="","",9)</f>
        <v/>
      </c>
      <c r="B13" s="28">
        <f>IF(計算用!$Q$10="","",INDEX(振り分け!$A$3:$A$302,計算用!$Q$10))</f>
        <v/>
      </c>
      <c r="C13" s="28">
        <f>IF(計算用!$Q$10="","",INDEX(振り分け!$B$3:$B$302,計算用!$Q$10))</f>
        <v/>
      </c>
      <c r="D13" s="35">
        <f>IF(計算用!$Q$10="","",INDEX(振り分け!$C$3:$C$302,計算用!$Q$10))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IF(計算用!$Q$11="","",10)</f>
        <v/>
      </c>
      <c r="B14" s="28">
        <f>IF(計算用!$Q$11="","",INDEX(振り分け!$A$3:$A$302,計算用!$Q$11))</f>
        <v/>
      </c>
      <c r="C14" s="28">
        <f>IF(計算用!$Q$11="","",INDEX(振り分け!$B$3:$B$302,計算用!$Q$11))</f>
        <v/>
      </c>
      <c r="D14" s="35">
        <f>IF(計算用!$Q$11="","",INDEX(振り分け!$C$3:$C$302,計算用!$Q$11))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IF(計算用!$Q$12="","",11)</f>
        <v/>
      </c>
      <c r="B15" s="28">
        <f>IF(計算用!$Q$12="","",INDEX(振り分け!$A$3:$A$302,計算用!$Q$12))</f>
        <v/>
      </c>
      <c r="C15" s="28">
        <f>IF(計算用!$Q$12="","",INDEX(振り分け!$B$3:$B$302,計算用!$Q$12))</f>
        <v/>
      </c>
      <c r="D15" s="35">
        <f>IF(計算用!$Q$12="","",INDEX(振り分け!$C$3:$C$302,計算用!$Q$12))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IF(計算用!$Q$13="","",12)</f>
        <v/>
      </c>
      <c r="B16" s="28">
        <f>IF(計算用!$Q$13="","",INDEX(振り分け!$A$3:$A$302,計算用!$Q$13))</f>
        <v/>
      </c>
      <c r="C16" s="28">
        <f>IF(計算用!$Q$13="","",INDEX(振り分け!$B$3:$B$302,計算用!$Q$13))</f>
        <v/>
      </c>
      <c r="D16" s="35">
        <f>IF(計算用!$Q$13="","",INDEX(振り分け!$C$3:$C$302,計算用!$Q$13))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IF(計算用!$Q$14="","",13)</f>
        <v/>
      </c>
      <c r="B17" s="28">
        <f>IF(計算用!$Q$14="","",INDEX(振り分け!$A$3:$A$302,計算用!$Q$14))</f>
        <v/>
      </c>
      <c r="C17" s="28">
        <f>IF(計算用!$Q$14="","",INDEX(振り分け!$B$3:$B$302,計算用!$Q$14))</f>
        <v/>
      </c>
      <c r="D17" s="35">
        <f>IF(計算用!$Q$14="","",INDEX(振り分け!$C$3:$C$302,計算用!$Q$14))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IF(計算用!$Q$15="","",14)</f>
        <v/>
      </c>
      <c r="B18" s="28">
        <f>IF(計算用!$Q$15="","",INDEX(振り分け!$A$3:$A$302,計算用!$Q$15))</f>
        <v/>
      </c>
      <c r="C18" s="28">
        <f>IF(計算用!$Q$15="","",INDEX(振り分け!$B$3:$B$302,計算用!$Q$15))</f>
        <v/>
      </c>
      <c r="D18" s="35">
        <f>IF(計算用!$Q$15="","",INDEX(振り分け!$C$3:$C$302,計算用!$Q$15))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IF(計算用!$Q$16="","",15)</f>
        <v/>
      </c>
      <c r="B19" s="28">
        <f>IF(計算用!$Q$16="","",INDEX(振り分け!$A$3:$A$302,計算用!$Q$16))</f>
        <v/>
      </c>
      <c r="C19" s="28">
        <f>IF(計算用!$Q$16="","",INDEX(振り分け!$B$3:$B$302,計算用!$Q$16))</f>
        <v/>
      </c>
      <c r="D19" s="35">
        <f>IF(計算用!$Q$16="","",INDEX(振り分け!$C$3:$C$302,計算用!$Q$16))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IF(計算用!$Q$17="","",16)</f>
        <v/>
      </c>
      <c r="B20" s="28">
        <f>IF(計算用!$Q$17="","",INDEX(振り分け!$A$3:$A$302,計算用!$Q$17))</f>
        <v/>
      </c>
      <c r="C20" s="28">
        <f>IF(計算用!$Q$17="","",INDEX(振り分け!$B$3:$B$302,計算用!$Q$17))</f>
        <v/>
      </c>
      <c r="D20" s="35">
        <f>IF(計算用!$Q$17="","",INDEX(振り分け!$C$3:$C$302,計算用!$Q$17))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IF(計算用!$Q$18="","",17)</f>
        <v/>
      </c>
      <c r="B21" s="28">
        <f>IF(計算用!$Q$18="","",INDEX(振り分け!$A$3:$A$302,計算用!$Q$18))</f>
        <v/>
      </c>
      <c r="C21" s="28">
        <f>IF(計算用!$Q$18="","",INDEX(振り分け!$B$3:$B$302,計算用!$Q$18))</f>
        <v/>
      </c>
      <c r="D21" s="35">
        <f>IF(計算用!$Q$18="","",INDEX(振り分け!$C$3:$C$302,計算用!$Q$18))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IF(計算用!$Q$19="","",18)</f>
        <v/>
      </c>
      <c r="B22" s="28">
        <f>IF(計算用!$Q$19="","",INDEX(振り分け!$A$3:$A$302,計算用!$Q$19))</f>
        <v/>
      </c>
      <c r="C22" s="28">
        <f>IF(計算用!$Q$19="","",INDEX(振り分け!$B$3:$B$302,計算用!$Q$19))</f>
        <v/>
      </c>
      <c r="D22" s="35">
        <f>IF(計算用!$Q$19="","",INDEX(振り分け!$C$3:$C$302,計算用!$Q$19))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IF(計算用!$Q$20="","",19)</f>
        <v/>
      </c>
      <c r="B23" s="28">
        <f>IF(計算用!$Q$20="","",INDEX(振り分け!$A$3:$A$302,計算用!$Q$20))</f>
        <v/>
      </c>
      <c r="C23" s="28">
        <f>IF(計算用!$Q$20="","",INDEX(振り分け!$B$3:$B$302,計算用!$Q$20))</f>
        <v/>
      </c>
      <c r="D23" s="35">
        <f>IF(計算用!$Q$20="","",INDEX(振り分け!$C$3:$C$302,計算用!$Q$20))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IF(計算用!$Q$21="","",20)</f>
        <v/>
      </c>
      <c r="B24" s="28">
        <f>IF(計算用!$Q$21="","",INDEX(振り分け!$A$3:$A$302,計算用!$Q$21))</f>
        <v/>
      </c>
      <c r="C24" s="28">
        <f>IF(計算用!$Q$21="","",INDEX(振り分け!$B$3:$B$302,計算用!$Q$21))</f>
        <v/>
      </c>
      <c r="D24" s="35">
        <f>IF(計算用!$Q$21="","",INDEX(振り分け!$C$3:$C$302,計算用!$Q$21))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IF(計算用!$Q$22="","",21)</f>
        <v/>
      </c>
      <c r="B25" s="28">
        <f>IF(計算用!$Q$22="","",INDEX(振り分け!$A$3:$A$302,計算用!$Q$22))</f>
        <v/>
      </c>
      <c r="C25" s="28">
        <f>IF(計算用!$Q$22="","",INDEX(振り分け!$B$3:$B$302,計算用!$Q$22))</f>
        <v/>
      </c>
      <c r="D25" s="35">
        <f>IF(計算用!$Q$22="","",INDEX(振り分け!$C$3:$C$302,計算用!$Q$22))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IF(計算用!$Q$23="","",22)</f>
        <v/>
      </c>
      <c r="B26" s="28">
        <f>IF(計算用!$Q$23="","",INDEX(振り分け!$A$3:$A$302,計算用!$Q$23))</f>
        <v/>
      </c>
      <c r="C26" s="28">
        <f>IF(計算用!$Q$23="","",INDEX(振り分け!$B$3:$B$302,計算用!$Q$23))</f>
        <v/>
      </c>
      <c r="D26" s="35">
        <f>IF(計算用!$Q$23="","",INDEX(振り分け!$C$3:$C$302,計算用!$Q$23))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IF(計算用!$Q$24="","",23)</f>
        <v/>
      </c>
      <c r="B27" s="28">
        <f>IF(計算用!$Q$24="","",INDEX(振り分け!$A$3:$A$302,計算用!$Q$24))</f>
        <v/>
      </c>
      <c r="C27" s="28">
        <f>IF(計算用!$Q$24="","",INDEX(振り分け!$B$3:$B$302,計算用!$Q$24))</f>
        <v/>
      </c>
      <c r="D27" s="35">
        <f>IF(計算用!$Q$24="","",INDEX(振り分け!$C$3:$C$302,計算用!$Q$24))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IF(計算用!$Q$25="","",24)</f>
        <v/>
      </c>
      <c r="B28" s="28">
        <f>IF(計算用!$Q$25="","",INDEX(振り分け!$A$3:$A$302,計算用!$Q$25))</f>
        <v/>
      </c>
      <c r="C28" s="28">
        <f>IF(計算用!$Q$25="","",INDEX(振り分け!$B$3:$B$302,計算用!$Q$25))</f>
        <v/>
      </c>
      <c r="D28" s="35">
        <f>IF(計算用!$Q$25="","",INDEX(振り分け!$C$3:$C$302,計算用!$Q$25))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IF(計算用!$Q$26="","",25)</f>
        <v/>
      </c>
      <c r="B29" s="28">
        <f>IF(計算用!$Q$26="","",INDEX(振り分け!$A$3:$A$302,計算用!$Q$26))</f>
        <v/>
      </c>
      <c r="C29" s="28">
        <f>IF(計算用!$Q$26="","",INDEX(振り分け!$B$3:$B$302,計算用!$Q$26))</f>
        <v/>
      </c>
      <c r="D29" s="35">
        <f>IF(計算用!$Q$26="","",INDEX(振り分け!$C$3:$C$302,計算用!$Q$26))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IF(計算用!$Q$27="","",26)</f>
        <v/>
      </c>
      <c r="B30" s="28">
        <f>IF(計算用!$Q$27="","",INDEX(振り分け!$A$3:$A$302,計算用!$Q$27))</f>
        <v/>
      </c>
      <c r="C30" s="28">
        <f>IF(計算用!$Q$27="","",INDEX(振り分け!$B$3:$B$302,計算用!$Q$27))</f>
        <v/>
      </c>
      <c r="D30" s="35">
        <f>IF(計算用!$Q$27="","",INDEX(振り分け!$C$3:$C$302,計算用!$Q$27))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IF(計算用!$Q$28="","",27)</f>
        <v/>
      </c>
      <c r="B31" s="28">
        <f>IF(計算用!$Q$28="","",INDEX(振り分け!$A$3:$A$302,計算用!$Q$28))</f>
        <v/>
      </c>
      <c r="C31" s="28">
        <f>IF(計算用!$Q$28="","",INDEX(振り分け!$B$3:$B$302,計算用!$Q$28))</f>
        <v/>
      </c>
      <c r="D31" s="35">
        <f>IF(計算用!$Q$28="","",INDEX(振り分け!$C$3:$C$302,計算用!$Q$28))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IF(計算用!$Q$29="","",28)</f>
        <v/>
      </c>
      <c r="B32" s="28">
        <f>IF(計算用!$Q$29="","",INDEX(振り分け!$A$3:$A$302,計算用!$Q$29))</f>
        <v/>
      </c>
      <c r="C32" s="28">
        <f>IF(計算用!$Q$29="","",INDEX(振り分け!$B$3:$B$302,計算用!$Q$29))</f>
        <v/>
      </c>
      <c r="D32" s="35">
        <f>IF(計算用!$Q$29="","",INDEX(振り分け!$C$3:$C$302,計算用!$Q$29))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IF(計算用!$Q$30="","",29)</f>
        <v/>
      </c>
      <c r="B33" s="28">
        <f>IF(計算用!$Q$30="","",INDEX(振り分け!$A$3:$A$302,計算用!$Q$30))</f>
        <v/>
      </c>
      <c r="C33" s="28">
        <f>IF(計算用!$Q$30="","",INDEX(振り分け!$B$3:$B$302,計算用!$Q$30))</f>
        <v/>
      </c>
      <c r="D33" s="35">
        <f>IF(計算用!$Q$30="","",INDEX(振り分け!$C$3:$C$302,計算用!$Q$30))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IF(計算用!$Q$31="","",30)</f>
        <v/>
      </c>
      <c r="B34" s="28">
        <f>IF(計算用!$Q$31="","",INDEX(振り分け!$A$3:$A$302,計算用!$Q$31))</f>
        <v/>
      </c>
      <c r="C34" s="28">
        <f>IF(計算用!$Q$31="","",INDEX(振り分け!$B$3:$B$302,計算用!$Q$31))</f>
        <v/>
      </c>
      <c r="D34" s="35">
        <f>IF(計算用!$Q$31="","",INDEX(振り分け!$C$3:$C$302,計算用!$Q$31))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IF(計算用!$Q$32="","",31)</f>
        <v/>
      </c>
      <c r="B35" s="28">
        <f>IF(計算用!$Q$32="","",INDEX(振り分け!$A$3:$A$302,計算用!$Q$32))</f>
        <v/>
      </c>
      <c r="C35" s="28">
        <f>IF(計算用!$Q$32="","",INDEX(振り分け!$B$3:$B$302,計算用!$Q$32))</f>
        <v/>
      </c>
      <c r="D35" s="35">
        <f>IF(計算用!$Q$32="","",INDEX(振り分け!$C$3:$C$302,計算用!$Q$32))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IF(計算用!$Q$33="","",32)</f>
        <v/>
      </c>
      <c r="B36" s="28">
        <f>IF(計算用!$Q$33="","",INDEX(振り分け!$A$3:$A$302,計算用!$Q$33))</f>
        <v/>
      </c>
      <c r="C36" s="28">
        <f>IF(計算用!$Q$33="","",INDEX(振り分け!$B$3:$B$302,計算用!$Q$33))</f>
        <v/>
      </c>
      <c r="D36" s="35">
        <f>IF(計算用!$Q$33="","",INDEX(振り分け!$C$3:$C$302,計算用!$Q$33))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IF(計算用!$Q$34="","",33)</f>
        <v/>
      </c>
      <c r="B37" s="28">
        <f>IF(計算用!$Q$34="","",INDEX(振り分け!$A$3:$A$302,計算用!$Q$34))</f>
        <v/>
      </c>
      <c r="C37" s="28">
        <f>IF(計算用!$Q$34="","",INDEX(振り分け!$B$3:$B$302,計算用!$Q$34))</f>
        <v/>
      </c>
      <c r="D37" s="35">
        <f>IF(計算用!$Q$34="","",INDEX(振り分け!$C$3:$C$302,計算用!$Q$34))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IF(計算用!$Q$35="","",34)</f>
        <v/>
      </c>
      <c r="B38" s="28">
        <f>IF(計算用!$Q$35="","",INDEX(振り分け!$A$3:$A$302,計算用!$Q$35))</f>
        <v/>
      </c>
      <c r="C38" s="28">
        <f>IF(計算用!$Q$35="","",INDEX(振り分け!$B$3:$B$302,計算用!$Q$35))</f>
        <v/>
      </c>
      <c r="D38" s="35">
        <f>IF(計算用!$Q$35="","",INDEX(振り分け!$C$3:$C$302,計算用!$Q$35))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IF(計算用!$Q$36="","",35)</f>
        <v/>
      </c>
      <c r="B39" s="28">
        <f>IF(計算用!$Q$36="","",INDEX(振り分け!$A$3:$A$302,計算用!$Q$36))</f>
        <v/>
      </c>
      <c r="C39" s="28">
        <f>IF(計算用!$Q$36="","",INDEX(振り分け!$B$3:$B$302,計算用!$Q$36))</f>
        <v/>
      </c>
      <c r="D39" s="35">
        <f>IF(計算用!$Q$36="","",INDEX(振り分け!$C$3:$C$302,計算用!$Q$36))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IF(計算用!$Q$37="","",36)</f>
        <v/>
      </c>
      <c r="B40" s="28">
        <f>IF(計算用!$Q$37="","",INDEX(振り分け!$A$3:$A$302,計算用!$Q$37))</f>
        <v/>
      </c>
      <c r="C40" s="28">
        <f>IF(計算用!$Q$37="","",INDEX(振り分け!$B$3:$B$302,計算用!$Q$37))</f>
        <v/>
      </c>
      <c r="D40" s="35">
        <f>IF(計算用!$Q$37="","",INDEX(振り分け!$C$3:$C$302,計算用!$Q$37))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IF(計算用!$Q$38="","",37)</f>
        <v/>
      </c>
      <c r="B41" s="28">
        <f>IF(計算用!$Q$38="","",INDEX(振り分け!$A$3:$A$302,計算用!$Q$38))</f>
        <v/>
      </c>
      <c r="C41" s="28">
        <f>IF(計算用!$Q$38="","",INDEX(振り分け!$B$3:$B$302,計算用!$Q$38))</f>
        <v/>
      </c>
      <c r="D41" s="35">
        <f>IF(計算用!$Q$38="","",INDEX(振り分け!$C$3:$C$302,計算用!$Q$38))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IF(計算用!$Q$39="","",38)</f>
        <v/>
      </c>
      <c r="B42" s="28">
        <f>IF(計算用!$Q$39="","",INDEX(振り分け!$A$3:$A$302,計算用!$Q$39))</f>
        <v/>
      </c>
      <c r="C42" s="28">
        <f>IF(計算用!$Q$39="","",INDEX(振り分け!$B$3:$B$302,計算用!$Q$39))</f>
        <v/>
      </c>
      <c r="D42" s="35">
        <f>IF(計算用!$Q$39="","",INDEX(振り分け!$C$3:$C$302,計算用!$Q$39))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IF(計算用!$Q$40="","",39)</f>
        <v/>
      </c>
      <c r="B43" s="28">
        <f>IF(計算用!$Q$40="","",INDEX(振り分け!$A$3:$A$302,計算用!$Q$40))</f>
        <v/>
      </c>
      <c r="C43" s="28">
        <f>IF(計算用!$Q$40="","",INDEX(振り分け!$B$3:$B$302,計算用!$Q$40))</f>
        <v/>
      </c>
      <c r="D43" s="35">
        <f>IF(計算用!$Q$40="","",INDEX(振り分け!$C$3:$C$302,計算用!$Q$40))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IF(計算用!$Q$41="","",40)</f>
        <v/>
      </c>
      <c r="B44" s="28">
        <f>IF(計算用!$Q$41="","",INDEX(振り分け!$A$3:$A$302,計算用!$Q$41))</f>
        <v/>
      </c>
      <c r="C44" s="28">
        <f>IF(計算用!$Q$41="","",INDEX(振り分け!$B$3:$B$302,計算用!$Q$41))</f>
        <v/>
      </c>
      <c r="D44" s="35">
        <f>IF(計算用!$Q$41="","",INDEX(振り分け!$C$3:$C$302,計算用!$Q$41))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IF(設定!$G$25="","",設定!$B$3&amp;"　"&amp;設定!$G$25&amp;設定!$B$4&amp;"名簿")</f>
        <v/>
      </c>
    </row>
    <row r="2">
      <c r="A2" s="23">
        <f>IF(設定!$G$25="","","担当："&amp;設定!$J$25&amp;"　　活動場所："&amp;設定!$K$25&amp;"　　人数："&amp;COUNTIF(振り分け!$I$3:$I$302,設定!$G$25)&amp;"名")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IF(計算用!$R$2="","",1)</f>
        <v/>
      </c>
      <c r="B5" s="28">
        <f>IF(計算用!$R$2="","",INDEX(振り分け!$A$3:$A$302,計算用!$R$2))</f>
        <v/>
      </c>
      <c r="C5" s="28">
        <f>IF(計算用!$R$2="","",INDEX(振り分け!$B$3:$B$302,計算用!$R$2))</f>
        <v/>
      </c>
      <c r="D5" s="35">
        <f>IF(計算用!$R$2="","",INDEX(振り分け!$C$3:$C$302,計算用!$R$2))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IF(計算用!$R$3="","",2)</f>
        <v/>
      </c>
      <c r="B6" s="28">
        <f>IF(計算用!$R$3="","",INDEX(振り分け!$A$3:$A$302,計算用!$R$3))</f>
        <v/>
      </c>
      <c r="C6" s="28">
        <f>IF(計算用!$R$3="","",INDEX(振り分け!$B$3:$B$302,計算用!$R$3))</f>
        <v/>
      </c>
      <c r="D6" s="35">
        <f>IF(計算用!$R$3="","",INDEX(振り分け!$C$3:$C$302,計算用!$R$3))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IF(計算用!$R$4="","",3)</f>
        <v/>
      </c>
      <c r="B7" s="28">
        <f>IF(計算用!$R$4="","",INDEX(振り分け!$A$3:$A$302,計算用!$R$4))</f>
        <v/>
      </c>
      <c r="C7" s="28">
        <f>IF(計算用!$R$4="","",INDEX(振り分け!$B$3:$B$302,計算用!$R$4))</f>
        <v/>
      </c>
      <c r="D7" s="35">
        <f>IF(計算用!$R$4="","",INDEX(振り分け!$C$3:$C$302,計算用!$R$4))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IF(計算用!$R$5="","",4)</f>
        <v/>
      </c>
      <c r="B8" s="28">
        <f>IF(計算用!$R$5="","",INDEX(振り分け!$A$3:$A$302,計算用!$R$5))</f>
        <v/>
      </c>
      <c r="C8" s="28">
        <f>IF(計算用!$R$5="","",INDEX(振り分け!$B$3:$B$302,計算用!$R$5))</f>
        <v/>
      </c>
      <c r="D8" s="35">
        <f>IF(計算用!$R$5="","",INDEX(振り分け!$C$3:$C$302,計算用!$R$5))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IF(計算用!$R$6="","",5)</f>
        <v/>
      </c>
      <c r="B9" s="28">
        <f>IF(計算用!$R$6="","",INDEX(振り分け!$A$3:$A$302,計算用!$R$6))</f>
        <v/>
      </c>
      <c r="C9" s="28">
        <f>IF(計算用!$R$6="","",INDEX(振り分け!$B$3:$B$302,計算用!$R$6))</f>
        <v/>
      </c>
      <c r="D9" s="35">
        <f>IF(計算用!$R$6="","",INDEX(振り分け!$C$3:$C$302,計算用!$R$6))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IF(計算用!$R$7="","",6)</f>
        <v/>
      </c>
      <c r="B10" s="28">
        <f>IF(計算用!$R$7="","",INDEX(振り分け!$A$3:$A$302,計算用!$R$7))</f>
        <v/>
      </c>
      <c r="C10" s="28">
        <f>IF(計算用!$R$7="","",INDEX(振り分け!$B$3:$B$302,計算用!$R$7))</f>
        <v/>
      </c>
      <c r="D10" s="35">
        <f>IF(計算用!$R$7="","",INDEX(振り分け!$C$3:$C$302,計算用!$R$7))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IF(計算用!$R$8="","",7)</f>
        <v/>
      </c>
      <c r="B11" s="28">
        <f>IF(計算用!$R$8="","",INDEX(振り分け!$A$3:$A$302,計算用!$R$8))</f>
        <v/>
      </c>
      <c r="C11" s="28">
        <f>IF(計算用!$R$8="","",INDEX(振り分け!$B$3:$B$302,計算用!$R$8))</f>
        <v/>
      </c>
      <c r="D11" s="35">
        <f>IF(計算用!$R$8="","",INDEX(振り分け!$C$3:$C$302,計算用!$R$8))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IF(計算用!$R$9="","",8)</f>
        <v/>
      </c>
      <c r="B12" s="28">
        <f>IF(計算用!$R$9="","",INDEX(振り分け!$A$3:$A$302,計算用!$R$9))</f>
        <v/>
      </c>
      <c r="C12" s="28">
        <f>IF(計算用!$R$9="","",INDEX(振り分け!$B$3:$B$302,計算用!$R$9))</f>
        <v/>
      </c>
      <c r="D12" s="35">
        <f>IF(計算用!$R$9="","",INDEX(振り分け!$C$3:$C$302,計算用!$R$9))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IF(計算用!$R$10="","",9)</f>
        <v/>
      </c>
      <c r="B13" s="28">
        <f>IF(計算用!$R$10="","",INDEX(振り分け!$A$3:$A$302,計算用!$R$10))</f>
        <v/>
      </c>
      <c r="C13" s="28">
        <f>IF(計算用!$R$10="","",INDEX(振り分け!$B$3:$B$302,計算用!$R$10))</f>
        <v/>
      </c>
      <c r="D13" s="35">
        <f>IF(計算用!$R$10="","",INDEX(振り分け!$C$3:$C$302,計算用!$R$10))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IF(計算用!$R$11="","",10)</f>
        <v/>
      </c>
      <c r="B14" s="28">
        <f>IF(計算用!$R$11="","",INDEX(振り分け!$A$3:$A$302,計算用!$R$11))</f>
        <v/>
      </c>
      <c r="C14" s="28">
        <f>IF(計算用!$R$11="","",INDEX(振り分け!$B$3:$B$302,計算用!$R$11))</f>
        <v/>
      </c>
      <c r="D14" s="35">
        <f>IF(計算用!$R$11="","",INDEX(振り分け!$C$3:$C$302,計算用!$R$11))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IF(計算用!$R$12="","",11)</f>
        <v/>
      </c>
      <c r="B15" s="28">
        <f>IF(計算用!$R$12="","",INDEX(振り分け!$A$3:$A$302,計算用!$R$12))</f>
        <v/>
      </c>
      <c r="C15" s="28">
        <f>IF(計算用!$R$12="","",INDEX(振り分け!$B$3:$B$302,計算用!$R$12))</f>
        <v/>
      </c>
      <c r="D15" s="35">
        <f>IF(計算用!$R$12="","",INDEX(振り分け!$C$3:$C$302,計算用!$R$12))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IF(計算用!$R$13="","",12)</f>
        <v/>
      </c>
      <c r="B16" s="28">
        <f>IF(計算用!$R$13="","",INDEX(振り分け!$A$3:$A$302,計算用!$R$13))</f>
        <v/>
      </c>
      <c r="C16" s="28">
        <f>IF(計算用!$R$13="","",INDEX(振り分け!$B$3:$B$302,計算用!$R$13))</f>
        <v/>
      </c>
      <c r="D16" s="35">
        <f>IF(計算用!$R$13="","",INDEX(振り分け!$C$3:$C$302,計算用!$R$13))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IF(計算用!$R$14="","",13)</f>
        <v/>
      </c>
      <c r="B17" s="28">
        <f>IF(計算用!$R$14="","",INDEX(振り分け!$A$3:$A$302,計算用!$R$14))</f>
        <v/>
      </c>
      <c r="C17" s="28">
        <f>IF(計算用!$R$14="","",INDEX(振り分け!$B$3:$B$302,計算用!$R$14))</f>
        <v/>
      </c>
      <c r="D17" s="35">
        <f>IF(計算用!$R$14="","",INDEX(振り分け!$C$3:$C$302,計算用!$R$14))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IF(計算用!$R$15="","",14)</f>
        <v/>
      </c>
      <c r="B18" s="28">
        <f>IF(計算用!$R$15="","",INDEX(振り分け!$A$3:$A$302,計算用!$R$15))</f>
        <v/>
      </c>
      <c r="C18" s="28">
        <f>IF(計算用!$R$15="","",INDEX(振り分け!$B$3:$B$302,計算用!$R$15))</f>
        <v/>
      </c>
      <c r="D18" s="35">
        <f>IF(計算用!$R$15="","",INDEX(振り分け!$C$3:$C$302,計算用!$R$15))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IF(計算用!$R$16="","",15)</f>
        <v/>
      </c>
      <c r="B19" s="28">
        <f>IF(計算用!$R$16="","",INDEX(振り分け!$A$3:$A$302,計算用!$R$16))</f>
        <v/>
      </c>
      <c r="C19" s="28">
        <f>IF(計算用!$R$16="","",INDEX(振り分け!$B$3:$B$302,計算用!$R$16))</f>
        <v/>
      </c>
      <c r="D19" s="35">
        <f>IF(計算用!$R$16="","",INDEX(振り分け!$C$3:$C$302,計算用!$R$16))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IF(計算用!$R$17="","",16)</f>
        <v/>
      </c>
      <c r="B20" s="28">
        <f>IF(計算用!$R$17="","",INDEX(振り分け!$A$3:$A$302,計算用!$R$17))</f>
        <v/>
      </c>
      <c r="C20" s="28">
        <f>IF(計算用!$R$17="","",INDEX(振り分け!$B$3:$B$302,計算用!$R$17))</f>
        <v/>
      </c>
      <c r="D20" s="35">
        <f>IF(計算用!$R$17="","",INDEX(振り分け!$C$3:$C$302,計算用!$R$17))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IF(計算用!$R$18="","",17)</f>
        <v/>
      </c>
      <c r="B21" s="28">
        <f>IF(計算用!$R$18="","",INDEX(振り分け!$A$3:$A$302,計算用!$R$18))</f>
        <v/>
      </c>
      <c r="C21" s="28">
        <f>IF(計算用!$R$18="","",INDEX(振り分け!$B$3:$B$302,計算用!$R$18))</f>
        <v/>
      </c>
      <c r="D21" s="35">
        <f>IF(計算用!$R$18="","",INDEX(振り分け!$C$3:$C$302,計算用!$R$18))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IF(計算用!$R$19="","",18)</f>
        <v/>
      </c>
      <c r="B22" s="28">
        <f>IF(計算用!$R$19="","",INDEX(振り分け!$A$3:$A$302,計算用!$R$19))</f>
        <v/>
      </c>
      <c r="C22" s="28">
        <f>IF(計算用!$R$19="","",INDEX(振り分け!$B$3:$B$302,計算用!$R$19))</f>
        <v/>
      </c>
      <c r="D22" s="35">
        <f>IF(計算用!$R$19="","",INDEX(振り分け!$C$3:$C$302,計算用!$R$19))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IF(計算用!$R$20="","",19)</f>
        <v/>
      </c>
      <c r="B23" s="28">
        <f>IF(計算用!$R$20="","",INDEX(振り分け!$A$3:$A$302,計算用!$R$20))</f>
        <v/>
      </c>
      <c r="C23" s="28">
        <f>IF(計算用!$R$20="","",INDEX(振り分け!$B$3:$B$302,計算用!$R$20))</f>
        <v/>
      </c>
      <c r="D23" s="35">
        <f>IF(計算用!$R$20="","",INDEX(振り分け!$C$3:$C$302,計算用!$R$20))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IF(計算用!$R$21="","",20)</f>
        <v/>
      </c>
      <c r="B24" s="28">
        <f>IF(計算用!$R$21="","",INDEX(振り分け!$A$3:$A$302,計算用!$R$21))</f>
        <v/>
      </c>
      <c r="C24" s="28">
        <f>IF(計算用!$R$21="","",INDEX(振り分け!$B$3:$B$302,計算用!$R$21))</f>
        <v/>
      </c>
      <c r="D24" s="35">
        <f>IF(計算用!$R$21="","",INDEX(振り分け!$C$3:$C$302,計算用!$R$21))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IF(計算用!$R$22="","",21)</f>
        <v/>
      </c>
      <c r="B25" s="28">
        <f>IF(計算用!$R$22="","",INDEX(振り分け!$A$3:$A$302,計算用!$R$22))</f>
        <v/>
      </c>
      <c r="C25" s="28">
        <f>IF(計算用!$R$22="","",INDEX(振り分け!$B$3:$B$302,計算用!$R$22))</f>
        <v/>
      </c>
      <c r="D25" s="35">
        <f>IF(計算用!$R$22="","",INDEX(振り分け!$C$3:$C$302,計算用!$R$22))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IF(計算用!$R$23="","",22)</f>
        <v/>
      </c>
      <c r="B26" s="28">
        <f>IF(計算用!$R$23="","",INDEX(振り分け!$A$3:$A$302,計算用!$R$23))</f>
        <v/>
      </c>
      <c r="C26" s="28">
        <f>IF(計算用!$R$23="","",INDEX(振り分け!$B$3:$B$302,計算用!$R$23))</f>
        <v/>
      </c>
      <c r="D26" s="35">
        <f>IF(計算用!$R$23="","",INDEX(振り分け!$C$3:$C$302,計算用!$R$23))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IF(計算用!$R$24="","",23)</f>
        <v/>
      </c>
      <c r="B27" s="28">
        <f>IF(計算用!$R$24="","",INDEX(振り分け!$A$3:$A$302,計算用!$R$24))</f>
        <v/>
      </c>
      <c r="C27" s="28">
        <f>IF(計算用!$R$24="","",INDEX(振り分け!$B$3:$B$302,計算用!$R$24))</f>
        <v/>
      </c>
      <c r="D27" s="35">
        <f>IF(計算用!$R$24="","",INDEX(振り分け!$C$3:$C$302,計算用!$R$24))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IF(計算用!$R$25="","",24)</f>
        <v/>
      </c>
      <c r="B28" s="28">
        <f>IF(計算用!$R$25="","",INDEX(振り分け!$A$3:$A$302,計算用!$R$25))</f>
        <v/>
      </c>
      <c r="C28" s="28">
        <f>IF(計算用!$R$25="","",INDEX(振り分け!$B$3:$B$302,計算用!$R$25))</f>
        <v/>
      </c>
      <c r="D28" s="35">
        <f>IF(計算用!$R$25="","",INDEX(振り分け!$C$3:$C$302,計算用!$R$25))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IF(計算用!$R$26="","",25)</f>
        <v/>
      </c>
      <c r="B29" s="28">
        <f>IF(計算用!$R$26="","",INDEX(振り分け!$A$3:$A$302,計算用!$R$26))</f>
        <v/>
      </c>
      <c r="C29" s="28">
        <f>IF(計算用!$R$26="","",INDEX(振り分け!$B$3:$B$302,計算用!$R$26))</f>
        <v/>
      </c>
      <c r="D29" s="35">
        <f>IF(計算用!$R$26="","",INDEX(振り分け!$C$3:$C$302,計算用!$R$26))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IF(計算用!$R$27="","",26)</f>
        <v/>
      </c>
      <c r="B30" s="28">
        <f>IF(計算用!$R$27="","",INDEX(振り分け!$A$3:$A$302,計算用!$R$27))</f>
        <v/>
      </c>
      <c r="C30" s="28">
        <f>IF(計算用!$R$27="","",INDEX(振り分け!$B$3:$B$302,計算用!$R$27))</f>
        <v/>
      </c>
      <c r="D30" s="35">
        <f>IF(計算用!$R$27="","",INDEX(振り分け!$C$3:$C$302,計算用!$R$27))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IF(計算用!$R$28="","",27)</f>
        <v/>
      </c>
      <c r="B31" s="28">
        <f>IF(計算用!$R$28="","",INDEX(振り分け!$A$3:$A$302,計算用!$R$28))</f>
        <v/>
      </c>
      <c r="C31" s="28">
        <f>IF(計算用!$R$28="","",INDEX(振り分け!$B$3:$B$302,計算用!$R$28))</f>
        <v/>
      </c>
      <c r="D31" s="35">
        <f>IF(計算用!$R$28="","",INDEX(振り分け!$C$3:$C$302,計算用!$R$28))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IF(計算用!$R$29="","",28)</f>
        <v/>
      </c>
      <c r="B32" s="28">
        <f>IF(計算用!$R$29="","",INDEX(振り分け!$A$3:$A$302,計算用!$R$29))</f>
        <v/>
      </c>
      <c r="C32" s="28">
        <f>IF(計算用!$R$29="","",INDEX(振り分け!$B$3:$B$302,計算用!$R$29))</f>
        <v/>
      </c>
      <c r="D32" s="35">
        <f>IF(計算用!$R$29="","",INDEX(振り分け!$C$3:$C$302,計算用!$R$29))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IF(計算用!$R$30="","",29)</f>
        <v/>
      </c>
      <c r="B33" s="28">
        <f>IF(計算用!$R$30="","",INDEX(振り分け!$A$3:$A$302,計算用!$R$30))</f>
        <v/>
      </c>
      <c r="C33" s="28">
        <f>IF(計算用!$R$30="","",INDEX(振り分け!$B$3:$B$302,計算用!$R$30))</f>
        <v/>
      </c>
      <c r="D33" s="35">
        <f>IF(計算用!$R$30="","",INDEX(振り分け!$C$3:$C$302,計算用!$R$30))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IF(計算用!$R$31="","",30)</f>
        <v/>
      </c>
      <c r="B34" s="28">
        <f>IF(計算用!$R$31="","",INDEX(振り分け!$A$3:$A$302,計算用!$R$31))</f>
        <v/>
      </c>
      <c r="C34" s="28">
        <f>IF(計算用!$R$31="","",INDEX(振り分け!$B$3:$B$302,計算用!$R$31))</f>
        <v/>
      </c>
      <c r="D34" s="35">
        <f>IF(計算用!$R$31="","",INDEX(振り分け!$C$3:$C$302,計算用!$R$31))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IF(計算用!$R$32="","",31)</f>
        <v/>
      </c>
      <c r="B35" s="28">
        <f>IF(計算用!$R$32="","",INDEX(振り分け!$A$3:$A$302,計算用!$R$32))</f>
        <v/>
      </c>
      <c r="C35" s="28">
        <f>IF(計算用!$R$32="","",INDEX(振り分け!$B$3:$B$302,計算用!$R$32))</f>
        <v/>
      </c>
      <c r="D35" s="35">
        <f>IF(計算用!$R$32="","",INDEX(振り分け!$C$3:$C$302,計算用!$R$32))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IF(計算用!$R$33="","",32)</f>
        <v/>
      </c>
      <c r="B36" s="28">
        <f>IF(計算用!$R$33="","",INDEX(振り分け!$A$3:$A$302,計算用!$R$33))</f>
        <v/>
      </c>
      <c r="C36" s="28">
        <f>IF(計算用!$R$33="","",INDEX(振り分け!$B$3:$B$302,計算用!$R$33))</f>
        <v/>
      </c>
      <c r="D36" s="35">
        <f>IF(計算用!$R$33="","",INDEX(振り分け!$C$3:$C$302,計算用!$R$33))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IF(計算用!$R$34="","",33)</f>
        <v/>
      </c>
      <c r="B37" s="28">
        <f>IF(計算用!$R$34="","",INDEX(振り分け!$A$3:$A$302,計算用!$R$34))</f>
        <v/>
      </c>
      <c r="C37" s="28">
        <f>IF(計算用!$R$34="","",INDEX(振り分け!$B$3:$B$302,計算用!$R$34))</f>
        <v/>
      </c>
      <c r="D37" s="35">
        <f>IF(計算用!$R$34="","",INDEX(振り分け!$C$3:$C$302,計算用!$R$34))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IF(計算用!$R$35="","",34)</f>
        <v/>
      </c>
      <c r="B38" s="28">
        <f>IF(計算用!$R$35="","",INDEX(振り分け!$A$3:$A$302,計算用!$R$35))</f>
        <v/>
      </c>
      <c r="C38" s="28">
        <f>IF(計算用!$R$35="","",INDEX(振り分け!$B$3:$B$302,計算用!$R$35))</f>
        <v/>
      </c>
      <c r="D38" s="35">
        <f>IF(計算用!$R$35="","",INDEX(振り分け!$C$3:$C$302,計算用!$R$35))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IF(計算用!$R$36="","",35)</f>
        <v/>
      </c>
      <c r="B39" s="28">
        <f>IF(計算用!$R$36="","",INDEX(振り分け!$A$3:$A$302,計算用!$R$36))</f>
        <v/>
      </c>
      <c r="C39" s="28">
        <f>IF(計算用!$R$36="","",INDEX(振り分け!$B$3:$B$302,計算用!$R$36))</f>
        <v/>
      </c>
      <c r="D39" s="35">
        <f>IF(計算用!$R$36="","",INDEX(振り分け!$C$3:$C$302,計算用!$R$36))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IF(計算用!$R$37="","",36)</f>
        <v/>
      </c>
      <c r="B40" s="28">
        <f>IF(計算用!$R$37="","",INDEX(振り分け!$A$3:$A$302,計算用!$R$37))</f>
        <v/>
      </c>
      <c r="C40" s="28">
        <f>IF(計算用!$R$37="","",INDEX(振り分け!$B$3:$B$302,計算用!$R$37))</f>
        <v/>
      </c>
      <c r="D40" s="35">
        <f>IF(計算用!$R$37="","",INDEX(振り分け!$C$3:$C$302,計算用!$R$37))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IF(計算用!$R$38="","",37)</f>
        <v/>
      </c>
      <c r="B41" s="28">
        <f>IF(計算用!$R$38="","",INDEX(振り分け!$A$3:$A$302,計算用!$R$38))</f>
        <v/>
      </c>
      <c r="C41" s="28">
        <f>IF(計算用!$R$38="","",INDEX(振り分け!$B$3:$B$302,計算用!$R$38))</f>
        <v/>
      </c>
      <c r="D41" s="35">
        <f>IF(計算用!$R$38="","",INDEX(振り分け!$C$3:$C$302,計算用!$R$38))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IF(計算用!$R$39="","",38)</f>
        <v/>
      </c>
      <c r="B42" s="28">
        <f>IF(計算用!$R$39="","",INDEX(振り分け!$A$3:$A$302,計算用!$R$39))</f>
        <v/>
      </c>
      <c r="C42" s="28">
        <f>IF(計算用!$R$39="","",INDEX(振り分け!$B$3:$B$302,計算用!$R$39))</f>
        <v/>
      </c>
      <c r="D42" s="35">
        <f>IF(計算用!$R$39="","",INDEX(振り分け!$C$3:$C$302,計算用!$R$39))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IF(計算用!$R$40="","",39)</f>
        <v/>
      </c>
      <c r="B43" s="28">
        <f>IF(計算用!$R$40="","",INDEX(振り分け!$A$3:$A$302,計算用!$R$40))</f>
        <v/>
      </c>
      <c r="C43" s="28">
        <f>IF(計算用!$R$40="","",INDEX(振り分け!$B$3:$B$302,計算用!$R$40))</f>
        <v/>
      </c>
      <c r="D43" s="35">
        <f>IF(計算用!$R$40="","",INDEX(振り分け!$C$3:$C$302,計算用!$R$40))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IF(計算用!$R$41="","",40)</f>
        <v/>
      </c>
      <c r="B44" s="28">
        <f>IF(計算用!$R$41="","",INDEX(振り分け!$A$3:$A$302,計算用!$R$41))</f>
        <v/>
      </c>
      <c r="C44" s="28">
        <f>IF(計算用!$R$41="","",INDEX(振り分け!$B$3:$B$302,計算用!$R$41))</f>
        <v/>
      </c>
      <c r="D44" s="35">
        <f>IF(計算用!$R$41="","",INDEX(振り分け!$C$3:$C$302,計算用!$R$41))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IF(設定!$G$26="","",設定!$B$3&amp;"　"&amp;設定!$G$26&amp;設定!$B$4&amp;"名簿")</f>
        <v/>
      </c>
    </row>
    <row r="2">
      <c r="A2" s="23">
        <f>IF(設定!$G$26="","","担当："&amp;設定!$J$26&amp;"　　活動場所："&amp;設定!$K$26&amp;"　　人数："&amp;COUNTIF(振り分け!$I$3:$I$302,設定!$G$26)&amp;"名")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IF(計算用!$S$2="","",1)</f>
        <v/>
      </c>
      <c r="B5" s="28">
        <f>IF(計算用!$S$2="","",INDEX(振り分け!$A$3:$A$302,計算用!$S$2))</f>
        <v/>
      </c>
      <c r="C5" s="28">
        <f>IF(計算用!$S$2="","",INDEX(振り分け!$B$3:$B$302,計算用!$S$2))</f>
        <v/>
      </c>
      <c r="D5" s="35">
        <f>IF(計算用!$S$2="","",INDEX(振り分け!$C$3:$C$302,計算用!$S$2))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IF(計算用!$S$3="","",2)</f>
        <v/>
      </c>
      <c r="B6" s="28">
        <f>IF(計算用!$S$3="","",INDEX(振り分け!$A$3:$A$302,計算用!$S$3))</f>
        <v/>
      </c>
      <c r="C6" s="28">
        <f>IF(計算用!$S$3="","",INDEX(振り分け!$B$3:$B$302,計算用!$S$3))</f>
        <v/>
      </c>
      <c r="D6" s="35">
        <f>IF(計算用!$S$3="","",INDEX(振り分け!$C$3:$C$302,計算用!$S$3))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IF(計算用!$S$4="","",3)</f>
        <v/>
      </c>
      <c r="B7" s="28">
        <f>IF(計算用!$S$4="","",INDEX(振り分け!$A$3:$A$302,計算用!$S$4))</f>
        <v/>
      </c>
      <c r="C7" s="28">
        <f>IF(計算用!$S$4="","",INDEX(振り分け!$B$3:$B$302,計算用!$S$4))</f>
        <v/>
      </c>
      <c r="D7" s="35">
        <f>IF(計算用!$S$4="","",INDEX(振り分け!$C$3:$C$302,計算用!$S$4))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IF(計算用!$S$5="","",4)</f>
        <v/>
      </c>
      <c r="B8" s="28">
        <f>IF(計算用!$S$5="","",INDEX(振り分け!$A$3:$A$302,計算用!$S$5))</f>
        <v/>
      </c>
      <c r="C8" s="28">
        <f>IF(計算用!$S$5="","",INDEX(振り分け!$B$3:$B$302,計算用!$S$5))</f>
        <v/>
      </c>
      <c r="D8" s="35">
        <f>IF(計算用!$S$5="","",INDEX(振り分け!$C$3:$C$302,計算用!$S$5))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IF(計算用!$S$6="","",5)</f>
        <v/>
      </c>
      <c r="B9" s="28">
        <f>IF(計算用!$S$6="","",INDEX(振り分け!$A$3:$A$302,計算用!$S$6))</f>
        <v/>
      </c>
      <c r="C9" s="28">
        <f>IF(計算用!$S$6="","",INDEX(振り分け!$B$3:$B$302,計算用!$S$6))</f>
        <v/>
      </c>
      <c r="D9" s="35">
        <f>IF(計算用!$S$6="","",INDEX(振り分け!$C$3:$C$302,計算用!$S$6))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IF(計算用!$S$7="","",6)</f>
        <v/>
      </c>
      <c r="B10" s="28">
        <f>IF(計算用!$S$7="","",INDEX(振り分け!$A$3:$A$302,計算用!$S$7))</f>
        <v/>
      </c>
      <c r="C10" s="28">
        <f>IF(計算用!$S$7="","",INDEX(振り分け!$B$3:$B$302,計算用!$S$7))</f>
        <v/>
      </c>
      <c r="D10" s="35">
        <f>IF(計算用!$S$7="","",INDEX(振り分け!$C$3:$C$302,計算用!$S$7))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IF(計算用!$S$8="","",7)</f>
        <v/>
      </c>
      <c r="B11" s="28">
        <f>IF(計算用!$S$8="","",INDEX(振り分け!$A$3:$A$302,計算用!$S$8))</f>
        <v/>
      </c>
      <c r="C11" s="28">
        <f>IF(計算用!$S$8="","",INDEX(振り分け!$B$3:$B$302,計算用!$S$8))</f>
        <v/>
      </c>
      <c r="D11" s="35">
        <f>IF(計算用!$S$8="","",INDEX(振り分け!$C$3:$C$302,計算用!$S$8))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IF(計算用!$S$9="","",8)</f>
        <v/>
      </c>
      <c r="B12" s="28">
        <f>IF(計算用!$S$9="","",INDEX(振り分け!$A$3:$A$302,計算用!$S$9))</f>
        <v/>
      </c>
      <c r="C12" s="28">
        <f>IF(計算用!$S$9="","",INDEX(振り分け!$B$3:$B$302,計算用!$S$9))</f>
        <v/>
      </c>
      <c r="D12" s="35">
        <f>IF(計算用!$S$9="","",INDEX(振り分け!$C$3:$C$302,計算用!$S$9))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IF(計算用!$S$10="","",9)</f>
        <v/>
      </c>
      <c r="B13" s="28">
        <f>IF(計算用!$S$10="","",INDEX(振り分け!$A$3:$A$302,計算用!$S$10))</f>
        <v/>
      </c>
      <c r="C13" s="28">
        <f>IF(計算用!$S$10="","",INDEX(振り分け!$B$3:$B$302,計算用!$S$10))</f>
        <v/>
      </c>
      <c r="D13" s="35">
        <f>IF(計算用!$S$10="","",INDEX(振り分け!$C$3:$C$302,計算用!$S$10))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IF(計算用!$S$11="","",10)</f>
        <v/>
      </c>
      <c r="B14" s="28">
        <f>IF(計算用!$S$11="","",INDEX(振り分け!$A$3:$A$302,計算用!$S$11))</f>
        <v/>
      </c>
      <c r="C14" s="28">
        <f>IF(計算用!$S$11="","",INDEX(振り分け!$B$3:$B$302,計算用!$S$11))</f>
        <v/>
      </c>
      <c r="D14" s="35">
        <f>IF(計算用!$S$11="","",INDEX(振り分け!$C$3:$C$302,計算用!$S$11))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IF(計算用!$S$12="","",11)</f>
        <v/>
      </c>
      <c r="B15" s="28">
        <f>IF(計算用!$S$12="","",INDEX(振り分け!$A$3:$A$302,計算用!$S$12))</f>
        <v/>
      </c>
      <c r="C15" s="28">
        <f>IF(計算用!$S$12="","",INDEX(振り分け!$B$3:$B$302,計算用!$S$12))</f>
        <v/>
      </c>
      <c r="D15" s="35">
        <f>IF(計算用!$S$12="","",INDEX(振り分け!$C$3:$C$302,計算用!$S$12))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IF(計算用!$S$13="","",12)</f>
        <v/>
      </c>
      <c r="B16" s="28">
        <f>IF(計算用!$S$13="","",INDEX(振り分け!$A$3:$A$302,計算用!$S$13))</f>
        <v/>
      </c>
      <c r="C16" s="28">
        <f>IF(計算用!$S$13="","",INDEX(振り分け!$B$3:$B$302,計算用!$S$13))</f>
        <v/>
      </c>
      <c r="D16" s="35">
        <f>IF(計算用!$S$13="","",INDEX(振り分け!$C$3:$C$302,計算用!$S$13))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IF(計算用!$S$14="","",13)</f>
        <v/>
      </c>
      <c r="B17" s="28">
        <f>IF(計算用!$S$14="","",INDEX(振り分け!$A$3:$A$302,計算用!$S$14))</f>
        <v/>
      </c>
      <c r="C17" s="28">
        <f>IF(計算用!$S$14="","",INDEX(振り分け!$B$3:$B$302,計算用!$S$14))</f>
        <v/>
      </c>
      <c r="D17" s="35">
        <f>IF(計算用!$S$14="","",INDEX(振り分け!$C$3:$C$302,計算用!$S$14))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IF(計算用!$S$15="","",14)</f>
        <v/>
      </c>
      <c r="B18" s="28">
        <f>IF(計算用!$S$15="","",INDEX(振り分け!$A$3:$A$302,計算用!$S$15))</f>
        <v/>
      </c>
      <c r="C18" s="28">
        <f>IF(計算用!$S$15="","",INDEX(振り分け!$B$3:$B$302,計算用!$S$15))</f>
        <v/>
      </c>
      <c r="D18" s="35">
        <f>IF(計算用!$S$15="","",INDEX(振り分け!$C$3:$C$302,計算用!$S$15))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IF(計算用!$S$16="","",15)</f>
        <v/>
      </c>
      <c r="B19" s="28">
        <f>IF(計算用!$S$16="","",INDEX(振り分け!$A$3:$A$302,計算用!$S$16))</f>
        <v/>
      </c>
      <c r="C19" s="28">
        <f>IF(計算用!$S$16="","",INDEX(振り分け!$B$3:$B$302,計算用!$S$16))</f>
        <v/>
      </c>
      <c r="D19" s="35">
        <f>IF(計算用!$S$16="","",INDEX(振り分け!$C$3:$C$302,計算用!$S$16))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IF(計算用!$S$17="","",16)</f>
        <v/>
      </c>
      <c r="B20" s="28">
        <f>IF(計算用!$S$17="","",INDEX(振り分け!$A$3:$A$302,計算用!$S$17))</f>
        <v/>
      </c>
      <c r="C20" s="28">
        <f>IF(計算用!$S$17="","",INDEX(振り分け!$B$3:$B$302,計算用!$S$17))</f>
        <v/>
      </c>
      <c r="D20" s="35">
        <f>IF(計算用!$S$17="","",INDEX(振り分け!$C$3:$C$302,計算用!$S$17))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IF(計算用!$S$18="","",17)</f>
        <v/>
      </c>
      <c r="B21" s="28">
        <f>IF(計算用!$S$18="","",INDEX(振り分け!$A$3:$A$302,計算用!$S$18))</f>
        <v/>
      </c>
      <c r="C21" s="28">
        <f>IF(計算用!$S$18="","",INDEX(振り分け!$B$3:$B$302,計算用!$S$18))</f>
        <v/>
      </c>
      <c r="D21" s="35">
        <f>IF(計算用!$S$18="","",INDEX(振り分け!$C$3:$C$302,計算用!$S$18))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IF(計算用!$S$19="","",18)</f>
        <v/>
      </c>
      <c r="B22" s="28">
        <f>IF(計算用!$S$19="","",INDEX(振り分け!$A$3:$A$302,計算用!$S$19))</f>
        <v/>
      </c>
      <c r="C22" s="28">
        <f>IF(計算用!$S$19="","",INDEX(振り分け!$B$3:$B$302,計算用!$S$19))</f>
        <v/>
      </c>
      <c r="D22" s="35">
        <f>IF(計算用!$S$19="","",INDEX(振り分け!$C$3:$C$302,計算用!$S$19))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IF(計算用!$S$20="","",19)</f>
        <v/>
      </c>
      <c r="B23" s="28">
        <f>IF(計算用!$S$20="","",INDEX(振り分け!$A$3:$A$302,計算用!$S$20))</f>
        <v/>
      </c>
      <c r="C23" s="28">
        <f>IF(計算用!$S$20="","",INDEX(振り分け!$B$3:$B$302,計算用!$S$20))</f>
        <v/>
      </c>
      <c r="D23" s="35">
        <f>IF(計算用!$S$20="","",INDEX(振り分け!$C$3:$C$302,計算用!$S$20))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IF(計算用!$S$21="","",20)</f>
        <v/>
      </c>
      <c r="B24" s="28">
        <f>IF(計算用!$S$21="","",INDEX(振り分け!$A$3:$A$302,計算用!$S$21))</f>
        <v/>
      </c>
      <c r="C24" s="28">
        <f>IF(計算用!$S$21="","",INDEX(振り分け!$B$3:$B$302,計算用!$S$21))</f>
        <v/>
      </c>
      <c r="D24" s="35">
        <f>IF(計算用!$S$21="","",INDEX(振り分け!$C$3:$C$302,計算用!$S$21))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IF(計算用!$S$22="","",21)</f>
        <v/>
      </c>
      <c r="B25" s="28">
        <f>IF(計算用!$S$22="","",INDEX(振り分け!$A$3:$A$302,計算用!$S$22))</f>
        <v/>
      </c>
      <c r="C25" s="28">
        <f>IF(計算用!$S$22="","",INDEX(振り分け!$B$3:$B$302,計算用!$S$22))</f>
        <v/>
      </c>
      <c r="D25" s="35">
        <f>IF(計算用!$S$22="","",INDEX(振り分け!$C$3:$C$302,計算用!$S$22))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IF(計算用!$S$23="","",22)</f>
        <v/>
      </c>
      <c r="B26" s="28">
        <f>IF(計算用!$S$23="","",INDEX(振り分け!$A$3:$A$302,計算用!$S$23))</f>
        <v/>
      </c>
      <c r="C26" s="28">
        <f>IF(計算用!$S$23="","",INDEX(振り分け!$B$3:$B$302,計算用!$S$23))</f>
        <v/>
      </c>
      <c r="D26" s="35">
        <f>IF(計算用!$S$23="","",INDEX(振り分け!$C$3:$C$302,計算用!$S$23))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IF(計算用!$S$24="","",23)</f>
        <v/>
      </c>
      <c r="B27" s="28">
        <f>IF(計算用!$S$24="","",INDEX(振り分け!$A$3:$A$302,計算用!$S$24))</f>
        <v/>
      </c>
      <c r="C27" s="28">
        <f>IF(計算用!$S$24="","",INDEX(振り分け!$B$3:$B$302,計算用!$S$24))</f>
        <v/>
      </c>
      <c r="D27" s="35">
        <f>IF(計算用!$S$24="","",INDEX(振り分け!$C$3:$C$302,計算用!$S$24))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IF(計算用!$S$25="","",24)</f>
        <v/>
      </c>
      <c r="B28" s="28">
        <f>IF(計算用!$S$25="","",INDEX(振り分け!$A$3:$A$302,計算用!$S$25))</f>
        <v/>
      </c>
      <c r="C28" s="28">
        <f>IF(計算用!$S$25="","",INDEX(振り分け!$B$3:$B$302,計算用!$S$25))</f>
        <v/>
      </c>
      <c r="D28" s="35">
        <f>IF(計算用!$S$25="","",INDEX(振り分け!$C$3:$C$302,計算用!$S$25))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IF(計算用!$S$26="","",25)</f>
        <v/>
      </c>
      <c r="B29" s="28">
        <f>IF(計算用!$S$26="","",INDEX(振り分け!$A$3:$A$302,計算用!$S$26))</f>
        <v/>
      </c>
      <c r="C29" s="28">
        <f>IF(計算用!$S$26="","",INDEX(振り分け!$B$3:$B$302,計算用!$S$26))</f>
        <v/>
      </c>
      <c r="D29" s="35">
        <f>IF(計算用!$S$26="","",INDEX(振り分け!$C$3:$C$302,計算用!$S$26))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IF(計算用!$S$27="","",26)</f>
        <v/>
      </c>
      <c r="B30" s="28">
        <f>IF(計算用!$S$27="","",INDEX(振り分け!$A$3:$A$302,計算用!$S$27))</f>
        <v/>
      </c>
      <c r="C30" s="28">
        <f>IF(計算用!$S$27="","",INDEX(振り分け!$B$3:$B$302,計算用!$S$27))</f>
        <v/>
      </c>
      <c r="D30" s="35">
        <f>IF(計算用!$S$27="","",INDEX(振り分け!$C$3:$C$302,計算用!$S$27))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IF(計算用!$S$28="","",27)</f>
        <v/>
      </c>
      <c r="B31" s="28">
        <f>IF(計算用!$S$28="","",INDEX(振り分け!$A$3:$A$302,計算用!$S$28))</f>
        <v/>
      </c>
      <c r="C31" s="28">
        <f>IF(計算用!$S$28="","",INDEX(振り分け!$B$3:$B$302,計算用!$S$28))</f>
        <v/>
      </c>
      <c r="D31" s="35">
        <f>IF(計算用!$S$28="","",INDEX(振り分け!$C$3:$C$302,計算用!$S$28))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IF(計算用!$S$29="","",28)</f>
        <v/>
      </c>
      <c r="B32" s="28">
        <f>IF(計算用!$S$29="","",INDEX(振り分け!$A$3:$A$302,計算用!$S$29))</f>
        <v/>
      </c>
      <c r="C32" s="28">
        <f>IF(計算用!$S$29="","",INDEX(振り分け!$B$3:$B$302,計算用!$S$29))</f>
        <v/>
      </c>
      <c r="D32" s="35">
        <f>IF(計算用!$S$29="","",INDEX(振り分け!$C$3:$C$302,計算用!$S$29))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IF(計算用!$S$30="","",29)</f>
        <v/>
      </c>
      <c r="B33" s="28">
        <f>IF(計算用!$S$30="","",INDEX(振り分け!$A$3:$A$302,計算用!$S$30))</f>
        <v/>
      </c>
      <c r="C33" s="28">
        <f>IF(計算用!$S$30="","",INDEX(振り分け!$B$3:$B$302,計算用!$S$30))</f>
        <v/>
      </c>
      <c r="D33" s="35">
        <f>IF(計算用!$S$30="","",INDEX(振り分け!$C$3:$C$302,計算用!$S$30))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IF(計算用!$S$31="","",30)</f>
        <v/>
      </c>
      <c r="B34" s="28">
        <f>IF(計算用!$S$31="","",INDEX(振り分け!$A$3:$A$302,計算用!$S$31))</f>
        <v/>
      </c>
      <c r="C34" s="28">
        <f>IF(計算用!$S$31="","",INDEX(振り分け!$B$3:$B$302,計算用!$S$31))</f>
        <v/>
      </c>
      <c r="D34" s="35">
        <f>IF(計算用!$S$31="","",INDEX(振り分け!$C$3:$C$302,計算用!$S$31))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IF(計算用!$S$32="","",31)</f>
        <v/>
      </c>
      <c r="B35" s="28">
        <f>IF(計算用!$S$32="","",INDEX(振り分け!$A$3:$A$302,計算用!$S$32))</f>
        <v/>
      </c>
      <c r="C35" s="28">
        <f>IF(計算用!$S$32="","",INDEX(振り分け!$B$3:$B$302,計算用!$S$32))</f>
        <v/>
      </c>
      <c r="D35" s="35">
        <f>IF(計算用!$S$32="","",INDEX(振り分け!$C$3:$C$302,計算用!$S$32))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IF(計算用!$S$33="","",32)</f>
        <v/>
      </c>
      <c r="B36" s="28">
        <f>IF(計算用!$S$33="","",INDEX(振り分け!$A$3:$A$302,計算用!$S$33))</f>
        <v/>
      </c>
      <c r="C36" s="28">
        <f>IF(計算用!$S$33="","",INDEX(振り分け!$B$3:$B$302,計算用!$S$33))</f>
        <v/>
      </c>
      <c r="D36" s="35">
        <f>IF(計算用!$S$33="","",INDEX(振り分け!$C$3:$C$302,計算用!$S$33))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IF(計算用!$S$34="","",33)</f>
        <v/>
      </c>
      <c r="B37" s="28">
        <f>IF(計算用!$S$34="","",INDEX(振り分け!$A$3:$A$302,計算用!$S$34))</f>
        <v/>
      </c>
      <c r="C37" s="28">
        <f>IF(計算用!$S$34="","",INDEX(振り分け!$B$3:$B$302,計算用!$S$34))</f>
        <v/>
      </c>
      <c r="D37" s="35">
        <f>IF(計算用!$S$34="","",INDEX(振り分け!$C$3:$C$302,計算用!$S$34))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IF(計算用!$S$35="","",34)</f>
        <v/>
      </c>
      <c r="B38" s="28">
        <f>IF(計算用!$S$35="","",INDEX(振り分け!$A$3:$A$302,計算用!$S$35))</f>
        <v/>
      </c>
      <c r="C38" s="28">
        <f>IF(計算用!$S$35="","",INDEX(振り分け!$B$3:$B$302,計算用!$S$35))</f>
        <v/>
      </c>
      <c r="D38" s="35">
        <f>IF(計算用!$S$35="","",INDEX(振り分け!$C$3:$C$302,計算用!$S$35))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IF(計算用!$S$36="","",35)</f>
        <v/>
      </c>
      <c r="B39" s="28">
        <f>IF(計算用!$S$36="","",INDEX(振り分け!$A$3:$A$302,計算用!$S$36))</f>
        <v/>
      </c>
      <c r="C39" s="28">
        <f>IF(計算用!$S$36="","",INDEX(振り分け!$B$3:$B$302,計算用!$S$36))</f>
        <v/>
      </c>
      <c r="D39" s="35">
        <f>IF(計算用!$S$36="","",INDEX(振り分け!$C$3:$C$302,計算用!$S$36))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IF(計算用!$S$37="","",36)</f>
        <v/>
      </c>
      <c r="B40" s="28">
        <f>IF(計算用!$S$37="","",INDEX(振り分け!$A$3:$A$302,計算用!$S$37))</f>
        <v/>
      </c>
      <c r="C40" s="28">
        <f>IF(計算用!$S$37="","",INDEX(振り分け!$B$3:$B$302,計算用!$S$37))</f>
        <v/>
      </c>
      <c r="D40" s="35">
        <f>IF(計算用!$S$37="","",INDEX(振り分け!$C$3:$C$302,計算用!$S$37))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IF(計算用!$S$38="","",37)</f>
        <v/>
      </c>
      <c r="B41" s="28">
        <f>IF(計算用!$S$38="","",INDEX(振り分け!$A$3:$A$302,計算用!$S$38))</f>
        <v/>
      </c>
      <c r="C41" s="28">
        <f>IF(計算用!$S$38="","",INDEX(振り分け!$B$3:$B$302,計算用!$S$38))</f>
        <v/>
      </c>
      <c r="D41" s="35">
        <f>IF(計算用!$S$38="","",INDEX(振り分け!$C$3:$C$302,計算用!$S$38))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IF(計算用!$S$39="","",38)</f>
        <v/>
      </c>
      <c r="B42" s="28">
        <f>IF(計算用!$S$39="","",INDEX(振り分け!$A$3:$A$302,計算用!$S$39))</f>
        <v/>
      </c>
      <c r="C42" s="28">
        <f>IF(計算用!$S$39="","",INDEX(振り分け!$B$3:$B$302,計算用!$S$39))</f>
        <v/>
      </c>
      <c r="D42" s="35">
        <f>IF(計算用!$S$39="","",INDEX(振り分け!$C$3:$C$302,計算用!$S$39))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IF(計算用!$S$40="","",39)</f>
        <v/>
      </c>
      <c r="B43" s="28">
        <f>IF(計算用!$S$40="","",INDEX(振り分け!$A$3:$A$302,計算用!$S$40))</f>
        <v/>
      </c>
      <c r="C43" s="28">
        <f>IF(計算用!$S$40="","",INDEX(振り分け!$B$3:$B$302,計算用!$S$40))</f>
        <v/>
      </c>
      <c r="D43" s="35">
        <f>IF(計算用!$S$40="","",INDEX(振り分け!$C$3:$C$302,計算用!$S$40))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IF(計算用!$S$41="","",40)</f>
        <v/>
      </c>
      <c r="B44" s="28">
        <f>IF(計算用!$S$41="","",INDEX(振り分け!$A$3:$A$302,計算用!$S$41))</f>
        <v/>
      </c>
      <c r="C44" s="28">
        <f>IF(計算用!$S$41="","",INDEX(振り分け!$B$3:$B$302,計算用!$S$41))</f>
        <v/>
      </c>
      <c r="D44" s="35">
        <f>IF(計算用!$S$41="","",INDEX(振り分け!$C$3:$C$302,計算用!$S$41))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O4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</cols>
  <sheetData>
    <row r="1">
      <c r="A1" s="34">
        <f>IF(設定!$G$27="","",設定!$B$3&amp;"　"&amp;設定!$G$27&amp;設定!$B$4&amp;"名簿")</f>
        <v/>
      </c>
    </row>
    <row r="2">
      <c r="A2" s="23">
        <f>IF(設定!$G$27="","","担当："&amp;設定!$J$27&amp;"　　活動場所："&amp;設定!$K$27&amp;"　　人数："&amp;COUNTIF(振り分け!$I$3:$I$302,設定!$G$27)&amp;"名")</f>
        <v/>
      </c>
    </row>
    <row r="4">
      <c r="A4" s="11" t="inlineStr">
        <is>
          <t>No.</t>
        </is>
      </c>
      <c r="B4" s="11" t="inlineStr">
        <is>
          <t>組</t>
        </is>
      </c>
      <c r="C4" s="11" t="inlineStr">
        <is>
          <t>番号</t>
        </is>
      </c>
      <c r="D4" s="11" t="inlineStr">
        <is>
          <t>名前</t>
        </is>
      </c>
      <c r="E4" s="11" t="inlineStr">
        <is>
          <t>①</t>
        </is>
      </c>
      <c r="F4" s="11" t="inlineStr">
        <is>
          <t>②</t>
        </is>
      </c>
      <c r="G4" s="11" t="inlineStr">
        <is>
          <t>③</t>
        </is>
      </c>
      <c r="H4" s="11" t="inlineStr">
        <is>
          <t>④</t>
        </is>
      </c>
      <c r="I4" s="11" t="inlineStr">
        <is>
          <t>⑤</t>
        </is>
      </c>
      <c r="J4" s="11" t="inlineStr">
        <is>
          <t>⑥</t>
        </is>
      </c>
      <c r="K4" s="11" t="inlineStr">
        <is>
          <t>⑦</t>
        </is>
      </c>
      <c r="L4" s="11" t="inlineStr">
        <is>
          <t>⑧</t>
        </is>
      </c>
      <c r="M4" s="11" t="inlineStr">
        <is>
          <t>⑨</t>
        </is>
      </c>
      <c r="N4" s="11" t="inlineStr">
        <is>
          <t>⑩</t>
        </is>
      </c>
      <c r="O4" s="11" t="inlineStr">
        <is>
          <t>⑪</t>
        </is>
      </c>
    </row>
    <row r="5" ht="17" customHeight="1">
      <c r="A5" s="28">
        <f>IF(計算用!$T$2="","",1)</f>
        <v/>
      </c>
      <c r="B5" s="28">
        <f>IF(計算用!$T$2="","",INDEX(振り分け!$A$3:$A$302,計算用!$T$2))</f>
        <v/>
      </c>
      <c r="C5" s="28">
        <f>IF(計算用!$T$2="","",INDEX(振り分け!$B$3:$B$302,計算用!$T$2))</f>
        <v/>
      </c>
      <c r="D5" s="35">
        <f>IF(計算用!$T$2="","",INDEX(振り分け!$C$3:$C$302,計算用!$T$2))</f>
        <v/>
      </c>
      <c r="E5" s="30" t="n"/>
      <c r="F5" s="30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</row>
    <row r="6" ht="17" customHeight="1">
      <c r="A6" s="28">
        <f>IF(計算用!$T$3="","",2)</f>
        <v/>
      </c>
      <c r="B6" s="28">
        <f>IF(計算用!$T$3="","",INDEX(振り分け!$A$3:$A$302,計算用!$T$3))</f>
        <v/>
      </c>
      <c r="C6" s="28">
        <f>IF(計算用!$T$3="","",INDEX(振り分け!$B$3:$B$302,計算用!$T$3))</f>
        <v/>
      </c>
      <c r="D6" s="35">
        <f>IF(計算用!$T$3="","",INDEX(振り分け!$C$3:$C$302,計算用!$T$3))</f>
        <v/>
      </c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</row>
    <row r="7" ht="17" customHeight="1">
      <c r="A7" s="28">
        <f>IF(計算用!$T$4="","",3)</f>
        <v/>
      </c>
      <c r="B7" s="28">
        <f>IF(計算用!$T$4="","",INDEX(振り分け!$A$3:$A$302,計算用!$T$4))</f>
        <v/>
      </c>
      <c r="C7" s="28">
        <f>IF(計算用!$T$4="","",INDEX(振り分け!$B$3:$B$302,計算用!$T$4))</f>
        <v/>
      </c>
      <c r="D7" s="35">
        <f>IF(計算用!$T$4="","",INDEX(振り分け!$C$3:$C$302,計算用!$T$4))</f>
        <v/>
      </c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</row>
    <row r="8" ht="17" customHeight="1">
      <c r="A8" s="28">
        <f>IF(計算用!$T$5="","",4)</f>
        <v/>
      </c>
      <c r="B8" s="28">
        <f>IF(計算用!$T$5="","",INDEX(振り分け!$A$3:$A$302,計算用!$T$5))</f>
        <v/>
      </c>
      <c r="C8" s="28">
        <f>IF(計算用!$T$5="","",INDEX(振り分け!$B$3:$B$302,計算用!$T$5))</f>
        <v/>
      </c>
      <c r="D8" s="35">
        <f>IF(計算用!$T$5="","",INDEX(振り分け!$C$3:$C$302,計算用!$T$5))</f>
        <v/>
      </c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</row>
    <row r="9" ht="17" customHeight="1">
      <c r="A9" s="28">
        <f>IF(計算用!$T$6="","",5)</f>
        <v/>
      </c>
      <c r="B9" s="28">
        <f>IF(計算用!$T$6="","",INDEX(振り分け!$A$3:$A$302,計算用!$T$6))</f>
        <v/>
      </c>
      <c r="C9" s="28">
        <f>IF(計算用!$T$6="","",INDEX(振り分け!$B$3:$B$302,計算用!$T$6))</f>
        <v/>
      </c>
      <c r="D9" s="35">
        <f>IF(計算用!$T$6="","",INDEX(振り分け!$C$3:$C$302,計算用!$T$6))</f>
        <v/>
      </c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</row>
    <row r="10" ht="17" customHeight="1">
      <c r="A10" s="28">
        <f>IF(計算用!$T$7="","",6)</f>
        <v/>
      </c>
      <c r="B10" s="28">
        <f>IF(計算用!$T$7="","",INDEX(振り分け!$A$3:$A$302,計算用!$T$7))</f>
        <v/>
      </c>
      <c r="C10" s="28">
        <f>IF(計算用!$T$7="","",INDEX(振り分け!$B$3:$B$302,計算用!$T$7))</f>
        <v/>
      </c>
      <c r="D10" s="35">
        <f>IF(計算用!$T$7="","",INDEX(振り分け!$C$3:$C$302,計算用!$T$7))</f>
        <v/>
      </c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</row>
    <row r="11" ht="17" customHeight="1">
      <c r="A11" s="28">
        <f>IF(計算用!$T$8="","",7)</f>
        <v/>
      </c>
      <c r="B11" s="28">
        <f>IF(計算用!$T$8="","",INDEX(振り分け!$A$3:$A$302,計算用!$T$8))</f>
        <v/>
      </c>
      <c r="C11" s="28">
        <f>IF(計算用!$T$8="","",INDEX(振り分け!$B$3:$B$302,計算用!$T$8))</f>
        <v/>
      </c>
      <c r="D11" s="35">
        <f>IF(計算用!$T$8="","",INDEX(振り分け!$C$3:$C$302,計算用!$T$8))</f>
        <v/>
      </c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</row>
    <row r="12" ht="17" customHeight="1">
      <c r="A12" s="28">
        <f>IF(計算用!$T$9="","",8)</f>
        <v/>
      </c>
      <c r="B12" s="28">
        <f>IF(計算用!$T$9="","",INDEX(振り分け!$A$3:$A$302,計算用!$T$9))</f>
        <v/>
      </c>
      <c r="C12" s="28">
        <f>IF(計算用!$T$9="","",INDEX(振り分け!$B$3:$B$302,計算用!$T$9))</f>
        <v/>
      </c>
      <c r="D12" s="35">
        <f>IF(計算用!$T$9="","",INDEX(振り分け!$C$3:$C$302,計算用!$T$9))</f>
        <v/>
      </c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</row>
    <row r="13" ht="17" customHeight="1">
      <c r="A13" s="28">
        <f>IF(計算用!$T$10="","",9)</f>
        <v/>
      </c>
      <c r="B13" s="28">
        <f>IF(計算用!$T$10="","",INDEX(振り分け!$A$3:$A$302,計算用!$T$10))</f>
        <v/>
      </c>
      <c r="C13" s="28">
        <f>IF(計算用!$T$10="","",INDEX(振り分け!$B$3:$B$302,計算用!$T$10))</f>
        <v/>
      </c>
      <c r="D13" s="35">
        <f>IF(計算用!$T$10="","",INDEX(振り分け!$C$3:$C$302,計算用!$T$10))</f>
        <v/>
      </c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</row>
    <row r="14" ht="17" customHeight="1">
      <c r="A14" s="28">
        <f>IF(計算用!$T$11="","",10)</f>
        <v/>
      </c>
      <c r="B14" s="28">
        <f>IF(計算用!$T$11="","",INDEX(振り分け!$A$3:$A$302,計算用!$T$11))</f>
        <v/>
      </c>
      <c r="C14" s="28">
        <f>IF(計算用!$T$11="","",INDEX(振り分け!$B$3:$B$302,計算用!$T$11))</f>
        <v/>
      </c>
      <c r="D14" s="35">
        <f>IF(計算用!$T$11="","",INDEX(振り分け!$C$3:$C$302,計算用!$T$11))</f>
        <v/>
      </c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</row>
    <row r="15" ht="17" customHeight="1">
      <c r="A15" s="28">
        <f>IF(計算用!$T$12="","",11)</f>
        <v/>
      </c>
      <c r="B15" s="28">
        <f>IF(計算用!$T$12="","",INDEX(振り分け!$A$3:$A$302,計算用!$T$12))</f>
        <v/>
      </c>
      <c r="C15" s="28">
        <f>IF(計算用!$T$12="","",INDEX(振り分け!$B$3:$B$302,計算用!$T$12))</f>
        <v/>
      </c>
      <c r="D15" s="35">
        <f>IF(計算用!$T$12="","",INDEX(振り分け!$C$3:$C$302,計算用!$T$12))</f>
        <v/>
      </c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</row>
    <row r="16" ht="17" customHeight="1">
      <c r="A16" s="28">
        <f>IF(計算用!$T$13="","",12)</f>
        <v/>
      </c>
      <c r="B16" s="28">
        <f>IF(計算用!$T$13="","",INDEX(振り分け!$A$3:$A$302,計算用!$T$13))</f>
        <v/>
      </c>
      <c r="C16" s="28">
        <f>IF(計算用!$T$13="","",INDEX(振り分け!$B$3:$B$302,計算用!$T$13))</f>
        <v/>
      </c>
      <c r="D16" s="35">
        <f>IF(計算用!$T$13="","",INDEX(振り分け!$C$3:$C$302,計算用!$T$13))</f>
        <v/>
      </c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</row>
    <row r="17" ht="17" customHeight="1">
      <c r="A17" s="28">
        <f>IF(計算用!$T$14="","",13)</f>
        <v/>
      </c>
      <c r="B17" s="28">
        <f>IF(計算用!$T$14="","",INDEX(振り分け!$A$3:$A$302,計算用!$T$14))</f>
        <v/>
      </c>
      <c r="C17" s="28">
        <f>IF(計算用!$T$14="","",INDEX(振り分け!$B$3:$B$302,計算用!$T$14))</f>
        <v/>
      </c>
      <c r="D17" s="35">
        <f>IF(計算用!$T$14="","",INDEX(振り分け!$C$3:$C$302,計算用!$T$14))</f>
        <v/>
      </c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</row>
    <row r="18" ht="17" customHeight="1">
      <c r="A18" s="28">
        <f>IF(計算用!$T$15="","",14)</f>
        <v/>
      </c>
      <c r="B18" s="28">
        <f>IF(計算用!$T$15="","",INDEX(振り分け!$A$3:$A$302,計算用!$T$15))</f>
        <v/>
      </c>
      <c r="C18" s="28">
        <f>IF(計算用!$T$15="","",INDEX(振り分け!$B$3:$B$302,計算用!$T$15))</f>
        <v/>
      </c>
      <c r="D18" s="35">
        <f>IF(計算用!$T$15="","",INDEX(振り分け!$C$3:$C$302,計算用!$T$15))</f>
        <v/>
      </c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</row>
    <row r="19" ht="17" customHeight="1">
      <c r="A19" s="28">
        <f>IF(計算用!$T$16="","",15)</f>
        <v/>
      </c>
      <c r="B19" s="28">
        <f>IF(計算用!$T$16="","",INDEX(振り分け!$A$3:$A$302,計算用!$T$16))</f>
        <v/>
      </c>
      <c r="C19" s="28">
        <f>IF(計算用!$T$16="","",INDEX(振り分け!$B$3:$B$302,計算用!$T$16))</f>
        <v/>
      </c>
      <c r="D19" s="35">
        <f>IF(計算用!$T$16="","",INDEX(振り分け!$C$3:$C$302,計算用!$T$16))</f>
        <v/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</row>
    <row r="20" ht="17" customHeight="1">
      <c r="A20" s="28">
        <f>IF(計算用!$T$17="","",16)</f>
        <v/>
      </c>
      <c r="B20" s="28">
        <f>IF(計算用!$T$17="","",INDEX(振り分け!$A$3:$A$302,計算用!$T$17))</f>
        <v/>
      </c>
      <c r="C20" s="28">
        <f>IF(計算用!$T$17="","",INDEX(振り分け!$B$3:$B$302,計算用!$T$17))</f>
        <v/>
      </c>
      <c r="D20" s="35">
        <f>IF(計算用!$T$17="","",INDEX(振り分け!$C$3:$C$302,計算用!$T$17))</f>
        <v/>
      </c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</row>
    <row r="21" ht="17" customHeight="1">
      <c r="A21" s="28">
        <f>IF(計算用!$T$18="","",17)</f>
        <v/>
      </c>
      <c r="B21" s="28">
        <f>IF(計算用!$T$18="","",INDEX(振り分け!$A$3:$A$302,計算用!$T$18))</f>
        <v/>
      </c>
      <c r="C21" s="28">
        <f>IF(計算用!$T$18="","",INDEX(振り分け!$B$3:$B$302,計算用!$T$18))</f>
        <v/>
      </c>
      <c r="D21" s="35">
        <f>IF(計算用!$T$18="","",INDEX(振り分け!$C$3:$C$302,計算用!$T$18))</f>
        <v/>
      </c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</row>
    <row r="22" ht="17" customHeight="1">
      <c r="A22" s="28">
        <f>IF(計算用!$T$19="","",18)</f>
        <v/>
      </c>
      <c r="B22" s="28">
        <f>IF(計算用!$T$19="","",INDEX(振り分け!$A$3:$A$302,計算用!$T$19))</f>
        <v/>
      </c>
      <c r="C22" s="28">
        <f>IF(計算用!$T$19="","",INDEX(振り分け!$B$3:$B$302,計算用!$T$19))</f>
        <v/>
      </c>
      <c r="D22" s="35">
        <f>IF(計算用!$T$19="","",INDEX(振り分け!$C$3:$C$302,計算用!$T$19))</f>
        <v/>
      </c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</row>
    <row r="23" ht="17" customHeight="1">
      <c r="A23" s="28">
        <f>IF(計算用!$T$20="","",19)</f>
        <v/>
      </c>
      <c r="B23" s="28">
        <f>IF(計算用!$T$20="","",INDEX(振り分け!$A$3:$A$302,計算用!$T$20))</f>
        <v/>
      </c>
      <c r="C23" s="28">
        <f>IF(計算用!$T$20="","",INDEX(振り分け!$B$3:$B$302,計算用!$T$20))</f>
        <v/>
      </c>
      <c r="D23" s="35">
        <f>IF(計算用!$T$20="","",INDEX(振り分け!$C$3:$C$302,計算用!$T$20))</f>
        <v/>
      </c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</row>
    <row r="24" ht="17" customHeight="1">
      <c r="A24" s="28">
        <f>IF(計算用!$T$21="","",20)</f>
        <v/>
      </c>
      <c r="B24" s="28">
        <f>IF(計算用!$T$21="","",INDEX(振り分け!$A$3:$A$302,計算用!$T$21))</f>
        <v/>
      </c>
      <c r="C24" s="28">
        <f>IF(計算用!$T$21="","",INDEX(振り分け!$B$3:$B$302,計算用!$T$21))</f>
        <v/>
      </c>
      <c r="D24" s="35">
        <f>IF(計算用!$T$21="","",INDEX(振り分け!$C$3:$C$302,計算用!$T$21))</f>
        <v/>
      </c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</row>
    <row r="25" ht="17" customHeight="1">
      <c r="A25" s="28">
        <f>IF(計算用!$T$22="","",21)</f>
        <v/>
      </c>
      <c r="B25" s="28">
        <f>IF(計算用!$T$22="","",INDEX(振り分け!$A$3:$A$302,計算用!$T$22))</f>
        <v/>
      </c>
      <c r="C25" s="28">
        <f>IF(計算用!$T$22="","",INDEX(振り分け!$B$3:$B$302,計算用!$T$22))</f>
        <v/>
      </c>
      <c r="D25" s="35">
        <f>IF(計算用!$T$22="","",INDEX(振り分け!$C$3:$C$302,計算用!$T$22))</f>
        <v/>
      </c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</row>
    <row r="26" ht="17" customHeight="1">
      <c r="A26" s="28">
        <f>IF(計算用!$T$23="","",22)</f>
        <v/>
      </c>
      <c r="B26" s="28">
        <f>IF(計算用!$T$23="","",INDEX(振り分け!$A$3:$A$302,計算用!$T$23))</f>
        <v/>
      </c>
      <c r="C26" s="28">
        <f>IF(計算用!$T$23="","",INDEX(振り分け!$B$3:$B$302,計算用!$T$23))</f>
        <v/>
      </c>
      <c r="D26" s="35">
        <f>IF(計算用!$T$23="","",INDEX(振り分け!$C$3:$C$302,計算用!$T$23))</f>
        <v/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</row>
    <row r="27" ht="17" customHeight="1">
      <c r="A27" s="28">
        <f>IF(計算用!$T$24="","",23)</f>
        <v/>
      </c>
      <c r="B27" s="28">
        <f>IF(計算用!$T$24="","",INDEX(振り分け!$A$3:$A$302,計算用!$T$24))</f>
        <v/>
      </c>
      <c r="C27" s="28">
        <f>IF(計算用!$T$24="","",INDEX(振り分け!$B$3:$B$302,計算用!$T$24))</f>
        <v/>
      </c>
      <c r="D27" s="35">
        <f>IF(計算用!$T$24="","",INDEX(振り分け!$C$3:$C$302,計算用!$T$24))</f>
        <v/>
      </c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</row>
    <row r="28" ht="17" customHeight="1">
      <c r="A28" s="28">
        <f>IF(計算用!$T$25="","",24)</f>
        <v/>
      </c>
      <c r="B28" s="28">
        <f>IF(計算用!$T$25="","",INDEX(振り分け!$A$3:$A$302,計算用!$T$25))</f>
        <v/>
      </c>
      <c r="C28" s="28">
        <f>IF(計算用!$T$25="","",INDEX(振り分け!$B$3:$B$302,計算用!$T$25))</f>
        <v/>
      </c>
      <c r="D28" s="35">
        <f>IF(計算用!$T$25="","",INDEX(振り分け!$C$3:$C$302,計算用!$T$25))</f>
        <v/>
      </c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</row>
    <row r="29" ht="17" customHeight="1">
      <c r="A29" s="28">
        <f>IF(計算用!$T$26="","",25)</f>
        <v/>
      </c>
      <c r="B29" s="28">
        <f>IF(計算用!$T$26="","",INDEX(振り分け!$A$3:$A$302,計算用!$T$26))</f>
        <v/>
      </c>
      <c r="C29" s="28">
        <f>IF(計算用!$T$26="","",INDEX(振り分け!$B$3:$B$302,計算用!$T$26))</f>
        <v/>
      </c>
      <c r="D29" s="35">
        <f>IF(計算用!$T$26="","",INDEX(振り分け!$C$3:$C$302,計算用!$T$26))</f>
        <v/>
      </c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</row>
    <row r="30" ht="17" customHeight="1">
      <c r="A30" s="28">
        <f>IF(計算用!$T$27="","",26)</f>
        <v/>
      </c>
      <c r="B30" s="28">
        <f>IF(計算用!$T$27="","",INDEX(振り分け!$A$3:$A$302,計算用!$T$27))</f>
        <v/>
      </c>
      <c r="C30" s="28">
        <f>IF(計算用!$T$27="","",INDEX(振り分け!$B$3:$B$302,計算用!$T$27))</f>
        <v/>
      </c>
      <c r="D30" s="35">
        <f>IF(計算用!$T$27="","",INDEX(振り分け!$C$3:$C$302,計算用!$T$27))</f>
        <v/>
      </c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</row>
    <row r="31" ht="17" customHeight="1">
      <c r="A31" s="28">
        <f>IF(計算用!$T$28="","",27)</f>
        <v/>
      </c>
      <c r="B31" s="28">
        <f>IF(計算用!$T$28="","",INDEX(振り分け!$A$3:$A$302,計算用!$T$28))</f>
        <v/>
      </c>
      <c r="C31" s="28">
        <f>IF(計算用!$T$28="","",INDEX(振り分け!$B$3:$B$302,計算用!$T$28))</f>
        <v/>
      </c>
      <c r="D31" s="35">
        <f>IF(計算用!$T$28="","",INDEX(振り分け!$C$3:$C$302,計算用!$T$28))</f>
        <v/>
      </c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</row>
    <row r="32" ht="17" customHeight="1">
      <c r="A32" s="28">
        <f>IF(計算用!$T$29="","",28)</f>
        <v/>
      </c>
      <c r="B32" s="28">
        <f>IF(計算用!$T$29="","",INDEX(振り分け!$A$3:$A$302,計算用!$T$29))</f>
        <v/>
      </c>
      <c r="C32" s="28">
        <f>IF(計算用!$T$29="","",INDEX(振り分け!$B$3:$B$302,計算用!$T$29))</f>
        <v/>
      </c>
      <c r="D32" s="35">
        <f>IF(計算用!$T$29="","",INDEX(振り分け!$C$3:$C$302,計算用!$T$29))</f>
        <v/>
      </c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</row>
    <row r="33" ht="17" customHeight="1">
      <c r="A33" s="28">
        <f>IF(計算用!$T$30="","",29)</f>
        <v/>
      </c>
      <c r="B33" s="28">
        <f>IF(計算用!$T$30="","",INDEX(振り分け!$A$3:$A$302,計算用!$T$30))</f>
        <v/>
      </c>
      <c r="C33" s="28">
        <f>IF(計算用!$T$30="","",INDEX(振り分け!$B$3:$B$302,計算用!$T$30))</f>
        <v/>
      </c>
      <c r="D33" s="35">
        <f>IF(計算用!$T$30="","",INDEX(振り分け!$C$3:$C$302,計算用!$T$30))</f>
        <v/>
      </c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</row>
    <row r="34" ht="17" customHeight="1">
      <c r="A34" s="28">
        <f>IF(計算用!$T$31="","",30)</f>
        <v/>
      </c>
      <c r="B34" s="28">
        <f>IF(計算用!$T$31="","",INDEX(振り分け!$A$3:$A$302,計算用!$T$31))</f>
        <v/>
      </c>
      <c r="C34" s="28">
        <f>IF(計算用!$T$31="","",INDEX(振り分け!$B$3:$B$302,計算用!$T$31))</f>
        <v/>
      </c>
      <c r="D34" s="35">
        <f>IF(計算用!$T$31="","",INDEX(振り分け!$C$3:$C$302,計算用!$T$31))</f>
        <v/>
      </c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</row>
    <row r="35" ht="17" customHeight="1">
      <c r="A35" s="28">
        <f>IF(計算用!$T$32="","",31)</f>
        <v/>
      </c>
      <c r="B35" s="28">
        <f>IF(計算用!$T$32="","",INDEX(振り分け!$A$3:$A$302,計算用!$T$32))</f>
        <v/>
      </c>
      <c r="C35" s="28">
        <f>IF(計算用!$T$32="","",INDEX(振り分け!$B$3:$B$302,計算用!$T$32))</f>
        <v/>
      </c>
      <c r="D35" s="35">
        <f>IF(計算用!$T$32="","",INDEX(振り分け!$C$3:$C$302,計算用!$T$32))</f>
        <v/>
      </c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</row>
    <row r="36" ht="17" customHeight="1">
      <c r="A36" s="28">
        <f>IF(計算用!$T$33="","",32)</f>
        <v/>
      </c>
      <c r="B36" s="28">
        <f>IF(計算用!$T$33="","",INDEX(振り分け!$A$3:$A$302,計算用!$T$33))</f>
        <v/>
      </c>
      <c r="C36" s="28">
        <f>IF(計算用!$T$33="","",INDEX(振り分け!$B$3:$B$302,計算用!$T$33))</f>
        <v/>
      </c>
      <c r="D36" s="35">
        <f>IF(計算用!$T$33="","",INDEX(振り分け!$C$3:$C$302,計算用!$T$33))</f>
        <v/>
      </c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</row>
    <row r="37" ht="17" customHeight="1">
      <c r="A37" s="28">
        <f>IF(計算用!$T$34="","",33)</f>
        <v/>
      </c>
      <c r="B37" s="28">
        <f>IF(計算用!$T$34="","",INDEX(振り分け!$A$3:$A$302,計算用!$T$34))</f>
        <v/>
      </c>
      <c r="C37" s="28">
        <f>IF(計算用!$T$34="","",INDEX(振り分け!$B$3:$B$302,計算用!$T$34))</f>
        <v/>
      </c>
      <c r="D37" s="35">
        <f>IF(計算用!$T$34="","",INDEX(振り分け!$C$3:$C$302,計算用!$T$34))</f>
        <v/>
      </c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</row>
    <row r="38" ht="17" customHeight="1">
      <c r="A38" s="28">
        <f>IF(計算用!$T$35="","",34)</f>
        <v/>
      </c>
      <c r="B38" s="28">
        <f>IF(計算用!$T$35="","",INDEX(振り分け!$A$3:$A$302,計算用!$T$35))</f>
        <v/>
      </c>
      <c r="C38" s="28">
        <f>IF(計算用!$T$35="","",INDEX(振り分け!$B$3:$B$302,計算用!$T$35))</f>
        <v/>
      </c>
      <c r="D38" s="35">
        <f>IF(計算用!$T$35="","",INDEX(振り分け!$C$3:$C$302,計算用!$T$35))</f>
        <v/>
      </c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</row>
    <row r="39" ht="17" customHeight="1">
      <c r="A39" s="28">
        <f>IF(計算用!$T$36="","",35)</f>
        <v/>
      </c>
      <c r="B39" s="28">
        <f>IF(計算用!$T$36="","",INDEX(振り分け!$A$3:$A$302,計算用!$T$36))</f>
        <v/>
      </c>
      <c r="C39" s="28">
        <f>IF(計算用!$T$36="","",INDEX(振り分け!$B$3:$B$302,計算用!$T$36))</f>
        <v/>
      </c>
      <c r="D39" s="35">
        <f>IF(計算用!$T$36="","",INDEX(振り分け!$C$3:$C$302,計算用!$T$36))</f>
        <v/>
      </c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</row>
    <row r="40" ht="17" customHeight="1">
      <c r="A40" s="28">
        <f>IF(計算用!$T$37="","",36)</f>
        <v/>
      </c>
      <c r="B40" s="28">
        <f>IF(計算用!$T$37="","",INDEX(振り分け!$A$3:$A$302,計算用!$T$37))</f>
        <v/>
      </c>
      <c r="C40" s="28">
        <f>IF(計算用!$T$37="","",INDEX(振り分け!$B$3:$B$302,計算用!$T$37))</f>
        <v/>
      </c>
      <c r="D40" s="35">
        <f>IF(計算用!$T$37="","",INDEX(振り分け!$C$3:$C$302,計算用!$T$37))</f>
        <v/>
      </c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</row>
    <row r="41" ht="17" customHeight="1">
      <c r="A41" s="28">
        <f>IF(計算用!$T$38="","",37)</f>
        <v/>
      </c>
      <c r="B41" s="28">
        <f>IF(計算用!$T$38="","",INDEX(振り分け!$A$3:$A$302,計算用!$T$38))</f>
        <v/>
      </c>
      <c r="C41" s="28">
        <f>IF(計算用!$T$38="","",INDEX(振り分け!$B$3:$B$302,計算用!$T$38))</f>
        <v/>
      </c>
      <c r="D41" s="35">
        <f>IF(計算用!$T$38="","",INDEX(振り分け!$C$3:$C$302,計算用!$T$38))</f>
        <v/>
      </c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</row>
    <row r="42" ht="17" customHeight="1">
      <c r="A42" s="28">
        <f>IF(計算用!$T$39="","",38)</f>
        <v/>
      </c>
      <c r="B42" s="28">
        <f>IF(計算用!$T$39="","",INDEX(振り分け!$A$3:$A$302,計算用!$T$39))</f>
        <v/>
      </c>
      <c r="C42" s="28">
        <f>IF(計算用!$T$39="","",INDEX(振り分け!$B$3:$B$302,計算用!$T$39))</f>
        <v/>
      </c>
      <c r="D42" s="35">
        <f>IF(計算用!$T$39="","",INDEX(振り分け!$C$3:$C$302,計算用!$T$39))</f>
        <v/>
      </c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  <c r="O42" s="30" t="n"/>
    </row>
    <row r="43" ht="17" customHeight="1">
      <c r="A43" s="28">
        <f>IF(計算用!$T$40="","",39)</f>
        <v/>
      </c>
      <c r="B43" s="28">
        <f>IF(計算用!$T$40="","",INDEX(振り分け!$A$3:$A$302,計算用!$T$40))</f>
        <v/>
      </c>
      <c r="C43" s="28">
        <f>IF(計算用!$T$40="","",INDEX(振り分け!$B$3:$B$302,計算用!$T$40))</f>
        <v/>
      </c>
      <c r="D43" s="35">
        <f>IF(計算用!$T$40="","",INDEX(振り分け!$C$3:$C$302,計算用!$T$40))</f>
        <v/>
      </c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  <c r="O43" s="30" t="n"/>
    </row>
    <row r="44" ht="17" customHeight="1">
      <c r="A44" s="28">
        <f>IF(計算用!$T$41="","",40)</f>
        <v/>
      </c>
      <c r="B44" s="28">
        <f>IF(計算用!$T$41="","",INDEX(振り分け!$A$3:$A$302,計算用!$T$41))</f>
        <v/>
      </c>
      <c r="C44" s="28">
        <f>IF(計算用!$T$41="","",INDEX(振り分け!$B$3:$B$302,計算用!$T$41))</f>
        <v/>
      </c>
      <c r="D44" s="35">
        <f>IF(計算用!$T$41="","",INDEX(振り分け!$C$3:$C$302,計算用!$T$41))</f>
        <v/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44">
    <cfRule type="expression" priority="1" dxfId="0">
      <formula>IFERROR(INDEX(設定!$D$8:$D$23,MATCH(B5,設定!$C$8:$C$23,0)),"")="黒"</formula>
    </cfRule>
    <cfRule type="expression" priority="2" dxfId="1">
      <formula>IFERROR(INDEX(設定!$D$8:$D$23,MATCH(B5,設定!$C$8:$C$23,0)),"")="赤"</formula>
    </cfRule>
    <cfRule type="expression" priority="3" dxfId="2">
      <formula>IFERROR(INDEX(設定!$D$8:$D$23,MATCH(B5,設定!$C$8:$C$23,0)),"")="青"</formula>
    </cfRule>
    <cfRule type="expression" priority="4" dxfId="3">
      <formula>IFERROR(INDEX(設定!$D$8:$D$23,MATCH(B5,設定!$C$8:$C$23,0)),"")="緑"</formula>
    </cfRule>
    <cfRule type="expression" priority="5" dxfId="4">
      <formula>IFERROR(INDEX(設定!$D$8:$D$23,MATCH(B5,設定!$C$8:$C$23,0)),"")="黄"</formula>
    </cfRule>
    <cfRule type="expression" priority="6" dxfId="5">
      <formula>IFERROR(INDEX(設定!$D$8:$D$23,MATCH(B5,設定!$C$8:$C$23,0)),"")="橙"</formula>
    </cfRule>
    <cfRule type="expression" priority="7" dxfId="6">
      <formula>IFERROR(INDEX(設定!$D$8:$D$23,MATCH(B5,設定!$C$8:$C$23,0)),"")="紫"</formula>
    </cfRule>
    <cfRule type="expression" priority="8" dxfId="7">
      <formula>IFERROR(INDEX(設定!$D$8:$D$23,MATCH(B5,設定!$C$8:$C$23,0)),"")="茶"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selection activeCell="A1" sqref="A1"/>
    </sheetView>
  </sheetViews>
  <sheetFormatPr baseColWidth="8" defaultRowHeight="15"/>
  <sheetData>
    <row r="1">
      <c r="A1" s="36" t="n">
        <v>1</v>
      </c>
      <c r="B1" s="36" t="n">
        <v>2</v>
      </c>
      <c r="C1" s="36" t="n">
        <v>3</v>
      </c>
      <c r="D1" s="36" t="n">
        <v>4</v>
      </c>
      <c r="E1" s="36" t="n">
        <v>5</v>
      </c>
      <c r="F1" s="36" t="n">
        <v>6</v>
      </c>
      <c r="G1" s="36" t="n">
        <v>7</v>
      </c>
      <c r="H1" s="36" t="n">
        <v>8</v>
      </c>
      <c r="I1" s="36" t="n">
        <v>9</v>
      </c>
      <c r="J1" s="36" t="n">
        <v>10</v>
      </c>
      <c r="K1" s="36" t="n">
        <v>11</v>
      </c>
      <c r="L1" s="36" t="n">
        <v>12</v>
      </c>
      <c r="M1" s="36" t="n">
        <v>13</v>
      </c>
      <c r="N1" s="36" t="n">
        <v>14</v>
      </c>
      <c r="O1" s="36" t="n">
        <v>15</v>
      </c>
      <c r="P1" s="36" t="n">
        <v>16</v>
      </c>
      <c r="Q1" s="36" t="n">
        <v>17</v>
      </c>
      <c r="R1" s="36" t="n">
        <v>18</v>
      </c>
      <c r="S1" s="36" t="n">
        <v>19</v>
      </c>
      <c r="T1" s="36" t="n">
        <v>20</v>
      </c>
    </row>
    <row r="2">
      <c r="A2" s="37">
        <f>IFERROR(MATCH(1001,振り分け!$S$3:$S$302,0),"")</f>
        <v/>
      </c>
      <c r="B2" s="37">
        <f>IFERROR(MATCH(2001,振り分け!$S$3:$S$302,0),"")</f>
        <v/>
      </c>
      <c r="C2" s="37">
        <f>IFERROR(MATCH(3001,振り分け!$S$3:$S$302,0),"")</f>
        <v/>
      </c>
      <c r="D2" s="37">
        <f>IFERROR(MATCH(4001,振り分け!$S$3:$S$302,0),"")</f>
        <v/>
      </c>
      <c r="E2" s="37">
        <f>IFERROR(MATCH(5001,振り分け!$S$3:$S$302,0),"")</f>
        <v/>
      </c>
      <c r="F2" s="37">
        <f>IFERROR(MATCH(6001,振り分け!$S$3:$S$302,0),"")</f>
        <v/>
      </c>
      <c r="G2" s="37">
        <f>IFERROR(MATCH(7001,振り分け!$S$3:$S$302,0),"")</f>
        <v/>
      </c>
      <c r="H2" s="37">
        <f>IFERROR(MATCH(8001,振り分け!$S$3:$S$302,0),"")</f>
        <v/>
      </c>
      <c r="I2" s="37">
        <f>IFERROR(MATCH(9001,振り分け!$S$3:$S$302,0),"")</f>
        <v/>
      </c>
      <c r="J2" s="37">
        <f>IFERROR(MATCH(10001,振り分け!$S$3:$S$302,0),"")</f>
        <v/>
      </c>
      <c r="K2" s="37">
        <f>IFERROR(MATCH(11001,振り分け!$S$3:$S$302,0),"")</f>
        <v/>
      </c>
      <c r="L2" s="37">
        <f>IFERROR(MATCH(12001,振り分け!$S$3:$S$302,0),"")</f>
        <v/>
      </c>
      <c r="M2" s="37">
        <f>IFERROR(MATCH(13001,振り分け!$S$3:$S$302,0),"")</f>
        <v/>
      </c>
      <c r="N2" s="37">
        <f>IFERROR(MATCH(14001,振り分け!$S$3:$S$302,0),"")</f>
        <v/>
      </c>
      <c r="O2" s="37">
        <f>IFERROR(MATCH(15001,振り分け!$S$3:$S$302,0),"")</f>
        <v/>
      </c>
      <c r="P2" s="37">
        <f>IFERROR(MATCH(16001,振り分け!$S$3:$S$302,0),"")</f>
        <v/>
      </c>
      <c r="Q2" s="37">
        <f>IFERROR(MATCH(17001,振り分け!$S$3:$S$302,0),"")</f>
        <v/>
      </c>
      <c r="R2" s="37">
        <f>IFERROR(MATCH(18001,振り分け!$S$3:$S$302,0),"")</f>
        <v/>
      </c>
      <c r="S2" s="37">
        <f>IFERROR(MATCH(19001,振り分け!$S$3:$S$302,0),"")</f>
        <v/>
      </c>
      <c r="T2" s="37">
        <f>IFERROR(MATCH(20001,振り分け!$S$3:$S$302,0),"")</f>
        <v/>
      </c>
    </row>
    <row r="3">
      <c r="A3" s="37">
        <f>IFERROR(MATCH(1002,振り分け!$S$3:$S$302,0),"")</f>
        <v/>
      </c>
      <c r="B3" s="37">
        <f>IFERROR(MATCH(2002,振り分け!$S$3:$S$302,0),"")</f>
        <v/>
      </c>
      <c r="C3" s="37">
        <f>IFERROR(MATCH(3002,振り分け!$S$3:$S$302,0),"")</f>
        <v/>
      </c>
      <c r="D3" s="37">
        <f>IFERROR(MATCH(4002,振り分け!$S$3:$S$302,0),"")</f>
        <v/>
      </c>
      <c r="E3" s="37">
        <f>IFERROR(MATCH(5002,振り分け!$S$3:$S$302,0),"")</f>
        <v/>
      </c>
      <c r="F3" s="37">
        <f>IFERROR(MATCH(6002,振り分け!$S$3:$S$302,0),"")</f>
        <v/>
      </c>
      <c r="G3" s="37">
        <f>IFERROR(MATCH(7002,振り分け!$S$3:$S$302,0),"")</f>
        <v/>
      </c>
      <c r="H3" s="37">
        <f>IFERROR(MATCH(8002,振り分け!$S$3:$S$302,0),"")</f>
        <v/>
      </c>
      <c r="I3" s="37">
        <f>IFERROR(MATCH(9002,振り分け!$S$3:$S$302,0),"")</f>
        <v/>
      </c>
      <c r="J3" s="37">
        <f>IFERROR(MATCH(10002,振り分け!$S$3:$S$302,0),"")</f>
        <v/>
      </c>
      <c r="K3" s="37">
        <f>IFERROR(MATCH(11002,振り分け!$S$3:$S$302,0),"")</f>
        <v/>
      </c>
      <c r="L3" s="37">
        <f>IFERROR(MATCH(12002,振り分け!$S$3:$S$302,0),"")</f>
        <v/>
      </c>
      <c r="M3" s="37">
        <f>IFERROR(MATCH(13002,振り分け!$S$3:$S$302,0),"")</f>
        <v/>
      </c>
      <c r="N3" s="37">
        <f>IFERROR(MATCH(14002,振り分け!$S$3:$S$302,0),"")</f>
        <v/>
      </c>
      <c r="O3" s="37">
        <f>IFERROR(MATCH(15002,振り分け!$S$3:$S$302,0),"")</f>
        <v/>
      </c>
      <c r="P3" s="37">
        <f>IFERROR(MATCH(16002,振り分け!$S$3:$S$302,0),"")</f>
        <v/>
      </c>
      <c r="Q3" s="37">
        <f>IFERROR(MATCH(17002,振り分け!$S$3:$S$302,0),"")</f>
        <v/>
      </c>
      <c r="R3" s="37">
        <f>IFERROR(MATCH(18002,振り分け!$S$3:$S$302,0),"")</f>
        <v/>
      </c>
      <c r="S3" s="37">
        <f>IFERROR(MATCH(19002,振り分け!$S$3:$S$302,0),"")</f>
        <v/>
      </c>
      <c r="T3" s="37">
        <f>IFERROR(MATCH(20002,振り分け!$S$3:$S$302,0),"")</f>
        <v/>
      </c>
    </row>
    <row r="4">
      <c r="A4" s="37">
        <f>IFERROR(MATCH(1003,振り分け!$S$3:$S$302,0),"")</f>
        <v/>
      </c>
      <c r="B4" s="37">
        <f>IFERROR(MATCH(2003,振り分け!$S$3:$S$302,0),"")</f>
        <v/>
      </c>
      <c r="C4" s="37">
        <f>IFERROR(MATCH(3003,振り分け!$S$3:$S$302,0),"")</f>
        <v/>
      </c>
      <c r="D4" s="37">
        <f>IFERROR(MATCH(4003,振り分け!$S$3:$S$302,0),"")</f>
        <v/>
      </c>
      <c r="E4" s="37">
        <f>IFERROR(MATCH(5003,振り分け!$S$3:$S$302,0),"")</f>
        <v/>
      </c>
      <c r="F4" s="37">
        <f>IFERROR(MATCH(6003,振り分け!$S$3:$S$302,0),"")</f>
        <v/>
      </c>
      <c r="G4" s="37">
        <f>IFERROR(MATCH(7003,振り分け!$S$3:$S$302,0),"")</f>
        <v/>
      </c>
      <c r="H4" s="37">
        <f>IFERROR(MATCH(8003,振り分け!$S$3:$S$302,0),"")</f>
        <v/>
      </c>
      <c r="I4" s="37">
        <f>IFERROR(MATCH(9003,振り分け!$S$3:$S$302,0),"")</f>
        <v/>
      </c>
      <c r="J4" s="37">
        <f>IFERROR(MATCH(10003,振り分け!$S$3:$S$302,0),"")</f>
        <v/>
      </c>
      <c r="K4" s="37">
        <f>IFERROR(MATCH(11003,振り分け!$S$3:$S$302,0),"")</f>
        <v/>
      </c>
      <c r="L4" s="37">
        <f>IFERROR(MATCH(12003,振り分け!$S$3:$S$302,0),"")</f>
        <v/>
      </c>
      <c r="M4" s="37">
        <f>IFERROR(MATCH(13003,振り分け!$S$3:$S$302,0),"")</f>
        <v/>
      </c>
      <c r="N4" s="37">
        <f>IFERROR(MATCH(14003,振り分け!$S$3:$S$302,0),"")</f>
        <v/>
      </c>
      <c r="O4" s="37">
        <f>IFERROR(MATCH(15003,振り分け!$S$3:$S$302,0),"")</f>
        <v/>
      </c>
      <c r="P4" s="37">
        <f>IFERROR(MATCH(16003,振り分け!$S$3:$S$302,0),"")</f>
        <v/>
      </c>
      <c r="Q4" s="37">
        <f>IFERROR(MATCH(17003,振り分け!$S$3:$S$302,0),"")</f>
        <v/>
      </c>
      <c r="R4" s="37">
        <f>IFERROR(MATCH(18003,振り分け!$S$3:$S$302,0),"")</f>
        <v/>
      </c>
      <c r="S4" s="37">
        <f>IFERROR(MATCH(19003,振り分け!$S$3:$S$302,0),"")</f>
        <v/>
      </c>
      <c r="T4" s="37">
        <f>IFERROR(MATCH(20003,振り分け!$S$3:$S$302,0),"")</f>
        <v/>
      </c>
    </row>
    <row r="5">
      <c r="A5" s="37">
        <f>IFERROR(MATCH(1004,振り分け!$S$3:$S$302,0),"")</f>
        <v/>
      </c>
      <c r="B5" s="37">
        <f>IFERROR(MATCH(2004,振り分け!$S$3:$S$302,0),"")</f>
        <v/>
      </c>
      <c r="C5" s="37">
        <f>IFERROR(MATCH(3004,振り分け!$S$3:$S$302,0),"")</f>
        <v/>
      </c>
      <c r="D5" s="37">
        <f>IFERROR(MATCH(4004,振り分け!$S$3:$S$302,0),"")</f>
        <v/>
      </c>
      <c r="E5" s="37">
        <f>IFERROR(MATCH(5004,振り分け!$S$3:$S$302,0),"")</f>
        <v/>
      </c>
      <c r="F5" s="37">
        <f>IFERROR(MATCH(6004,振り分け!$S$3:$S$302,0),"")</f>
        <v/>
      </c>
      <c r="G5" s="37">
        <f>IFERROR(MATCH(7004,振り分け!$S$3:$S$302,0),"")</f>
        <v/>
      </c>
      <c r="H5" s="37">
        <f>IFERROR(MATCH(8004,振り分け!$S$3:$S$302,0),"")</f>
        <v/>
      </c>
      <c r="I5" s="37">
        <f>IFERROR(MATCH(9004,振り分け!$S$3:$S$302,0),"")</f>
        <v/>
      </c>
      <c r="J5" s="37">
        <f>IFERROR(MATCH(10004,振り分け!$S$3:$S$302,0),"")</f>
        <v/>
      </c>
      <c r="K5" s="37">
        <f>IFERROR(MATCH(11004,振り分け!$S$3:$S$302,0),"")</f>
        <v/>
      </c>
      <c r="L5" s="37">
        <f>IFERROR(MATCH(12004,振り分け!$S$3:$S$302,0),"")</f>
        <v/>
      </c>
      <c r="M5" s="37">
        <f>IFERROR(MATCH(13004,振り分け!$S$3:$S$302,0),"")</f>
        <v/>
      </c>
      <c r="N5" s="37">
        <f>IFERROR(MATCH(14004,振り分け!$S$3:$S$302,0),"")</f>
        <v/>
      </c>
      <c r="O5" s="37">
        <f>IFERROR(MATCH(15004,振り分け!$S$3:$S$302,0),"")</f>
        <v/>
      </c>
      <c r="P5" s="37">
        <f>IFERROR(MATCH(16004,振り分け!$S$3:$S$302,0),"")</f>
        <v/>
      </c>
      <c r="Q5" s="37">
        <f>IFERROR(MATCH(17004,振り分け!$S$3:$S$302,0),"")</f>
        <v/>
      </c>
      <c r="R5" s="37">
        <f>IFERROR(MATCH(18004,振り分け!$S$3:$S$302,0),"")</f>
        <v/>
      </c>
      <c r="S5" s="37">
        <f>IFERROR(MATCH(19004,振り分け!$S$3:$S$302,0),"")</f>
        <v/>
      </c>
      <c r="T5" s="37">
        <f>IFERROR(MATCH(20004,振り分け!$S$3:$S$302,0),"")</f>
        <v/>
      </c>
    </row>
    <row r="6">
      <c r="A6" s="37">
        <f>IFERROR(MATCH(1005,振り分け!$S$3:$S$302,0),"")</f>
        <v/>
      </c>
      <c r="B6" s="37">
        <f>IFERROR(MATCH(2005,振り分け!$S$3:$S$302,0),"")</f>
        <v/>
      </c>
      <c r="C6" s="37">
        <f>IFERROR(MATCH(3005,振り分け!$S$3:$S$302,0),"")</f>
        <v/>
      </c>
      <c r="D6" s="37">
        <f>IFERROR(MATCH(4005,振り分け!$S$3:$S$302,0),"")</f>
        <v/>
      </c>
      <c r="E6" s="37">
        <f>IFERROR(MATCH(5005,振り分け!$S$3:$S$302,0),"")</f>
        <v/>
      </c>
      <c r="F6" s="37">
        <f>IFERROR(MATCH(6005,振り分け!$S$3:$S$302,0),"")</f>
        <v/>
      </c>
      <c r="G6" s="37">
        <f>IFERROR(MATCH(7005,振り分け!$S$3:$S$302,0),"")</f>
        <v/>
      </c>
      <c r="H6" s="37">
        <f>IFERROR(MATCH(8005,振り分け!$S$3:$S$302,0),"")</f>
        <v/>
      </c>
      <c r="I6" s="37">
        <f>IFERROR(MATCH(9005,振り分け!$S$3:$S$302,0),"")</f>
        <v/>
      </c>
      <c r="J6" s="37">
        <f>IFERROR(MATCH(10005,振り分け!$S$3:$S$302,0),"")</f>
        <v/>
      </c>
      <c r="K6" s="37">
        <f>IFERROR(MATCH(11005,振り分け!$S$3:$S$302,0),"")</f>
        <v/>
      </c>
      <c r="L6" s="37">
        <f>IFERROR(MATCH(12005,振り分け!$S$3:$S$302,0),"")</f>
        <v/>
      </c>
      <c r="M6" s="37">
        <f>IFERROR(MATCH(13005,振り分け!$S$3:$S$302,0),"")</f>
        <v/>
      </c>
      <c r="N6" s="37">
        <f>IFERROR(MATCH(14005,振り分け!$S$3:$S$302,0),"")</f>
        <v/>
      </c>
      <c r="O6" s="37">
        <f>IFERROR(MATCH(15005,振り分け!$S$3:$S$302,0),"")</f>
        <v/>
      </c>
      <c r="P6" s="37">
        <f>IFERROR(MATCH(16005,振り分け!$S$3:$S$302,0),"")</f>
        <v/>
      </c>
      <c r="Q6" s="37">
        <f>IFERROR(MATCH(17005,振り分け!$S$3:$S$302,0),"")</f>
        <v/>
      </c>
      <c r="R6" s="37">
        <f>IFERROR(MATCH(18005,振り分け!$S$3:$S$302,0),"")</f>
        <v/>
      </c>
      <c r="S6" s="37">
        <f>IFERROR(MATCH(19005,振り分け!$S$3:$S$302,0),"")</f>
        <v/>
      </c>
      <c r="T6" s="37">
        <f>IFERROR(MATCH(20005,振り分け!$S$3:$S$302,0),"")</f>
        <v/>
      </c>
    </row>
    <row r="7">
      <c r="A7" s="37">
        <f>IFERROR(MATCH(1006,振り分け!$S$3:$S$302,0),"")</f>
        <v/>
      </c>
      <c r="B7" s="37">
        <f>IFERROR(MATCH(2006,振り分け!$S$3:$S$302,0),"")</f>
        <v/>
      </c>
      <c r="C7" s="37">
        <f>IFERROR(MATCH(3006,振り分け!$S$3:$S$302,0),"")</f>
        <v/>
      </c>
      <c r="D7" s="37">
        <f>IFERROR(MATCH(4006,振り分け!$S$3:$S$302,0),"")</f>
        <v/>
      </c>
      <c r="E7" s="37">
        <f>IFERROR(MATCH(5006,振り分け!$S$3:$S$302,0),"")</f>
        <v/>
      </c>
      <c r="F7" s="37">
        <f>IFERROR(MATCH(6006,振り分け!$S$3:$S$302,0),"")</f>
        <v/>
      </c>
      <c r="G7" s="37">
        <f>IFERROR(MATCH(7006,振り分け!$S$3:$S$302,0),"")</f>
        <v/>
      </c>
      <c r="H7" s="37">
        <f>IFERROR(MATCH(8006,振り分け!$S$3:$S$302,0),"")</f>
        <v/>
      </c>
      <c r="I7" s="37">
        <f>IFERROR(MATCH(9006,振り分け!$S$3:$S$302,0),"")</f>
        <v/>
      </c>
      <c r="J7" s="37">
        <f>IFERROR(MATCH(10006,振り分け!$S$3:$S$302,0),"")</f>
        <v/>
      </c>
      <c r="K7" s="37">
        <f>IFERROR(MATCH(11006,振り分け!$S$3:$S$302,0),"")</f>
        <v/>
      </c>
      <c r="L7" s="37">
        <f>IFERROR(MATCH(12006,振り分け!$S$3:$S$302,0),"")</f>
        <v/>
      </c>
      <c r="M7" s="37">
        <f>IFERROR(MATCH(13006,振り分け!$S$3:$S$302,0),"")</f>
        <v/>
      </c>
      <c r="N7" s="37">
        <f>IFERROR(MATCH(14006,振り分け!$S$3:$S$302,0),"")</f>
        <v/>
      </c>
      <c r="O7" s="37">
        <f>IFERROR(MATCH(15006,振り分け!$S$3:$S$302,0),"")</f>
        <v/>
      </c>
      <c r="P7" s="37">
        <f>IFERROR(MATCH(16006,振り分け!$S$3:$S$302,0),"")</f>
        <v/>
      </c>
      <c r="Q7" s="37">
        <f>IFERROR(MATCH(17006,振り分け!$S$3:$S$302,0),"")</f>
        <v/>
      </c>
      <c r="R7" s="37">
        <f>IFERROR(MATCH(18006,振り分け!$S$3:$S$302,0),"")</f>
        <v/>
      </c>
      <c r="S7" s="37">
        <f>IFERROR(MATCH(19006,振り分け!$S$3:$S$302,0),"")</f>
        <v/>
      </c>
      <c r="T7" s="37">
        <f>IFERROR(MATCH(20006,振り分け!$S$3:$S$302,0),"")</f>
        <v/>
      </c>
    </row>
    <row r="8">
      <c r="A8" s="37">
        <f>IFERROR(MATCH(1007,振り分け!$S$3:$S$302,0),"")</f>
        <v/>
      </c>
      <c r="B8" s="37">
        <f>IFERROR(MATCH(2007,振り分け!$S$3:$S$302,0),"")</f>
        <v/>
      </c>
      <c r="C8" s="37">
        <f>IFERROR(MATCH(3007,振り分け!$S$3:$S$302,0),"")</f>
        <v/>
      </c>
      <c r="D8" s="37">
        <f>IFERROR(MATCH(4007,振り分け!$S$3:$S$302,0),"")</f>
        <v/>
      </c>
      <c r="E8" s="37">
        <f>IFERROR(MATCH(5007,振り分け!$S$3:$S$302,0),"")</f>
        <v/>
      </c>
      <c r="F8" s="37">
        <f>IFERROR(MATCH(6007,振り分け!$S$3:$S$302,0),"")</f>
        <v/>
      </c>
      <c r="G8" s="37">
        <f>IFERROR(MATCH(7007,振り分け!$S$3:$S$302,0),"")</f>
        <v/>
      </c>
      <c r="H8" s="37">
        <f>IFERROR(MATCH(8007,振り分け!$S$3:$S$302,0),"")</f>
        <v/>
      </c>
      <c r="I8" s="37">
        <f>IFERROR(MATCH(9007,振り分け!$S$3:$S$302,0),"")</f>
        <v/>
      </c>
      <c r="J8" s="37">
        <f>IFERROR(MATCH(10007,振り分け!$S$3:$S$302,0),"")</f>
        <v/>
      </c>
      <c r="K8" s="37">
        <f>IFERROR(MATCH(11007,振り分け!$S$3:$S$302,0),"")</f>
        <v/>
      </c>
      <c r="L8" s="37">
        <f>IFERROR(MATCH(12007,振り分け!$S$3:$S$302,0),"")</f>
        <v/>
      </c>
      <c r="M8" s="37">
        <f>IFERROR(MATCH(13007,振り分け!$S$3:$S$302,0),"")</f>
        <v/>
      </c>
      <c r="N8" s="37">
        <f>IFERROR(MATCH(14007,振り分け!$S$3:$S$302,0),"")</f>
        <v/>
      </c>
      <c r="O8" s="37">
        <f>IFERROR(MATCH(15007,振り分け!$S$3:$S$302,0),"")</f>
        <v/>
      </c>
      <c r="P8" s="37">
        <f>IFERROR(MATCH(16007,振り分け!$S$3:$S$302,0),"")</f>
        <v/>
      </c>
      <c r="Q8" s="37">
        <f>IFERROR(MATCH(17007,振り分け!$S$3:$S$302,0),"")</f>
        <v/>
      </c>
      <c r="R8" s="37">
        <f>IFERROR(MATCH(18007,振り分け!$S$3:$S$302,0),"")</f>
        <v/>
      </c>
      <c r="S8" s="37">
        <f>IFERROR(MATCH(19007,振り分け!$S$3:$S$302,0),"")</f>
        <v/>
      </c>
      <c r="T8" s="37">
        <f>IFERROR(MATCH(20007,振り分け!$S$3:$S$302,0),"")</f>
        <v/>
      </c>
    </row>
    <row r="9">
      <c r="A9" s="37">
        <f>IFERROR(MATCH(1008,振り分け!$S$3:$S$302,0),"")</f>
        <v/>
      </c>
      <c r="B9" s="37">
        <f>IFERROR(MATCH(2008,振り分け!$S$3:$S$302,0),"")</f>
        <v/>
      </c>
      <c r="C9" s="37">
        <f>IFERROR(MATCH(3008,振り分け!$S$3:$S$302,0),"")</f>
        <v/>
      </c>
      <c r="D9" s="37">
        <f>IFERROR(MATCH(4008,振り分け!$S$3:$S$302,0),"")</f>
        <v/>
      </c>
      <c r="E9" s="37">
        <f>IFERROR(MATCH(5008,振り分け!$S$3:$S$302,0),"")</f>
        <v/>
      </c>
      <c r="F9" s="37">
        <f>IFERROR(MATCH(6008,振り分け!$S$3:$S$302,0),"")</f>
        <v/>
      </c>
      <c r="G9" s="37">
        <f>IFERROR(MATCH(7008,振り分け!$S$3:$S$302,0),"")</f>
        <v/>
      </c>
      <c r="H9" s="37">
        <f>IFERROR(MATCH(8008,振り分け!$S$3:$S$302,0),"")</f>
        <v/>
      </c>
      <c r="I9" s="37">
        <f>IFERROR(MATCH(9008,振り分け!$S$3:$S$302,0),"")</f>
        <v/>
      </c>
      <c r="J9" s="37">
        <f>IFERROR(MATCH(10008,振り分け!$S$3:$S$302,0),"")</f>
        <v/>
      </c>
      <c r="K9" s="37">
        <f>IFERROR(MATCH(11008,振り分け!$S$3:$S$302,0),"")</f>
        <v/>
      </c>
      <c r="L9" s="37">
        <f>IFERROR(MATCH(12008,振り分け!$S$3:$S$302,0),"")</f>
        <v/>
      </c>
      <c r="M9" s="37">
        <f>IFERROR(MATCH(13008,振り分け!$S$3:$S$302,0),"")</f>
        <v/>
      </c>
      <c r="N9" s="37">
        <f>IFERROR(MATCH(14008,振り分け!$S$3:$S$302,0),"")</f>
        <v/>
      </c>
      <c r="O9" s="37">
        <f>IFERROR(MATCH(15008,振り分け!$S$3:$S$302,0),"")</f>
        <v/>
      </c>
      <c r="P9" s="37">
        <f>IFERROR(MATCH(16008,振り分け!$S$3:$S$302,0),"")</f>
        <v/>
      </c>
      <c r="Q9" s="37">
        <f>IFERROR(MATCH(17008,振り分け!$S$3:$S$302,0),"")</f>
        <v/>
      </c>
      <c r="R9" s="37">
        <f>IFERROR(MATCH(18008,振り分け!$S$3:$S$302,0),"")</f>
        <v/>
      </c>
      <c r="S9" s="37">
        <f>IFERROR(MATCH(19008,振り分け!$S$3:$S$302,0),"")</f>
        <v/>
      </c>
      <c r="T9" s="37">
        <f>IFERROR(MATCH(20008,振り分け!$S$3:$S$302,0),"")</f>
        <v/>
      </c>
    </row>
    <row r="10">
      <c r="A10" s="37">
        <f>IFERROR(MATCH(1009,振り分け!$S$3:$S$302,0),"")</f>
        <v/>
      </c>
      <c r="B10" s="37">
        <f>IFERROR(MATCH(2009,振り分け!$S$3:$S$302,0),"")</f>
        <v/>
      </c>
      <c r="C10" s="37">
        <f>IFERROR(MATCH(3009,振り分け!$S$3:$S$302,0),"")</f>
        <v/>
      </c>
      <c r="D10" s="37">
        <f>IFERROR(MATCH(4009,振り分け!$S$3:$S$302,0),"")</f>
        <v/>
      </c>
      <c r="E10" s="37">
        <f>IFERROR(MATCH(5009,振り分け!$S$3:$S$302,0),"")</f>
        <v/>
      </c>
      <c r="F10" s="37">
        <f>IFERROR(MATCH(6009,振り分け!$S$3:$S$302,0),"")</f>
        <v/>
      </c>
      <c r="G10" s="37">
        <f>IFERROR(MATCH(7009,振り分け!$S$3:$S$302,0),"")</f>
        <v/>
      </c>
      <c r="H10" s="37">
        <f>IFERROR(MATCH(8009,振り分け!$S$3:$S$302,0),"")</f>
        <v/>
      </c>
      <c r="I10" s="37">
        <f>IFERROR(MATCH(9009,振り分け!$S$3:$S$302,0),"")</f>
        <v/>
      </c>
      <c r="J10" s="37">
        <f>IFERROR(MATCH(10009,振り分け!$S$3:$S$302,0),"")</f>
        <v/>
      </c>
      <c r="K10" s="37">
        <f>IFERROR(MATCH(11009,振り分け!$S$3:$S$302,0),"")</f>
        <v/>
      </c>
      <c r="L10" s="37">
        <f>IFERROR(MATCH(12009,振り分け!$S$3:$S$302,0),"")</f>
        <v/>
      </c>
      <c r="M10" s="37">
        <f>IFERROR(MATCH(13009,振り分け!$S$3:$S$302,0),"")</f>
        <v/>
      </c>
      <c r="N10" s="37">
        <f>IFERROR(MATCH(14009,振り分け!$S$3:$S$302,0),"")</f>
        <v/>
      </c>
      <c r="O10" s="37">
        <f>IFERROR(MATCH(15009,振り分け!$S$3:$S$302,0),"")</f>
        <v/>
      </c>
      <c r="P10" s="37">
        <f>IFERROR(MATCH(16009,振り分け!$S$3:$S$302,0),"")</f>
        <v/>
      </c>
      <c r="Q10" s="37">
        <f>IFERROR(MATCH(17009,振り分け!$S$3:$S$302,0),"")</f>
        <v/>
      </c>
      <c r="R10" s="37">
        <f>IFERROR(MATCH(18009,振り分け!$S$3:$S$302,0),"")</f>
        <v/>
      </c>
      <c r="S10" s="37">
        <f>IFERROR(MATCH(19009,振り分け!$S$3:$S$302,0),"")</f>
        <v/>
      </c>
      <c r="T10" s="37">
        <f>IFERROR(MATCH(20009,振り分け!$S$3:$S$302,0),"")</f>
        <v/>
      </c>
    </row>
    <row r="11">
      <c r="A11" s="37">
        <f>IFERROR(MATCH(1010,振り分け!$S$3:$S$302,0),"")</f>
        <v/>
      </c>
      <c r="B11" s="37">
        <f>IFERROR(MATCH(2010,振り分け!$S$3:$S$302,0),"")</f>
        <v/>
      </c>
      <c r="C11" s="37">
        <f>IFERROR(MATCH(3010,振り分け!$S$3:$S$302,0),"")</f>
        <v/>
      </c>
      <c r="D11" s="37">
        <f>IFERROR(MATCH(4010,振り分け!$S$3:$S$302,0),"")</f>
        <v/>
      </c>
      <c r="E11" s="37">
        <f>IFERROR(MATCH(5010,振り分け!$S$3:$S$302,0),"")</f>
        <v/>
      </c>
      <c r="F11" s="37">
        <f>IFERROR(MATCH(6010,振り分け!$S$3:$S$302,0),"")</f>
        <v/>
      </c>
      <c r="G11" s="37">
        <f>IFERROR(MATCH(7010,振り分け!$S$3:$S$302,0),"")</f>
        <v/>
      </c>
      <c r="H11" s="37">
        <f>IFERROR(MATCH(8010,振り分け!$S$3:$S$302,0),"")</f>
        <v/>
      </c>
      <c r="I11" s="37">
        <f>IFERROR(MATCH(9010,振り分け!$S$3:$S$302,0),"")</f>
        <v/>
      </c>
      <c r="J11" s="37">
        <f>IFERROR(MATCH(10010,振り分け!$S$3:$S$302,0),"")</f>
        <v/>
      </c>
      <c r="K11" s="37">
        <f>IFERROR(MATCH(11010,振り分け!$S$3:$S$302,0),"")</f>
        <v/>
      </c>
      <c r="L11" s="37">
        <f>IFERROR(MATCH(12010,振り分け!$S$3:$S$302,0),"")</f>
        <v/>
      </c>
      <c r="M11" s="37">
        <f>IFERROR(MATCH(13010,振り分け!$S$3:$S$302,0),"")</f>
        <v/>
      </c>
      <c r="N11" s="37">
        <f>IFERROR(MATCH(14010,振り分け!$S$3:$S$302,0),"")</f>
        <v/>
      </c>
      <c r="O11" s="37">
        <f>IFERROR(MATCH(15010,振り分け!$S$3:$S$302,0),"")</f>
        <v/>
      </c>
      <c r="P11" s="37">
        <f>IFERROR(MATCH(16010,振り分け!$S$3:$S$302,0),"")</f>
        <v/>
      </c>
      <c r="Q11" s="37">
        <f>IFERROR(MATCH(17010,振り分け!$S$3:$S$302,0),"")</f>
        <v/>
      </c>
      <c r="R11" s="37">
        <f>IFERROR(MATCH(18010,振り分け!$S$3:$S$302,0),"")</f>
        <v/>
      </c>
      <c r="S11" s="37">
        <f>IFERROR(MATCH(19010,振り分け!$S$3:$S$302,0),"")</f>
        <v/>
      </c>
      <c r="T11" s="37">
        <f>IFERROR(MATCH(20010,振り分け!$S$3:$S$302,0),"")</f>
        <v/>
      </c>
    </row>
    <row r="12">
      <c r="A12" s="37">
        <f>IFERROR(MATCH(1011,振り分け!$S$3:$S$302,0),"")</f>
        <v/>
      </c>
      <c r="B12" s="37">
        <f>IFERROR(MATCH(2011,振り分け!$S$3:$S$302,0),"")</f>
        <v/>
      </c>
      <c r="C12" s="37">
        <f>IFERROR(MATCH(3011,振り分け!$S$3:$S$302,0),"")</f>
        <v/>
      </c>
      <c r="D12" s="37">
        <f>IFERROR(MATCH(4011,振り分け!$S$3:$S$302,0),"")</f>
        <v/>
      </c>
      <c r="E12" s="37">
        <f>IFERROR(MATCH(5011,振り分け!$S$3:$S$302,0),"")</f>
        <v/>
      </c>
      <c r="F12" s="37">
        <f>IFERROR(MATCH(6011,振り分け!$S$3:$S$302,0),"")</f>
        <v/>
      </c>
      <c r="G12" s="37">
        <f>IFERROR(MATCH(7011,振り分け!$S$3:$S$302,0),"")</f>
        <v/>
      </c>
      <c r="H12" s="37">
        <f>IFERROR(MATCH(8011,振り分け!$S$3:$S$302,0),"")</f>
        <v/>
      </c>
      <c r="I12" s="37">
        <f>IFERROR(MATCH(9011,振り分け!$S$3:$S$302,0),"")</f>
        <v/>
      </c>
      <c r="J12" s="37">
        <f>IFERROR(MATCH(10011,振り分け!$S$3:$S$302,0),"")</f>
        <v/>
      </c>
      <c r="K12" s="37">
        <f>IFERROR(MATCH(11011,振り分け!$S$3:$S$302,0),"")</f>
        <v/>
      </c>
      <c r="L12" s="37">
        <f>IFERROR(MATCH(12011,振り分け!$S$3:$S$302,0),"")</f>
        <v/>
      </c>
      <c r="M12" s="37">
        <f>IFERROR(MATCH(13011,振り分け!$S$3:$S$302,0),"")</f>
        <v/>
      </c>
      <c r="N12" s="37">
        <f>IFERROR(MATCH(14011,振り分け!$S$3:$S$302,0),"")</f>
        <v/>
      </c>
      <c r="O12" s="37">
        <f>IFERROR(MATCH(15011,振り分け!$S$3:$S$302,0),"")</f>
        <v/>
      </c>
      <c r="P12" s="37">
        <f>IFERROR(MATCH(16011,振り分け!$S$3:$S$302,0),"")</f>
        <v/>
      </c>
      <c r="Q12" s="37">
        <f>IFERROR(MATCH(17011,振り分け!$S$3:$S$302,0),"")</f>
        <v/>
      </c>
      <c r="R12" s="37">
        <f>IFERROR(MATCH(18011,振り分け!$S$3:$S$302,0),"")</f>
        <v/>
      </c>
      <c r="S12" s="37">
        <f>IFERROR(MATCH(19011,振り分け!$S$3:$S$302,0),"")</f>
        <v/>
      </c>
      <c r="T12" s="37">
        <f>IFERROR(MATCH(20011,振り分け!$S$3:$S$302,0),"")</f>
        <v/>
      </c>
    </row>
    <row r="13">
      <c r="A13" s="37">
        <f>IFERROR(MATCH(1012,振り分け!$S$3:$S$302,0),"")</f>
        <v/>
      </c>
      <c r="B13" s="37">
        <f>IFERROR(MATCH(2012,振り分け!$S$3:$S$302,0),"")</f>
        <v/>
      </c>
      <c r="C13" s="37">
        <f>IFERROR(MATCH(3012,振り分け!$S$3:$S$302,0),"")</f>
        <v/>
      </c>
      <c r="D13" s="37">
        <f>IFERROR(MATCH(4012,振り分け!$S$3:$S$302,0),"")</f>
        <v/>
      </c>
      <c r="E13" s="37">
        <f>IFERROR(MATCH(5012,振り分け!$S$3:$S$302,0),"")</f>
        <v/>
      </c>
      <c r="F13" s="37">
        <f>IFERROR(MATCH(6012,振り分け!$S$3:$S$302,0),"")</f>
        <v/>
      </c>
      <c r="G13" s="37">
        <f>IFERROR(MATCH(7012,振り分け!$S$3:$S$302,0),"")</f>
        <v/>
      </c>
      <c r="H13" s="37">
        <f>IFERROR(MATCH(8012,振り分け!$S$3:$S$302,0),"")</f>
        <v/>
      </c>
      <c r="I13" s="37">
        <f>IFERROR(MATCH(9012,振り分け!$S$3:$S$302,0),"")</f>
        <v/>
      </c>
      <c r="J13" s="37">
        <f>IFERROR(MATCH(10012,振り分け!$S$3:$S$302,0),"")</f>
        <v/>
      </c>
      <c r="K13" s="37">
        <f>IFERROR(MATCH(11012,振り分け!$S$3:$S$302,0),"")</f>
        <v/>
      </c>
      <c r="L13" s="37">
        <f>IFERROR(MATCH(12012,振り分け!$S$3:$S$302,0),"")</f>
        <v/>
      </c>
      <c r="M13" s="37">
        <f>IFERROR(MATCH(13012,振り分け!$S$3:$S$302,0),"")</f>
        <v/>
      </c>
      <c r="N13" s="37">
        <f>IFERROR(MATCH(14012,振り分け!$S$3:$S$302,0),"")</f>
        <v/>
      </c>
      <c r="O13" s="37">
        <f>IFERROR(MATCH(15012,振り分け!$S$3:$S$302,0),"")</f>
        <v/>
      </c>
      <c r="P13" s="37">
        <f>IFERROR(MATCH(16012,振り分け!$S$3:$S$302,0),"")</f>
        <v/>
      </c>
      <c r="Q13" s="37">
        <f>IFERROR(MATCH(17012,振り分け!$S$3:$S$302,0),"")</f>
        <v/>
      </c>
      <c r="R13" s="37">
        <f>IFERROR(MATCH(18012,振り分け!$S$3:$S$302,0),"")</f>
        <v/>
      </c>
      <c r="S13" s="37">
        <f>IFERROR(MATCH(19012,振り分け!$S$3:$S$302,0),"")</f>
        <v/>
      </c>
      <c r="T13" s="37">
        <f>IFERROR(MATCH(20012,振り分け!$S$3:$S$302,0),"")</f>
        <v/>
      </c>
    </row>
    <row r="14">
      <c r="A14" s="37">
        <f>IFERROR(MATCH(1013,振り分け!$S$3:$S$302,0),"")</f>
        <v/>
      </c>
      <c r="B14" s="37">
        <f>IFERROR(MATCH(2013,振り分け!$S$3:$S$302,0),"")</f>
        <v/>
      </c>
      <c r="C14" s="37">
        <f>IFERROR(MATCH(3013,振り分け!$S$3:$S$302,0),"")</f>
        <v/>
      </c>
      <c r="D14" s="37">
        <f>IFERROR(MATCH(4013,振り分け!$S$3:$S$302,0),"")</f>
        <v/>
      </c>
      <c r="E14" s="37">
        <f>IFERROR(MATCH(5013,振り分け!$S$3:$S$302,0),"")</f>
        <v/>
      </c>
      <c r="F14" s="37">
        <f>IFERROR(MATCH(6013,振り分け!$S$3:$S$302,0),"")</f>
        <v/>
      </c>
      <c r="G14" s="37">
        <f>IFERROR(MATCH(7013,振り分け!$S$3:$S$302,0),"")</f>
        <v/>
      </c>
      <c r="H14" s="37">
        <f>IFERROR(MATCH(8013,振り分け!$S$3:$S$302,0),"")</f>
        <v/>
      </c>
      <c r="I14" s="37">
        <f>IFERROR(MATCH(9013,振り分け!$S$3:$S$302,0),"")</f>
        <v/>
      </c>
      <c r="J14" s="37">
        <f>IFERROR(MATCH(10013,振り分け!$S$3:$S$302,0),"")</f>
        <v/>
      </c>
      <c r="K14" s="37">
        <f>IFERROR(MATCH(11013,振り分け!$S$3:$S$302,0),"")</f>
        <v/>
      </c>
      <c r="L14" s="37">
        <f>IFERROR(MATCH(12013,振り分け!$S$3:$S$302,0),"")</f>
        <v/>
      </c>
      <c r="M14" s="37">
        <f>IFERROR(MATCH(13013,振り分け!$S$3:$S$302,0),"")</f>
        <v/>
      </c>
      <c r="N14" s="37">
        <f>IFERROR(MATCH(14013,振り分け!$S$3:$S$302,0),"")</f>
        <v/>
      </c>
      <c r="O14" s="37">
        <f>IFERROR(MATCH(15013,振り分け!$S$3:$S$302,0),"")</f>
        <v/>
      </c>
      <c r="P14" s="37">
        <f>IFERROR(MATCH(16013,振り分け!$S$3:$S$302,0),"")</f>
        <v/>
      </c>
      <c r="Q14" s="37">
        <f>IFERROR(MATCH(17013,振り分け!$S$3:$S$302,0),"")</f>
        <v/>
      </c>
      <c r="R14" s="37">
        <f>IFERROR(MATCH(18013,振り分け!$S$3:$S$302,0),"")</f>
        <v/>
      </c>
      <c r="S14" s="37">
        <f>IFERROR(MATCH(19013,振り分け!$S$3:$S$302,0),"")</f>
        <v/>
      </c>
      <c r="T14" s="37">
        <f>IFERROR(MATCH(20013,振り分け!$S$3:$S$302,0),"")</f>
        <v/>
      </c>
    </row>
    <row r="15">
      <c r="A15" s="37">
        <f>IFERROR(MATCH(1014,振り分け!$S$3:$S$302,0),"")</f>
        <v/>
      </c>
      <c r="B15" s="37">
        <f>IFERROR(MATCH(2014,振り分け!$S$3:$S$302,0),"")</f>
        <v/>
      </c>
      <c r="C15" s="37">
        <f>IFERROR(MATCH(3014,振り分け!$S$3:$S$302,0),"")</f>
        <v/>
      </c>
      <c r="D15" s="37">
        <f>IFERROR(MATCH(4014,振り分け!$S$3:$S$302,0),"")</f>
        <v/>
      </c>
      <c r="E15" s="37">
        <f>IFERROR(MATCH(5014,振り分け!$S$3:$S$302,0),"")</f>
        <v/>
      </c>
      <c r="F15" s="37">
        <f>IFERROR(MATCH(6014,振り分け!$S$3:$S$302,0),"")</f>
        <v/>
      </c>
      <c r="G15" s="37">
        <f>IFERROR(MATCH(7014,振り分け!$S$3:$S$302,0),"")</f>
        <v/>
      </c>
      <c r="H15" s="37">
        <f>IFERROR(MATCH(8014,振り分け!$S$3:$S$302,0),"")</f>
        <v/>
      </c>
      <c r="I15" s="37">
        <f>IFERROR(MATCH(9014,振り分け!$S$3:$S$302,0),"")</f>
        <v/>
      </c>
      <c r="J15" s="37">
        <f>IFERROR(MATCH(10014,振り分け!$S$3:$S$302,0),"")</f>
        <v/>
      </c>
      <c r="K15" s="37">
        <f>IFERROR(MATCH(11014,振り分け!$S$3:$S$302,0),"")</f>
        <v/>
      </c>
      <c r="L15" s="37">
        <f>IFERROR(MATCH(12014,振り分け!$S$3:$S$302,0),"")</f>
        <v/>
      </c>
      <c r="M15" s="37">
        <f>IFERROR(MATCH(13014,振り分け!$S$3:$S$302,0),"")</f>
        <v/>
      </c>
      <c r="N15" s="37">
        <f>IFERROR(MATCH(14014,振り分け!$S$3:$S$302,0),"")</f>
        <v/>
      </c>
      <c r="O15" s="37">
        <f>IFERROR(MATCH(15014,振り分け!$S$3:$S$302,0),"")</f>
        <v/>
      </c>
      <c r="P15" s="37">
        <f>IFERROR(MATCH(16014,振り分け!$S$3:$S$302,0),"")</f>
        <v/>
      </c>
      <c r="Q15" s="37">
        <f>IFERROR(MATCH(17014,振り分け!$S$3:$S$302,0),"")</f>
        <v/>
      </c>
      <c r="R15" s="37">
        <f>IFERROR(MATCH(18014,振り分け!$S$3:$S$302,0),"")</f>
        <v/>
      </c>
      <c r="S15" s="37">
        <f>IFERROR(MATCH(19014,振り分け!$S$3:$S$302,0),"")</f>
        <v/>
      </c>
      <c r="T15" s="37">
        <f>IFERROR(MATCH(20014,振り分け!$S$3:$S$302,0),"")</f>
        <v/>
      </c>
    </row>
    <row r="16">
      <c r="A16" s="37">
        <f>IFERROR(MATCH(1015,振り分け!$S$3:$S$302,0),"")</f>
        <v/>
      </c>
      <c r="B16" s="37">
        <f>IFERROR(MATCH(2015,振り分け!$S$3:$S$302,0),"")</f>
        <v/>
      </c>
      <c r="C16" s="37">
        <f>IFERROR(MATCH(3015,振り分け!$S$3:$S$302,0),"")</f>
        <v/>
      </c>
      <c r="D16" s="37">
        <f>IFERROR(MATCH(4015,振り分け!$S$3:$S$302,0),"")</f>
        <v/>
      </c>
      <c r="E16" s="37">
        <f>IFERROR(MATCH(5015,振り分け!$S$3:$S$302,0),"")</f>
        <v/>
      </c>
      <c r="F16" s="37">
        <f>IFERROR(MATCH(6015,振り分け!$S$3:$S$302,0),"")</f>
        <v/>
      </c>
      <c r="G16" s="37">
        <f>IFERROR(MATCH(7015,振り分け!$S$3:$S$302,0),"")</f>
        <v/>
      </c>
      <c r="H16" s="37">
        <f>IFERROR(MATCH(8015,振り分け!$S$3:$S$302,0),"")</f>
        <v/>
      </c>
      <c r="I16" s="37">
        <f>IFERROR(MATCH(9015,振り分け!$S$3:$S$302,0),"")</f>
        <v/>
      </c>
      <c r="J16" s="37">
        <f>IFERROR(MATCH(10015,振り分け!$S$3:$S$302,0),"")</f>
        <v/>
      </c>
      <c r="K16" s="37">
        <f>IFERROR(MATCH(11015,振り分け!$S$3:$S$302,0),"")</f>
        <v/>
      </c>
      <c r="L16" s="37">
        <f>IFERROR(MATCH(12015,振り分け!$S$3:$S$302,0),"")</f>
        <v/>
      </c>
      <c r="M16" s="37">
        <f>IFERROR(MATCH(13015,振り分け!$S$3:$S$302,0),"")</f>
        <v/>
      </c>
      <c r="N16" s="37">
        <f>IFERROR(MATCH(14015,振り分け!$S$3:$S$302,0),"")</f>
        <v/>
      </c>
      <c r="O16" s="37">
        <f>IFERROR(MATCH(15015,振り分け!$S$3:$S$302,0),"")</f>
        <v/>
      </c>
      <c r="P16" s="37">
        <f>IFERROR(MATCH(16015,振り分け!$S$3:$S$302,0),"")</f>
        <v/>
      </c>
      <c r="Q16" s="37">
        <f>IFERROR(MATCH(17015,振り分け!$S$3:$S$302,0),"")</f>
        <v/>
      </c>
      <c r="R16" s="37">
        <f>IFERROR(MATCH(18015,振り分け!$S$3:$S$302,0),"")</f>
        <v/>
      </c>
      <c r="S16" s="37">
        <f>IFERROR(MATCH(19015,振り分け!$S$3:$S$302,0),"")</f>
        <v/>
      </c>
      <c r="T16" s="37">
        <f>IFERROR(MATCH(20015,振り分け!$S$3:$S$302,0),"")</f>
        <v/>
      </c>
    </row>
    <row r="17">
      <c r="A17" s="37">
        <f>IFERROR(MATCH(1016,振り分け!$S$3:$S$302,0),"")</f>
        <v/>
      </c>
      <c r="B17" s="37">
        <f>IFERROR(MATCH(2016,振り分け!$S$3:$S$302,0),"")</f>
        <v/>
      </c>
      <c r="C17" s="37">
        <f>IFERROR(MATCH(3016,振り分け!$S$3:$S$302,0),"")</f>
        <v/>
      </c>
      <c r="D17" s="37">
        <f>IFERROR(MATCH(4016,振り分け!$S$3:$S$302,0),"")</f>
        <v/>
      </c>
      <c r="E17" s="37">
        <f>IFERROR(MATCH(5016,振り分け!$S$3:$S$302,0),"")</f>
        <v/>
      </c>
      <c r="F17" s="37">
        <f>IFERROR(MATCH(6016,振り分け!$S$3:$S$302,0),"")</f>
        <v/>
      </c>
      <c r="G17" s="37">
        <f>IFERROR(MATCH(7016,振り分け!$S$3:$S$302,0),"")</f>
        <v/>
      </c>
      <c r="H17" s="37">
        <f>IFERROR(MATCH(8016,振り分け!$S$3:$S$302,0),"")</f>
        <v/>
      </c>
      <c r="I17" s="37">
        <f>IFERROR(MATCH(9016,振り分け!$S$3:$S$302,0),"")</f>
        <v/>
      </c>
      <c r="J17" s="37">
        <f>IFERROR(MATCH(10016,振り分け!$S$3:$S$302,0),"")</f>
        <v/>
      </c>
      <c r="K17" s="37">
        <f>IFERROR(MATCH(11016,振り分け!$S$3:$S$302,0),"")</f>
        <v/>
      </c>
      <c r="L17" s="37">
        <f>IFERROR(MATCH(12016,振り分け!$S$3:$S$302,0),"")</f>
        <v/>
      </c>
      <c r="M17" s="37">
        <f>IFERROR(MATCH(13016,振り分け!$S$3:$S$302,0),"")</f>
        <v/>
      </c>
      <c r="N17" s="37">
        <f>IFERROR(MATCH(14016,振り分け!$S$3:$S$302,0),"")</f>
        <v/>
      </c>
      <c r="O17" s="37">
        <f>IFERROR(MATCH(15016,振り分け!$S$3:$S$302,0),"")</f>
        <v/>
      </c>
      <c r="P17" s="37">
        <f>IFERROR(MATCH(16016,振り分け!$S$3:$S$302,0),"")</f>
        <v/>
      </c>
      <c r="Q17" s="37">
        <f>IFERROR(MATCH(17016,振り分け!$S$3:$S$302,0),"")</f>
        <v/>
      </c>
      <c r="R17" s="37">
        <f>IFERROR(MATCH(18016,振り分け!$S$3:$S$302,0),"")</f>
        <v/>
      </c>
      <c r="S17" s="37">
        <f>IFERROR(MATCH(19016,振り分け!$S$3:$S$302,0),"")</f>
        <v/>
      </c>
      <c r="T17" s="37">
        <f>IFERROR(MATCH(20016,振り分け!$S$3:$S$302,0),"")</f>
        <v/>
      </c>
    </row>
    <row r="18">
      <c r="A18" s="37">
        <f>IFERROR(MATCH(1017,振り分け!$S$3:$S$302,0),"")</f>
        <v/>
      </c>
      <c r="B18" s="37">
        <f>IFERROR(MATCH(2017,振り分け!$S$3:$S$302,0),"")</f>
        <v/>
      </c>
      <c r="C18" s="37">
        <f>IFERROR(MATCH(3017,振り分け!$S$3:$S$302,0),"")</f>
        <v/>
      </c>
      <c r="D18" s="37">
        <f>IFERROR(MATCH(4017,振り分け!$S$3:$S$302,0),"")</f>
        <v/>
      </c>
      <c r="E18" s="37">
        <f>IFERROR(MATCH(5017,振り分け!$S$3:$S$302,0),"")</f>
        <v/>
      </c>
      <c r="F18" s="37">
        <f>IFERROR(MATCH(6017,振り分け!$S$3:$S$302,0),"")</f>
        <v/>
      </c>
      <c r="G18" s="37">
        <f>IFERROR(MATCH(7017,振り分け!$S$3:$S$302,0),"")</f>
        <v/>
      </c>
      <c r="H18" s="37">
        <f>IFERROR(MATCH(8017,振り分け!$S$3:$S$302,0),"")</f>
        <v/>
      </c>
      <c r="I18" s="37">
        <f>IFERROR(MATCH(9017,振り分け!$S$3:$S$302,0),"")</f>
        <v/>
      </c>
      <c r="J18" s="37">
        <f>IFERROR(MATCH(10017,振り分け!$S$3:$S$302,0),"")</f>
        <v/>
      </c>
      <c r="K18" s="37">
        <f>IFERROR(MATCH(11017,振り分け!$S$3:$S$302,0),"")</f>
        <v/>
      </c>
      <c r="L18" s="37">
        <f>IFERROR(MATCH(12017,振り分け!$S$3:$S$302,0),"")</f>
        <v/>
      </c>
      <c r="M18" s="37">
        <f>IFERROR(MATCH(13017,振り分け!$S$3:$S$302,0),"")</f>
        <v/>
      </c>
      <c r="N18" s="37">
        <f>IFERROR(MATCH(14017,振り分け!$S$3:$S$302,0),"")</f>
        <v/>
      </c>
      <c r="O18" s="37">
        <f>IFERROR(MATCH(15017,振り分け!$S$3:$S$302,0),"")</f>
        <v/>
      </c>
      <c r="P18" s="37">
        <f>IFERROR(MATCH(16017,振り分け!$S$3:$S$302,0),"")</f>
        <v/>
      </c>
      <c r="Q18" s="37">
        <f>IFERROR(MATCH(17017,振り分け!$S$3:$S$302,0),"")</f>
        <v/>
      </c>
      <c r="R18" s="37">
        <f>IFERROR(MATCH(18017,振り分け!$S$3:$S$302,0),"")</f>
        <v/>
      </c>
      <c r="S18" s="37">
        <f>IFERROR(MATCH(19017,振り分け!$S$3:$S$302,0),"")</f>
        <v/>
      </c>
      <c r="T18" s="37">
        <f>IFERROR(MATCH(20017,振り分け!$S$3:$S$302,0),"")</f>
        <v/>
      </c>
    </row>
    <row r="19">
      <c r="A19" s="37">
        <f>IFERROR(MATCH(1018,振り分け!$S$3:$S$302,0),"")</f>
        <v/>
      </c>
      <c r="B19" s="37">
        <f>IFERROR(MATCH(2018,振り分け!$S$3:$S$302,0),"")</f>
        <v/>
      </c>
      <c r="C19" s="37">
        <f>IFERROR(MATCH(3018,振り分け!$S$3:$S$302,0),"")</f>
        <v/>
      </c>
      <c r="D19" s="37">
        <f>IFERROR(MATCH(4018,振り分け!$S$3:$S$302,0),"")</f>
        <v/>
      </c>
      <c r="E19" s="37">
        <f>IFERROR(MATCH(5018,振り分け!$S$3:$S$302,0),"")</f>
        <v/>
      </c>
      <c r="F19" s="37">
        <f>IFERROR(MATCH(6018,振り分け!$S$3:$S$302,0),"")</f>
        <v/>
      </c>
      <c r="G19" s="37">
        <f>IFERROR(MATCH(7018,振り分け!$S$3:$S$302,0),"")</f>
        <v/>
      </c>
      <c r="H19" s="37">
        <f>IFERROR(MATCH(8018,振り分け!$S$3:$S$302,0),"")</f>
        <v/>
      </c>
      <c r="I19" s="37">
        <f>IFERROR(MATCH(9018,振り分け!$S$3:$S$302,0),"")</f>
        <v/>
      </c>
      <c r="J19" s="37">
        <f>IFERROR(MATCH(10018,振り分け!$S$3:$S$302,0),"")</f>
        <v/>
      </c>
      <c r="K19" s="37">
        <f>IFERROR(MATCH(11018,振り分け!$S$3:$S$302,0),"")</f>
        <v/>
      </c>
      <c r="L19" s="37">
        <f>IFERROR(MATCH(12018,振り分け!$S$3:$S$302,0),"")</f>
        <v/>
      </c>
      <c r="M19" s="37">
        <f>IFERROR(MATCH(13018,振り分け!$S$3:$S$302,0),"")</f>
        <v/>
      </c>
      <c r="N19" s="37">
        <f>IFERROR(MATCH(14018,振り分け!$S$3:$S$302,0),"")</f>
        <v/>
      </c>
      <c r="O19" s="37">
        <f>IFERROR(MATCH(15018,振り分け!$S$3:$S$302,0),"")</f>
        <v/>
      </c>
      <c r="P19" s="37">
        <f>IFERROR(MATCH(16018,振り分け!$S$3:$S$302,0),"")</f>
        <v/>
      </c>
      <c r="Q19" s="37">
        <f>IFERROR(MATCH(17018,振り分け!$S$3:$S$302,0),"")</f>
        <v/>
      </c>
      <c r="R19" s="37">
        <f>IFERROR(MATCH(18018,振り分け!$S$3:$S$302,0),"")</f>
        <v/>
      </c>
      <c r="S19" s="37">
        <f>IFERROR(MATCH(19018,振り分け!$S$3:$S$302,0),"")</f>
        <v/>
      </c>
      <c r="T19" s="37">
        <f>IFERROR(MATCH(20018,振り分け!$S$3:$S$302,0),"")</f>
        <v/>
      </c>
    </row>
    <row r="20">
      <c r="A20" s="37">
        <f>IFERROR(MATCH(1019,振り分け!$S$3:$S$302,0),"")</f>
        <v/>
      </c>
      <c r="B20" s="37">
        <f>IFERROR(MATCH(2019,振り分け!$S$3:$S$302,0),"")</f>
        <v/>
      </c>
      <c r="C20" s="37">
        <f>IFERROR(MATCH(3019,振り分け!$S$3:$S$302,0),"")</f>
        <v/>
      </c>
      <c r="D20" s="37">
        <f>IFERROR(MATCH(4019,振り分け!$S$3:$S$302,0),"")</f>
        <v/>
      </c>
      <c r="E20" s="37">
        <f>IFERROR(MATCH(5019,振り分け!$S$3:$S$302,0),"")</f>
        <v/>
      </c>
      <c r="F20" s="37">
        <f>IFERROR(MATCH(6019,振り分け!$S$3:$S$302,0),"")</f>
        <v/>
      </c>
      <c r="G20" s="37">
        <f>IFERROR(MATCH(7019,振り分け!$S$3:$S$302,0),"")</f>
        <v/>
      </c>
      <c r="H20" s="37">
        <f>IFERROR(MATCH(8019,振り分け!$S$3:$S$302,0),"")</f>
        <v/>
      </c>
      <c r="I20" s="37">
        <f>IFERROR(MATCH(9019,振り分け!$S$3:$S$302,0),"")</f>
        <v/>
      </c>
      <c r="J20" s="37">
        <f>IFERROR(MATCH(10019,振り分け!$S$3:$S$302,0),"")</f>
        <v/>
      </c>
      <c r="K20" s="37">
        <f>IFERROR(MATCH(11019,振り分け!$S$3:$S$302,0),"")</f>
        <v/>
      </c>
      <c r="L20" s="37">
        <f>IFERROR(MATCH(12019,振り分け!$S$3:$S$302,0),"")</f>
        <v/>
      </c>
      <c r="M20" s="37">
        <f>IFERROR(MATCH(13019,振り分け!$S$3:$S$302,0),"")</f>
        <v/>
      </c>
      <c r="N20" s="37">
        <f>IFERROR(MATCH(14019,振り分け!$S$3:$S$302,0),"")</f>
        <v/>
      </c>
      <c r="O20" s="37">
        <f>IFERROR(MATCH(15019,振り分け!$S$3:$S$302,0),"")</f>
        <v/>
      </c>
      <c r="P20" s="37">
        <f>IFERROR(MATCH(16019,振り分け!$S$3:$S$302,0),"")</f>
        <v/>
      </c>
      <c r="Q20" s="37">
        <f>IFERROR(MATCH(17019,振り分け!$S$3:$S$302,0),"")</f>
        <v/>
      </c>
      <c r="R20" s="37">
        <f>IFERROR(MATCH(18019,振り分け!$S$3:$S$302,0),"")</f>
        <v/>
      </c>
      <c r="S20" s="37">
        <f>IFERROR(MATCH(19019,振り分け!$S$3:$S$302,0),"")</f>
        <v/>
      </c>
      <c r="T20" s="37">
        <f>IFERROR(MATCH(20019,振り分け!$S$3:$S$302,0),"")</f>
        <v/>
      </c>
    </row>
    <row r="21">
      <c r="A21" s="37">
        <f>IFERROR(MATCH(1020,振り分け!$S$3:$S$302,0),"")</f>
        <v/>
      </c>
      <c r="B21" s="37">
        <f>IFERROR(MATCH(2020,振り分け!$S$3:$S$302,0),"")</f>
        <v/>
      </c>
      <c r="C21" s="37">
        <f>IFERROR(MATCH(3020,振り分け!$S$3:$S$302,0),"")</f>
        <v/>
      </c>
      <c r="D21" s="37">
        <f>IFERROR(MATCH(4020,振り分け!$S$3:$S$302,0),"")</f>
        <v/>
      </c>
      <c r="E21" s="37">
        <f>IFERROR(MATCH(5020,振り分け!$S$3:$S$302,0),"")</f>
        <v/>
      </c>
      <c r="F21" s="37">
        <f>IFERROR(MATCH(6020,振り分け!$S$3:$S$302,0),"")</f>
        <v/>
      </c>
      <c r="G21" s="37">
        <f>IFERROR(MATCH(7020,振り分け!$S$3:$S$302,0),"")</f>
        <v/>
      </c>
      <c r="H21" s="37">
        <f>IFERROR(MATCH(8020,振り分け!$S$3:$S$302,0),"")</f>
        <v/>
      </c>
      <c r="I21" s="37">
        <f>IFERROR(MATCH(9020,振り分け!$S$3:$S$302,0),"")</f>
        <v/>
      </c>
      <c r="J21" s="37">
        <f>IFERROR(MATCH(10020,振り分け!$S$3:$S$302,0),"")</f>
        <v/>
      </c>
      <c r="K21" s="37">
        <f>IFERROR(MATCH(11020,振り分け!$S$3:$S$302,0),"")</f>
        <v/>
      </c>
      <c r="L21" s="37">
        <f>IFERROR(MATCH(12020,振り分け!$S$3:$S$302,0),"")</f>
        <v/>
      </c>
      <c r="M21" s="37">
        <f>IFERROR(MATCH(13020,振り分け!$S$3:$S$302,0),"")</f>
        <v/>
      </c>
      <c r="N21" s="37">
        <f>IFERROR(MATCH(14020,振り分け!$S$3:$S$302,0),"")</f>
        <v/>
      </c>
      <c r="O21" s="37">
        <f>IFERROR(MATCH(15020,振り分け!$S$3:$S$302,0),"")</f>
        <v/>
      </c>
      <c r="P21" s="37">
        <f>IFERROR(MATCH(16020,振り分け!$S$3:$S$302,0),"")</f>
        <v/>
      </c>
      <c r="Q21" s="37">
        <f>IFERROR(MATCH(17020,振り分け!$S$3:$S$302,0),"")</f>
        <v/>
      </c>
      <c r="R21" s="37">
        <f>IFERROR(MATCH(18020,振り分け!$S$3:$S$302,0),"")</f>
        <v/>
      </c>
      <c r="S21" s="37">
        <f>IFERROR(MATCH(19020,振り分け!$S$3:$S$302,0),"")</f>
        <v/>
      </c>
      <c r="T21" s="37">
        <f>IFERROR(MATCH(20020,振り分け!$S$3:$S$302,0),"")</f>
        <v/>
      </c>
    </row>
    <row r="22">
      <c r="A22" s="37">
        <f>IFERROR(MATCH(1021,振り分け!$S$3:$S$302,0),"")</f>
        <v/>
      </c>
      <c r="B22" s="37">
        <f>IFERROR(MATCH(2021,振り分け!$S$3:$S$302,0),"")</f>
        <v/>
      </c>
      <c r="C22" s="37">
        <f>IFERROR(MATCH(3021,振り分け!$S$3:$S$302,0),"")</f>
        <v/>
      </c>
      <c r="D22" s="37">
        <f>IFERROR(MATCH(4021,振り分け!$S$3:$S$302,0),"")</f>
        <v/>
      </c>
      <c r="E22" s="37">
        <f>IFERROR(MATCH(5021,振り分け!$S$3:$S$302,0),"")</f>
        <v/>
      </c>
      <c r="F22" s="37">
        <f>IFERROR(MATCH(6021,振り分け!$S$3:$S$302,0),"")</f>
        <v/>
      </c>
      <c r="G22" s="37">
        <f>IFERROR(MATCH(7021,振り分け!$S$3:$S$302,0),"")</f>
        <v/>
      </c>
      <c r="H22" s="37">
        <f>IFERROR(MATCH(8021,振り分け!$S$3:$S$302,0),"")</f>
        <v/>
      </c>
      <c r="I22" s="37">
        <f>IFERROR(MATCH(9021,振り分け!$S$3:$S$302,0),"")</f>
        <v/>
      </c>
      <c r="J22" s="37">
        <f>IFERROR(MATCH(10021,振り分け!$S$3:$S$302,0),"")</f>
        <v/>
      </c>
      <c r="K22" s="37">
        <f>IFERROR(MATCH(11021,振り分け!$S$3:$S$302,0),"")</f>
        <v/>
      </c>
      <c r="L22" s="37">
        <f>IFERROR(MATCH(12021,振り分け!$S$3:$S$302,0),"")</f>
        <v/>
      </c>
      <c r="M22" s="37">
        <f>IFERROR(MATCH(13021,振り分け!$S$3:$S$302,0),"")</f>
        <v/>
      </c>
      <c r="N22" s="37">
        <f>IFERROR(MATCH(14021,振り分け!$S$3:$S$302,0),"")</f>
        <v/>
      </c>
      <c r="O22" s="37">
        <f>IFERROR(MATCH(15021,振り分け!$S$3:$S$302,0),"")</f>
        <v/>
      </c>
      <c r="P22" s="37">
        <f>IFERROR(MATCH(16021,振り分け!$S$3:$S$302,0),"")</f>
        <v/>
      </c>
      <c r="Q22" s="37">
        <f>IFERROR(MATCH(17021,振り分け!$S$3:$S$302,0),"")</f>
        <v/>
      </c>
      <c r="R22" s="37">
        <f>IFERROR(MATCH(18021,振り分け!$S$3:$S$302,0),"")</f>
        <v/>
      </c>
      <c r="S22" s="37">
        <f>IFERROR(MATCH(19021,振り分け!$S$3:$S$302,0),"")</f>
        <v/>
      </c>
      <c r="T22" s="37">
        <f>IFERROR(MATCH(20021,振り分け!$S$3:$S$302,0),"")</f>
        <v/>
      </c>
    </row>
    <row r="23">
      <c r="A23" s="37">
        <f>IFERROR(MATCH(1022,振り分け!$S$3:$S$302,0),"")</f>
        <v/>
      </c>
      <c r="B23" s="37">
        <f>IFERROR(MATCH(2022,振り分け!$S$3:$S$302,0),"")</f>
        <v/>
      </c>
      <c r="C23" s="37">
        <f>IFERROR(MATCH(3022,振り分け!$S$3:$S$302,0),"")</f>
        <v/>
      </c>
      <c r="D23" s="37">
        <f>IFERROR(MATCH(4022,振り分け!$S$3:$S$302,0),"")</f>
        <v/>
      </c>
      <c r="E23" s="37">
        <f>IFERROR(MATCH(5022,振り分け!$S$3:$S$302,0),"")</f>
        <v/>
      </c>
      <c r="F23" s="37">
        <f>IFERROR(MATCH(6022,振り分け!$S$3:$S$302,0),"")</f>
        <v/>
      </c>
      <c r="G23" s="37">
        <f>IFERROR(MATCH(7022,振り分け!$S$3:$S$302,0),"")</f>
        <v/>
      </c>
      <c r="H23" s="37">
        <f>IFERROR(MATCH(8022,振り分け!$S$3:$S$302,0),"")</f>
        <v/>
      </c>
      <c r="I23" s="37">
        <f>IFERROR(MATCH(9022,振り分け!$S$3:$S$302,0),"")</f>
        <v/>
      </c>
      <c r="J23" s="37">
        <f>IFERROR(MATCH(10022,振り分け!$S$3:$S$302,0),"")</f>
        <v/>
      </c>
      <c r="K23" s="37">
        <f>IFERROR(MATCH(11022,振り分け!$S$3:$S$302,0),"")</f>
        <v/>
      </c>
      <c r="L23" s="37">
        <f>IFERROR(MATCH(12022,振り分け!$S$3:$S$302,0),"")</f>
        <v/>
      </c>
      <c r="M23" s="37">
        <f>IFERROR(MATCH(13022,振り分け!$S$3:$S$302,0),"")</f>
        <v/>
      </c>
      <c r="N23" s="37">
        <f>IFERROR(MATCH(14022,振り分け!$S$3:$S$302,0),"")</f>
        <v/>
      </c>
      <c r="O23" s="37">
        <f>IFERROR(MATCH(15022,振り分け!$S$3:$S$302,0),"")</f>
        <v/>
      </c>
      <c r="P23" s="37">
        <f>IFERROR(MATCH(16022,振り分け!$S$3:$S$302,0),"")</f>
        <v/>
      </c>
      <c r="Q23" s="37">
        <f>IFERROR(MATCH(17022,振り分け!$S$3:$S$302,0),"")</f>
        <v/>
      </c>
      <c r="R23" s="37">
        <f>IFERROR(MATCH(18022,振り分け!$S$3:$S$302,0),"")</f>
        <v/>
      </c>
      <c r="S23" s="37">
        <f>IFERROR(MATCH(19022,振り分け!$S$3:$S$302,0),"")</f>
        <v/>
      </c>
      <c r="T23" s="37">
        <f>IFERROR(MATCH(20022,振り分け!$S$3:$S$302,0),"")</f>
        <v/>
      </c>
    </row>
    <row r="24">
      <c r="A24" s="37">
        <f>IFERROR(MATCH(1023,振り分け!$S$3:$S$302,0),"")</f>
        <v/>
      </c>
      <c r="B24" s="37">
        <f>IFERROR(MATCH(2023,振り分け!$S$3:$S$302,0),"")</f>
        <v/>
      </c>
      <c r="C24" s="37">
        <f>IFERROR(MATCH(3023,振り分け!$S$3:$S$302,0),"")</f>
        <v/>
      </c>
      <c r="D24" s="37">
        <f>IFERROR(MATCH(4023,振り分け!$S$3:$S$302,0),"")</f>
        <v/>
      </c>
      <c r="E24" s="37">
        <f>IFERROR(MATCH(5023,振り分け!$S$3:$S$302,0),"")</f>
        <v/>
      </c>
      <c r="F24" s="37">
        <f>IFERROR(MATCH(6023,振り分け!$S$3:$S$302,0),"")</f>
        <v/>
      </c>
      <c r="G24" s="37">
        <f>IFERROR(MATCH(7023,振り分け!$S$3:$S$302,0),"")</f>
        <v/>
      </c>
      <c r="H24" s="37">
        <f>IFERROR(MATCH(8023,振り分け!$S$3:$S$302,0),"")</f>
        <v/>
      </c>
      <c r="I24" s="37">
        <f>IFERROR(MATCH(9023,振り分け!$S$3:$S$302,0),"")</f>
        <v/>
      </c>
      <c r="J24" s="37">
        <f>IFERROR(MATCH(10023,振り分け!$S$3:$S$302,0),"")</f>
        <v/>
      </c>
      <c r="K24" s="37">
        <f>IFERROR(MATCH(11023,振り分け!$S$3:$S$302,0),"")</f>
        <v/>
      </c>
      <c r="L24" s="37">
        <f>IFERROR(MATCH(12023,振り分け!$S$3:$S$302,0),"")</f>
        <v/>
      </c>
      <c r="M24" s="37">
        <f>IFERROR(MATCH(13023,振り分け!$S$3:$S$302,0),"")</f>
        <v/>
      </c>
      <c r="N24" s="37">
        <f>IFERROR(MATCH(14023,振り分け!$S$3:$S$302,0),"")</f>
        <v/>
      </c>
      <c r="O24" s="37">
        <f>IFERROR(MATCH(15023,振り分け!$S$3:$S$302,0),"")</f>
        <v/>
      </c>
      <c r="P24" s="37">
        <f>IFERROR(MATCH(16023,振り分け!$S$3:$S$302,0),"")</f>
        <v/>
      </c>
      <c r="Q24" s="37">
        <f>IFERROR(MATCH(17023,振り分け!$S$3:$S$302,0),"")</f>
        <v/>
      </c>
      <c r="R24" s="37">
        <f>IFERROR(MATCH(18023,振り分け!$S$3:$S$302,0),"")</f>
        <v/>
      </c>
      <c r="S24" s="37">
        <f>IFERROR(MATCH(19023,振り分け!$S$3:$S$302,0),"")</f>
        <v/>
      </c>
      <c r="T24" s="37">
        <f>IFERROR(MATCH(20023,振り分け!$S$3:$S$302,0),"")</f>
        <v/>
      </c>
    </row>
    <row r="25">
      <c r="A25" s="37">
        <f>IFERROR(MATCH(1024,振り分け!$S$3:$S$302,0),"")</f>
        <v/>
      </c>
      <c r="B25" s="37">
        <f>IFERROR(MATCH(2024,振り分け!$S$3:$S$302,0),"")</f>
        <v/>
      </c>
      <c r="C25" s="37">
        <f>IFERROR(MATCH(3024,振り分け!$S$3:$S$302,0),"")</f>
        <v/>
      </c>
      <c r="D25" s="37">
        <f>IFERROR(MATCH(4024,振り分け!$S$3:$S$302,0),"")</f>
        <v/>
      </c>
      <c r="E25" s="37">
        <f>IFERROR(MATCH(5024,振り分け!$S$3:$S$302,0),"")</f>
        <v/>
      </c>
      <c r="F25" s="37">
        <f>IFERROR(MATCH(6024,振り分け!$S$3:$S$302,0),"")</f>
        <v/>
      </c>
      <c r="G25" s="37">
        <f>IFERROR(MATCH(7024,振り分け!$S$3:$S$302,0),"")</f>
        <v/>
      </c>
      <c r="H25" s="37">
        <f>IFERROR(MATCH(8024,振り分け!$S$3:$S$302,0),"")</f>
        <v/>
      </c>
      <c r="I25" s="37">
        <f>IFERROR(MATCH(9024,振り分け!$S$3:$S$302,0),"")</f>
        <v/>
      </c>
      <c r="J25" s="37">
        <f>IFERROR(MATCH(10024,振り分け!$S$3:$S$302,0),"")</f>
        <v/>
      </c>
      <c r="K25" s="37">
        <f>IFERROR(MATCH(11024,振り分け!$S$3:$S$302,0),"")</f>
        <v/>
      </c>
      <c r="L25" s="37">
        <f>IFERROR(MATCH(12024,振り分け!$S$3:$S$302,0),"")</f>
        <v/>
      </c>
      <c r="M25" s="37">
        <f>IFERROR(MATCH(13024,振り分け!$S$3:$S$302,0),"")</f>
        <v/>
      </c>
      <c r="N25" s="37">
        <f>IFERROR(MATCH(14024,振り分け!$S$3:$S$302,0),"")</f>
        <v/>
      </c>
      <c r="O25" s="37">
        <f>IFERROR(MATCH(15024,振り分け!$S$3:$S$302,0),"")</f>
        <v/>
      </c>
      <c r="P25" s="37">
        <f>IFERROR(MATCH(16024,振り分け!$S$3:$S$302,0),"")</f>
        <v/>
      </c>
      <c r="Q25" s="37">
        <f>IFERROR(MATCH(17024,振り分け!$S$3:$S$302,0),"")</f>
        <v/>
      </c>
      <c r="R25" s="37">
        <f>IFERROR(MATCH(18024,振り分け!$S$3:$S$302,0),"")</f>
        <v/>
      </c>
      <c r="S25" s="37">
        <f>IFERROR(MATCH(19024,振り分け!$S$3:$S$302,0),"")</f>
        <v/>
      </c>
      <c r="T25" s="37">
        <f>IFERROR(MATCH(20024,振り分け!$S$3:$S$302,0),"")</f>
        <v/>
      </c>
    </row>
    <row r="26">
      <c r="A26" s="37">
        <f>IFERROR(MATCH(1025,振り分け!$S$3:$S$302,0),"")</f>
        <v/>
      </c>
      <c r="B26" s="37">
        <f>IFERROR(MATCH(2025,振り分け!$S$3:$S$302,0),"")</f>
        <v/>
      </c>
      <c r="C26" s="37">
        <f>IFERROR(MATCH(3025,振り分け!$S$3:$S$302,0),"")</f>
        <v/>
      </c>
      <c r="D26" s="37">
        <f>IFERROR(MATCH(4025,振り分け!$S$3:$S$302,0),"")</f>
        <v/>
      </c>
      <c r="E26" s="37">
        <f>IFERROR(MATCH(5025,振り分け!$S$3:$S$302,0),"")</f>
        <v/>
      </c>
      <c r="F26" s="37">
        <f>IFERROR(MATCH(6025,振り分け!$S$3:$S$302,0),"")</f>
        <v/>
      </c>
      <c r="G26" s="37">
        <f>IFERROR(MATCH(7025,振り分け!$S$3:$S$302,0),"")</f>
        <v/>
      </c>
      <c r="H26" s="37">
        <f>IFERROR(MATCH(8025,振り分け!$S$3:$S$302,0),"")</f>
        <v/>
      </c>
      <c r="I26" s="37">
        <f>IFERROR(MATCH(9025,振り分け!$S$3:$S$302,0),"")</f>
        <v/>
      </c>
      <c r="J26" s="37">
        <f>IFERROR(MATCH(10025,振り分け!$S$3:$S$302,0),"")</f>
        <v/>
      </c>
      <c r="K26" s="37">
        <f>IFERROR(MATCH(11025,振り分け!$S$3:$S$302,0),"")</f>
        <v/>
      </c>
      <c r="L26" s="37">
        <f>IFERROR(MATCH(12025,振り分け!$S$3:$S$302,0),"")</f>
        <v/>
      </c>
      <c r="M26" s="37">
        <f>IFERROR(MATCH(13025,振り分け!$S$3:$S$302,0),"")</f>
        <v/>
      </c>
      <c r="N26" s="37">
        <f>IFERROR(MATCH(14025,振り分け!$S$3:$S$302,0),"")</f>
        <v/>
      </c>
      <c r="O26" s="37">
        <f>IFERROR(MATCH(15025,振り分け!$S$3:$S$302,0),"")</f>
        <v/>
      </c>
      <c r="P26" s="37">
        <f>IFERROR(MATCH(16025,振り分け!$S$3:$S$302,0),"")</f>
        <v/>
      </c>
      <c r="Q26" s="37">
        <f>IFERROR(MATCH(17025,振り分け!$S$3:$S$302,0),"")</f>
        <v/>
      </c>
      <c r="R26" s="37">
        <f>IFERROR(MATCH(18025,振り分け!$S$3:$S$302,0),"")</f>
        <v/>
      </c>
      <c r="S26" s="37">
        <f>IFERROR(MATCH(19025,振り分け!$S$3:$S$302,0),"")</f>
        <v/>
      </c>
      <c r="T26" s="37">
        <f>IFERROR(MATCH(20025,振り分け!$S$3:$S$302,0),"")</f>
        <v/>
      </c>
    </row>
    <row r="27">
      <c r="A27" s="37">
        <f>IFERROR(MATCH(1026,振り分け!$S$3:$S$302,0),"")</f>
        <v/>
      </c>
      <c r="B27" s="37">
        <f>IFERROR(MATCH(2026,振り分け!$S$3:$S$302,0),"")</f>
        <v/>
      </c>
      <c r="C27" s="37">
        <f>IFERROR(MATCH(3026,振り分け!$S$3:$S$302,0),"")</f>
        <v/>
      </c>
      <c r="D27" s="37">
        <f>IFERROR(MATCH(4026,振り分け!$S$3:$S$302,0),"")</f>
        <v/>
      </c>
      <c r="E27" s="37">
        <f>IFERROR(MATCH(5026,振り分け!$S$3:$S$302,0),"")</f>
        <v/>
      </c>
      <c r="F27" s="37">
        <f>IFERROR(MATCH(6026,振り分け!$S$3:$S$302,0),"")</f>
        <v/>
      </c>
      <c r="G27" s="37">
        <f>IFERROR(MATCH(7026,振り分け!$S$3:$S$302,0),"")</f>
        <v/>
      </c>
      <c r="H27" s="37">
        <f>IFERROR(MATCH(8026,振り分け!$S$3:$S$302,0),"")</f>
        <v/>
      </c>
      <c r="I27" s="37">
        <f>IFERROR(MATCH(9026,振り分け!$S$3:$S$302,0),"")</f>
        <v/>
      </c>
      <c r="J27" s="37">
        <f>IFERROR(MATCH(10026,振り分け!$S$3:$S$302,0),"")</f>
        <v/>
      </c>
      <c r="K27" s="37">
        <f>IFERROR(MATCH(11026,振り分け!$S$3:$S$302,0),"")</f>
        <v/>
      </c>
      <c r="L27" s="37">
        <f>IFERROR(MATCH(12026,振り分け!$S$3:$S$302,0),"")</f>
        <v/>
      </c>
      <c r="M27" s="37">
        <f>IFERROR(MATCH(13026,振り分け!$S$3:$S$302,0),"")</f>
        <v/>
      </c>
      <c r="N27" s="37">
        <f>IFERROR(MATCH(14026,振り分け!$S$3:$S$302,0),"")</f>
        <v/>
      </c>
      <c r="O27" s="37">
        <f>IFERROR(MATCH(15026,振り分け!$S$3:$S$302,0),"")</f>
        <v/>
      </c>
      <c r="P27" s="37">
        <f>IFERROR(MATCH(16026,振り分け!$S$3:$S$302,0),"")</f>
        <v/>
      </c>
      <c r="Q27" s="37">
        <f>IFERROR(MATCH(17026,振り分け!$S$3:$S$302,0),"")</f>
        <v/>
      </c>
      <c r="R27" s="37">
        <f>IFERROR(MATCH(18026,振り分け!$S$3:$S$302,0),"")</f>
        <v/>
      </c>
      <c r="S27" s="37">
        <f>IFERROR(MATCH(19026,振り分け!$S$3:$S$302,0),"")</f>
        <v/>
      </c>
      <c r="T27" s="37">
        <f>IFERROR(MATCH(20026,振り分け!$S$3:$S$302,0),"")</f>
        <v/>
      </c>
    </row>
    <row r="28">
      <c r="A28" s="37">
        <f>IFERROR(MATCH(1027,振り分け!$S$3:$S$302,0),"")</f>
        <v/>
      </c>
      <c r="B28" s="37">
        <f>IFERROR(MATCH(2027,振り分け!$S$3:$S$302,0),"")</f>
        <v/>
      </c>
      <c r="C28" s="37">
        <f>IFERROR(MATCH(3027,振り分け!$S$3:$S$302,0),"")</f>
        <v/>
      </c>
      <c r="D28" s="37">
        <f>IFERROR(MATCH(4027,振り分け!$S$3:$S$302,0),"")</f>
        <v/>
      </c>
      <c r="E28" s="37">
        <f>IFERROR(MATCH(5027,振り分け!$S$3:$S$302,0),"")</f>
        <v/>
      </c>
      <c r="F28" s="37">
        <f>IFERROR(MATCH(6027,振り分け!$S$3:$S$302,0),"")</f>
        <v/>
      </c>
      <c r="G28" s="37">
        <f>IFERROR(MATCH(7027,振り分け!$S$3:$S$302,0),"")</f>
        <v/>
      </c>
      <c r="H28" s="37">
        <f>IFERROR(MATCH(8027,振り分け!$S$3:$S$302,0),"")</f>
        <v/>
      </c>
      <c r="I28" s="37">
        <f>IFERROR(MATCH(9027,振り分け!$S$3:$S$302,0),"")</f>
        <v/>
      </c>
      <c r="J28" s="37">
        <f>IFERROR(MATCH(10027,振り分け!$S$3:$S$302,0),"")</f>
        <v/>
      </c>
      <c r="K28" s="37">
        <f>IFERROR(MATCH(11027,振り分け!$S$3:$S$302,0),"")</f>
        <v/>
      </c>
      <c r="L28" s="37">
        <f>IFERROR(MATCH(12027,振り分け!$S$3:$S$302,0),"")</f>
        <v/>
      </c>
      <c r="M28" s="37">
        <f>IFERROR(MATCH(13027,振り分け!$S$3:$S$302,0),"")</f>
        <v/>
      </c>
      <c r="N28" s="37">
        <f>IFERROR(MATCH(14027,振り分け!$S$3:$S$302,0),"")</f>
        <v/>
      </c>
      <c r="O28" s="37">
        <f>IFERROR(MATCH(15027,振り分け!$S$3:$S$302,0),"")</f>
        <v/>
      </c>
      <c r="P28" s="37">
        <f>IFERROR(MATCH(16027,振り分け!$S$3:$S$302,0),"")</f>
        <v/>
      </c>
      <c r="Q28" s="37">
        <f>IFERROR(MATCH(17027,振り分け!$S$3:$S$302,0),"")</f>
        <v/>
      </c>
      <c r="R28" s="37">
        <f>IFERROR(MATCH(18027,振り分け!$S$3:$S$302,0),"")</f>
        <v/>
      </c>
      <c r="S28" s="37">
        <f>IFERROR(MATCH(19027,振り分け!$S$3:$S$302,0),"")</f>
        <v/>
      </c>
      <c r="T28" s="37">
        <f>IFERROR(MATCH(20027,振り分け!$S$3:$S$302,0),"")</f>
        <v/>
      </c>
    </row>
    <row r="29">
      <c r="A29" s="37">
        <f>IFERROR(MATCH(1028,振り分け!$S$3:$S$302,0),"")</f>
        <v/>
      </c>
      <c r="B29" s="37">
        <f>IFERROR(MATCH(2028,振り分け!$S$3:$S$302,0),"")</f>
        <v/>
      </c>
      <c r="C29" s="37">
        <f>IFERROR(MATCH(3028,振り分け!$S$3:$S$302,0),"")</f>
        <v/>
      </c>
      <c r="D29" s="37">
        <f>IFERROR(MATCH(4028,振り分け!$S$3:$S$302,0),"")</f>
        <v/>
      </c>
      <c r="E29" s="37">
        <f>IFERROR(MATCH(5028,振り分け!$S$3:$S$302,0),"")</f>
        <v/>
      </c>
      <c r="F29" s="37">
        <f>IFERROR(MATCH(6028,振り分け!$S$3:$S$302,0),"")</f>
        <v/>
      </c>
      <c r="G29" s="37">
        <f>IFERROR(MATCH(7028,振り分け!$S$3:$S$302,0),"")</f>
        <v/>
      </c>
      <c r="H29" s="37">
        <f>IFERROR(MATCH(8028,振り分け!$S$3:$S$302,0),"")</f>
        <v/>
      </c>
      <c r="I29" s="37">
        <f>IFERROR(MATCH(9028,振り分け!$S$3:$S$302,0),"")</f>
        <v/>
      </c>
      <c r="J29" s="37">
        <f>IFERROR(MATCH(10028,振り分け!$S$3:$S$302,0),"")</f>
        <v/>
      </c>
      <c r="K29" s="37">
        <f>IFERROR(MATCH(11028,振り分け!$S$3:$S$302,0),"")</f>
        <v/>
      </c>
      <c r="L29" s="37">
        <f>IFERROR(MATCH(12028,振り分け!$S$3:$S$302,0),"")</f>
        <v/>
      </c>
      <c r="M29" s="37">
        <f>IFERROR(MATCH(13028,振り分け!$S$3:$S$302,0),"")</f>
        <v/>
      </c>
      <c r="N29" s="37">
        <f>IFERROR(MATCH(14028,振り分け!$S$3:$S$302,0),"")</f>
        <v/>
      </c>
      <c r="O29" s="37">
        <f>IFERROR(MATCH(15028,振り分け!$S$3:$S$302,0),"")</f>
        <v/>
      </c>
      <c r="P29" s="37">
        <f>IFERROR(MATCH(16028,振り分け!$S$3:$S$302,0),"")</f>
        <v/>
      </c>
      <c r="Q29" s="37">
        <f>IFERROR(MATCH(17028,振り分け!$S$3:$S$302,0),"")</f>
        <v/>
      </c>
      <c r="R29" s="37">
        <f>IFERROR(MATCH(18028,振り分け!$S$3:$S$302,0),"")</f>
        <v/>
      </c>
      <c r="S29" s="37">
        <f>IFERROR(MATCH(19028,振り分け!$S$3:$S$302,0),"")</f>
        <v/>
      </c>
      <c r="T29" s="37">
        <f>IFERROR(MATCH(20028,振り分け!$S$3:$S$302,0),"")</f>
        <v/>
      </c>
    </row>
    <row r="30">
      <c r="A30" s="37">
        <f>IFERROR(MATCH(1029,振り分け!$S$3:$S$302,0),"")</f>
        <v/>
      </c>
      <c r="B30" s="37">
        <f>IFERROR(MATCH(2029,振り分け!$S$3:$S$302,0),"")</f>
        <v/>
      </c>
      <c r="C30" s="37">
        <f>IFERROR(MATCH(3029,振り分け!$S$3:$S$302,0),"")</f>
        <v/>
      </c>
      <c r="D30" s="37">
        <f>IFERROR(MATCH(4029,振り分け!$S$3:$S$302,0),"")</f>
        <v/>
      </c>
      <c r="E30" s="37">
        <f>IFERROR(MATCH(5029,振り分け!$S$3:$S$302,0),"")</f>
        <v/>
      </c>
      <c r="F30" s="37">
        <f>IFERROR(MATCH(6029,振り分け!$S$3:$S$302,0),"")</f>
        <v/>
      </c>
      <c r="G30" s="37">
        <f>IFERROR(MATCH(7029,振り分け!$S$3:$S$302,0),"")</f>
        <v/>
      </c>
      <c r="H30" s="37">
        <f>IFERROR(MATCH(8029,振り分け!$S$3:$S$302,0),"")</f>
        <v/>
      </c>
      <c r="I30" s="37">
        <f>IFERROR(MATCH(9029,振り分け!$S$3:$S$302,0),"")</f>
        <v/>
      </c>
      <c r="J30" s="37">
        <f>IFERROR(MATCH(10029,振り分け!$S$3:$S$302,0),"")</f>
        <v/>
      </c>
      <c r="K30" s="37">
        <f>IFERROR(MATCH(11029,振り分け!$S$3:$S$302,0),"")</f>
        <v/>
      </c>
      <c r="L30" s="37">
        <f>IFERROR(MATCH(12029,振り分け!$S$3:$S$302,0),"")</f>
        <v/>
      </c>
      <c r="M30" s="37">
        <f>IFERROR(MATCH(13029,振り分け!$S$3:$S$302,0),"")</f>
        <v/>
      </c>
      <c r="N30" s="37">
        <f>IFERROR(MATCH(14029,振り分け!$S$3:$S$302,0),"")</f>
        <v/>
      </c>
      <c r="O30" s="37">
        <f>IFERROR(MATCH(15029,振り分け!$S$3:$S$302,0),"")</f>
        <v/>
      </c>
      <c r="P30" s="37">
        <f>IFERROR(MATCH(16029,振り分け!$S$3:$S$302,0),"")</f>
        <v/>
      </c>
      <c r="Q30" s="37">
        <f>IFERROR(MATCH(17029,振り分け!$S$3:$S$302,0),"")</f>
        <v/>
      </c>
      <c r="R30" s="37">
        <f>IFERROR(MATCH(18029,振り分け!$S$3:$S$302,0),"")</f>
        <v/>
      </c>
      <c r="S30" s="37">
        <f>IFERROR(MATCH(19029,振り分け!$S$3:$S$302,0),"")</f>
        <v/>
      </c>
      <c r="T30" s="37">
        <f>IFERROR(MATCH(20029,振り分け!$S$3:$S$302,0),"")</f>
        <v/>
      </c>
    </row>
    <row r="31">
      <c r="A31" s="37">
        <f>IFERROR(MATCH(1030,振り分け!$S$3:$S$302,0),"")</f>
        <v/>
      </c>
      <c r="B31" s="37">
        <f>IFERROR(MATCH(2030,振り分け!$S$3:$S$302,0),"")</f>
        <v/>
      </c>
      <c r="C31" s="37">
        <f>IFERROR(MATCH(3030,振り分け!$S$3:$S$302,0),"")</f>
        <v/>
      </c>
      <c r="D31" s="37">
        <f>IFERROR(MATCH(4030,振り分け!$S$3:$S$302,0),"")</f>
        <v/>
      </c>
      <c r="E31" s="37">
        <f>IFERROR(MATCH(5030,振り分け!$S$3:$S$302,0),"")</f>
        <v/>
      </c>
      <c r="F31" s="37">
        <f>IFERROR(MATCH(6030,振り分け!$S$3:$S$302,0),"")</f>
        <v/>
      </c>
      <c r="G31" s="37">
        <f>IFERROR(MATCH(7030,振り分け!$S$3:$S$302,0),"")</f>
        <v/>
      </c>
      <c r="H31" s="37">
        <f>IFERROR(MATCH(8030,振り分け!$S$3:$S$302,0),"")</f>
        <v/>
      </c>
      <c r="I31" s="37">
        <f>IFERROR(MATCH(9030,振り分け!$S$3:$S$302,0),"")</f>
        <v/>
      </c>
      <c r="J31" s="37">
        <f>IFERROR(MATCH(10030,振り分け!$S$3:$S$302,0),"")</f>
        <v/>
      </c>
      <c r="K31" s="37">
        <f>IFERROR(MATCH(11030,振り分け!$S$3:$S$302,0),"")</f>
        <v/>
      </c>
      <c r="L31" s="37">
        <f>IFERROR(MATCH(12030,振り分け!$S$3:$S$302,0),"")</f>
        <v/>
      </c>
      <c r="M31" s="37">
        <f>IFERROR(MATCH(13030,振り分け!$S$3:$S$302,0),"")</f>
        <v/>
      </c>
      <c r="N31" s="37">
        <f>IFERROR(MATCH(14030,振り分け!$S$3:$S$302,0),"")</f>
        <v/>
      </c>
      <c r="O31" s="37">
        <f>IFERROR(MATCH(15030,振り分け!$S$3:$S$302,0),"")</f>
        <v/>
      </c>
      <c r="P31" s="37">
        <f>IFERROR(MATCH(16030,振り分け!$S$3:$S$302,0),"")</f>
        <v/>
      </c>
      <c r="Q31" s="37">
        <f>IFERROR(MATCH(17030,振り分け!$S$3:$S$302,0),"")</f>
        <v/>
      </c>
      <c r="R31" s="37">
        <f>IFERROR(MATCH(18030,振り分け!$S$3:$S$302,0),"")</f>
        <v/>
      </c>
      <c r="S31" s="37">
        <f>IFERROR(MATCH(19030,振り分け!$S$3:$S$302,0),"")</f>
        <v/>
      </c>
      <c r="T31" s="37">
        <f>IFERROR(MATCH(20030,振り分け!$S$3:$S$302,0),"")</f>
        <v/>
      </c>
    </row>
    <row r="32">
      <c r="A32" s="37">
        <f>IFERROR(MATCH(1031,振り分け!$S$3:$S$302,0),"")</f>
        <v/>
      </c>
      <c r="B32" s="37">
        <f>IFERROR(MATCH(2031,振り分け!$S$3:$S$302,0),"")</f>
        <v/>
      </c>
      <c r="C32" s="37">
        <f>IFERROR(MATCH(3031,振り分け!$S$3:$S$302,0),"")</f>
        <v/>
      </c>
      <c r="D32" s="37">
        <f>IFERROR(MATCH(4031,振り分け!$S$3:$S$302,0),"")</f>
        <v/>
      </c>
      <c r="E32" s="37">
        <f>IFERROR(MATCH(5031,振り分け!$S$3:$S$302,0),"")</f>
        <v/>
      </c>
      <c r="F32" s="37">
        <f>IFERROR(MATCH(6031,振り分け!$S$3:$S$302,0),"")</f>
        <v/>
      </c>
      <c r="G32" s="37">
        <f>IFERROR(MATCH(7031,振り分け!$S$3:$S$302,0),"")</f>
        <v/>
      </c>
      <c r="H32" s="37">
        <f>IFERROR(MATCH(8031,振り分け!$S$3:$S$302,0),"")</f>
        <v/>
      </c>
      <c r="I32" s="37">
        <f>IFERROR(MATCH(9031,振り分け!$S$3:$S$302,0),"")</f>
        <v/>
      </c>
      <c r="J32" s="37">
        <f>IFERROR(MATCH(10031,振り分け!$S$3:$S$302,0),"")</f>
        <v/>
      </c>
      <c r="K32" s="37">
        <f>IFERROR(MATCH(11031,振り分け!$S$3:$S$302,0),"")</f>
        <v/>
      </c>
      <c r="L32" s="37">
        <f>IFERROR(MATCH(12031,振り分け!$S$3:$S$302,0),"")</f>
        <v/>
      </c>
      <c r="M32" s="37">
        <f>IFERROR(MATCH(13031,振り分け!$S$3:$S$302,0),"")</f>
        <v/>
      </c>
      <c r="N32" s="37">
        <f>IFERROR(MATCH(14031,振り分け!$S$3:$S$302,0),"")</f>
        <v/>
      </c>
      <c r="O32" s="37">
        <f>IFERROR(MATCH(15031,振り分け!$S$3:$S$302,0),"")</f>
        <v/>
      </c>
      <c r="P32" s="37">
        <f>IFERROR(MATCH(16031,振り分け!$S$3:$S$302,0),"")</f>
        <v/>
      </c>
      <c r="Q32" s="37">
        <f>IFERROR(MATCH(17031,振り分け!$S$3:$S$302,0),"")</f>
        <v/>
      </c>
      <c r="R32" s="37">
        <f>IFERROR(MATCH(18031,振り分け!$S$3:$S$302,0),"")</f>
        <v/>
      </c>
      <c r="S32" s="37">
        <f>IFERROR(MATCH(19031,振り分け!$S$3:$S$302,0),"")</f>
        <v/>
      </c>
      <c r="T32" s="37">
        <f>IFERROR(MATCH(20031,振り分け!$S$3:$S$302,0),"")</f>
        <v/>
      </c>
    </row>
    <row r="33">
      <c r="A33" s="37">
        <f>IFERROR(MATCH(1032,振り分け!$S$3:$S$302,0),"")</f>
        <v/>
      </c>
      <c r="B33" s="37">
        <f>IFERROR(MATCH(2032,振り分け!$S$3:$S$302,0),"")</f>
        <v/>
      </c>
      <c r="C33" s="37">
        <f>IFERROR(MATCH(3032,振り分け!$S$3:$S$302,0),"")</f>
        <v/>
      </c>
      <c r="D33" s="37">
        <f>IFERROR(MATCH(4032,振り分け!$S$3:$S$302,0),"")</f>
        <v/>
      </c>
      <c r="E33" s="37">
        <f>IFERROR(MATCH(5032,振り分け!$S$3:$S$302,0),"")</f>
        <v/>
      </c>
      <c r="F33" s="37">
        <f>IFERROR(MATCH(6032,振り分け!$S$3:$S$302,0),"")</f>
        <v/>
      </c>
      <c r="G33" s="37">
        <f>IFERROR(MATCH(7032,振り分け!$S$3:$S$302,0),"")</f>
        <v/>
      </c>
      <c r="H33" s="37">
        <f>IFERROR(MATCH(8032,振り分け!$S$3:$S$302,0),"")</f>
        <v/>
      </c>
      <c r="I33" s="37">
        <f>IFERROR(MATCH(9032,振り分け!$S$3:$S$302,0),"")</f>
        <v/>
      </c>
      <c r="J33" s="37">
        <f>IFERROR(MATCH(10032,振り分け!$S$3:$S$302,0),"")</f>
        <v/>
      </c>
      <c r="K33" s="37">
        <f>IFERROR(MATCH(11032,振り分け!$S$3:$S$302,0),"")</f>
        <v/>
      </c>
      <c r="L33" s="37">
        <f>IFERROR(MATCH(12032,振り分け!$S$3:$S$302,0),"")</f>
        <v/>
      </c>
      <c r="M33" s="37">
        <f>IFERROR(MATCH(13032,振り分け!$S$3:$S$302,0),"")</f>
        <v/>
      </c>
      <c r="N33" s="37">
        <f>IFERROR(MATCH(14032,振り分け!$S$3:$S$302,0),"")</f>
        <v/>
      </c>
      <c r="O33" s="37">
        <f>IFERROR(MATCH(15032,振り分け!$S$3:$S$302,0),"")</f>
        <v/>
      </c>
      <c r="P33" s="37">
        <f>IFERROR(MATCH(16032,振り分け!$S$3:$S$302,0),"")</f>
        <v/>
      </c>
      <c r="Q33" s="37">
        <f>IFERROR(MATCH(17032,振り分け!$S$3:$S$302,0),"")</f>
        <v/>
      </c>
      <c r="R33" s="37">
        <f>IFERROR(MATCH(18032,振り分け!$S$3:$S$302,0),"")</f>
        <v/>
      </c>
      <c r="S33" s="37">
        <f>IFERROR(MATCH(19032,振り分け!$S$3:$S$302,0),"")</f>
        <v/>
      </c>
      <c r="T33" s="37">
        <f>IFERROR(MATCH(20032,振り分け!$S$3:$S$302,0),"")</f>
        <v/>
      </c>
    </row>
    <row r="34">
      <c r="A34" s="37">
        <f>IFERROR(MATCH(1033,振り分け!$S$3:$S$302,0),"")</f>
        <v/>
      </c>
      <c r="B34" s="37">
        <f>IFERROR(MATCH(2033,振り分け!$S$3:$S$302,0),"")</f>
        <v/>
      </c>
      <c r="C34" s="37">
        <f>IFERROR(MATCH(3033,振り分け!$S$3:$S$302,0),"")</f>
        <v/>
      </c>
      <c r="D34" s="37">
        <f>IFERROR(MATCH(4033,振り分け!$S$3:$S$302,0),"")</f>
        <v/>
      </c>
      <c r="E34" s="37">
        <f>IFERROR(MATCH(5033,振り分け!$S$3:$S$302,0),"")</f>
        <v/>
      </c>
      <c r="F34" s="37">
        <f>IFERROR(MATCH(6033,振り分け!$S$3:$S$302,0),"")</f>
        <v/>
      </c>
      <c r="G34" s="37">
        <f>IFERROR(MATCH(7033,振り分け!$S$3:$S$302,0),"")</f>
        <v/>
      </c>
      <c r="H34" s="37">
        <f>IFERROR(MATCH(8033,振り分け!$S$3:$S$302,0),"")</f>
        <v/>
      </c>
      <c r="I34" s="37">
        <f>IFERROR(MATCH(9033,振り分け!$S$3:$S$302,0),"")</f>
        <v/>
      </c>
      <c r="J34" s="37">
        <f>IFERROR(MATCH(10033,振り分け!$S$3:$S$302,0),"")</f>
        <v/>
      </c>
      <c r="K34" s="37">
        <f>IFERROR(MATCH(11033,振り分け!$S$3:$S$302,0),"")</f>
        <v/>
      </c>
      <c r="L34" s="37">
        <f>IFERROR(MATCH(12033,振り分け!$S$3:$S$302,0),"")</f>
        <v/>
      </c>
      <c r="M34" s="37">
        <f>IFERROR(MATCH(13033,振り分け!$S$3:$S$302,0),"")</f>
        <v/>
      </c>
      <c r="N34" s="37">
        <f>IFERROR(MATCH(14033,振り分け!$S$3:$S$302,0),"")</f>
        <v/>
      </c>
      <c r="O34" s="37">
        <f>IFERROR(MATCH(15033,振り分け!$S$3:$S$302,0),"")</f>
        <v/>
      </c>
      <c r="P34" s="37">
        <f>IFERROR(MATCH(16033,振り分け!$S$3:$S$302,0),"")</f>
        <v/>
      </c>
      <c r="Q34" s="37">
        <f>IFERROR(MATCH(17033,振り分け!$S$3:$S$302,0),"")</f>
        <v/>
      </c>
      <c r="R34" s="37">
        <f>IFERROR(MATCH(18033,振り分け!$S$3:$S$302,0),"")</f>
        <v/>
      </c>
      <c r="S34" s="37">
        <f>IFERROR(MATCH(19033,振り分け!$S$3:$S$302,0),"")</f>
        <v/>
      </c>
      <c r="T34" s="37">
        <f>IFERROR(MATCH(20033,振り分け!$S$3:$S$302,0),"")</f>
        <v/>
      </c>
    </row>
    <row r="35">
      <c r="A35" s="37">
        <f>IFERROR(MATCH(1034,振り分け!$S$3:$S$302,0),"")</f>
        <v/>
      </c>
      <c r="B35" s="37">
        <f>IFERROR(MATCH(2034,振り分け!$S$3:$S$302,0),"")</f>
        <v/>
      </c>
      <c r="C35" s="37">
        <f>IFERROR(MATCH(3034,振り分け!$S$3:$S$302,0),"")</f>
        <v/>
      </c>
      <c r="D35" s="37">
        <f>IFERROR(MATCH(4034,振り分け!$S$3:$S$302,0),"")</f>
        <v/>
      </c>
      <c r="E35" s="37">
        <f>IFERROR(MATCH(5034,振り分け!$S$3:$S$302,0),"")</f>
        <v/>
      </c>
      <c r="F35" s="37">
        <f>IFERROR(MATCH(6034,振り分け!$S$3:$S$302,0),"")</f>
        <v/>
      </c>
      <c r="G35" s="37">
        <f>IFERROR(MATCH(7034,振り分け!$S$3:$S$302,0),"")</f>
        <v/>
      </c>
      <c r="H35" s="37">
        <f>IFERROR(MATCH(8034,振り分け!$S$3:$S$302,0),"")</f>
        <v/>
      </c>
      <c r="I35" s="37">
        <f>IFERROR(MATCH(9034,振り分け!$S$3:$S$302,0),"")</f>
        <v/>
      </c>
      <c r="J35" s="37">
        <f>IFERROR(MATCH(10034,振り分け!$S$3:$S$302,0),"")</f>
        <v/>
      </c>
      <c r="K35" s="37">
        <f>IFERROR(MATCH(11034,振り分け!$S$3:$S$302,0),"")</f>
        <v/>
      </c>
      <c r="L35" s="37">
        <f>IFERROR(MATCH(12034,振り分け!$S$3:$S$302,0),"")</f>
        <v/>
      </c>
      <c r="M35" s="37">
        <f>IFERROR(MATCH(13034,振り分け!$S$3:$S$302,0),"")</f>
        <v/>
      </c>
      <c r="N35" s="37">
        <f>IFERROR(MATCH(14034,振り分け!$S$3:$S$302,0),"")</f>
        <v/>
      </c>
      <c r="O35" s="37">
        <f>IFERROR(MATCH(15034,振り分け!$S$3:$S$302,0),"")</f>
        <v/>
      </c>
      <c r="P35" s="37">
        <f>IFERROR(MATCH(16034,振り分け!$S$3:$S$302,0),"")</f>
        <v/>
      </c>
      <c r="Q35" s="37">
        <f>IFERROR(MATCH(17034,振り分け!$S$3:$S$302,0),"")</f>
        <v/>
      </c>
      <c r="R35" s="37">
        <f>IFERROR(MATCH(18034,振り分け!$S$3:$S$302,0),"")</f>
        <v/>
      </c>
      <c r="S35" s="37">
        <f>IFERROR(MATCH(19034,振り分け!$S$3:$S$302,0),"")</f>
        <v/>
      </c>
      <c r="T35" s="37">
        <f>IFERROR(MATCH(20034,振り分け!$S$3:$S$302,0),"")</f>
        <v/>
      </c>
    </row>
    <row r="36">
      <c r="A36" s="37">
        <f>IFERROR(MATCH(1035,振り分け!$S$3:$S$302,0),"")</f>
        <v/>
      </c>
      <c r="B36" s="37">
        <f>IFERROR(MATCH(2035,振り分け!$S$3:$S$302,0),"")</f>
        <v/>
      </c>
      <c r="C36" s="37">
        <f>IFERROR(MATCH(3035,振り分け!$S$3:$S$302,0),"")</f>
        <v/>
      </c>
      <c r="D36" s="37">
        <f>IFERROR(MATCH(4035,振り分け!$S$3:$S$302,0),"")</f>
        <v/>
      </c>
      <c r="E36" s="37">
        <f>IFERROR(MATCH(5035,振り分け!$S$3:$S$302,0),"")</f>
        <v/>
      </c>
      <c r="F36" s="37">
        <f>IFERROR(MATCH(6035,振り分け!$S$3:$S$302,0),"")</f>
        <v/>
      </c>
      <c r="G36" s="37">
        <f>IFERROR(MATCH(7035,振り分け!$S$3:$S$302,0),"")</f>
        <v/>
      </c>
      <c r="H36" s="37">
        <f>IFERROR(MATCH(8035,振り分け!$S$3:$S$302,0),"")</f>
        <v/>
      </c>
      <c r="I36" s="37">
        <f>IFERROR(MATCH(9035,振り分け!$S$3:$S$302,0),"")</f>
        <v/>
      </c>
      <c r="J36" s="37">
        <f>IFERROR(MATCH(10035,振り分け!$S$3:$S$302,0),"")</f>
        <v/>
      </c>
      <c r="K36" s="37">
        <f>IFERROR(MATCH(11035,振り分け!$S$3:$S$302,0),"")</f>
        <v/>
      </c>
      <c r="L36" s="37">
        <f>IFERROR(MATCH(12035,振り分け!$S$3:$S$302,0),"")</f>
        <v/>
      </c>
      <c r="M36" s="37">
        <f>IFERROR(MATCH(13035,振り分け!$S$3:$S$302,0),"")</f>
        <v/>
      </c>
      <c r="N36" s="37">
        <f>IFERROR(MATCH(14035,振り分け!$S$3:$S$302,0),"")</f>
        <v/>
      </c>
      <c r="O36" s="37">
        <f>IFERROR(MATCH(15035,振り分け!$S$3:$S$302,0),"")</f>
        <v/>
      </c>
      <c r="P36" s="37">
        <f>IFERROR(MATCH(16035,振り分け!$S$3:$S$302,0),"")</f>
        <v/>
      </c>
      <c r="Q36" s="37">
        <f>IFERROR(MATCH(17035,振り分け!$S$3:$S$302,0),"")</f>
        <v/>
      </c>
      <c r="R36" s="37">
        <f>IFERROR(MATCH(18035,振り分け!$S$3:$S$302,0),"")</f>
        <v/>
      </c>
      <c r="S36" s="37">
        <f>IFERROR(MATCH(19035,振り分け!$S$3:$S$302,0),"")</f>
        <v/>
      </c>
      <c r="T36" s="37">
        <f>IFERROR(MATCH(20035,振り分け!$S$3:$S$302,0),"")</f>
        <v/>
      </c>
    </row>
    <row r="37">
      <c r="A37" s="37">
        <f>IFERROR(MATCH(1036,振り分け!$S$3:$S$302,0),"")</f>
        <v/>
      </c>
      <c r="B37" s="37">
        <f>IFERROR(MATCH(2036,振り分け!$S$3:$S$302,0),"")</f>
        <v/>
      </c>
      <c r="C37" s="37">
        <f>IFERROR(MATCH(3036,振り分け!$S$3:$S$302,0),"")</f>
        <v/>
      </c>
      <c r="D37" s="37">
        <f>IFERROR(MATCH(4036,振り分け!$S$3:$S$302,0),"")</f>
        <v/>
      </c>
      <c r="E37" s="37">
        <f>IFERROR(MATCH(5036,振り分け!$S$3:$S$302,0),"")</f>
        <v/>
      </c>
      <c r="F37" s="37">
        <f>IFERROR(MATCH(6036,振り分け!$S$3:$S$302,0),"")</f>
        <v/>
      </c>
      <c r="G37" s="37">
        <f>IFERROR(MATCH(7036,振り分け!$S$3:$S$302,0),"")</f>
        <v/>
      </c>
      <c r="H37" s="37">
        <f>IFERROR(MATCH(8036,振り分け!$S$3:$S$302,0),"")</f>
        <v/>
      </c>
      <c r="I37" s="37">
        <f>IFERROR(MATCH(9036,振り分け!$S$3:$S$302,0),"")</f>
        <v/>
      </c>
      <c r="J37" s="37">
        <f>IFERROR(MATCH(10036,振り分け!$S$3:$S$302,0),"")</f>
        <v/>
      </c>
      <c r="K37" s="37">
        <f>IFERROR(MATCH(11036,振り分け!$S$3:$S$302,0),"")</f>
        <v/>
      </c>
      <c r="L37" s="37">
        <f>IFERROR(MATCH(12036,振り分け!$S$3:$S$302,0),"")</f>
        <v/>
      </c>
      <c r="M37" s="37">
        <f>IFERROR(MATCH(13036,振り分け!$S$3:$S$302,0),"")</f>
        <v/>
      </c>
      <c r="N37" s="37">
        <f>IFERROR(MATCH(14036,振り分け!$S$3:$S$302,0),"")</f>
        <v/>
      </c>
      <c r="O37" s="37">
        <f>IFERROR(MATCH(15036,振り分け!$S$3:$S$302,0),"")</f>
        <v/>
      </c>
      <c r="P37" s="37">
        <f>IFERROR(MATCH(16036,振り分け!$S$3:$S$302,0),"")</f>
        <v/>
      </c>
      <c r="Q37" s="37">
        <f>IFERROR(MATCH(17036,振り分け!$S$3:$S$302,0),"")</f>
        <v/>
      </c>
      <c r="R37" s="37">
        <f>IFERROR(MATCH(18036,振り分け!$S$3:$S$302,0),"")</f>
        <v/>
      </c>
      <c r="S37" s="37">
        <f>IFERROR(MATCH(19036,振り分け!$S$3:$S$302,0),"")</f>
        <v/>
      </c>
      <c r="T37" s="37">
        <f>IFERROR(MATCH(20036,振り分け!$S$3:$S$302,0),"")</f>
        <v/>
      </c>
    </row>
    <row r="38">
      <c r="A38" s="37">
        <f>IFERROR(MATCH(1037,振り分け!$S$3:$S$302,0),"")</f>
        <v/>
      </c>
      <c r="B38" s="37">
        <f>IFERROR(MATCH(2037,振り分け!$S$3:$S$302,0),"")</f>
        <v/>
      </c>
      <c r="C38" s="37">
        <f>IFERROR(MATCH(3037,振り分け!$S$3:$S$302,0),"")</f>
        <v/>
      </c>
      <c r="D38" s="37">
        <f>IFERROR(MATCH(4037,振り分け!$S$3:$S$302,0),"")</f>
        <v/>
      </c>
      <c r="E38" s="37">
        <f>IFERROR(MATCH(5037,振り分け!$S$3:$S$302,0),"")</f>
        <v/>
      </c>
      <c r="F38" s="37">
        <f>IFERROR(MATCH(6037,振り分け!$S$3:$S$302,0),"")</f>
        <v/>
      </c>
      <c r="G38" s="37">
        <f>IFERROR(MATCH(7037,振り分け!$S$3:$S$302,0),"")</f>
        <v/>
      </c>
      <c r="H38" s="37">
        <f>IFERROR(MATCH(8037,振り分け!$S$3:$S$302,0),"")</f>
        <v/>
      </c>
      <c r="I38" s="37">
        <f>IFERROR(MATCH(9037,振り分け!$S$3:$S$302,0),"")</f>
        <v/>
      </c>
      <c r="J38" s="37">
        <f>IFERROR(MATCH(10037,振り分け!$S$3:$S$302,0),"")</f>
        <v/>
      </c>
      <c r="K38" s="37">
        <f>IFERROR(MATCH(11037,振り分け!$S$3:$S$302,0),"")</f>
        <v/>
      </c>
      <c r="L38" s="37">
        <f>IFERROR(MATCH(12037,振り分け!$S$3:$S$302,0),"")</f>
        <v/>
      </c>
      <c r="M38" s="37">
        <f>IFERROR(MATCH(13037,振り分け!$S$3:$S$302,0),"")</f>
        <v/>
      </c>
      <c r="N38" s="37">
        <f>IFERROR(MATCH(14037,振り分け!$S$3:$S$302,0),"")</f>
        <v/>
      </c>
      <c r="O38" s="37">
        <f>IFERROR(MATCH(15037,振り分け!$S$3:$S$302,0),"")</f>
        <v/>
      </c>
      <c r="P38" s="37">
        <f>IFERROR(MATCH(16037,振り分け!$S$3:$S$302,0),"")</f>
        <v/>
      </c>
      <c r="Q38" s="37">
        <f>IFERROR(MATCH(17037,振り分け!$S$3:$S$302,0),"")</f>
        <v/>
      </c>
      <c r="R38" s="37">
        <f>IFERROR(MATCH(18037,振り分け!$S$3:$S$302,0),"")</f>
        <v/>
      </c>
      <c r="S38" s="37">
        <f>IFERROR(MATCH(19037,振り分け!$S$3:$S$302,0),"")</f>
        <v/>
      </c>
      <c r="T38" s="37">
        <f>IFERROR(MATCH(20037,振り分け!$S$3:$S$302,0),"")</f>
        <v/>
      </c>
    </row>
    <row r="39">
      <c r="A39" s="37">
        <f>IFERROR(MATCH(1038,振り分け!$S$3:$S$302,0),"")</f>
        <v/>
      </c>
      <c r="B39" s="37">
        <f>IFERROR(MATCH(2038,振り分け!$S$3:$S$302,0),"")</f>
        <v/>
      </c>
      <c r="C39" s="37">
        <f>IFERROR(MATCH(3038,振り分け!$S$3:$S$302,0),"")</f>
        <v/>
      </c>
      <c r="D39" s="37">
        <f>IFERROR(MATCH(4038,振り分け!$S$3:$S$302,0),"")</f>
        <v/>
      </c>
      <c r="E39" s="37">
        <f>IFERROR(MATCH(5038,振り分け!$S$3:$S$302,0),"")</f>
        <v/>
      </c>
      <c r="F39" s="37">
        <f>IFERROR(MATCH(6038,振り分け!$S$3:$S$302,0),"")</f>
        <v/>
      </c>
      <c r="G39" s="37">
        <f>IFERROR(MATCH(7038,振り分け!$S$3:$S$302,0),"")</f>
        <v/>
      </c>
      <c r="H39" s="37">
        <f>IFERROR(MATCH(8038,振り分け!$S$3:$S$302,0),"")</f>
        <v/>
      </c>
      <c r="I39" s="37">
        <f>IFERROR(MATCH(9038,振り分け!$S$3:$S$302,0),"")</f>
        <v/>
      </c>
      <c r="J39" s="37">
        <f>IFERROR(MATCH(10038,振り分け!$S$3:$S$302,0),"")</f>
        <v/>
      </c>
      <c r="K39" s="37">
        <f>IFERROR(MATCH(11038,振り分け!$S$3:$S$302,0),"")</f>
        <v/>
      </c>
      <c r="L39" s="37">
        <f>IFERROR(MATCH(12038,振り分け!$S$3:$S$302,0),"")</f>
        <v/>
      </c>
      <c r="M39" s="37">
        <f>IFERROR(MATCH(13038,振り分け!$S$3:$S$302,0),"")</f>
        <v/>
      </c>
      <c r="N39" s="37">
        <f>IFERROR(MATCH(14038,振り分け!$S$3:$S$302,0),"")</f>
        <v/>
      </c>
      <c r="O39" s="37">
        <f>IFERROR(MATCH(15038,振り分け!$S$3:$S$302,0),"")</f>
        <v/>
      </c>
      <c r="P39" s="37">
        <f>IFERROR(MATCH(16038,振り分け!$S$3:$S$302,0),"")</f>
        <v/>
      </c>
      <c r="Q39" s="37">
        <f>IFERROR(MATCH(17038,振り分け!$S$3:$S$302,0),"")</f>
        <v/>
      </c>
      <c r="R39" s="37">
        <f>IFERROR(MATCH(18038,振り分け!$S$3:$S$302,0),"")</f>
        <v/>
      </c>
      <c r="S39" s="37">
        <f>IFERROR(MATCH(19038,振り分け!$S$3:$S$302,0),"")</f>
        <v/>
      </c>
      <c r="T39" s="37">
        <f>IFERROR(MATCH(20038,振り分け!$S$3:$S$302,0),"")</f>
        <v/>
      </c>
    </row>
    <row r="40">
      <c r="A40" s="37">
        <f>IFERROR(MATCH(1039,振り分け!$S$3:$S$302,0),"")</f>
        <v/>
      </c>
      <c r="B40" s="37">
        <f>IFERROR(MATCH(2039,振り分け!$S$3:$S$302,0),"")</f>
        <v/>
      </c>
      <c r="C40" s="37">
        <f>IFERROR(MATCH(3039,振り分け!$S$3:$S$302,0),"")</f>
        <v/>
      </c>
      <c r="D40" s="37">
        <f>IFERROR(MATCH(4039,振り分け!$S$3:$S$302,0),"")</f>
        <v/>
      </c>
      <c r="E40" s="37">
        <f>IFERROR(MATCH(5039,振り分け!$S$3:$S$302,0),"")</f>
        <v/>
      </c>
      <c r="F40" s="37">
        <f>IFERROR(MATCH(6039,振り分け!$S$3:$S$302,0),"")</f>
        <v/>
      </c>
      <c r="G40" s="37">
        <f>IFERROR(MATCH(7039,振り分け!$S$3:$S$302,0),"")</f>
        <v/>
      </c>
      <c r="H40" s="37">
        <f>IFERROR(MATCH(8039,振り分け!$S$3:$S$302,0),"")</f>
        <v/>
      </c>
      <c r="I40" s="37">
        <f>IFERROR(MATCH(9039,振り分け!$S$3:$S$302,0),"")</f>
        <v/>
      </c>
      <c r="J40" s="37">
        <f>IFERROR(MATCH(10039,振り分け!$S$3:$S$302,0),"")</f>
        <v/>
      </c>
      <c r="K40" s="37">
        <f>IFERROR(MATCH(11039,振り分け!$S$3:$S$302,0),"")</f>
        <v/>
      </c>
      <c r="L40" s="37">
        <f>IFERROR(MATCH(12039,振り分け!$S$3:$S$302,0),"")</f>
        <v/>
      </c>
      <c r="M40" s="37">
        <f>IFERROR(MATCH(13039,振り分け!$S$3:$S$302,0),"")</f>
        <v/>
      </c>
      <c r="N40" s="37">
        <f>IFERROR(MATCH(14039,振り分け!$S$3:$S$302,0),"")</f>
        <v/>
      </c>
      <c r="O40" s="37">
        <f>IFERROR(MATCH(15039,振り分け!$S$3:$S$302,0),"")</f>
        <v/>
      </c>
      <c r="P40" s="37">
        <f>IFERROR(MATCH(16039,振り分け!$S$3:$S$302,0),"")</f>
        <v/>
      </c>
      <c r="Q40" s="37">
        <f>IFERROR(MATCH(17039,振り分け!$S$3:$S$302,0),"")</f>
        <v/>
      </c>
      <c r="R40" s="37">
        <f>IFERROR(MATCH(18039,振り分け!$S$3:$S$302,0),"")</f>
        <v/>
      </c>
      <c r="S40" s="37">
        <f>IFERROR(MATCH(19039,振り分け!$S$3:$S$302,0),"")</f>
        <v/>
      </c>
      <c r="T40" s="37">
        <f>IFERROR(MATCH(20039,振り分け!$S$3:$S$302,0),"")</f>
        <v/>
      </c>
    </row>
    <row r="41">
      <c r="A41" s="37">
        <f>IFERROR(MATCH(1040,振り分け!$S$3:$S$302,0),"")</f>
        <v/>
      </c>
      <c r="B41" s="37">
        <f>IFERROR(MATCH(2040,振り分け!$S$3:$S$302,0),"")</f>
        <v/>
      </c>
      <c r="C41" s="37">
        <f>IFERROR(MATCH(3040,振り分け!$S$3:$S$302,0),"")</f>
        <v/>
      </c>
      <c r="D41" s="37">
        <f>IFERROR(MATCH(4040,振り分け!$S$3:$S$302,0),"")</f>
        <v/>
      </c>
      <c r="E41" s="37">
        <f>IFERROR(MATCH(5040,振り分け!$S$3:$S$302,0),"")</f>
        <v/>
      </c>
      <c r="F41" s="37">
        <f>IFERROR(MATCH(6040,振り分け!$S$3:$S$302,0),"")</f>
        <v/>
      </c>
      <c r="G41" s="37">
        <f>IFERROR(MATCH(7040,振り分け!$S$3:$S$302,0),"")</f>
        <v/>
      </c>
      <c r="H41" s="37">
        <f>IFERROR(MATCH(8040,振り分け!$S$3:$S$302,0),"")</f>
        <v/>
      </c>
      <c r="I41" s="37">
        <f>IFERROR(MATCH(9040,振り分け!$S$3:$S$302,0),"")</f>
        <v/>
      </c>
      <c r="J41" s="37">
        <f>IFERROR(MATCH(10040,振り分け!$S$3:$S$302,0),"")</f>
        <v/>
      </c>
      <c r="K41" s="37">
        <f>IFERROR(MATCH(11040,振り分け!$S$3:$S$302,0),"")</f>
        <v/>
      </c>
      <c r="L41" s="37">
        <f>IFERROR(MATCH(12040,振り分け!$S$3:$S$302,0),"")</f>
        <v/>
      </c>
      <c r="M41" s="37">
        <f>IFERROR(MATCH(13040,振り分け!$S$3:$S$302,0),"")</f>
        <v/>
      </c>
      <c r="N41" s="37">
        <f>IFERROR(MATCH(14040,振り分け!$S$3:$S$302,0),"")</f>
        <v/>
      </c>
      <c r="O41" s="37">
        <f>IFERROR(MATCH(15040,振り分け!$S$3:$S$302,0),"")</f>
        <v/>
      </c>
      <c r="P41" s="37">
        <f>IFERROR(MATCH(16040,振り分け!$S$3:$S$302,0),"")</f>
        <v/>
      </c>
      <c r="Q41" s="37">
        <f>IFERROR(MATCH(17040,振り分け!$S$3:$S$302,0),"")</f>
        <v/>
      </c>
      <c r="R41" s="37">
        <f>IFERROR(MATCH(18040,振り分け!$S$3:$S$302,0),"")</f>
        <v/>
      </c>
      <c r="S41" s="37">
        <f>IFERROR(MATCH(19040,振り分け!$S$3:$S$302,0),"")</f>
        <v/>
      </c>
      <c r="T41" s="37">
        <f>IFERROR(MATCH(20040,振り分け!$S$3:$S$302,0),"")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2026-10-01T10:26:30Z</dcterms:created>
  <dcterms:modified xsi:type="dcterms:W3CDTF">2026-10-01T10:26:31Z</dcterms:modified>
</cp:coreProperties>
</file>