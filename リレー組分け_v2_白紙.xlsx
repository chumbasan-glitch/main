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umb\Downloads\"/>
    </mc:Choice>
  </mc:AlternateContent>
  <xr:revisionPtr revIDLastSave="0" documentId="13_ncr:1_{5923EE8E-DC9B-48CF-8848-55457C9EA1A3}" xr6:coauthVersionLast="47" xr6:coauthVersionMax="47" xr10:uidLastSave="{00000000-0000-0000-0000-000000000000}"/>
  <bookViews>
    <workbookView xWindow="-120" yWindow="-120" windowWidth="23280" windowHeight="14880" tabRatio="500" xr2:uid="{00000000-000D-0000-FFFF-FFFF00000000}"/>
  </bookViews>
  <sheets>
    <sheet name="①データ入力" sheetId="1" r:id="rId1"/>
    <sheet name="組ごとタイム順" sheetId="2" r:id="rId2"/>
    <sheet name="4人組" sheetId="3" r:id="rId3"/>
    <sheet name="計算用" sheetId="4" r:id="rId4"/>
  </sheets>
  <definedNames>
    <definedName name="_xlnm.Print_Area" localSheetId="2">OFFSET('4人組'!$A$1,0,0,3+ROUNDUP(MAX(計算用!$Q$2:$Q$5)/2,0),19)</definedName>
    <definedName name="_xlnm.Print_Area" localSheetId="1">OFFSET(組ごとタイム順!$A$1,0,0,3+MAX(計算用!$Q$2:$Q$5),17)</definedName>
    <definedName name="_xlnm.Print_Titles" localSheetId="2">'4人組'!$1:$3</definedName>
    <definedName name="_xlnm.Print_Titles" localSheetId="1">組ごとタイム順!$1:$3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6" i="4" l="1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186" i="4" l="1"/>
  <c r="B186" i="4"/>
  <c r="M186" i="4" s="1"/>
  <c r="C185" i="4"/>
  <c r="B185" i="4"/>
  <c r="M185" i="4" s="1"/>
  <c r="C184" i="4"/>
  <c r="B184" i="4"/>
  <c r="M184" i="4" s="1"/>
  <c r="C183" i="4"/>
  <c r="B183" i="4"/>
  <c r="M183" i="4" s="1"/>
  <c r="C182" i="4"/>
  <c r="B182" i="4"/>
  <c r="M182" i="4" s="1"/>
  <c r="C181" i="4"/>
  <c r="B181" i="4"/>
  <c r="M181" i="4" s="1"/>
  <c r="C180" i="4"/>
  <c r="B180" i="4"/>
  <c r="M180" i="4" s="1"/>
  <c r="C179" i="4"/>
  <c r="B179" i="4"/>
  <c r="M179" i="4" s="1"/>
  <c r="C178" i="4"/>
  <c r="B178" i="4"/>
  <c r="M178" i="4" s="1"/>
  <c r="C177" i="4"/>
  <c r="B177" i="4"/>
  <c r="M177" i="4" s="1"/>
  <c r="C176" i="4"/>
  <c r="B176" i="4"/>
  <c r="M176" i="4" s="1"/>
  <c r="C175" i="4"/>
  <c r="B175" i="4"/>
  <c r="M175" i="4" s="1"/>
  <c r="C174" i="4"/>
  <c r="B174" i="4"/>
  <c r="M174" i="4" s="1"/>
  <c r="C173" i="4"/>
  <c r="B173" i="4"/>
  <c r="M173" i="4" s="1"/>
  <c r="C172" i="4"/>
  <c r="B172" i="4"/>
  <c r="M172" i="4" s="1"/>
  <c r="C171" i="4"/>
  <c r="B171" i="4"/>
  <c r="M171" i="4" s="1"/>
  <c r="C170" i="4"/>
  <c r="B170" i="4"/>
  <c r="M170" i="4" s="1"/>
  <c r="C169" i="4"/>
  <c r="B169" i="4"/>
  <c r="M169" i="4" s="1"/>
  <c r="C168" i="4"/>
  <c r="B168" i="4"/>
  <c r="M168" i="4" s="1"/>
  <c r="C167" i="4"/>
  <c r="B167" i="4"/>
  <c r="M167" i="4" s="1"/>
  <c r="C166" i="4"/>
  <c r="B166" i="4"/>
  <c r="M166" i="4" s="1"/>
  <c r="C165" i="4"/>
  <c r="B165" i="4"/>
  <c r="M165" i="4" s="1"/>
  <c r="C164" i="4"/>
  <c r="B164" i="4"/>
  <c r="M164" i="4" s="1"/>
  <c r="C163" i="4"/>
  <c r="B163" i="4"/>
  <c r="M163" i="4" s="1"/>
  <c r="C162" i="4"/>
  <c r="B162" i="4"/>
  <c r="M162" i="4" s="1"/>
  <c r="C161" i="4"/>
  <c r="B161" i="4"/>
  <c r="M161" i="4" s="1"/>
  <c r="C160" i="4"/>
  <c r="B160" i="4"/>
  <c r="M160" i="4" s="1"/>
  <c r="C159" i="4"/>
  <c r="B159" i="4"/>
  <c r="M159" i="4" s="1"/>
  <c r="C158" i="4"/>
  <c r="B158" i="4"/>
  <c r="M158" i="4" s="1"/>
  <c r="C157" i="4"/>
  <c r="B157" i="4"/>
  <c r="M157" i="4" s="1"/>
  <c r="C156" i="4"/>
  <c r="B156" i="4"/>
  <c r="M156" i="4" s="1"/>
  <c r="C155" i="4"/>
  <c r="B155" i="4"/>
  <c r="M155" i="4" s="1"/>
  <c r="C154" i="4"/>
  <c r="B154" i="4"/>
  <c r="M154" i="4" s="1"/>
  <c r="C153" i="4"/>
  <c r="B153" i="4"/>
  <c r="M153" i="4" s="1"/>
  <c r="C152" i="4"/>
  <c r="B152" i="4"/>
  <c r="M152" i="4" s="1"/>
  <c r="C151" i="4"/>
  <c r="B151" i="4"/>
  <c r="M151" i="4" s="1"/>
  <c r="C150" i="4"/>
  <c r="B150" i="4"/>
  <c r="M150" i="4" s="1"/>
  <c r="C149" i="4"/>
  <c r="B149" i="4"/>
  <c r="M149" i="4" s="1"/>
  <c r="C148" i="4"/>
  <c r="B148" i="4"/>
  <c r="M148" i="4" s="1"/>
  <c r="C147" i="4"/>
  <c r="B147" i="4"/>
  <c r="M147" i="4" s="1"/>
  <c r="C146" i="4"/>
  <c r="B146" i="4"/>
  <c r="M146" i="4" s="1"/>
  <c r="C145" i="4"/>
  <c r="B145" i="4"/>
  <c r="M145" i="4" s="1"/>
  <c r="C144" i="4"/>
  <c r="B144" i="4"/>
  <c r="M144" i="4" s="1"/>
  <c r="C143" i="4"/>
  <c r="B143" i="4"/>
  <c r="M143" i="4" s="1"/>
  <c r="C142" i="4"/>
  <c r="B142" i="4"/>
  <c r="M142" i="4" s="1"/>
  <c r="C141" i="4"/>
  <c r="B141" i="4"/>
  <c r="M141" i="4" s="1"/>
  <c r="C140" i="4"/>
  <c r="B140" i="4"/>
  <c r="M140" i="4" s="1"/>
  <c r="C139" i="4"/>
  <c r="B139" i="4"/>
  <c r="M139" i="4" s="1"/>
  <c r="C138" i="4"/>
  <c r="B138" i="4"/>
  <c r="M138" i="4" s="1"/>
  <c r="C137" i="4"/>
  <c r="B137" i="4"/>
  <c r="M137" i="4" s="1"/>
  <c r="C136" i="4"/>
  <c r="B136" i="4"/>
  <c r="M136" i="4" s="1"/>
  <c r="C135" i="4"/>
  <c r="B135" i="4"/>
  <c r="M135" i="4" s="1"/>
  <c r="C134" i="4"/>
  <c r="B134" i="4"/>
  <c r="M134" i="4" s="1"/>
  <c r="C133" i="4"/>
  <c r="B133" i="4"/>
  <c r="M133" i="4" s="1"/>
  <c r="C132" i="4"/>
  <c r="B132" i="4"/>
  <c r="M132" i="4" s="1"/>
  <c r="C131" i="4"/>
  <c r="B131" i="4"/>
  <c r="M131" i="4" s="1"/>
  <c r="C130" i="4"/>
  <c r="B130" i="4"/>
  <c r="M130" i="4" s="1"/>
  <c r="C129" i="4"/>
  <c r="B129" i="4"/>
  <c r="M129" i="4" s="1"/>
  <c r="C128" i="4"/>
  <c r="B128" i="4"/>
  <c r="M128" i="4" s="1"/>
  <c r="C127" i="4"/>
  <c r="B127" i="4"/>
  <c r="M127" i="4" s="1"/>
  <c r="C126" i="4"/>
  <c r="B126" i="4"/>
  <c r="M126" i="4" s="1"/>
  <c r="B125" i="4"/>
  <c r="M125" i="4" s="1"/>
  <c r="C125" i="4"/>
  <c r="B124" i="4"/>
  <c r="M124" i="4" s="1"/>
  <c r="C124" i="4"/>
  <c r="B123" i="4"/>
  <c r="M123" i="4" s="1"/>
  <c r="C123" i="4"/>
  <c r="B122" i="4"/>
  <c r="M122" i="4" s="1"/>
  <c r="C122" i="4"/>
  <c r="B121" i="4"/>
  <c r="M121" i="4" s="1"/>
  <c r="C121" i="4"/>
  <c r="B120" i="4"/>
  <c r="M120" i="4" s="1"/>
  <c r="C120" i="4"/>
  <c r="B119" i="4"/>
  <c r="M119" i="4" s="1"/>
  <c r="C119" i="4"/>
  <c r="B118" i="4"/>
  <c r="M118" i="4" s="1"/>
  <c r="C118" i="4"/>
  <c r="C117" i="4"/>
  <c r="B117" i="4"/>
  <c r="M117" i="4" s="1"/>
  <c r="C116" i="4"/>
  <c r="B116" i="4"/>
  <c r="M116" i="4" s="1"/>
  <c r="B115" i="4"/>
  <c r="M115" i="4" s="1"/>
  <c r="C115" i="4"/>
  <c r="C114" i="4"/>
  <c r="B114" i="4"/>
  <c r="M114" i="4" s="1"/>
  <c r="C113" i="4"/>
  <c r="B113" i="4"/>
  <c r="M113" i="4" s="1"/>
  <c r="B112" i="4"/>
  <c r="M112" i="4" s="1"/>
  <c r="C112" i="4"/>
  <c r="B111" i="4"/>
  <c r="M111" i="4" s="1"/>
  <c r="C111" i="4"/>
  <c r="C110" i="4"/>
  <c r="B110" i="4"/>
  <c r="M110" i="4" s="1"/>
  <c r="C109" i="4"/>
  <c r="B109" i="4"/>
  <c r="M109" i="4" s="1"/>
  <c r="B108" i="4"/>
  <c r="M108" i="4" s="1"/>
  <c r="C108" i="4"/>
  <c r="B107" i="4"/>
  <c r="M107" i="4" s="1"/>
  <c r="C107" i="4"/>
  <c r="B106" i="4"/>
  <c r="M106" i="4" s="1"/>
  <c r="C106" i="4"/>
  <c r="B105" i="4"/>
  <c r="M105" i="4" s="1"/>
  <c r="C105" i="4"/>
  <c r="B104" i="4"/>
  <c r="M104" i="4" s="1"/>
  <c r="C104" i="4"/>
  <c r="B103" i="4"/>
  <c r="M103" i="4" s="1"/>
  <c r="C103" i="4"/>
  <c r="C102" i="4"/>
  <c r="B102" i="4"/>
  <c r="M102" i="4" s="1"/>
  <c r="C101" i="4"/>
  <c r="B101" i="4"/>
  <c r="M101" i="4" s="1"/>
  <c r="C100" i="4"/>
  <c r="B100" i="4"/>
  <c r="M100" i="4" s="1"/>
  <c r="C99" i="4"/>
  <c r="B99" i="4"/>
  <c r="M99" i="4" s="1"/>
  <c r="B98" i="4"/>
  <c r="M98" i="4" s="1"/>
  <c r="C98" i="4"/>
  <c r="B97" i="4"/>
  <c r="M97" i="4" s="1"/>
  <c r="C97" i="4"/>
  <c r="C96" i="4"/>
  <c r="B96" i="4"/>
  <c r="M96" i="4" s="1"/>
  <c r="C95" i="4"/>
  <c r="B95" i="4"/>
  <c r="M95" i="4" s="1"/>
  <c r="C94" i="4"/>
  <c r="B94" i="4"/>
  <c r="M94" i="4" s="1"/>
  <c r="C93" i="4"/>
  <c r="B93" i="4"/>
  <c r="M93" i="4" s="1"/>
  <c r="C92" i="4"/>
  <c r="B92" i="4"/>
  <c r="M92" i="4" s="1"/>
  <c r="B91" i="4"/>
  <c r="M91" i="4" s="1"/>
  <c r="C91" i="4"/>
  <c r="B90" i="4"/>
  <c r="M90" i="4" s="1"/>
  <c r="C90" i="4"/>
  <c r="B89" i="4"/>
  <c r="M89" i="4" s="1"/>
  <c r="C89" i="4"/>
  <c r="B88" i="4"/>
  <c r="M88" i="4" s="1"/>
  <c r="C88" i="4"/>
  <c r="C87" i="4"/>
  <c r="B87" i="4"/>
  <c r="M87" i="4" s="1"/>
  <c r="B86" i="4"/>
  <c r="M86" i="4" s="1"/>
  <c r="C86" i="4"/>
  <c r="C85" i="4"/>
  <c r="B85" i="4"/>
  <c r="M85" i="4" s="1"/>
  <c r="C84" i="4"/>
  <c r="B84" i="4"/>
  <c r="M84" i="4" s="1"/>
  <c r="C83" i="4"/>
  <c r="B83" i="4"/>
  <c r="M83" i="4" s="1"/>
  <c r="B82" i="4"/>
  <c r="M82" i="4" s="1"/>
  <c r="C82" i="4"/>
  <c r="C81" i="4"/>
  <c r="B81" i="4"/>
  <c r="M81" i="4" s="1"/>
  <c r="B80" i="4"/>
  <c r="M80" i="4" s="1"/>
  <c r="C80" i="4"/>
  <c r="B79" i="4"/>
  <c r="M79" i="4" s="1"/>
  <c r="C79" i="4"/>
  <c r="C78" i="4"/>
  <c r="B78" i="4"/>
  <c r="M78" i="4" s="1"/>
  <c r="B77" i="4"/>
  <c r="M77" i="4" s="1"/>
  <c r="C77" i="4"/>
  <c r="B76" i="4"/>
  <c r="M76" i="4" s="1"/>
  <c r="C76" i="4"/>
  <c r="B75" i="4"/>
  <c r="M75" i="4" s="1"/>
  <c r="C75" i="4"/>
  <c r="C74" i="4"/>
  <c r="B74" i="4"/>
  <c r="M74" i="4" s="1"/>
  <c r="C73" i="4"/>
  <c r="B73" i="4"/>
  <c r="M73" i="4" s="1"/>
  <c r="C72" i="4"/>
  <c r="B72" i="4"/>
  <c r="M72" i="4" s="1"/>
  <c r="C71" i="4"/>
  <c r="B71" i="4"/>
  <c r="M71" i="4" s="1"/>
  <c r="C70" i="4"/>
  <c r="B70" i="4"/>
  <c r="M70" i="4" s="1"/>
  <c r="C69" i="4"/>
  <c r="B69" i="4"/>
  <c r="M69" i="4" s="1"/>
  <c r="B68" i="4"/>
  <c r="M68" i="4" s="1"/>
  <c r="C68" i="4"/>
  <c r="C67" i="4"/>
  <c r="B67" i="4"/>
  <c r="M67" i="4" s="1"/>
  <c r="B66" i="4"/>
  <c r="M66" i="4" s="1"/>
  <c r="C66" i="4"/>
  <c r="B65" i="4"/>
  <c r="M65" i="4" s="1"/>
  <c r="C65" i="4"/>
  <c r="C64" i="4"/>
  <c r="B64" i="4"/>
  <c r="M64" i="4" s="1"/>
  <c r="C63" i="4"/>
  <c r="B63" i="4"/>
  <c r="M63" i="4" s="1"/>
  <c r="C62" i="4"/>
  <c r="B62" i="4"/>
  <c r="M62" i="4" s="1"/>
  <c r="C61" i="4"/>
  <c r="B61" i="4"/>
  <c r="M61" i="4" s="1"/>
  <c r="B60" i="4"/>
  <c r="M60" i="4" s="1"/>
  <c r="C60" i="4"/>
  <c r="C59" i="4"/>
  <c r="B59" i="4"/>
  <c r="M59" i="4" s="1"/>
  <c r="B58" i="4"/>
  <c r="M58" i="4" s="1"/>
  <c r="C58" i="4"/>
  <c r="C57" i="4"/>
  <c r="B57" i="4"/>
  <c r="M57" i="4" s="1"/>
  <c r="C56" i="4"/>
  <c r="B56" i="4"/>
  <c r="M56" i="4" s="1"/>
  <c r="C55" i="4"/>
  <c r="B55" i="4"/>
  <c r="M55" i="4" s="1"/>
  <c r="B54" i="4"/>
  <c r="M54" i="4" s="1"/>
  <c r="C54" i="4"/>
  <c r="C53" i="4"/>
  <c r="B53" i="4"/>
  <c r="M53" i="4" s="1"/>
  <c r="C52" i="4"/>
  <c r="B52" i="4"/>
  <c r="M52" i="4" s="1"/>
  <c r="C51" i="4"/>
  <c r="B51" i="4"/>
  <c r="M51" i="4" s="1"/>
  <c r="C50" i="4"/>
  <c r="B50" i="4"/>
  <c r="M50" i="4" s="1"/>
  <c r="C49" i="4"/>
  <c r="B49" i="4"/>
  <c r="M49" i="4" s="1"/>
  <c r="C48" i="4"/>
  <c r="B48" i="4"/>
  <c r="M48" i="4" s="1"/>
  <c r="C47" i="4"/>
  <c r="B47" i="4"/>
  <c r="M47" i="4" s="1"/>
  <c r="C46" i="4"/>
  <c r="B46" i="4"/>
  <c r="M46" i="4" s="1"/>
  <c r="C45" i="4"/>
  <c r="B45" i="4"/>
  <c r="M45" i="4" s="1"/>
  <c r="B44" i="4"/>
  <c r="M44" i="4" s="1"/>
  <c r="C44" i="4"/>
  <c r="C43" i="4"/>
  <c r="B43" i="4"/>
  <c r="M43" i="4" s="1"/>
  <c r="B42" i="4"/>
  <c r="M42" i="4" s="1"/>
  <c r="C42" i="4"/>
  <c r="C41" i="4"/>
  <c r="B41" i="4"/>
  <c r="M41" i="4" s="1"/>
  <c r="B40" i="4"/>
  <c r="M40" i="4" s="1"/>
  <c r="C40" i="4"/>
  <c r="B39" i="4"/>
  <c r="M39" i="4" s="1"/>
  <c r="C39" i="4"/>
  <c r="C38" i="4"/>
  <c r="B38" i="4"/>
  <c r="M38" i="4" s="1"/>
  <c r="C37" i="4"/>
  <c r="B37" i="4"/>
  <c r="M37" i="4" s="1"/>
  <c r="B36" i="4"/>
  <c r="M36" i="4" s="1"/>
  <c r="C36" i="4"/>
  <c r="B35" i="4"/>
  <c r="M35" i="4" s="1"/>
  <c r="C35" i="4"/>
  <c r="C34" i="4"/>
  <c r="B34" i="4"/>
  <c r="M34" i="4" s="1"/>
  <c r="B33" i="4"/>
  <c r="M33" i="4" s="1"/>
  <c r="C33" i="4"/>
  <c r="B32" i="4"/>
  <c r="M32" i="4" s="1"/>
  <c r="C32" i="4"/>
  <c r="C31" i="4"/>
  <c r="B31" i="4"/>
  <c r="M31" i="4" s="1"/>
  <c r="B30" i="4"/>
  <c r="M30" i="4" s="1"/>
  <c r="C30" i="4"/>
  <c r="C29" i="4"/>
  <c r="B29" i="4"/>
  <c r="M29" i="4" s="1"/>
  <c r="B28" i="4"/>
  <c r="M28" i="4" s="1"/>
  <c r="C28" i="4"/>
  <c r="B27" i="4"/>
  <c r="M27" i="4" s="1"/>
  <c r="C27" i="4"/>
  <c r="B26" i="4"/>
  <c r="M26" i="4" s="1"/>
  <c r="C26" i="4"/>
  <c r="B25" i="4"/>
  <c r="M25" i="4" s="1"/>
  <c r="C25" i="4"/>
  <c r="C24" i="4"/>
  <c r="B24" i="4"/>
  <c r="M24" i="4" s="1"/>
  <c r="C23" i="4"/>
  <c r="B23" i="4"/>
  <c r="M23" i="4" s="1"/>
  <c r="C22" i="4"/>
  <c r="B22" i="4"/>
  <c r="M22" i="4" s="1"/>
  <c r="C21" i="4"/>
  <c r="B21" i="4"/>
  <c r="M21" i="4" s="1"/>
  <c r="C20" i="4"/>
  <c r="B20" i="4"/>
  <c r="M20" i="4" s="1"/>
  <c r="C19" i="4"/>
  <c r="B19" i="4"/>
  <c r="M19" i="4" s="1"/>
  <c r="B18" i="4"/>
  <c r="M18" i="4" s="1"/>
  <c r="C18" i="4"/>
  <c r="B17" i="4"/>
  <c r="M17" i="4" s="1"/>
  <c r="C17" i="4"/>
  <c r="C16" i="4"/>
  <c r="B16" i="4"/>
  <c r="M16" i="4" s="1"/>
  <c r="B15" i="4"/>
  <c r="M15" i="4" s="1"/>
  <c r="C15" i="4"/>
  <c r="B14" i="4"/>
  <c r="M14" i="4" s="1"/>
  <c r="C14" i="4"/>
  <c r="C13" i="4"/>
  <c r="B13" i="4"/>
  <c r="M13" i="4" s="1"/>
  <c r="B12" i="4"/>
  <c r="M12" i="4" s="1"/>
  <c r="C12" i="4"/>
  <c r="C11" i="4"/>
  <c r="B11" i="4"/>
  <c r="M11" i="4" s="1"/>
  <c r="C10" i="4"/>
  <c r="B10" i="4"/>
  <c r="M10" i="4" s="1"/>
  <c r="C9" i="4"/>
  <c r="B9" i="4"/>
  <c r="M9" i="4" s="1"/>
  <c r="B8" i="4"/>
  <c r="M8" i="4" s="1"/>
  <c r="C8" i="4"/>
  <c r="C7" i="4"/>
  <c r="B7" i="4"/>
  <c r="M7" i="4" s="1"/>
  <c r="C6" i="4"/>
  <c r="B6" i="4"/>
  <c r="M6" i="4" s="1"/>
  <c r="C5" i="4"/>
  <c r="B5" i="4"/>
  <c r="M5" i="4" s="1"/>
  <c r="C4" i="4"/>
  <c r="B4" i="4"/>
  <c r="M4" i="4" s="1"/>
  <c r="C3" i="4"/>
  <c r="B3" i="4"/>
  <c r="M3" i="4" s="1"/>
  <c r="C2" i="4"/>
  <c r="B2" i="4"/>
  <c r="M2" i="4" s="1"/>
  <c r="D186" i="4" l="1"/>
  <c r="E186" i="4"/>
  <c r="F186" i="4" s="1"/>
  <c r="G186" i="4"/>
  <c r="H186" i="4"/>
  <c r="I186" i="4" s="1"/>
  <c r="D185" i="4"/>
  <c r="E185" i="4"/>
  <c r="F185" i="4" s="1"/>
  <c r="G185" i="4"/>
  <c r="H185" i="4"/>
  <c r="I185" i="4" s="1"/>
  <c r="D184" i="4"/>
  <c r="E184" i="4"/>
  <c r="F184" i="4" s="1"/>
  <c r="G184" i="4"/>
  <c r="H184" i="4"/>
  <c r="I184" i="4" s="1"/>
  <c r="D183" i="4"/>
  <c r="E183" i="4"/>
  <c r="F183" i="4" s="1"/>
  <c r="G183" i="4"/>
  <c r="H183" i="4"/>
  <c r="I183" i="4" s="1"/>
  <c r="D182" i="4"/>
  <c r="E182" i="4"/>
  <c r="F182" i="4" s="1"/>
  <c r="G182" i="4"/>
  <c r="H182" i="4"/>
  <c r="I182" i="4" s="1"/>
  <c r="D181" i="4"/>
  <c r="E181" i="4"/>
  <c r="F181" i="4" s="1"/>
  <c r="G181" i="4"/>
  <c r="H181" i="4"/>
  <c r="I181" i="4" s="1"/>
  <c r="D180" i="4"/>
  <c r="E180" i="4"/>
  <c r="F180" i="4" s="1"/>
  <c r="G180" i="4"/>
  <c r="H180" i="4"/>
  <c r="I180" i="4" s="1"/>
  <c r="D179" i="4"/>
  <c r="E179" i="4"/>
  <c r="F179" i="4" s="1"/>
  <c r="G179" i="4"/>
  <c r="H179" i="4"/>
  <c r="I179" i="4" s="1"/>
  <c r="D178" i="4"/>
  <c r="E178" i="4"/>
  <c r="F178" i="4" s="1"/>
  <c r="G178" i="4"/>
  <c r="H178" i="4"/>
  <c r="I178" i="4" s="1"/>
  <c r="D177" i="4"/>
  <c r="E177" i="4"/>
  <c r="F177" i="4" s="1"/>
  <c r="G177" i="4"/>
  <c r="H177" i="4"/>
  <c r="I177" i="4" s="1"/>
  <c r="D176" i="4"/>
  <c r="E176" i="4"/>
  <c r="F176" i="4" s="1"/>
  <c r="G176" i="4"/>
  <c r="H176" i="4"/>
  <c r="I176" i="4" s="1"/>
  <c r="D175" i="4"/>
  <c r="E175" i="4"/>
  <c r="F175" i="4" s="1"/>
  <c r="G175" i="4"/>
  <c r="H175" i="4"/>
  <c r="I175" i="4" s="1"/>
  <c r="D174" i="4"/>
  <c r="E174" i="4"/>
  <c r="F174" i="4" s="1"/>
  <c r="G174" i="4"/>
  <c r="H174" i="4"/>
  <c r="I174" i="4" s="1"/>
  <c r="D173" i="4"/>
  <c r="E173" i="4"/>
  <c r="F173" i="4" s="1"/>
  <c r="G173" i="4"/>
  <c r="H173" i="4"/>
  <c r="I173" i="4" s="1"/>
  <c r="D172" i="4"/>
  <c r="E172" i="4"/>
  <c r="F172" i="4" s="1"/>
  <c r="G172" i="4"/>
  <c r="H172" i="4"/>
  <c r="I172" i="4" s="1"/>
  <c r="D171" i="4"/>
  <c r="E171" i="4"/>
  <c r="F171" i="4" s="1"/>
  <c r="G171" i="4"/>
  <c r="H171" i="4"/>
  <c r="I171" i="4" s="1"/>
  <c r="D170" i="4"/>
  <c r="E170" i="4"/>
  <c r="F170" i="4" s="1"/>
  <c r="G170" i="4"/>
  <c r="H170" i="4"/>
  <c r="I170" i="4" s="1"/>
  <c r="D169" i="4"/>
  <c r="E169" i="4"/>
  <c r="F169" i="4" s="1"/>
  <c r="G169" i="4"/>
  <c r="H169" i="4"/>
  <c r="I169" i="4" s="1"/>
  <c r="D168" i="4"/>
  <c r="E168" i="4"/>
  <c r="F168" i="4" s="1"/>
  <c r="G168" i="4"/>
  <c r="H168" i="4"/>
  <c r="I168" i="4" s="1"/>
  <c r="D167" i="4"/>
  <c r="E167" i="4"/>
  <c r="F167" i="4" s="1"/>
  <c r="G167" i="4"/>
  <c r="H167" i="4"/>
  <c r="I167" i="4" s="1"/>
  <c r="D166" i="4"/>
  <c r="E166" i="4"/>
  <c r="F166" i="4" s="1"/>
  <c r="G166" i="4"/>
  <c r="H166" i="4"/>
  <c r="I166" i="4" s="1"/>
  <c r="D165" i="4"/>
  <c r="E165" i="4"/>
  <c r="F165" i="4" s="1"/>
  <c r="G165" i="4"/>
  <c r="H165" i="4"/>
  <c r="I165" i="4" s="1"/>
  <c r="D164" i="4"/>
  <c r="E164" i="4"/>
  <c r="F164" i="4" s="1"/>
  <c r="G164" i="4"/>
  <c r="H164" i="4"/>
  <c r="I164" i="4" s="1"/>
  <c r="D163" i="4"/>
  <c r="E163" i="4"/>
  <c r="F163" i="4" s="1"/>
  <c r="G163" i="4"/>
  <c r="H163" i="4"/>
  <c r="I163" i="4" s="1"/>
  <c r="D162" i="4"/>
  <c r="E162" i="4"/>
  <c r="F162" i="4" s="1"/>
  <c r="G162" i="4"/>
  <c r="H162" i="4"/>
  <c r="I162" i="4" s="1"/>
  <c r="D161" i="4"/>
  <c r="E161" i="4"/>
  <c r="F161" i="4" s="1"/>
  <c r="G161" i="4"/>
  <c r="H161" i="4"/>
  <c r="I161" i="4" s="1"/>
  <c r="D160" i="4"/>
  <c r="E160" i="4"/>
  <c r="F160" i="4" s="1"/>
  <c r="G160" i="4"/>
  <c r="H160" i="4"/>
  <c r="I160" i="4" s="1"/>
  <c r="D159" i="4"/>
  <c r="E159" i="4"/>
  <c r="F159" i="4" s="1"/>
  <c r="G159" i="4"/>
  <c r="H159" i="4"/>
  <c r="I159" i="4" s="1"/>
  <c r="D158" i="4"/>
  <c r="E158" i="4"/>
  <c r="F158" i="4" s="1"/>
  <c r="G158" i="4"/>
  <c r="H158" i="4"/>
  <c r="I158" i="4" s="1"/>
  <c r="D157" i="4"/>
  <c r="E157" i="4"/>
  <c r="F157" i="4" s="1"/>
  <c r="G157" i="4"/>
  <c r="H157" i="4"/>
  <c r="I157" i="4" s="1"/>
  <c r="D156" i="4"/>
  <c r="E156" i="4"/>
  <c r="F156" i="4" s="1"/>
  <c r="G156" i="4"/>
  <c r="H156" i="4"/>
  <c r="I156" i="4" s="1"/>
  <c r="D155" i="4"/>
  <c r="E155" i="4"/>
  <c r="F155" i="4" s="1"/>
  <c r="G155" i="4"/>
  <c r="H155" i="4"/>
  <c r="I155" i="4" s="1"/>
  <c r="D154" i="4"/>
  <c r="E154" i="4"/>
  <c r="F154" i="4" s="1"/>
  <c r="G154" i="4"/>
  <c r="H154" i="4"/>
  <c r="I154" i="4" s="1"/>
  <c r="D153" i="4"/>
  <c r="E153" i="4"/>
  <c r="F153" i="4" s="1"/>
  <c r="G153" i="4"/>
  <c r="H153" i="4"/>
  <c r="I153" i="4" s="1"/>
  <c r="D152" i="4"/>
  <c r="E152" i="4"/>
  <c r="F152" i="4" s="1"/>
  <c r="G152" i="4"/>
  <c r="H152" i="4"/>
  <c r="I152" i="4" s="1"/>
  <c r="D151" i="4"/>
  <c r="E151" i="4"/>
  <c r="F151" i="4" s="1"/>
  <c r="G151" i="4"/>
  <c r="H151" i="4"/>
  <c r="I151" i="4" s="1"/>
  <c r="D150" i="4"/>
  <c r="E150" i="4"/>
  <c r="F150" i="4" s="1"/>
  <c r="G150" i="4"/>
  <c r="H150" i="4"/>
  <c r="I150" i="4" s="1"/>
  <c r="D149" i="4"/>
  <c r="E149" i="4"/>
  <c r="F149" i="4" s="1"/>
  <c r="G149" i="4"/>
  <c r="H149" i="4"/>
  <c r="I149" i="4" s="1"/>
  <c r="D148" i="4"/>
  <c r="E148" i="4"/>
  <c r="F148" i="4" s="1"/>
  <c r="G148" i="4"/>
  <c r="H148" i="4"/>
  <c r="I148" i="4" s="1"/>
  <c r="D147" i="4"/>
  <c r="E147" i="4"/>
  <c r="F147" i="4" s="1"/>
  <c r="G147" i="4"/>
  <c r="H147" i="4"/>
  <c r="I147" i="4" s="1"/>
  <c r="D146" i="4"/>
  <c r="E146" i="4"/>
  <c r="F146" i="4" s="1"/>
  <c r="G146" i="4"/>
  <c r="H146" i="4"/>
  <c r="I146" i="4" s="1"/>
  <c r="D145" i="4"/>
  <c r="E145" i="4"/>
  <c r="F145" i="4" s="1"/>
  <c r="G145" i="4"/>
  <c r="H145" i="4"/>
  <c r="I145" i="4" s="1"/>
  <c r="D144" i="4"/>
  <c r="E144" i="4"/>
  <c r="F144" i="4" s="1"/>
  <c r="G144" i="4"/>
  <c r="H144" i="4"/>
  <c r="I144" i="4" s="1"/>
  <c r="D143" i="4"/>
  <c r="E143" i="4"/>
  <c r="F143" i="4" s="1"/>
  <c r="G143" i="4"/>
  <c r="H143" i="4"/>
  <c r="I143" i="4" s="1"/>
  <c r="D142" i="4"/>
  <c r="E142" i="4"/>
  <c r="F142" i="4" s="1"/>
  <c r="G142" i="4"/>
  <c r="H142" i="4"/>
  <c r="I142" i="4" s="1"/>
  <c r="D141" i="4"/>
  <c r="E141" i="4"/>
  <c r="F141" i="4" s="1"/>
  <c r="G141" i="4"/>
  <c r="H141" i="4"/>
  <c r="I141" i="4" s="1"/>
  <c r="D140" i="4"/>
  <c r="E140" i="4"/>
  <c r="F140" i="4" s="1"/>
  <c r="G140" i="4"/>
  <c r="H140" i="4"/>
  <c r="I140" i="4" s="1"/>
  <c r="D139" i="4"/>
  <c r="E139" i="4"/>
  <c r="F139" i="4" s="1"/>
  <c r="G139" i="4"/>
  <c r="H139" i="4"/>
  <c r="I139" i="4" s="1"/>
  <c r="D138" i="4"/>
  <c r="E138" i="4"/>
  <c r="F138" i="4" s="1"/>
  <c r="G138" i="4"/>
  <c r="H138" i="4"/>
  <c r="I138" i="4" s="1"/>
  <c r="D137" i="4"/>
  <c r="E137" i="4"/>
  <c r="F137" i="4" s="1"/>
  <c r="G137" i="4"/>
  <c r="H137" i="4"/>
  <c r="I137" i="4" s="1"/>
  <c r="D136" i="4"/>
  <c r="E136" i="4"/>
  <c r="F136" i="4" s="1"/>
  <c r="G136" i="4"/>
  <c r="H136" i="4"/>
  <c r="I136" i="4" s="1"/>
  <c r="D135" i="4"/>
  <c r="E135" i="4"/>
  <c r="F135" i="4" s="1"/>
  <c r="G135" i="4"/>
  <c r="H135" i="4"/>
  <c r="I135" i="4" s="1"/>
  <c r="D134" i="4"/>
  <c r="E134" i="4"/>
  <c r="F134" i="4" s="1"/>
  <c r="G134" i="4"/>
  <c r="H134" i="4"/>
  <c r="I134" i="4" s="1"/>
  <c r="D133" i="4"/>
  <c r="E133" i="4"/>
  <c r="F133" i="4" s="1"/>
  <c r="G133" i="4"/>
  <c r="H133" i="4"/>
  <c r="I133" i="4" s="1"/>
  <c r="D132" i="4"/>
  <c r="E132" i="4"/>
  <c r="F132" i="4" s="1"/>
  <c r="G132" i="4"/>
  <c r="H132" i="4"/>
  <c r="I132" i="4" s="1"/>
  <c r="D131" i="4"/>
  <c r="E131" i="4"/>
  <c r="F131" i="4" s="1"/>
  <c r="G131" i="4"/>
  <c r="H131" i="4"/>
  <c r="I131" i="4" s="1"/>
  <c r="D130" i="4"/>
  <c r="E130" i="4"/>
  <c r="F130" i="4" s="1"/>
  <c r="G130" i="4"/>
  <c r="H130" i="4"/>
  <c r="I130" i="4" s="1"/>
  <c r="D129" i="4"/>
  <c r="E129" i="4"/>
  <c r="F129" i="4" s="1"/>
  <c r="G129" i="4"/>
  <c r="H129" i="4"/>
  <c r="I129" i="4" s="1"/>
  <c r="D128" i="4"/>
  <c r="E128" i="4"/>
  <c r="F128" i="4" s="1"/>
  <c r="G128" i="4"/>
  <c r="H128" i="4"/>
  <c r="I128" i="4" s="1"/>
  <c r="D127" i="4"/>
  <c r="E127" i="4"/>
  <c r="F127" i="4" s="1"/>
  <c r="G127" i="4"/>
  <c r="H127" i="4"/>
  <c r="I127" i="4" s="1"/>
  <c r="D126" i="4"/>
  <c r="E126" i="4"/>
  <c r="F126" i="4" s="1"/>
  <c r="G126" i="4"/>
  <c r="H126" i="4"/>
  <c r="I126" i="4" s="1"/>
  <c r="D125" i="4"/>
  <c r="E125" i="4"/>
  <c r="F125" i="4" s="1"/>
  <c r="G125" i="4"/>
  <c r="H125" i="4"/>
  <c r="I125" i="4" s="1"/>
  <c r="D124" i="4"/>
  <c r="E124" i="4"/>
  <c r="F124" i="4" s="1"/>
  <c r="G124" i="4"/>
  <c r="H124" i="4"/>
  <c r="I124" i="4" s="1"/>
  <c r="D123" i="4"/>
  <c r="E123" i="4"/>
  <c r="F123" i="4" s="1"/>
  <c r="G123" i="4"/>
  <c r="H123" i="4"/>
  <c r="I123" i="4" s="1"/>
  <c r="D122" i="4"/>
  <c r="E122" i="4"/>
  <c r="F122" i="4" s="1"/>
  <c r="G122" i="4"/>
  <c r="H122" i="4"/>
  <c r="I122" i="4" s="1"/>
  <c r="D121" i="4"/>
  <c r="E121" i="4"/>
  <c r="F121" i="4" s="1"/>
  <c r="G121" i="4"/>
  <c r="H121" i="4"/>
  <c r="I121" i="4" s="1"/>
  <c r="D120" i="4"/>
  <c r="E120" i="4"/>
  <c r="F120" i="4" s="1"/>
  <c r="G120" i="4"/>
  <c r="H120" i="4"/>
  <c r="I120" i="4" s="1"/>
  <c r="D119" i="4"/>
  <c r="E119" i="4"/>
  <c r="F119" i="4" s="1"/>
  <c r="G119" i="4"/>
  <c r="H119" i="4"/>
  <c r="I119" i="4" s="1"/>
  <c r="D118" i="4"/>
  <c r="E118" i="4"/>
  <c r="F118" i="4" s="1"/>
  <c r="G118" i="4"/>
  <c r="H118" i="4"/>
  <c r="I118" i="4" s="1"/>
  <c r="D117" i="4"/>
  <c r="E117" i="4"/>
  <c r="F117" i="4" s="1"/>
  <c r="G117" i="4"/>
  <c r="H117" i="4"/>
  <c r="I117" i="4" s="1"/>
  <c r="D116" i="4"/>
  <c r="E116" i="4"/>
  <c r="F116" i="4" s="1"/>
  <c r="G116" i="4"/>
  <c r="H116" i="4"/>
  <c r="I116" i="4" s="1"/>
  <c r="D115" i="4"/>
  <c r="E115" i="4"/>
  <c r="F115" i="4" s="1"/>
  <c r="G115" i="4"/>
  <c r="H115" i="4"/>
  <c r="I115" i="4" s="1"/>
  <c r="D114" i="4"/>
  <c r="E114" i="4"/>
  <c r="F114" i="4" s="1"/>
  <c r="G114" i="4"/>
  <c r="H114" i="4"/>
  <c r="I114" i="4" s="1"/>
  <c r="D113" i="4"/>
  <c r="E113" i="4"/>
  <c r="F113" i="4" s="1"/>
  <c r="G113" i="4"/>
  <c r="H113" i="4"/>
  <c r="I113" i="4" s="1"/>
  <c r="D112" i="4"/>
  <c r="E112" i="4"/>
  <c r="F112" i="4" s="1"/>
  <c r="G112" i="4"/>
  <c r="H112" i="4"/>
  <c r="I112" i="4" s="1"/>
  <c r="D111" i="4"/>
  <c r="E111" i="4"/>
  <c r="F111" i="4" s="1"/>
  <c r="G111" i="4"/>
  <c r="H111" i="4"/>
  <c r="I111" i="4" s="1"/>
  <c r="D110" i="4"/>
  <c r="E110" i="4"/>
  <c r="F110" i="4" s="1"/>
  <c r="G110" i="4"/>
  <c r="H110" i="4"/>
  <c r="I110" i="4" s="1"/>
  <c r="D109" i="4"/>
  <c r="E109" i="4"/>
  <c r="F109" i="4" s="1"/>
  <c r="G109" i="4"/>
  <c r="H109" i="4"/>
  <c r="I109" i="4" s="1"/>
  <c r="D108" i="4"/>
  <c r="E108" i="4"/>
  <c r="F108" i="4" s="1"/>
  <c r="G108" i="4"/>
  <c r="H108" i="4"/>
  <c r="I108" i="4" s="1"/>
  <c r="D107" i="4"/>
  <c r="E107" i="4"/>
  <c r="F107" i="4" s="1"/>
  <c r="G107" i="4"/>
  <c r="H107" i="4"/>
  <c r="I107" i="4" s="1"/>
  <c r="D106" i="4"/>
  <c r="E106" i="4"/>
  <c r="F106" i="4" s="1"/>
  <c r="G106" i="4"/>
  <c r="H106" i="4"/>
  <c r="I106" i="4" s="1"/>
  <c r="D105" i="4"/>
  <c r="E105" i="4"/>
  <c r="F105" i="4" s="1"/>
  <c r="G105" i="4"/>
  <c r="H105" i="4"/>
  <c r="I105" i="4" s="1"/>
  <c r="D104" i="4"/>
  <c r="E104" i="4"/>
  <c r="F104" i="4" s="1"/>
  <c r="G104" i="4"/>
  <c r="H104" i="4"/>
  <c r="I104" i="4" s="1"/>
  <c r="D103" i="4"/>
  <c r="E103" i="4"/>
  <c r="F103" i="4" s="1"/>
  <c r="G103" i="4"/>
  <c r="H103" i="4"/>
  <c r="I103" i="4" s="1"/>
  <c r="D102" i="4"/>
  <c r="E102" i="4"/>
  <c r="F102" i="4" s="1"/>
  <c r="G102" i="4"/>
  <c r="H102" i="4"/>
  <c r="I102" i="4" s="1"/>
  <c r="D101" i="4"/>
  <c r="E101" i="4"/>
  <c r="F101" i="4" s="1"/>
  <c r="G101" i="4"/>
  <c r="H101" i="4"/>
  <c r="I101" i="4" s="1"/>
  <c r="D100" i="4"/>
  <c r="E100" i="4"/>
  <c r="F100" i="4" s="1"/>
  <c r="G100" i="4"/>
  <c r="H100" i="4"/>
  <c r="I100" i="4" s="1"/>
  <c r="D99" i="4"/>
  <c r="E99" i="4"/>
  <c r="F99" i="4" s="1"/>
  <c r="G99" i="4"/>
  <c r="H99" i="4"/>
  <c r="I99" i="4" s="1"/>
  <c r="D98" i="4"/>
  <c r="E98" i="4"/>
  <c r="F98" i="4" s="1"/>
  <c r="G98" i="4"/>
  <c r="H98" i="4"/>
  <c r="I98" i="4" s="1"/>
  <c r="D97" i="4"/>
  <c r="E97" i="4"/>
  <c r="F97" i="4" s="1"/>
  <c r="G97" i="4"/>
  <c r="H97" i="4"/>
  <c r="I97" i="4" s="1"/>
  <c r="D96" i="4"/>
  <c r="E96" i="4"/>
  <c r="F96" i="4" s="1"/>
  <c r="G96" i="4"/>
  <c r="H96" i="4"/>
  <c r="I96" i="4" s="1"/>
  <c r="D95" i="4"/>
  <c r="E95" i="4"/>
  <c r="F95" i="4" s="1"/>
  <c r="G95" i="4"/>
  <c r="H95" i="4"/>
  <c r="I95" i="4" s="1"/>
  <c r="D94" i="4"/>
  <c r="E94" i="4"/>
  <c r="F94" i="4" s="1"/>
  <c r="G94" i="4"/>
  <c r="H94" i="4"/>
  <c r="I94" i="4" s="1"/>
  <c r="D93" i="4"/>
  <c r="E93" i="4"/>
  <c r="F93" i="4" s="1"/>
  <c r="G93" i="4"/>
  <c r="H93" i="4"/>
  <c r="I93" i="4" s="1"/>
  <c r="D92" i="4"/>
  <c r="E92" i="4"/>
  <c r="F92" i="4" s="1"/>
  <c r="G92" i="4"/>
  <c r="H92" i="4"/>
  <c r="I92" i="4" s="1"/>
  <c r="D91" i="4"/>
  <c r="E91" i="4"/>
  <c r="F91" i="4" s="1"/>
  <c r="G91" i="4"/>
  <c r="H91" i="4"/>
  <c r="I91" i="4" s="1"/>
  <c r="D90" i="4"/>
  <c r="E90" i="4"/>
  <c r="F90" i="4" s="1"/>
  <c r="G90" i="4"/>
  <c r="H90" i="4"/>
  <c r="I90" i="4" s="1"/>
  <c r="D89" i="4"/>
  <c r="E89" i="4"/>
  <c r="F89" i="4" s="1"/>
  <c r="G89" i="4"/>
  <c r="H89" i="4"/>
  <c r="I89" i="4" s="1"/>
  <c r="D88" i="4"/>
  <c r="E88" i="4"/>
  <c r="F88" i="4" s="1"/>
  <c r="G88" i="4"/>
  <c r="H88" i="4"/>
  <c r="I88" i="4" s="1"/>
  <c r="D87" i="4"/>
  <c r="E87" i="4"/>
  <c r="F87" i="4" s="1"/>
  <c r="G87" i="4"/>
  <c r="H87" i="4"/>
  <c r="I87" i="4" s="1"/>
  <c r="D86" i="4"/>
  <c r="E86" i="4"/>
  <c r="F86" i="4" s="1"/>
  <c r="G86" i="4"/>
  <c r="H86" i="4"/>
  <c r="I86" i="4" s="1"/>
  <c r="D85" i="4"/>
  <c r="E85" i="4"/>
  <c r="F85" i="4" s="1"/>
  <c r="G85" i="4"/>
  <c r="H85" i="4"/>
  <c r="I85" i="4" s="1"/>
  <c r="D84" i="4"/>
  <c r="E84" i="4"/>
  <c r="F84" i="4" s="1"/>
  <c r="G84" i="4"/>
  <c r="H84" i="4"/>
  <c r="I84" i="4" s="1"/>
  <c r="D83" i="4"/>
  <c r="E83" i="4"/>
  <c r="F83" i="4" s="1"/>
  <c r="G83" i="4"/>
  <c r="H83" i="4"/>
  <c r="I83" i="4" s="1"/>
  <c r="D82" i="4"/>
  <c r="E82" i="4"/>
  <c r="F82" i="4" s="1"/>
  <c r="G82" i="4"/>
  <c r="H82" i="4"/>
  <c r="I82" i="4" s="1"/>
  <c r="D81" i="4"/>
  <c r="E81" i="4"/>
  <c r="F81" i="4" s="1"/>
  <c r="G81" i="4"/>
  <c r="H81" i="4"/>
  <c r="I81" i="4" s="1"/>
  <c r="D80" i="4"/>
  <c r="E80" i="4"/>
  <c r="F80" i="4" s="1"/>
  <c r="G80" i="4"/>
  <c r="H80" i="4"/>
  <c r="I80" i="4" s="1"/>
  <c r="D79" i="4"/>
  <c r="E79" i="4"/>
  <c r="F79" i="4" s="1"/>
  <c r="G79" i="4"/>
  <c r="H79" i="4"/>
  <c r="I79" i="4" s="1"/>
  <c r="D78" i="4"/>
  <c r="E78" i="4"/>
  <c r="F78" i="4" s="1"/>
  <c r="G78" i="4"/>
  <c r="H78" i="4"/>
  <c r="I78" i="4" s="1"/>
  <c r="D77" i="4"/>
  <c r="E77" i="4"/>
  <c r="F77" i="4" s="1"/>
  <c r="G77" i="4"/>
  <c r="H77" i="4"/>
  <c r="I77" i="4" s="1"/>
  <c r="D76" i="4"/>
  <c r="E76" i="4"/>
  <c r="F76" i="4" s="1"/>
  <c r="G76" i="4"/>
  <c r="H76" i="4"/>
  <c r="I76" i="4" s="1"/>
  <c r="D75" i="4"/>
  <c r="E75" i="4"/>
  <c r="F75" i="4" s="1"/>
  <c r="G75" i="4"/>
  <c r="H75" i="4"/>
  <c r="I75" i="4" s="1"/>
  <c r="D74" i="4"/>
  <c r="E74" i="4"/>
  <c r="F74" i="4" s="1"/>
  <c r="G74" i="4"/>
  <c r="H74" i="4"/>
  <c r="I74" i="4" s="1"/>
  <c r="D73" i="4"/>
  <c r="E73" i="4"/>
  <c r="F73" i="4" s="1"/>
  <c r="G73" i="4"/>
  <c r="H73" i="4"/>
  <c r="I73" i="4" s="1"/>
  <c r="D72" i="4"/>
  <c r="E72" i="4"/>
  <c r="F72" i="4" s="1"/>
  <c r="G72" i="4"/>
  <c r="H72" i="4"/>
  <c r="I72" i="4" s="1"/>
  <c r="D71" i="4"/>
  <c r="E71" i="4"/>
  <c r="F71" i="4" s="1"/>
  <c r="G71" i="4"/>
  <c r="H71" i="4"/>
  <c r="I71" i="4" s="1"/>
  <c r="D70" i="4"/>
  <c r="E70" i="4"/>
  <c r="F70" i="4" s="1"/>
  <c r="G70" i="4"/>
  <c r="H70" i="4"/>
  <c r="I70" i="4" s="1"/>
  <c r="D69" i="4"/>
  <c r="E69" i="4"/>
  <c r="F69" i="4" s="1"/>
  <c r="G69" i="4"/>
  <c r="H69" i="4"/>
  <c r="I69" i="4" s="1"/>
  <c r="D68" i="4"/>
  <c r="E68" i="4"/>
  <c r="F68" i="4" s="1"/>
  <c r="G68" i="4"/>
  <c r="H68" i="4"/>
  <c r="I68" i="4" s="1"/>
  <c r="D67" i="4"/>
  <c r="E67" i="4"/>
  <c r="F67" i="4" s="1"/>
  <c r="G67" i="4"/>
  <c r="H67" i="4"/>
  <c r="I67" i="4" s="1"/>
  <c r="D66" i="4"/>
  <c r="E66" i="4"/>
  <c r="F66" i="4" s="1"/>
  <c r="G66" i="4"/>
  <c r="H66" i="4"/>
  <c r="I66" i="4" s="1"/>
  <c r="D65" i="4"/>
  <c r="E65" i="4"/>
  <c r="F65" i="4" s="1"/>
  <c r="G65" i="4"/>
  <c r="H65" i="4"/>
  <c r="I65" i="4" s="1"/>
  <c r="D64" i="4"/>
  <c r="E64" i="4"/>
  <c r="F64" i="4" s="1"/>
  <c r="G64" i="4"/>
  <c r="H64" i="4"/>
  <c r="I64" i="4" s="1"/>
  <c r="D63" i="4"/>
  <c r="E63" i="4"/>
  <c r="F63" i="4" s="1"/>
  <c r="G63" i="4"/>
  <c r="H63" i="4"/>
  <c r="I63" i="4" s="1"/>
  <c r="D62" i="4"/>
  <c r="E62" i="4"/>
  <c r="F62" i="4" s="1"/>
  <c r="G62" i="4"/>
  <c r="H62" i="4"/>
  <c r="I62" i="4" s="1"/>
  <c r="D61" i="4"/>
  <c r="E61" i="4"/>
  <c r="F61" i="4" s="1"/>
  <c r="G61" i="4"/>
  <c r="H61" i="4"/>
  <c r="I61" i="4" s="1"/>
  <c r="D60" i="4"/>
  <c r="E60" i="4"/>
  <c r="F60" i="4" s="1"/>
  <c r="G60" i="4"/>
  <c r="H60" i="4"/>
  <c r="I60" i="4" s="1"/>
  <c r="D59" i="4"/>
  <c r="E59" i="4"/>
  <c r="F59" i="4" s="1"/>
  <c r="G59" i="4"/>
  <c r="H59" i="4"/>
  <c r="I59" i="4" s="1"/>
  <c r="D58" i="4"/>
  <c r="E58" i="4"/>
  <c r="F58" i="4" s="1"/>
  <c r="G58" i="4"/>
  <c r="H58" i="4"/>
  <c r="I58" i="4" s="1"/>
  <c r="D57" i="4"/>
  <c r="E57" i="4"/>
  <c r="F57" i="4" s="1"/>
  <c r="G57" i="4"/>
  <c r="H57" i="4"/>
  <c r="I57" i="4" s="1"/>
  <c r="D56" i="4"/>
  <c r="E56" i="4"/>
  <c r="F56" i="4" s="1"/>
  <c r="G56" i="4"/>
  <c r="H56" i="4"/>
  <c r="I56" i="4" s="1"/>
  <c r="D55" i="4"/>
  <c r="E55" i="4"/>
  <c r="F55" i="4" s="1"/>
  <c r="G55" i="4"/>
  <c r="H55" i="4"/>
  <c r="I55" i="4" s="1"/>
  <c r="E54" i="4"/>
  <c r="F54" i="4" s="1"/>
  <c r="H54" i="4"/>
  <c r="I54" i="4" s="1"/>
  <c r="D54" i="4"/>
  <c r="G54" i="4"/>
  <c r="E53" i="4"/>
  <c r="F53" i="4" s="1"/>
  <c r="G53" i="4"/>
  <c r="D53" i="4"/>
  <c r="H53" i="4"/>
  <c r="I53" i="4" s="1"/>
  <c r="E52" i="4"/>
  <c r="F52" i="4" s="1"/>
  <c r="G52" i="4"/>
  <c r="D52" i="4"/>
  <c r="H52" i="4"/>
  <c r="I52" i="4" s="1"/>
  <c r="E51" i="4"/>
  <c r="F51" i="4" s="1"/>
  <c r="G51" i="4"/>
  <c r="D51" i="4"/>
  <c r="H51" i="4"/>
  <c r="I51" i="4" s="1"/>
  <c r="E50" i="4"/>
  <c r="F50" i="4" s="1"/>
  <c r="G50" i="4"/>
  <c r="D50" i="4"/>
  <c r="H50" i="4"/>
  <c r="I50" i="4" s="1"/>
  <c r="E49" i="4"/>
  <c r="F49" i="4" s="1"/>
  <c r="G49" i="4"/>
  <c r="D49" i="4"/>
  <c r="H49" i="4"/>
  <c r="I49" i="4" s="1"/>
  <c r="E48" i="4"/>
  <c r="F48" i="4" s="1"/>
  <c r="G48" i="4"/>
  <c r="D48" i="4"/>
  <c r="H48" i="4"/>
  <c r="I48" i="4" s="1"/>
  <c r="E47" i="4"/>
  <c r="F47" i="4" s="1"/>
  <c r="G47" i="4"/>
  <c r="D47" i="4"/>
  <c r="H47" i="4"/>
  <c r="I47" i="4" s="1"/>
  <c r="E46" i="4"/>
  <c r="F46" i="4" s="1"/>
  <c r="H46" i="4"/>
  <c r="I46" i="4" s="1"/>
  <c r="D46" i="4"/>
  <c r="G46" i="4"/>
  <c r="D45" i="4"/>
  <c r="E45" i="4"/>
  <c r="F45" i="4" s="1"/>
  <c r="G45" i="4"/>
  <c r="H45" i="4"/>
  <c r="I45" i="4" s="1"/>
  <c r="D44" i="4"/>
  <c r="E44" i="4"/>
  <c r="F44" i="4" s="1"/>
  <c r="G44" i="4"/>
  <c r="H44" i="4"/>
  <c r="I44" i="4" s="1"/>
  <c r="E43" i="4"/>
  <c r="F43" i="4" s="1"/>
  <c r="H43" i="4"/>
  <c r="I43" i="4" s="1"/>
  <c r="D43" i="4"/>
  <c r="G43" i="4"/>
  <c r="E42" i="4"/>
  <c r="F42" i="4" s="1"/>
  <c r="G42" i="4"/>
  <c r="D42" i="4"/>
  <c r="H42" i="4"/>
  <c r="I42" i="4" s="1"/>
  <c r="E41" i="4"/>
  <c r="F41" i="4" s="1"/>
  <c r="G41" i="4"/>
  <c r="D41" i="4"/>
  <c r="H41" i="4"/>
  <c r="I41" i="4" s="1"/>
  <c r="E40" i="4"/>
  <c r="F40" i="4" s="1"/>
  <c r="H40" i="4"/>
  <c r="I40" i="4" s="1"/>
  <c r="D40" i="4"/>
  <c r="G40" i="4"/>
  <c r="D39" i="4"/>
  <c r="G39" i="4"/>
  <c r="E39" i="4"/>
  <c r="F39" i="4" s="1"/>
  <c r="H39" i="4"/>
  <c r="I39" i="4" s="1"/>
  <c r="E38" i="4"/>
  <c r="F38" i="4" s="1"/>
  <c r="H38" i="4"/>
  <c r="I38" i="4" s="1"/>
  <c r="D38" i="4"/>
  <c r="G38" i="4"/>
  <c r="E37" i="4"/>
  <c r="F37" i="4" s="1"/>
  <c r="G37" i="4"/>
  <c r="D37" i="4"/>
  <c r="H37" i="4"/>
  <c r="I37" i="4" s="1"/>
  <c r="D36" i="4"/>
  <c r="H36" i="4"/>
  <c r="I36" i="4" s="1"/>
  <c r="E36" i="4"/>
  <c r="F36" i="4" s="1"/>
  <c r="G36" i="4"/>
  <c r="E35" i="4"/>
  <c r="F35" i="4" s="1"/>
  <c r="H35" i="4"/>
  <c r="I35" i="4" s="1"/>
  <c r="D35" i="4"/>
  <c r="G35" i="4"/>
  <c r="E34" i="4"/>
  <c r="F34" i="4" s="1"/>
  <c r="G34" i="4"/>
  <c r="D34" i="4"/>
  <c r="H34" i="4"/>
  <c r="I34" i="4" s="1"/>
  <c r="E33" i="4"/>
  <c r="F33" i="4" s="1"/>
  <c r="G33" i="4"/>
  <c r="D33" i="4"/>
  <c r="H33" i="4"/>
  <c r="I33" i="4" s="1"/>
  <c r="E32" i="4"/>
  <c r="F32" i="4" s="1"/>
  <c r="G32" i="4"/>
  <c r="D32" i="4"/>
  <c r="H32" i="4"/>
  <c r="I32" i="4" s="1"/>
  <c r="E31" i="4"/>
  <c r="F31" i="4" s="1"/>
  <c r="H31" i="4"/>
  <c r="I31" i="4" s="1"/>
  <c r="D31" i="4"/>
  <c r="G31" i="4"/>
  <c r="E30" i="4"/>
  <c r="F30" i="4" s="1"/>
  <c r="G30" i="4"/>
  <c r="D30" i="4"/>
  <c r="H30" i="4"/>
  <c r="I30" i="4" s="1"/>
  <c r="E29" i="4"/>
  <c r="F29" i="4" s="1"/>
  <c r="H29" i="4"/>
  <c r="I29" i="4" s="1"/>
  <c r="D29" i="4"/>
  <c r="G29" i="4"/>
  <c r="E28" i="4"/>
  <c r="F28" i="4" s="1"/>
  <c r="H28" i="4"/>
  <c r="I28" i="4" s="1"/>
  <c r="D28" i="4"/>
  <c r="G28" i="4"/>
  <c r="E27" i="4"/>
  <c r="F27" i="4" s="1"/>
  <c r="G27" i="4"/>
  <c r="D27" i="4"/>
  <c r="H27" i="4"/>
  <c r="I27" i="4" s="1"/>
  <c r="E26" i="4"/>
  <c r="F26" i="4" s="1"/>
  <c r="G26" i="4"/>
  <c r="D26" i="4"/>
  <c r="H26" i="4"/>
  <c r="I26" i="4" s="1"/>
  <c r="E25" i="4"/>
  <c r="F25" i="4" s="1"/>
  <c r="H25" i="4"/>
  <c r="I25" i="4" s="1"/>
  <c r="D25" i="4"/>
  <c r="G25" i="4"/>
  <c r="E24" i="4"/>
  <c r="F24" i="4" s="1"/>
  <c r="G24" i="4"/>
  <c r="D24" i="4"/>
  <c r="H24" i="4"/>
  <c r="I24" i="4" s="1"/>
  <c r="E23" i="4"/>
  <c r="F23" i="4" s="1"/>
  <c r="H23" i="4"/>
  <c r="I23" i="4" s="1"/>
  <c r="D23" i="4"/>
  <c r="G23" i="4"/>
  <c r="D22" i="4"/>
  <c r="H22" i="4"/>
  <c r="I22" i="4" s="1"/>
  <c r="E22" i="4"/>
  <c r="F22" i="4" s="1"/>
  <c r="G22" i="4"/>
  <c r="D21" i="4"/>
  <c r="E21" i="4"/>
  <c r="F21" i="4" s="1"/>
  <c r="G21" i="4"/>
  <c r="H21" i="4"/>
  <c r="I21" i="4" s="1"/>
  <c r="D20" i="4"/>
  <c r="E20" i="4"/>
  <c r="F20" i="4" s="1"/>
  <c r="G20" i="4"/>
  <c r="H20" i="4"/>
  <c r="I20" i="4" s="1"/>
  <c r="E19" i="4"/>
  <c r="F19" i="4" s="1"/>
  <c r="G19" i="4"/>
  <c r="D19" i="4"/>
  <c r="H19" i="4"/>
  <c r="I19" i="4" s="1"/>
  <c r="E18" i="4"/>
  <c r="F18" i="4" s="1"/>
  <c r="H18" i="4"/>
  <c r="I18" i="4" s="1"/>
  <c r="D18" i="4"/>
  <c r="G18" i="4"/>
  <c r="E17" i="4"/>
  <c r="F17" i="4" s="1"/>
  <c r="G17" i="4"/>
  <c r="D17" i="4"/>
  <c r="H17" i="4"/>
  <c r="I17" i="4" s="1"/>
  <c r="E16" i="4"/>
  <c r="F16" i="4" s="1"/>
  <c r="H16" i="4"/>
  <c r="I16" i="4" s="1"/>
  <c r="D16" i="4"/>
  <c r="G16" i="4"/>
  <c r="D15" i="4"/>
  <c r="E15" i="4"/>
  <c r="F15" i="4" s="1"/>
  <c r="G15" i="4"/>
  <c r="H15" i="4"/>
  <c r="I15" i="4" s="1"/>
  <c r="E14" i="4"/>
  <c r="F14" i="4" s="1"/>
  <c r="G14" i="4"/>
  <c r="H14" i="4"/>
  <c r="I14" i="4" s="1"/>
  <c r="D14" i="4"/>
  <c r="E13" i="4"/>
  <c r="F13" i="4" s="1"/>
  <c r="G13" i="4"/>
  <c r="D13" i="4"/>
  <c r="H13" i="4"/>
  <c r="I13" i="4" s="1"/>
  <c r="E12" i="4"/>
  <c r="F12" i="4" s="1"/>
  <c r="G12" i="4"/>
  <c r="D12" i="4"/>
  <c r="H12" i="4"/>
  <c r="I12" i="4" s="1"/>
  <c r="E11" i="4"/>
  <c r="F11" i="4" s="1"/>
  <c r="G11" i="4"/>
  <c r="D11" i="4"/>
  <c r="H11" i="4"/>
  <c r="I11" i="4" s="1"/>
  <c r="E10" i="4"/>
  <c r="F10" i="4" s="1"/>
  <c r="G10" i="4"/>
  <c r="D10" i="4"/>
  <c r="H10" i="4"/>
  <c r="I10" i="4" s="1"/>
  <c r="E9" i="4"/>
  <c r="F9" i="4" s="1"/>
  <c r="G9" i="4"/>
  <c r="D9" i="4"/>
  <c r="H9" i="4"/>
  <c r="I9" i="4" s="1"/>
  <c r="E8" i="4"/>
  <c r="F8" i="4" s="1"/>
  <c r="H8" i="4"/>
  <c r="I8" i="4" s="1"/>
  <c r="D8" i="4"/>
  <c r="G8" i="4"/>
  <c r="E7" i="4"/>
  <c r="F7" i="4" s="1"/>
  <c r="G7" i="4"/>
  <c r="D7" i="4"/>
  <c r="H7" i="4"/>
  <c r="I7" i="4" s="1"/>
  <c r="D6" i="4"/>
  <c r="E6" i="4"/>
  <c r="F6" i="4" s="1"/>
  <c r="G6" i="4"/>
  <c r="H6" i="4"/>
  <c r="I6" i="4" s="1"/>
  <c r="D5" i="4"/>
  <c r="E5" i="4"/>
  <c r="F5" i="4" s="1"/>
  <c r="G5" i="4"/>
  <c r="H5" i="4"/>
  <c r="I5" i="4" s="1"/>
  <c r="D4" i="4"/>
  <c r="E4" i="4"/>
  <c r="F4" i="4" s="1"/>
  <c r="G4" i="4"/>
  <c r="H4" i="4"/>
  <c r="I4" i="4" s="1"/>
  <c r="D3" i="4"/>
  <c r="E3" i="4"/>
  <c r="F3" i="4" s="1"/>
  <c r="G3" i="4"/>
  <c r="H3" i="4"/>
  <c r="I3" i="4" s="1"/>
  <c r="E2" i="4"/>
  <c r="F2" i="4" s="1"/>
  <c r="G2" i="4"/>
  <c r="D2" i="4"/>
  <c r="H2" i="4"/>
  <c r="I2" i="4" s="1"/>
  <c r="J186" i="4" l="1"/>
  <c r="N186" i="4"/>
  <c r="J185" i="4"/>
  <c r="N185" i="4"/>
  <c r="J184" i="4"/>
  <c r="N184" i="4"/>
  <c r="J183" i="4"/>
  <c r="N183" i="4"/>
  <c r="J182" i="4"/>
  <c r="N182" i="4"/>
  <c r="J181" i="4"/>
  <c r="N181" i="4"/>
  <c r="J180" i="4"/>
  <c r="N180" i="4"/>
  <c r="J179" i="4"/>
  <c r="N179" i="4"/>
  <c r="J178" i="4"/>
  <c r="N178" i="4"/>
  <c r="J177" i="4"/>
  <c r="N177" i="4"/>
  <c r="J176" i="4"/>
  <c r="N176" i="4"/>
  <c r="J175" i="4"/>
  <c r="N175" i="4"/>
  <c r="J174" i="4"/>
  <c r="N174" i="4"/>
  <c r="J173" i="4"/>
  <c r="N173" i="4"/>
  <c r="J172" i="4"/>
  <c r="N172" i="4"/>
  <c r="J171" i="4"/>
  <c r="N171" i="4"/>
  <c r="J170" i="4"/>
  <c r="N170" i="4"/>
  <c r="J169" i="4"/>
  <c r="N169" i="4"/>
  <c r="J168" i="4"/>
  <c r="N168" i="4"/>
  <c r="J167" i="4"/>
  <c r="N167" i="4"/>
  <c r="J166" i="4"/>
  <c r="N166" i="4"/>
  <c r="J165" i="4"/>
  <c r="N165" i="4"/>
  <c r="J164" i="4"/>
  <c r="N164" i="4" s="1"/>
  <c r="J163" i="4"/>
  <c r="N163" i="4"/>
  <c r="J162" i="4"/>
  <c r="N162" i="4"/>
  <c r="J161" i="4"/>
  <c r="N161" i="4"/>
  <c r="J160" i="4"/>
  <c r="N160" i="4"/>
  <c r="J159" i="4"/>
  <c r="N159" i="4"/>
  <c r="J158" i="4"/>
  <c r="N158" i="4"/>
  <c r="J157" i="4"/>
  <c r="N157" i="4"/>
  <c r="J156" i="4"/>
  <c r="N156" i="4"/>
  <c r="J155" i="4"/>
  <c r="N155" i="4"/>
  <c r="J154" i="4"/>
  <c r="N154" i="4"/>
  <c r="J153" i="4"/>
  <c r="N153" i="4"/>
  <c r="J152" i="4"/>
  <c r="N152" i="4"/>
  <c r="J151" i="4"/>
  <c r="N151" i="4"/>
  <c r="J150" i="4"/>
  <c r="N150" i="4"/>
  <c r="J149" i="4"/>
  <c r="N149" i="4"/>
  <c r="J148" i="4"/>
  <c r="N148" i="4"/>
  <c r="J147" i="4"/>
  <c r="N147" i="4"/>
  <c r="J146" i="4"/>
  <c r="N146" i="4"/>
  <c r="J145" i="4"/>
  <c r="N145" i="4"/>
  <c r="J144" i="4"/>
  <c r="N144" i="4"/>
  <c r="J143" i="4"/>
  <c r="N143" i="4"/>
  <c r="J142" i="4"/>
  <c r="N142" i="4"/>
  <c r="J141" i="4"/>
  <c r="N141" i="4"/>
  <c r="J140" i="4"/>
  <c r="N140" i="4"/>
  <c r="J139" i="4"/>
  <c r="N139" i="4"/>
  <c r="J138" i="4"/>
  <c r="N138" i="4"/>
  <c r="J137" i="4"/>
  <c r="N137" i="4"/>
  <c r="J136" i="4"/>
  <c r="N136" i="4"/>
  <c r="J135" i="4"/>
  <c r="N135" i="4"/>
  <c r="J134" i="4"/>
  <c r="N134" i="4" s="1"/>
  <c r="J133" i="4"/>
  <c r="N133" i="4" s="1"/>
  <c r="J132" i="4"/>
  <c r="N132" i="4" s="1"/>
  <c r="J131" i="4"/>
  <c r="N131" i="4"/>
  <c r="J130" i="4"/>
  <c r="N130" i="4" s="1"/>
  <c r="J129" i="4"/>
  <c r="N129" i="4" s="1"/>
  <c r="J128" i="4"/>
  <c r="N128" i="4" s="1"/>
  <c r="J127" i="4"/>
  <c r="N127" i="4" s="1"/>
  <c r="J126" i="4"/>
  <c r="N126" i="4" s="1"/>
  <c r="J125" i="4"/>
  <c r="N125" i="4" s="1"/>
  <c r="J124" i="4"/>
  <c r="N124" i="4" s="1"/>
  <c r="J123" i="4"/>
  <c r="N123" i="4" s="1"/>
  <c r="J122" i="4"/>
  <c r="N122" i="4" s="1"/>
  <c r="J121" i="4"/>
  <c r="N121" i="4" s="1"/>
  <c r="J120" i="4"/>
  <c r="N120" i="4"/>
  <c r="J119" i="4"/>
  <c r="N119" i="4" s="1"/>
  <c r="J118" i="4"/>
  <c r="N118" i="4" s="1"/>
  <c r="J117" i="4"/>
  <c r="N117" i="4" s="1"/>
  <c r="J116" i="4"/>
  <c r="N116" i="4" s="1"/>
  <c r="J115" i="4"/>
  <c r="N115" i="4" s="1"/>
  <c r="J114" i="4"/>
  <c r="N114" i="4" s="1"/>
  <c r="J113" i="4"/>
  <c r="N113" i="4" s="1"/>
  <c r="J112" i="4"/>
  <c r="N112" i="4" s="1"/>
  <c r="J111" i="4"/>
  <c r="N111" i="4" s="1"/>
  <c r="J110" i="4"/>
  <c r="N110" i="4" s="1"/>
  <c r="J109" i="4"/>
  <c r="N109" i="4" s="1"/>
  <c r="J108" i="4"/>
  <c r="N108" i="4" s="1"/>
  <c r="J107" i="4"/>
  <c r="N107" i="4" s="1"/>
  <c r="J106" i="4"/>
  <c r="N106" i="4" s="1"/>
  <c r="J105" i="4"/>
  <c r="N105" i="4" s="1"/>
  <c r="J104" i="4"/>
  <c r="N104" i="4" s="1"/>
  <c r="J103" i="4"/>
  <c r="N103" i="4" s="1"/>
  <c r="J102" i="4"/>
  <c r="N102" i="4" s="1"/>
  <c r="J101" i="4"/>
  <c r="N101" i="4" s="1"/>
  <c r="J100" i="4"/>
  <c r="N100" i="4" s="1"/>
  <c r="J99" i="4"/>
  <c r="N99" i="4" s="1"/>
  <c r="J98" i="4"/>
  <c r="N98" i="4" s="1"/>
  <c r="J97" i="4"/>
  <c r="N97" i="4" s="1"/>
  <c r="J96" i="4"/>
  <c r="N96" i="4" s="1"/>
  <c r="J95" i="4"/>
  <c r="N95" i="4" s="1"/>
  <c r="J94" i="4"/>
  <c r="N94" i="4" s="1"/>
  <c r="J93" i="4"/>
  <c r="N93" i="4" s="1"/>
  <c r="J92" i="4"/>
  <c r="N92" i="4" s="1"/>
  <c r="J91" i="4"/>
  <c r="N91" i="4" s="1"/>
  <c r="J90" i="4"/>
  <c r="N90" i="4" s="1"/>
  <c r="J89" i="4"/>
  <c r="N89" i="4" s="1"/>
  <c r="J88" i="4"/>
  <c r="N88" i="4" s="1"/>
  <c r="J87" i="4"/>
  <c r="N87" i="4" s="1"/>
  <c r="J86" i="4"/>
  <c r="N86" i="4" s="1"/>
  <c r="J85" i="4"/>
  <c r="N85" i="4" s="1"/>
  <c r="J84" i="4"/>
  <c r="N84" i="4" s="1"/>
  <c r="J83" i="4"/>
  <c r="N83" i="4" s="1"/>
  <c r="J82" i="4"/>
  <c r="N82" i="4" s="1"/>
  <c r="J81" i="4"/>
  <c r="N81" i="4" s="1"/>
  <c r="J80" i="4"/>
  <c r="N80" i="4" s="1"/>
  <c r="J79" i="4"/>
  <c r="N79" i="4" s="1"/>
  <c r="J78" i="4"/>
  <c r="N78" i="4" s="1"/>
  <c r="J77" i="4"/>
  <c r="N77" i="4" s="1"/>
  <c r="J76" i="4"/>
  <c r="N76" i="4" s="1"/>
  <c r="J75" i="4"/>
  <c r="N75" i="4" s="1"/>
  <c r="J74" i="4"/>
  <c r="N74" i="4" s="1"/>
  <c r="J73" i="4"/>
  <c r="N73" i="4" s="1"/>
  <c r="J72" i="4"/>
  <c r="N72" i="4" s="1"/>
  <c r="J71" i="4"/>
  <c r="N71" i="4" s="1"/>
  <c r="J70" i="4"/>
  <c r="N70" i="4" s="1"/>
  <c r="J69" i="4"/>
  <c r="N69" i="4" s="1"/>
  <c r="J68" i="4"/>
  <c r="N68" i="4" s="1"/>
  <c r="J67" i="4"/>
  <c r="N67" i="4" s="1"/>
  <c r="J66" i="4"/>
  <c r="N66" i="4" s="1"/>
  <c r="J65" i="4"/>
  <c r="N65" i="4" s="1"/>
  <c r="J64" i="4"/>
  <c r="N64" i="4" s="1"/>
  <c r="J63" i="4"/>
  <c r="N63" i="4" s="1"/>
  <c r="J62" i="4"/>
  <c r="N62" i="4" s="1"/>
  <c r="J61" i="4"/>
  <c r="N61" i="4" s="1"/>
  <c r="J60" i="4"/>
  <c r="N60" i="4" s="1"/>
  <c r="J59" i="4"/>
  <c r="N59" i="4" s="1"/>
  <c r="J58" i="4"/>
  <c r="N58" i="4" s="1"/>
  <c r="J57" i="4"/>
  <c r="N57" i="4" s="1"/>
  <c r="J56" i="4"/>
  <c r="N56" i="4" s="1"/>
  <c r="J55" i="4"/>
  <c r="N55" i="4" s="1"/>
  <c r="J54" i="4"/>
  <c r="N54" i="4" s="1"/>
  <c r="J53" i="4"/>
  <c r="N53" i="4" s="1"/>
  <c r="J52" i="4"/>
  <c r="N52" i="4" s="1"/>
  <c r="J51" i="4"/>
  <c r="N51" i="4" s="1"/>
  <c r="J50" i="4"/>
  <c r="N50" i="4" s="1"/>
  <c r="J49" i="4"/>
  <c r="N49" i="4" s="1"/>
  <c r="J48" i="4"/>
  <c r="N48" i="4" s="1"/>
  <c r="N47" i="4"/>
  <c r="J47" i="4"/>
  <c r="J46" i="4"/>
  <c r="N46" i="4" s="1"/>
  <c r="J45" i="4"/>
  <c r="N45" i="4"/>
  <c r="J44" i="4"/>
  <c r="N44" i="4"/>
  <c r="J43" i="4"/>
  <c r="N43" i="4"/>
  <c r="J42" i="4"/>
  <c r="N42" i="4"/>
  <c r="J41" i="4"/>
  <c r="N41" i="4"/>
  <c r="J40" i="4"/>
  <c r="N40" i="4"/>
  <c r="J39" i="4"/>
  <c r="N39" i="4"/>
  <c r="J38" i="4"/>
  <c r="N38" i="4"/>
  <c r="J37" i="4"/>
  <c r="N37" i="4"/>
  <c r="J36" i="4"/>
  <c r="N36" i="4" s="1"/>
  <c r="J35" i="4"/>
  <c r="N35" i="4"/>
  <c r="J34" i="4"/>
  <c r="N34" i="4"/>
  <c r="J33" i="4"/>
  <c r="N33" i="4"/>
  <c r="J32" i="4"/>
  <c r="N32" i="4"/>
  <c r="J31" i="4"/>
  <c r="N31" i="4"/>
  <c r="J30" i="4"/>
  <c r="N30" i="4"/>
  <c r="J29" i="4"/>
  <c r="N29" i="4"/>
  <c r="J28" i="4"/>
  <c r="N28" i="4"/>
  <c r="J27" i="4"/>
  <c r="N27" i="4"/>
  <c r="J26" i="4"/>
  <c r="N26" i="4"/>
  <c r="J25" i="4"/>
  <c r="N25" i="4"/>
  <c r="J24" i="4"/>
  <c r="N24" i="4" s="1"/>
  <c r="J23" i="4"/>
  <c r="N23" i="4"/>
  <c r="J22" i="4"/>
  <c r="N22" i="4"/>
  <c r="J21" i="4"/>
  <c r="N21" i="4"/>
  <c r="J20" i="4"/>
  <c r="N20" i="4"/>
  <c r="J19" i="4"/>
  <c r="N19" i="4"/>
  <c r="J18" i="4"/>
  <c r="N18" i="4" s="1"/>
  <c r="J17" i="4"/>
  <c r="N17" i="4"/>
  <c r="J16" i="4"/>
  <c r="N16" i="4"/>
  <c r="J15" i="4"/>
  <c r="N15" i="4"/>
  <c r="J14" i="4"/>
  <c r="N14" i="4"/>
  <c r="J13" i="4"/>
  <c r="N13" i="4" s="1"/>
  <c r="J12" i="4"/>
  <c r="N12" i="4"/>
  <c r="J11" i="4"/>
  <c r="N11" i="4"/>
  <c r="J10" i="4"/>
  <c r="N10" i="4"/>
  <c r="J9" i="4"/>
  <c r="N9" i="4"/>
  <c r="J8" i="4"/>
  <c r="N8" i="4"/>
  <c r="J7" i="4"/>
  <c r="N7" i="4" s="1"/>
  <c r="J6" i="4"/>
  <c r="N6" i="4"/>
  <c r="J5" i="4"/>
  <c r="N5" i="4"/>
  <c r="J4" i="4"/>
  <c r="N4" i="4"/>
  <c r="J3" i="4"/>
  <c r="N3" i="4"/>
  <c r="J2" i="4"/>
  <c r="N2" i="4"/>
  <c r="K186" i="4" l="1"/>
  <c r="L186" i="4"/>
  <c r="K185" i="4"/>
  <c r="L185" i="4"/>
  <c r="K184" i="4"/>
  <c r="L184" i="4"/>
  <c r="K183" i="4"/>
  <c r="L183" i="4"/>
  <c r="K182" i="4"/>
  <c r="L182" i="4"/>
  <c r="K181" i="4"/>
  <c r="L181" i="4"/>
  <c r="K180" i="4"/>
  <c r="L180" i="4"/>
  <c r="K179" i="4"/>
  <c r="L179" i="4"/>
  <c r="K178" i="4"/>
  <c r="L178" i="4"/>
  <c r="K177" i="4"/>
  <c r="L177" i="4"/>
  <c r="K176" i="4"/>
  <c r="L176" i="4"/>
  <c r="K175" i="4"/>
  <c r="L175" i="4"/>
  <c r="K174" i="4"/>
  <c r="L174" i="4"/>
  <c r="K173" i="4"/>
  <c r="L173" i="4"/>
  <c r="K172" i="4"/>
  <c r="L172" i="4"/>
  <c r="K171" i="4"/>
  <c r="L171" i="4"/>
  <c r="K170" i="4"/>
  <c r="L170" i="4"/>
  <c r="K169" i="4"/>
  <c r="L169" i="4"/>
  <c r="K168" i="4"/>
  <c r="L168" i="4"/>
  <c r="K167" i="4"/>
  <c r="L167" i="4"/>
  <c r="K166" i="4"/>
  <c r="L166" i="4"/>
  <c r="K165" i="4"/>
  <c r="L165" i="4"/>
  <c r="K164" i="4"/>
  <c r="L164" i="4"/>
  <c r="K163" i="4"/>
  <c r="L163" i="4"/>
  <c r="K162" i="4"/>
  <c r="L162" i="4"/>
  <c r="K161" i="4"/>
  <c r="L161" i="4"/>
  <c r="K160" i="4"/>
  <c r="L160" i="4"/>
  <c r="K159" i="4"/>
  <c r="L159" i="4"/>
  <c r="K158" i="4"/>
  <c r="L158" i="4"/>
  <c r="K157" i="4"/>
  <c r="L157" i="4"/>
  <c r="K156" i="4"/>
  <c r="L156" i="4"/>
  <c r="K155" i="4"/>
  <c r="L155" i="4"/>
  <c r="K154" i="4"/>
  <c r="L154" i="4"/>
  <c r="K153" i="4"/>
  <c r="L153" i="4"/>
  <c r="K152" i="4"/>
  <c r="L152" i="4"/>
  <c r="K151" i="4"/>
  <c r="L151" i="4"/>
  <c r="K150" i="4"/>
  <c r="L150" i="4"/>
  <c r="K149" i="4"/>
  <c r="L149" i="4"/>
  <c r="K148" i="4"/>
  <c r="L148" i="4"/>
  <c r="K147" i="4"/>
  <c r="L147" i="4"/>
  <c r="K146" i="4"/>
  <c r="L146" i="4"/>
  <c r="K145" i="4"/>
  <c r="L145" i="4"/>
  <c r="K144" i="4"/>
  <c r="L144" i="4"/>
  <c r="K143" i="4"/>
  <c r="L143" i="4"/>
  <c r="K142" i="4"/>
  <c r="L142" i="4"/>
  <c r="K141" i="4"/>
  <c r="L141" i="4"/>
  <c r="K140" i="4"/>
  <c r="L140" i="4"/>
  <c r="K139" i="4"/>
  <c r="L139" i="4"/>
  <c r="K138" i="4"/>
  <c r="L138" i="4"/>
  <c r="K137" i="4"/>
  <c r="L137" i="4"/>
  <c r="K136" i="4"/>
  <c r="L136" i="4"/>
  <c r="K135" i="4"/>
  <c r="L135" i="4"/>
  <c r="K134" i="4"/>
  <c r="L134" i="4"/>
  <c r="K133" i="4"/>
  <c r="L133" i="4"/>
  <c r="K132" i="4"/>
  <c r="L132" i="4"/>
  <c r="K131" i="4"/>
  <c r="L131" i="4"/>
  <c r="K130" i="4"/>
  <c r="L130" i="4"/>
  <c r="K129" i="4"/>
  <c r="L129" i="4"/>
  <c r="K128" i="4"/>
  <c r="L128" i="4"/>
  <c r="K127" i="4"/>
  <c r="L127" i="4"/>
  <c r="K126" i="4"/>
  <c r="L126" i="4"/>
  <c r="K125" i="4"/>
  <c r="L125" i="4"/>
  <c r="K124" i="4"/>
  <c r="L124" i="4"/>
  <c r="K123" i="4"/>
  <c r="L123" i="4"/>
  <c r="K122" i="4"/>
  <c r="L122" i="4"/>
  <c r="K121" i="4"/>
  <c r="L121" i="4"/>
  <c r="K120" i="4"/>
  <c r="L120" i="4"/>
  <c r="K119" i="4"/>
  <c r="L119" i="4"/>
  <c r="K118" i="4"/>
  <c r="L118" i="4"/>
  <c r="K117" i="4"/>
  <c r="L117" i="4"/>
  <c r="K116" i="4"/>
  <c r="L116" i="4"/>
  <c r="K115" i="4"/>
  <c r="L115" i="4"/>
  <c r="K114" i="4"/>
  <c r="L114" i="4"/>
  <c r="K113" i="4"/>
  <c r="L113" i="4"/>
  <c r="K112" i="4"/>
  <c r="L112" i="4"/>
  <c r="K111" i="4"/>
  <c r="L111" i="4"/>
  <c r="K110" i="4"/>
  <c r="L110" i="4"/>
  <c r="K109" i="4"/>
  <c r="L109" i="4"/>
  <c r="K108" i="4"/>
  <c r="L108" i="4"/>
  <c r="K107" i="4"/>
  <c r="L107" i="4"/>
  <c r="K106" i="4"/>
  <c r="L106" i="4"/>
  <c r="K105" i="4"/>
  <c r="L105" i="4"/>
  <c r="K104" i="4"/>
  <c r="L104" i="4"/>
  <c r="K103" i="4"/>
  <c r="L103" i="4"/>
  <c r="K102" i="4"/>
  <c r="L102" i="4"/>
  <c r="K101" i="4"/>
  <c r="L101" i="4"/>
  <c r="K100" i="4"/>
  <c r="L100" i="4"/>
  <c r="K99" i="4"/>
  <c r="L99" i="4"/>
  <c r="K98" i="4"/>
  <c r="L98" i="4"/>
  <c r="K97" i="4"/>
  <c r="L97" i="4"/>
  <c r="K96" i="4"/>
  <c r="L96" i="4"/>
  <c r="K95" i="4"/>
  <c r="L95" i="4"/>
  <c r="K94" i="4"/>
  <c r="L94" i="4"/>
  <c r="K93" i="4"/>
  <c r="L93" i="4"/>
  <c r="K92" i="4"/>
  <c r="L92" i="4"/>
  <c r="K91" i="4"/>
  <c r="L91" i="4"/>
  <c r="K90" i="4"/>
  <c r="L90" i="4"/>
  <c r="K89" i="4"/>
  <c r="L89" i="4"/>
  <c r="K88" i="4"/>
  <c r="L88" i="4"/>
  <c r="K87" i="4"/>
  <c r="L87" i="4"/>
  <c r="K86" i="4"/>
  <c r="L86" i="4"/>
  <c r="K85" i="4"/>
  <c r="L85" i="4"/>
  <c r="K84" i="4"/>
  <c r="L84" i="4"/>
  <c r="K83" i="4"/>
  <c r="L83" i="4"/>
  <c r="K82" i="4"/>
  <c r="L82" i="4"/>
  <c r="K81" i="4"/>
  <c r="L81" i="4"/>
  <c r="K80" i="4"/>
  <c r="L80" i="4"/>
  <c r="K79" i="4"/>
  <c r="L79" i="4"/>
  <c r="K78" i="4"/>
  <c r="L78" i="4"/>
  <c r="K77" i="4"/>
  <c r="L77" i="4"/>
  <c r="K76" i="4"/>
  <c r="L76" i="4"/>
  <c r="K75" i="4"/>
  <c r="L75" i="4"/>
  <c r="K74" i="4"/>
  <c r="L74" i="4"/>
  <c r="K73" i="4"/>
  <c r="L73" i="4"/>
  <c r="K72" i="4"/>
  <c r="L72" i="4"/>
  <c r="K71" i="4"/>
  <c r="L71" i="4"/>
  <c r="K70" i="4"/>
  <c r="L70" i="4"/>
  <c r="K69" i="4"/>
  <c r="L69" i="4"/>
  <c r="K68" i="4"/>
  <c r="L68" i="4"/>
  <c r="K67" i="4"/>
  <c r="L67" i="4"/>
  <c r="K66" i="4"/>
  <c r="L66" i="4"/>
  <c r="K65" i="4"/>
  <c r="L65" i="4"/>
  <c r="K64" i="4"/>
  <c r="L64" i="4"/>
  <c r="K63" i="4"/>
  <c r="L63" i="4"/>
  <c r="K62" i="4"/>
  <c r="L62" i="4"/>
  <c r="K61" i="4"/>
  <c r="L61" i="4"/>
  <c r="K60" i="4"/>
  <c r="L60" i="4"/>
  <c r="K59" i="4"/>
  <c r="L59" i="4"/>
  <c r="K58" i="4"/>
  <c r="L58" i="4"/>
  <c r="K57" i="4"/>
  <c r="L57" i="4"/>
  <c r="K56" i="4"/>
  <c r="L56" i="4"/>
  <c r="K55" i="4"/>
  <c r="L55" i="4"/>
  <c r="K54" i="4"/>
  <c r="L54" i="4"/>
  <c r="K53" i="4"/>
  <c r="L53" i="4"/>
  <c r="K52" i="4"/>
  <c r="L52" i="4"/>
  <c r="L51" i="4"/>
  <c r="K51" i="4"/>
  <c r="L50" i="4"/>
  <c r="K50" i="4"/>
  <c r="K49" i="4"/>
  <c r="L49" i="4"/>
  <c r="K48" i="4"/>
  <c r="L48" i="4"/>
  <c r="L47" i="4"/>
  <c r="K47" i="4"/>
  <c r="K46" i="4"/>
  <c r="L46" i="4"/>
  <c r="L45" i="4"/>
  <c r="K45" i="4"/>
  <c r="K44" i="4"/>
  <c r="L44" i="4"/>
  <c r="L43" i="4"/>
  <c r="K43" i="4"/>
  <c r="L42" i="4"/>
  <c r="K42" i="4"/>
  <c r="K41" i="4"/>
  <c r="L41" i="4"/>
  <c r="K40" i="4"/>
  <c r="L40" i="4"/>
  <c r="K39" i="4"/>
  <c r="L39" i="4"/>
  <c r="L38" i="4"/>
  <c r="K38" i="4"/>
  <c r="L37" i="4"/>
  <c r="K37" i="4"/>
  <c r="K36" i="4"/>
  <c r="L36" i="4"/>
  <c r="L35" i="4"/>
  <c r="K35" i="4"/>
  <c r="L34" i="4"/>
  <c r="K34" i="4"/>
  <c r="K33" i="4"/>
  <c r="L33" i="4"/>
  <c r="K32" i="4"/>
  <c r="L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K24" i="4"/>
  <c r="L24" i="4"/>
  <c r="K23" i="4"/>
  <c r="L23" i="4"/>
  <c r="L22" i="4"/>
  <c r="K22" i="4"/>
  <c r="K21" i="4"/>
  <c r="L21" i="4"/>
  <c r="K20" i="4"/>
  <c r="L20" i="4"/>
  <c r="L19" i="4"/>
  <c r="K19" i="4"/>
  <c r="K18" i="4"/>
  <c r="L18" i="4"/>
  <c r="L17" i="4"/>
  <c r="K17" i="4"/>
  <c r="K16" i="4"/>
  <c r="L16" i="4"/>
  <c r="K15" i="4"/>
  <c r="L15" i="4"/>
  <c r="K14" i="4"/>
  <c r="L14" i="4"/>
  <c r="L13" i="4"/>
  <c r="K13" i="4"/>
  <c r="K12" i="4"/>
  <c r="L12" i="4"/>
  <c r="L11" i="4"/>
  <c r="K11" i="4"/>
  <c r="L10" i="4"/>
  <c r="K10" i="4"/>
  <c r="K9" i="4"/>
  <c r="L9" i="4"/>
  <c r="K8" i="4"/>
  <c r="L8" i="4"/>
  <c r="K7" i="4"/>
  <c r="L7" i="4"/>
  <c r="K6" i="4"/>
  <c r="L6" i="4"/>
  <c r="K5" i="4"/>
  <c r="L5" i="4"/>
  <c r="K4" i="4"/>
  <c r="L4" i="4"/>
  <c r="K3" i="4"/>
  <c r="L3" i="4"/>
  <c r="K2" i="4"/>
  <c r="L2" i="4"/>
  <c r="Q2" i="4"/>
  <c r="Q3" i="4"/>
  <c r="Q4" i="4"/>
  <c r="Q5" i="4"/>
  <c r="Q6" i="4"/>
  <c r="S1" i="2" s="1"/>
  <c r="A51" i="3" l="1"/>
  <c r="A53" i="3"/>
  <c r="A58" i="3"/>
  <c r="A63" i="3"/>
  <c r="A72" i="3"/>
  <c r="A74" i="3"/>
  <c r="A75" i="3"/>
  <c r="A77" i="3"/>
  <c r="A78" i="3"/>
  <c r="A79" i="3"/>
  <c r="A80" i="3"/>
  <c r="A81" i="3"/>
  <c r="A82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62" i="3"/>
  <c r="A6" i="2"/>
  <c r="A8" i="2"/>
  <c r="A9" i="2"/>
  <c r="A11" i="2"/>
  <c r="A14" i="2"/>
  <c r="A22" i="2"/>
  <c r="A25" i="2"/>
  <c r="A26" i="2"/>
  <c r="A27" i="2"/>
  <c r="A34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54" i="3"/>
  <c r="A4" i="2"/>
  <c r="A5" i="2"/>
  <c r="A7" i="2"/>
  <c r="A12" i="2"/>
  <c r="A16" i="2"/>
  <c r="A32" i="2"/>
  <c r="A33" i="2"/>
  <c r="A35" i="2"/>
  <c r="A36" i="2"/>
  <c r="A39" i="2"/>
  <c r="A70" i="2"/>
  <c r="A72" i="2"/>
  <c r="A77" i="2"/>
  <c r="A78" i="2"/>
  <c r="A79" i="2"/>
  <c r="A81" i="2"/>
  <c r="A83" i="2"/>
  <c r="A84" i="2"/>
  <c r="A85" i="2"/>
  <c r="A87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57" i="3"/>
  <c r="A61" i="3"/>
  <c r="A10" i="2"/>
  <c r="A13" i="2"/>
  <c r="A15" i="2"/>
  <c r="A17" i="2"/>
  <c r="A18" i="2"/>
  <c r="A19" i="2"/>
  <c r="A20" i="2"/>
  <c r="A21" i="2"/>
  <c r="A23" i="2"/>
  <c r="A24" i="2"/>
  <c r="A28" i="2"/>
  <c r="A66" i="2"/>
  <c r="A67" i="2"/>
  <c r="A68" i="2"/>
  <c r="A69" i="2"/>
  <c r="A73" i="2"/>
  <c r="A75" i="2"/>
  <c r="A76" i="2"/>
  <c r="A88" i="2"/>
  <c r="A89" i="2"/>
  <c r="A127" i="2"/>
  <c r="A129" i="2"/>
  <c r="A131" i="2"/>
  <c r="A139" i="2"/>
  <c r="A141" i="2"/>
  <c r="A142" i="2"/>
  <c r="A146" i="2"/>
  <c r="A147" i="2"/>
  <c r="A149" i="2"/>
  <c r="A151" i="2"/>
  <c r="A156" i="2"/>
  <c r="A157" i="2"/>
  <c r="A158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52" i="3"/>
  <c r="A55" i="3"/>
  <c r="A56" i="3"/>
  <c r="A59" i="3"/>
  <c r="A60" i="3"/>
  <c r="A29" i="2"/>
  <c r="A30" i="2"/>
  <c r="A31" i="2"/>
  <c r="A37" i="2"/>
  <c r="A38" i="2"/>
  <c r="A40" i="2"/>
  <c r="A71" i="2"/>
  <c r="A74" i="2"/>
  <c r="A80" i="2"/>
  <c r="A82" i="2"/>
  <c r="A86" i="2"/>
  <c r="A128" i="2"/>
  <c r="A130" i="2"/>
  <c r="A132" i="2"/>
  <c r="A133" i="2"/>
  <c r="A134" i="2"/>
  <c r="A135" i="2"/>
  <c r="A136" i="2"/>
  <c r="A137" i="2"/>
  <c r="A138" i="2"/>
  <c r="A140" i="2"/>
  <c r="A143" i="2"/>
  <c r="A144" i="2"/>
  <c r="A145" i="2"/>
  <c r="A148" i="2"/>
  <c r="A150" i="2"/>
  <c r="A152" i="2"/>
  <c r="A153" i="2"/>
  <c r="A154" i="2"/>
  <c r="A155" i="2"/>
  <c r="A159" i="2"/>
  <c r="A160" i="2"/>
  <c r="A188" i="2"/>
  <c r="U1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64" i="3"/>
  <c r="A65" i="3"/>
  <c r="A66" i="3"/>
  <c r="A67" i="3"/>
  <c r="A68" i="3"/>
  <c r="A69" i="3"/>
  <c r="A70" i="3"/>
  <c r="A71" i="3"/>
  <c r="A73" i="3"/>
  <c r="A76" i="3"/>
  <c r="A83" i="3"/>
  <c r="K53" i="3"/>
  <c r="K54" i="3"/>
  <c r="K58" i="3"/>
  <c r="K60" i="3"/>
  <c r="K62" i="3"/>
  <c r="K63" i="3"/>
  <c r="K72" i="3"/>
  <c r="K73" i="3"/>
  <c r="K75" i="3"/>
  <c r="K76" i="3"/>
  <c r="K77" i="3"/>
  <c r="K78" i="3"/>
  <c r="K79" i="3"/>
  <c r="K80" i="3"/>
  <c r="K82" i="3"/>
  <c r="K83" i="3"/>
  <c r="K85" i="3"/>
  <c r="K88" i="3"/>
  <c r="K92" i="3"/>
  <c r="K93" i="3"/>
  <c r="K94" i="3"/>
  <c r="K95" i="3"/>
  <c r="K56" i="3"/>
  <c r="J12" i="2"/>
  <c r="J15" i="2"/>
  <c r="J17" i="2"/>
  <c r="J18" i="2"/>
  <c r="J21" i="2"/>
  <c r="J23" i="2"/>
  <c r="J28" i="2"/>
  <c r="J29" i="2"/>
  <c r="J30" i="2"/>
  <c r="J31" i="2"/>
  <c r="J32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K51" i="3"/>
  <c r="K52" i="3"/>
  <c r="K59" i="3"/>
  <c r="J5" i="2"/>
  <c r="J7" i="2"/>
  <c r="J9" i="2"/>
  <c r="J10" i="2"/>
  <c r="J14" i="2"/>
  <c r="J16" i="2"/>
  <c r="J37" i="2"/>
  <c r="J66" i="2"/>
  <c r="J69" i="2"/>
  <c r="J70" i="2"/>
  <c r="J71" i="2"/>
  <c r="J73" i="2"/>
  <c r="J76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4" i="2"/>
  <c r="J6" i="2"/>
  <c r="J8" i="2"/>
  <c r="J11" i="2"/>
  <c r="J13" i="2"/>
  <c r="J19" i="2"/>
  <c r="J20" i="2"/>
  <c r="J22" i="2"/>
  <c r="J24" i="2"/>
  <c r="J25" i="2"/>
  <c r="J26" i="2"/>
  <c r="J27" i="2"/>
  <c r="J38" i="2"/>
  <c r="J74" i="2"/>
  <c r="J77" i="2"/>
  <c r="J78" i="2"/>
  <c r="J79" i="2"/>
  <c r="J80" i="2"/>
  <c r="J81" i="2"/>
  <c r="J84" i="2"/>
  <c r="J86" i="2"/>
  <c r="J132" i="2"/>
  <c r="J136" i="2"/>
  <c r="J139" i="2"/>
  <c r="J144" i="2"/>
  <c r="J146" i="2"/>
  <c r="J149" i="2"/>
  <c r="J150" i="2"/>
  <c r="J153" i="2"/>
  <c r="J154" i="2"/>
  <c r="J158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K57" i="3"/>
  <c r="K61" i="3"/>
  <c r="J33" i="2"/>
  <c r="J34" i="2"/>
  <c r="J35" i="2"/>
  <c r="J36" i="2"/>
  <c r="J39" i="2"/>
  <c r="J40" i="2"/>
  <c r="J65" i="2"/>
  <c r="J67" i="2"/>
  <c r="J68" i="2"/>
  <c r="J72" i="2"/>
  <c r="J75" i="2"/>
  <c r="J82" i="2"/>
  <c r="J83" i="2"/>
  <c r="J85" i="2"/>
  <c r="J87" i="2"/>
  <c r="J88" i="2"/>
  <c r="J126" i="2"/>
  <c r="J127" i="2"/>
  <c r="J128" i="2"/>
  <c r="J129" i="2"/>
  <c r="J130" i="2"/>
  <c r="J131" i="2"/>
  <c r="J133" i="2"/>
  <c r="J134" i="2"/>
  <c r="J135" i="2"/>
  <c r="J137" i="2"/>
  <c r="J138" i="2"/>
  <c r="J140" i="2"/>
  <c r="J141" i="2"/>
  <c r="J142" i="2"/>
  <c r="J143" i="2"/>
  <c r="J145" i="2"/>
  <c r="J147" i="2"/>
  <c r="J148" i="2"/>
  <c r="J151" i="2"/>
  <c r="J152" i="2"/>
  <c r="J155" i="2"/>
  <c r="J156" i="2"/>
  <c r="J157" i="2"/>
  <c r="J159" i="2"/>
  <c r="J160" i="2"/>
  <c r="J188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5" i="3"/>
  <c r="K64" i="3"/>
  <c r="K65" i="3"/>
  <c r="K66" i="3"/>
  <c r="K67" i="3"/>
  <c r="K68" i="3"/>
  <c r="K69" i="3"/>
  <c r="K70" i="3"/>
  <c r="K71" i="3"/>
  <c r="K74" i="3"/>
  <c r="K81" i="3"/>
  <c r="K84" i="3"/>
  <c r="K86" i="3"/>
  <c r="K87" i="3"/>
  <c r="K89" i="3"/>
  <c r="K90" i="3"/>
  <c r="K91" i="3"/>
  <c r="K96" i="3"/>
  <c r="E51" i="3" l="1"/>
  <c r="I51" i="3"/>
  <c r="D51" i="3"/>
  <c r="H51" i="3"/>
  <c r="C51" i="3"/>
  <c r="G51" i="3"/>
  <c r="B51" i="3"/>
  <c r="F51" i="3"/>
  <c r="D53" i="3"/>
  <c r="F53" i="3"/>
  <c r="C53" i="3"/>
  <c r="G53" i="3"/>
  <c r="E53" i="3"/>
  <c r="I53" i="3"/>
  <c r="B53" i="3"/>
  <c r="H53" i="3"/>
  <c r="E58" i="3"/>
  <c r="B58" i="3"/>
  <c r="F58" i="3"/>
  <c r="D58" i="3"/>
  <c r="H58" i="3"/>
  <c r="I58" i="3"/>
  <c r="C58" i="3"/>
  <c r="G58" i="3"/>
  <c r="B63" i="3"/>
  <c r="E63" i="3"/>
  <c r="F63" i="3"/>
  <c r="G63" i="3"/>
  <c r="C63" i="3"/>
  <c r="D63" i="3"/>
  <c r="H63" i="3"/>
  <c r="I63" i="3"/>
  <c r="C72" i="3"/>
  <c r="D72" i="3"/>
  <c r="F72" i="3"/>
  <c r="B72" i="3"/>
  <c r="E72" i="3"/>
  <c r="G72" i="3"/>
  <c r="H72" i="3"/>
  <c r="I72" i="3"/>
  <c r="B74" i="3"/>
  <c r="C74" i="3"/>
  <c r="D74" i="3"/>
  <c r="E74" i="3"/>
  <c r="F74" i="3"/>
  <c r="G74" i="3"/>
  <c r="H74" i="3"/>
  <c r="I74" i="3"/>
  <c r="B75" i="3"/>
  <c r="D75" i="3"/>
  <c r="E75" i="3"/>
  <c r="G75" i="3"/>
  <c r="C75" i="3"/>
  <c r="F75" i="3"/>
  <c r="H75" i="3"/>
  <c r="I75" i="3"/>
  <c r="C77" i="3"/>
  <c r="D77" i="3"/>
  <c r="F77" i="3"/>
  <c r="B77" i="3"/>
  <c r="E77" i="3"/>
  <c r="G77" i="3"/>
  <c r="H77" i="3"/>
  <c r="I77" i="3"/>
  <c r="B78" i="3"/>
  <c r="C78" i="3"/>
  <c r="E78" i="3"/>
  <c r="D78" i="3"/>
  <c r="F78" i="3"/>
  <c r="G78" i="3"/>
  <c r="H78" i="3"/>
  <c r="I78" i="3"/>
  <c r="B79" i="3"/>
  <c r="D79" i="3"/>
  <c r="E79" i="3"/>
  <c r="G79" i="3"/>
  <c r="C79" i="3"/>
  <c r="F79" i="3"/>
  <c r="H79" i="3"/>
  <c r="I79" i="3"/>
  <c r="C80" i="3"/>
  <c r="D80" i="3"/>
  <c r="F80" i="3"/>
  <c r="B80" i="3"/>
  <c r="E80" i="3"/>
  <c r="G80" i="3"/>
  <c r="H80" i="3"/>
  <c r="I80" i="3"/>
  <c r="B81" i="3"/>
  <c r="C81" i="3"/>
  <c r="D81" i="3"/>
  <c r="E81" i="3"/>
  <c r="F81" i="3"/>
  <c r="G81" i="3"/>
  <c r="H81" i="3"/>
  <c r="I81" i="3"/>
  <c r="C82" i="3"/>
  <c r="D82" i="3"/>
  <c r="F82" i="3"/>
  <c r="G82" i="3"/>
  <c r="B82" i="3"/>
  <c r="E82" i="3"/>
  <c r="H82" i="3"/>
  <c r="I82" i="3"/>
  <c r="B84" i="3"/>
  <c r="C84" i="3"/>
  <c r="D84" i="3"/>
  <c r="E84" i="3"/>
  <c r="F84" i="3"/>
  <c r="G84" i="3"/>
  <c r="H84" i="3"/>
  <c r="I84" i="3"/>
  <c r="C85" i="3"/>
  <c r="E85" i="3"/>
  <c r="B85" i="3"/>
  <c r="D85" i="3"/>
  <c r="F85" i="3"/>
  <c r="G85" i="3"/>
  <c r="H85" i="3"/>
  <c r="I85" i="3"/>
  <c r="B86" i="3"/>
  <c r="C86" i="3"/>
  <c r="D86" i="3"/>
  <c r="E86" i="3"/>
  <c r="F86" i="3"/>
  <c r="G86" i="3"/>
  <c r="H86" i="3"/>
  <c r="I86" i="3"/>
  <c r="C87" i="3"/>
  <c r="D87" i="3"/>
  <c r="F87" i="3"/>
  <c r="G87" i="3"/>
  <c r="B87" i="3"/>
  <c r="E87" i="3"/>
  <c r="H87" i="3"/>
  <c r="I87" i="3"/>
  <c r="B88" i="3"/>
  <c r="C88" i="3"/>
  <c r="D88" i="3"/>
  <c r="E88" i="3"/>
  <c r="F88" i="3"/>
  <c r="G88" i="3"/>
  <c r="H88" i="3"/>
  <c r="I88" i="3"/>
  <c r="B89" i="3"/>
  <c r="C89" i="3"/>
  <c r="D89" i="3"/>
  <c r="E89" i="3"/>
  <c r="F89" i="3"/>
  <c r="G89" i="3"/>
  <c r="H89" i="3"/>
  <c r="I89" i="3"/>
  <c r="B90" i="3"/>
  <c r="C90" i="3"/>
  <c r="D90" i="3"/>
  <c r="E90" i="3"/>
  <c r="F90" i="3"/>
  <c r="G90" i="3"/>
  <c r="H90" i="3"/>
  <c r="I90" i="3"/>
  <c r="B91" i="3"/>
  <c r="C91" i="3"/>
  <c r="D91" i="3"/>
  <c r="E91" i="3"/>
  <c r="F91" i="3"/>
  <c r="G91" i="3"/>
  <c r="H91" i="3"/>
  <c r="I91" i="3"/>
  <c r="B92" i="3"/>
  <c r="C92" i="3"/>
  <c r="E92" i="3"/>
  <c r="D92" i="3"/>
  <c r="F92" i="3"/>
  <c r="G92" i="3"/>
  <c r="H92" i="3"/>
  <c r="I92" i="3"/>
  <c r="C93" i="3"/>
  <c r="D93" i="3"/>
  <c r="F93" i="3"/>
  <c r="B93" i="3"/>
  <c r="E93" i="3"/>
  <c r="G93" i="3"/>
  <c r="H93" i="3"/>
  <c r="I93" i="3"/>
  <c r="B94" i="3"/>
  <c r="C94" i="3"/>
  <c r="E94" i="3"/>
  <c r="D94" i="3"/>
  <c r="F94" i="3"/>
  <c r="G94" i="3"/>
  <c r="H94" i="3"/>
  <c r="I94" i="3"/>
  <c r="B95" i="3"/>
  <c r="D95" i="3"/>
  <c r="F95" i="3"/>
  <c r="C95" i="3"/>
  <c r="E95" i="3"/>
  <c r="G95" i="3"/>
  <c r="H95" i="3"/>
  <c r="I95" i="3"/>
  <c r="B96" i="3"/>
  <c r="C96" i="3"/>
  <c r="D96" i="3"/>
  <c r="E96" i="3"/>
  <c r="F96" i="3"/>
  <c r="G96" i="3"/>
  <c r="H96" i="3"/>
  <c r="I96" i="3"/>
  <c r="F62" i="3"/>
  <c r="C62" i="3"/>
  <c r="H62" i="3"/>
  <c r="B62" i="3"/>
  <c r="E62" i="3"/>
  <c r="I62" i="3"/>
  <c r="D62" i="3"/>
  <c r="G62" i="3"/>
  <c r="D6" i="2"/>
  <c r="G6" i="2"/>
  <c r="C6" i="2"/>
  <c r="F6" i="2"/>
  <c r="H6" i="2"/>
  <c r="B6" i="2"/>
  <c r="D8" i="2"/>
  <c r="G8" i="2"/>
  <c r="C8" i="2"/>
  <c r="F8" i="2"/>
  <c r="H8" i="2"/>
  <c r="B8" i="2"/>
  <c r="F9" i="2"/>
  <c r="H9" i="2"/>
  <c r="C9" i="2"/>
  <c r="B9" i="2"/>
  <c r="D9" i="2"/>
  <c r="G9" i="2"/>
  <c r="D11" i="2"/>
  <c r="G11" i="2"/>
  <c r="C11" i="2"/>
  <c r="F11" i="2"/>
  <c r="H11" i="2"/>
  <c r="B11" i="2"/>
  <c r="F14" i="2"/>
  <c r="H14" i="2"/>
  <c r="B14" i="2"/>
  <c r="C14" i="2"/>
  <c r="D14" i="2"/>
  <c r="G14" i="2"/>
  <c r="C22" i="2"/>
  <c r="F22" i="2"/>
  <c r="G22" i="2"/>
  <c r="H22" i="2"/>
  <c r="B22" i="2"/>
  <c r="D22" i="2"/>
  <c r="D25" i="2"/>
  <c r="G25" i="2"/>
  <c r="H25" i="2"/>
  <c r="B25" i="2"/>
  <c r="C25" i="2"/>
  <c r="F25" i="2"/>
  <c r="D26" i="2"/>
  <c r="G26" i="2"/>
  <c r="H26" i="2"/>
  <c r="B26" i="2"/>
  <c r="C26" i="2"/>
  <c r="F26" i="2"/>
  <c r="C27" i="2"/>
  <c r="F27" i="2"/>
  <c r="G27" i="2"/>
  <c r="H27" i="2"/>
  <c r="B27" i="2"/>
  <c r="D27" i="2"/>
  <c r="D34" i="2"/>
  <c r="H34" i="2"/>
  <c r="C34" i="2"/>
  <c r="F34" i="2"/>
  <c r="G34" i="2"/>
  <c r="B34" i="2"/>
  <c r="B41" i="2"/>
  <c r="C41" i="2"/>
  <c r="D41" i="2"/>
  <c r="F41" i="2"/>
  <c r="G41" i="2"/>
  <c r="H41" i="2"/>
  <c r="B42" i="2"/>
  <c r="C42" i="2"/>
  <c r="D42" i="2"/>
  <c r="F42" i="2"/>
  <c r="G42" i="2"/>
  <c r="H42" i="2"/>
  <c r="B43" i="2"/>
  <c r="C43" i="2"/>
  <c r="D43" i="2"/>
  <c r="F43" i="2"/>
  <c r="G43" i="2"/>
  <c r="H43" i="2"/>
  <c r="B44" i="2"/>
  <c r="C44" i="2"/>
  <c r="D44" i="2"/>
  <c r="F44" i="2"/>
  <c r="G44" i="2"/>
  <c r="H44" i="2"/>
  <c r="B45" i="2"/>
  <c r="C45" i="2"/>
  <c r="D45" i="2"/>
  <c r="F45" i="2"/>
  <c r="G45" i="2"/>
  <c r="H45" i="2"/>
  <c r="B46" i="2"/>
  <c r="C46" i="2"/>
  <c r="D46" i="2"/>
  <c r="F46" i="2"/>
  <c r="G46" i="2"/>
  <c r="H46" i="2"/>
  <c r="B47" i="2"/>
  <c r="C47" i="2"/>
  <c r="D47" i="2"/>
  <c r="F47" i="2"/>
  <c r="G47" i="2"/>
  <c r="H47" i="2"/>
  <c r="B48" i="2"/>
  <c r="C48" i="2"/>
  <c r="D48" i="2"/>
  <c r="F48" i="2"/>
  <c r="G48" i="2"/>
  <c r="H48" i="2"/>
  <c r="B49" i="2"/>
  <c r="C49" i="2"/>
  <c r="D49" i="2"/>
  <c r="F49" i="2"/>
  <c r="G49" i="2"/>
  <c r="H49" i="2"/>
  <c r="B50" i="2"/>
  <c r="C50" i="2"/>
  <c r="D50" i="2"/>
  <c r="F50" i="2"/>
  <c r="G50" i="2"/>
  <c r="H50" i="2"/>
  <c r="B51" i="2"/>
  <c r="C51" i="2"/>
  <c r="D51" i="2"/>
  <c r="F51" i="2"/>
  <c r="G51" i="2"/>
  <c r="H51" i="2"/>
  <c r="B52" i="2"/>
  <c r="C52" i="2"/>
  <c r="D52" i="2"/>
  <c r="F52" i="2"/>
  <c r="G52" i="2"/>
  <c r="H52" i="2"/>
  <c r="B53" i="2"/>
  <c r="C53" i="2"/>
  <c r="D53" i="2"/>
  <c r="F53" i="2"/>
  <c r="G53" i="2"/>
  <c r="H53" i="2"/>
  <c r="B54" i="2"/>
  <c r="C54" i="2"/>
  <c r="D54" i="2"/>
  <c r="F54" i="2"/>
  <c r="G54" i="2"/>
  <c r="H54" i="2"/>
  <c r="B55" i="2"/>
  <c r="C55" i="2"/>
  <c r="D55" i="2"/>
  <c r="F55" i="2"/>
  <c r="G55" i="2"/>
  <c r="H55" i="2"/>
  <c r="B56" i="2"/>
  <c r="C56" i="2"/>
  <c r="D56" i="2"/>
  <c r="F56" i="2"/>
  <c r="G56" i="2"/>
  <c r="H56" i="2"/>
  <c r="B57" i="2"/>
  <c r="C57" i="2"/>
  <c r="D57" i="2"/>
  <c r="F57" i="2"/>
  <c r="G57" i="2"/>
  <c r="H57" i="2"/>
  <c r="B58" i="2"/>
  <c r="C58" i="2"/>
  <c r="D58" i="2"/>
  <c r="F58" i="2"/>
  <c r="G58" i="2"/>
  <c r="H58" i="2"/>
  <c r="B59" i="2"/>
  <c r="C59" i="2"/>
  <c r="D59" i="2"/>
  <c r="F59" i="2"/>
  <c r="G59" i="2"/>
  <c r="H59" i="2"/>
  <c r="B60" i="2"/>
  <c r="C60" i="2"/>
  <c r="D60" i="2"/>
  <c r="F60" i="2"/>
  <c r="G60" i="2"/>
  <c r="H60" i="2"/>
  <c r="B61" i="2"/>
  <c r="C61" i="2"/>
  <c r="D61" i="2"/>
  <c r="F61" i="2"/>
  <c r="G61" i="2"/>
  <c r="H61" i="2"/>
  <c r="B62" i="2"/>
  <c r="C62" i="2"/>
  <c r="D62" i="2"/>
  <c r="F62" i="2"/>
  <c r="G62" i="2"/>
  <c r="H62" i="2"/>
  <c r="B63" i="2"/>
  <c r="C63" i="2"/>
  <c r="D63" i="2"/>
  <c r="F63" i="2"/>
  <c r="G63" i="2"/>
  <c r="H63" i="2"/>
  <c r="B64" i="2"/>
  <c r="C64" i="2"/>
  <c r="D64" i="2"/>
  <c r="F64" i="2"/>
  <c r="G64" i="2"/>
  <c r="H64" i="2"/>
  <c r="B65" i="2"/>
  <c r="C65" i="2"/>
  <c r="D65" i="2"/>
  <c r="G65" i="2"/>
  <c r="F65" i="2"/>
  <c r="H65" i="2"/>
  <c r="E54" i="3"/>
  <c r="I54" i="3"/>
  <c r="C54" i="3"/>
  <c r="H54" i="3"/>
  <c r="B54" i="3"/>
  <c r="G54" i="3"/>
  <c r="F54" i="3"/>
  <c r="D54" i="3"/>
  <c r="D4" i="2"/>
  <c r="H4" i="2"/>
  <c r="B4" i="2"/>
  <c r="F4" i="2"/>
  <c r="C4" i="2"/>
  <c r="G4" i="2"/>
  <c r="C5" i="2"/>
  <c r="D5" i="2"/>
  <c r="G5" i="2"/>
  <c r="H5" i="2"/>
  <c r="B5" i="2"/>
  <c r="F5" i="2"/>
  <c r="B7" i="2"/>
  <c r="D7" i="2"/>
  <c r="G7" i="2"/>
  <c r="H7" i="2"/>
  <c r="C7" i="2"/>
  <c r="F7" i="2"/>
  <c r="C12" i="2"/>
  <c r="F12" i="2"/>
  <c r="H12" i="2"/>
  <c r="B12" i="2"/>
  <c r="D12" i="2"/>
  <c r="G12" i="2"/>
  <c r="B16" i="2"/>
  <c r="D16" i="2"/>
  <c r="G16" i="2"/>
  <c r="C16" i="2"/>
  <c r="F16" i="2"/>
  <c r="H16" i="2"/>
  <c r="D32" i="2"/>
  <c r="G32" i="2"/>
  <c r="B32" i="2"/>
  <c r="C32" i="2"/>
  <c r="F32" i="2"/>
  <c r="H32" i="2"/>
  <c r="C33" i="2"/>
  <c r="G33" i="2"/>
  <c r="H33" i="2"/>
  <c r="B33" i="2"/>
  <c r="D33" i="2"/>
  <c r="F33" i="2"/>
  <c r="C35" i="2"/>
  <c r="F35" i="2"/>
  <c r="H35" i="2"/>
  <c r="B35" i="2"/>
  <c r="D35" i="2"/>
  <c r="G35" i="2"/>
  <c r="C36" i="2"/>
  <c r="F36" i="2"/>
  <c r="G36" i="2"/>
  <c r="H36" i="2"/>
  <c r="B36" i="2"/>
  <c r="D36" i="2"/>
  <c r="D39" i="2"/>
  <c r="G39" i="2"/>
  <c r="B39" i="2"/>
  <c r="F39" i="2"/>
  <c r="H39" i="2"/>
  <c r="C39" i="2"/>
  <c r="C70" i="2"/>
  <c r="G70" i="2"/>
  <c r="B70" i="2"/>
  <c r="D70" i="2"/>
  <c r="F70" i="2"/>
  <c r="H70" i="2"/>
  <c r="F72" i="2"/>
  <c r="H72" i="2"/>
  <c r="B72" i="2"/>
  <c r="D72" i="2"/>
  <c r="G72" i="2"/>
  <c r="C72" i="2"/>
  <c r="C77" i="2"/>
  <c r="F77" i="2"/>
  <c r="H77" i="2"/>
  <c r="B77" i="2"/>
  <c r="D77" i="2"/>
  <c r="G77" i="2"/>
  <c r="D78" i="2"/>
  <c r="G78" i="2"/>
  <c r="B78" i="2"/>
  <c r="C78" i="2"/>
  <c r="F78" i="2"/>
  <c r="H78" i="2"/>
  <c r="D79" i="2"/>
  <c r="G79" i="2"/>
  <c r="B79" i="2"/>
  <c r="C79" i="2"/>
  <c r="F79" i="2"/>
  <c r="H79" i="2"/>
  <c r="C81" i="2"/>
  <c r="F81" i="2"/>
  <c r="B81" i="2"/>
  <c r="D81" i="2"/>
  <c r="G81" i="2"/>
  <c r="H81" i="2"/>
  <c r="D83" i="2"/>
  <c r="H83" i="2"/>
  <c r="B83" i="2"/>
  <c r="F83" i="2"/>
  <c r="G83" i="2"/>
  <c r="C83" i="2"/>
  <c r="D84" i="2"/>
  <c r="H84" i="2"/>
  <c r="B84" i="2"/>
  <c r="C84" i="2"/>
  <c r="F84" i="2"/>
  <c r="G84" i="2"/>
  <c r="F85" i="2"/>
  <c r="G85" i="2"/>
  <c r="B85" i="2"/>
  <c r="D85" i="2"/>
  <c r="H85" i="2"/>
  <c r="C85" i="2"/>
  <c r="F87" i="2"/>
  <c r="H87" i="2"/>
  <c r="B87" i="2"/>
  <c r="D87" i="2"/>
  <c r="G87" i="2"/>
  <c r="C87" i="2"/>
  <c r="B90" i="2"/>
  <c r="C90" i="2"/>
  <c r="D90" i="2"/>
  <c r="F90" i="2"/>
  <c r="G90" i="2"/>
  <c r="H90" i="2"/>
  <c r="B91" i="2"/>
  <c r="C91" i="2"/>
  <c r="D91" i="2"/>
  <c r="F91" i="2"/>
  <c r="G91" i="2"/>
  <c r="H91" i="2"/>
  <c r="B92" i="2"/>
  <c r="C92" i="2"/>
  <c r="D92" i="2"/>
  <c r="F92" i="2"/>
  <c r="G92" i="2"/>
  <c r="H92" i="2"/>
  <c r="B93" i="2"/>
  <c r="C93" i="2"/>
  <c r="D93" i="2"/>
  <c r="F93" i="2"/>
  <c r="G93" i="2"/>
  <c r="H93" i="2"/>
  <c r="B94" i="2"/>
  <c r="C94" i="2"/>
  <c r="D94" i="2"/>
  <c r="F94" i="2"/>
  <c r="G94" i="2"/>
  <c r="H94" i="2"/>
  <c r="B95" i="2"/>
  <c r="C95" i="2"/>
  <c r="D95" i="2"/>
  <c r="F95" i="2"/>
  <c r="G95" i="2"/>
  <c r="H95" i="2"/>
  <c r="B96" i="2"/>
  <c r="C96" i="2"/>
  <c r="D96" i="2"/>
  <c r="F96" i="2"/>
  <c r="G96" i="2"/>
  <c r="H96" i="2"/>
  <c r="B97" i="2"/>
  <c r="C97" i="2"/>
  <c r="D97" i="2"/>
  <c r="F97" i="2"/>
  <c r="G97" i="2"/>
  <c r="H97" i="2"/>
  <c r="B98" i="2"/>
  <c r="C98" i="2"/>
  <c r="D98" i="2"/>
  <c r="F98" i="2"/>
  <c r="G98" i="2"/>
  <c r="H98" i="2"/>
  <c r="B99" i="2"/>
  <c r="C99" i="2"/>
  <c r="D99" i="2"/>
  <c r="F99" i="2"/>
  <c r="G99" i="2"/>
  <c r="H99" i="2"/>
  <c r="B100" i="2"/>
  <c r="C100" i="2"/>
  <c r="D100" i="2"/>
  <c r="F100" i="2"/>
  <c r="G100" i="2"/>
  <c r="H100" i="2"/>
  <c r="B101" i="2"/>
  <c r="C101" i="2"/>
  <c r="D101" i="2"/>
  <c r="F101" i="2"/>
  <c r="G101" i="2"/>
  <c r="H101" i="2"/>
  <c r="B102" i="2"/>
  <c r="C102" i="2"/>
  <c r="D102" i="2"/>
  <c r="F102" i="2"/>
  <c r="G102" i="2"/>
  <c r="H102" i="2"/>
  <c r="B103" i="2"/>
  <c r="C103" i="2"/>
  <c r="D103" i="2"/>
  <c r="F103" i="2"/>
  <c r="G103" i="2"/>
  <c r="H103" i="2"/>
  <c r="B104" i="2"/>
  <c r="C104" i="2"/>
  <c r="D104" i="2"/>
  <c r="F104" i="2"/>
  <c r="G104" i="2"/>
  <c r="H104" i="2"/>
  <c r="B105" i="2"/>
  <c r="C105" i="2"/>
  <c r="D105" i="2"/>
  <c r="F105" i="2"/>
  <c r="G105" i="2"/>
  <c r="H105" i="2"/>
  <c r="B106" i="2"/>
  <c r="C106" i="2"/>
  <c r="D106" i="2"/>
  <c r="F106" i="2"/>
  <c r="G106" i="2"/>
  <c r="H106" i="2"/>
  <c r="B107" i="2"/>
  <c r="C107" i="2"/>
  <c r="D107" i="2"/>
  <c r="F107" i="2"/>
  <c r="G107" i="2"/>
  <c r="H107" i="2"/>
  <c r="B108" i="2"/>
  <c r="C108" i="2"/>
  <c r="D108" i="2"/>
  <c r="F108" i="2"/>
  <c r="G108" i="2"/>
  <c r="H108" i="2"/>
  <c r="B109" i="2"/>
  <c r="C109" i="2"/>
  <c r="D109" i="2"/>
  <c r="F109" i="2"/>
  <c r="G109" i="2"/>
  <c r="H109" i="2"/>
  <c r="B110" i="2"/>
  <c r="C110" i="2"/>
  <c r="D110" i="2"/>
  <c r="F110" i="2"/>
  <c r="G110" i="2"/>
  <c r="H110" i="2"/>
  <c r="B111" i="2"/>
  <c r="C111" i="2"/>
  <c r="D111" i="2"/>
  <c r="F111" i="2"/>
  <c r="G111" i="2"/>
  <c r="H111" i="2"/>
  <c r="B112" i="2"/>
  <c r="C112" i="2"/>
  <c r="D112" i="2"/>
  <c r="F112" i="2"/>
  <c r="G112" i="2"/>
  <c r="H112" i="2"/>
  <c r="B113" i="2"/>
  <c r="C113" i="2"/>
  <c r="D113" i="2"/>
  <c r="F113" i="2"/>
  <c r="G113" i="2"/>
  <c r="H113" i="2"/>
  <c r="B114" i="2"/>
  <c r="C114" i="2"/>
  <c r="D114" i="2"/>
  <c r="F114" i="2"/>
  <c r="G114" i="2"/>
  <c r="H114" i="2"/>
  <c r="B115" i="2"/>
  <c r="C115" i="2"/>
  <c r="D115" i="2"/>
  <c r="F115" i="2"/>
  <c r="G115" i="2"/>
  <c r="H115" i="2"/>
  <c r="B116" i="2"/>
  <c r="C116" i="2"/>
  <c r="D116" i="2"/>
  <c r="F116" i="2"/>
  <c r="G116" i="2"/>
  <c r="H116" i="2"/>
  <c r="B117" i="2"/>
  <c r="C117" i="2"/>
  <c r="D117" i="2"/>
  <c r="F117" i="2"/>
  <c r="G117" i="2"/>
  <c r="H117" i="2"/>
  <c r="B118" i="2"/>
  <c r="C118" i="2"/>
  <c r="D118" i="2"/>
  <c r="F118" i="2"/>
  <c r="G118" i="2"/>
  <c r="H118" i="2"/>
  <c r="B119" i="2"/>
  <c r="C119" i="2"/>
  <c r="D119" i="2"/>
  <c r="F119" i="2"/>
  <c r="G119" i="2"/>
  <c r="H119" i="2"/>
  <c r="B120" i="2"/>
  <c r="C120" i="2"/>
  <c r="D120" i="2"/>
  <c r="F120" i="2"/>
  <c r="G120" i="2"/>
  <c r="H120" i="2"/>
  <c r="B121" i="2"/>
  <c r="C121" i="2"/>
  <c r="D121" i="2"/>
  <c r="F121" i="2"/>
  <c r="G121" i="2"/>
  <c r="H121" i="2"/>
  <c r="B122" i="2"/>
  <c r="C122" i="2"/>
  <c r="D122" i="2"/>
  <c r="F122" i="2"/>
  <c r="G122" i="2"/>
  <c r="H122" i="2"/>
  <c r="B123" i="2"/>
  <c r="C123" i="2"/>
  <c r="D123" i="2"/>
  <c r="F123" i="2"/>
  <c r="G123" i="2"/>
  <c r="H123" i="2"/>
  <c r="B124" i="2"/>
  <c r="C124" i="2"/>
  <c r="D124" i="2"/>
  <c r="F124" i="2"/>
  <c r="G124" i="2"/>
  <c r="H124" i="2"/>
  <c r="B125" i="2"/>
  <c r="C125" i="2"/>
  <c r="D125" i="2"/>
  <c r="F125" i="2"/>
  <c r="G125" i="2"/>
  <c r="H125" i="2"/>
  <c r="B126" i="2"/>
  <c r="C126" i="2"/>
  <c r="D126" i="2"/>
  <c r="F126" i="2"/>
  <c r="G126" i="2"/>
  <c r="H126" i="2"/>
  <c r="E57" i="3"/>
  <c r="H57" i="3"/>
  <c r="F57" i="3"/>
  <c r="D57" i="3"/>
  <c r="B57" i="3"/>
  <c r="I57" i="3"/>
  <c r="C57" i="3"/>
  <c r="G57" i="3"/>
  <c r="D61" i="3"/>
  <c r="G61" i="3"/>
  <c r="F61" i="3"/>
  <c r="B61" i="3"/>
  <c r="I61" i="3"/>
  <c r="C61" i="3"/>
  <c r="E61" i="3"/>
  <c r="H61" i="3"/>
  <c r="D10" i="2"/>
  <c r="F10" i="2"/>
  <c r="H10" i="2"/>
  <c r="C10" i="2"/>
  <c r="G10" i="2"/>
  <c r="B10" i="2"/>
  <c r="C13" i="2"/>
  <c r="G13" i="2"/>
  <c r="B13" i="2"/>
  <c r="D13" i="2"/>
  <c r="F13" i="2"/>
  <c r="H13" i="2"/>
  <c r="C15" i="2"/>
  <c r="F15" i="2"/>
  <c r="H15" i="2"/>
  <c r="B15" i="2"/>
  <c r="D15" i="2"/>
  <c r="G15" i="2"/>
  <c r="C17" i="2"/>
  <c r="D17" i="2"/>
  <c r="F17" i="2"/>
  <c r="G17" i="2"/>
  <c r="H17" i="2"/>
  <c r="B17" i="2"/>
  <c r="C18" i="2"/>
  <c r="D18" i="2"/>
  <c r="F18" i="2"/>
  <c r="G18" i="2"/>
  <c r="H18" i="2"/>
  <c r="B18" i="2"/>
  <c r="B19" i="2"/>
  <c r="D19" i="2"/>
  <c r="C19" i="2"/>
  <c r="F19" i="2"/>
  <c r="G19" i="2"/>
  <c r="H19" i="2"/>
  <c r="B20" i="2"/>
  <c r="D20" i="2"/>
  <c r="C20" i="2"/>
  <c r="F20" i="2"/>
  <c r="G20" i="2"/>
  <c r="H20" i="2"/>
  <c r="C21" i="2"/>
  <c r="D21" i="2"/>
  <c r="F21" i="2"/>
  <c r="G21" i="2"/>
  <c r="H21" i="2"/>
  <c r="B21" i="2"/>
  <c r="C23" i="2"/>
  <c r="D23" i="2"/>
  <c r="F23" i="2"/>
  <c r="G23" i="2"/>
  <c r="H23" i="2"/>
  <c r="B23" i="2"/>
  <c r="B24" i="2"/>
  <c r="D24" i="2"/>
  <c r="C24" i="2"/>
  <c r="F24" i="2"/>
  <c r="G24" i="2"/>
  <c r="H24" i="2"/>
  <c r="C28" i="2"/>
  <c r="B28" i="2"/>
  <c r="D28" i="2"/>
  <c r="F28" i="2"/>
  <c r="G28" i="2"/>
  <c r="H28" i="2"/>
  <c r="D66" i="2"/>
  <c r="H66" i="2"/>
  <c r="B66" i="2"/>
  <c r="C66" i="2"/>
  <c r="F66" i="2"/>
  <c r="G66" i="2"/>
  <c r="D67" i="2"/>
  <c r="G67" i="2"/>
  <c r="C67" i="2"/>
  <c r="B67" i="2"/>
  <c r="F67" i="2"/>
  <c r="H67" i="2"/>
  <c r="D68" i="2"/>
  <c r="G68" i="2"/>
  <c r="B68" i="2"/>
  <c r="C68" i="2"/>
  <c r="F68" i="2"/>
  <c r="H68" i="2"/>
  <c r="C69" i="2"/>
  <c r="G69" i="2"/>
  <c r="B69" i="2"/>
  <c r="D69" i="2"/>
  <c r="F69" i="2"/>
  <c r="H69" i="2"/>
  <c r="D73" i="2"/>
  <c r="G73" i="2"/>
  <c r="C73" i="2"/>
  <c r="F73" i="2"/>
  <c r="H73" i="2"/>
  <c r="B73" i="2"/>
  <c r="D75" i="2"/>
  <c r="H75" i="2"/>
  <c r="C75" i="2"/>
  <c r="B75" i="2"/>
  <c r="F75" i="2"/>
  <c r="G75" i="2"/>
  <c r="C76" i="2"/>
  <c r="G76" i="2"/>
  <c r="B76" i="2"/>
  <c r="D76" i="2"/>
  <c r="F76" i="2"/>
  <c r="H76" i="2"/>
  <c r="F88" i="2"/>
  <c r="H88" i="2"/>
  <c r="C88" i="2"/>
  <c r="B88" i="2"/>
  <c r="D88" i="2"/>
  <c r="G88" i="2"/>
  <c r="D89" i="2"/>
  <c r="G89" i="2"/>
  <c r="C89" i="2"/>
  <c r="H89" i="2"/>
  <c r="B89" i="2"/>
  <c r="F89" i="2"/>
  <c r="D127" i="2"/>
  <c r="G127" i="2"/>
  <c r="H127" i="2"/>
  <c r="B127" i="2"/>
  <c r="C127" i="2"/>
  <c r="F127" i="2"/>
  <c r="C129" i="2"/>
  <c r="F129" i="2"/>
  <c r="G129" i="2"/>
  <c r="H129" i="2"/>
  <c r="B129" i="2"/>
  <c r="D129" i="2"/>
  <c r="C131" i="2"/>
  <c r="F131" i="2"/>
  <c r="G131" i="2"/>
  <c r="H131" i="2"/>
  <c r="B131" i="2"/>
  <c r="D131" i="2"/>
  <c r="B139" i="2"/>
  <c r="C139" i="2"/>
  <c r="D139" i="2"/>
  <c r="F139" i="2"/>
  <c r="G139" i="2"/>
  <c r="H139" i="2"/>
  <c r="D141" i="2"/>
  <c r="G141" i="2"/>
  <c r="H141" i="2"/>
  <c r="B141" i="2"/>
  <c r="C141" i="2"/>
  <c r="F141" i="2"/>
  <c r="C142" i="2"/>
  <c r="F142" i="2"/>
  <c r="G142" i="2"/>
  <c r="H142" i="2"/>
  <c r="B142" i="2"/>
  <c r="D142" i="2"/>
  <c r="B146" i="2"/>
  <c r="C146" i="2"/>
  <c r="D146" i="2"/>
  <c r="F146" i="2"/>
  <c r="G146" i="2"/>
  <c r="H146" i="2"/>
  <c r="D147" i="2"/>
  <c r="G147" i="2"/>
  <c r="H147" i="2"/>
  <c r="B147" i="2"/>
  <c r="C147" i="2"/>
  <c r="F147" i="2"/>
  <c r="B149" i="2"/>
  <c r="C149" i="2"/>
  <c r="D149" i="2"/>
  <c r="F149" i="2"/>
  <c r="G149" i="2"/>
  <c r="H149" i="2"/>
  <c r="D151" i="2"/>
  <c r="G151" i="2"/>
  <c r="H151" i="2"/>
  <c r="B151" i="2"/>
  <c r="C151" i="2"/>
  <c r="F151" i="2"/>
  <c r="C156" i="2"/>
  <c r="F156" i="2"/>
  <c r="H156" i="2"/>
  <c r="B156" i="2"/>
  <c r="D156" i="2"/>
  <c r="G156" i="2"/>
  <c r="D157" i="2"/>
  <c r="G157" i="2"/>
  <c r="H157" i="2"/>
  <c r="B157" i="2"/>
  <c r="C157" i="2"/>
  <c r="F157" i="2"/>
  <c r="D158" i="2"/>
  <c r="B158" i="2"/>
  <c r="C158" i="2"/>
  <c r="F158" i="2"/>
  <c r="G158" i="2"/>
  <c r="H158" i="2"/>
  <c r="C161" i="2"/>
  <c r="D161" i="2"/>
  <c r="F161" i="2"/>
  <c r="G161" i="2"/>
  <c r="H161" i="2"/>
  <c r="B161" i="2"/>
  <c r="B162" i="2"/>
  <c r="C162" i="2"/>
  <c r="D162" i="2"/>
  <c r="F162" i="2"/>
  <c r="G162" i="2"/>
  <c r="H162" i="2"/>
  <c r="B163" i="2"/>
  <c r="C163" i="2"/>
  <c r="D163" i="2"/>
  <c r="F163" i="2"/>
  <c r="G163" i="2"/>
  <c r="H163" i="2"/>
  <c r="B164" i="2"/>
  <c r="C164" i="2"/>
  <c r="D164" i="2"/>
  <c r="F164" i="2"/>
  <c r="G164" i="2"/>
  <c r="H164" i="2"/>
  <c r="B165" i="2"/>
  <c r="C165" i="2"/>
  <c r="D165" i="2"/>
  <c r="F165" i="2"/>
  <c r="G165" i="2"/>
  <c r="H165" i="2"/>
  <c r="B166" i="2"/>
  <c r="C166" i="2"/>
  <c r="D166" i="2"/>
  <c r="F166" i="2"/>
  <c r="G166" i="2"/>
  <c r="H166" i="2"/>
  <c r="B167" i="2"/>
  <c r="C167" i="2"/>
  <c r="D167" i="2"/>
  <c r="F167" i="2"/>
  <c r="G167" i="2"/>
  <c r="H167" i="2"/>
  <c r="B168" i="2"/>
  <c r="C168" i="2"/>
  <c r="D168" i="2"/>
  <c r="F168" i="2"/>
  <c r="G168" i="2"/>
  <c r="H168" i="2"/>
  <c r="B169" i="2"/>
  <c r="C169" i="2"/>
  <c r="D169" i="2"/>
  <c r="F169" i="2"/>
  <c r="G169" i="2"/>
  <c r="H169" i="2"/>
  <c r="B170" i="2"/>
  <c r="C170" i="2"/>
  <c r="D170" i="2"/>
  <c r="F170" i="2"/>
  <c r="G170" i="2"/>
  <c r="H170" i="2"/>
  <c r="B171" i="2"/>
  <c r="C171" i="2"/>
  <c r="D171" i="2"/>
  <c r="F171" i="2"/>
  <c r="G171" i="2"/>
  <c r="H171" i="2"/>
  <c r="B172" i="2"/>
  <c r="C172" i="2"/>
  <c r="D172" i="2"/>
  <c r="F172" i="2"/>
  <c r="G172" i="2"/>
  <c r="H172" i="2"/>
  <c r="B173" i="2"/>
  <c r="C173" i="2"/>
  <c r="D173" i="2"/>
  <c r="F173" i="2"/>
  <c r="G173" i="2"/>
  <c r="H173" i="2"/>
  <c r="B174" i="2"/>
  <c r="C174" i="2"/>
  <c r="D174" i="2"/>
  <c r="F174" i="2"/>
  <c r="G174" i="2"/>
  <c r="H174" i="2"/>
  <c r="B175" i="2"/>
  <c r="C175" i="2"/>
  <c r="D175" i="2"/>
  <c r="F175" i="2"/>
  <c r="G175" i="2"/>
  <c r="H175" i="2"/>
  <c r="B176" i="2"/>
  <c r="C176" i="2"/>
  <c r="D176" i="2"/>
  <c r="F176" i="2"/>
  <c r="G176" i="2"/>
  <c r="H176" i="2"/>
  <c r="B177" i="2"/>
  <c r="C177" i="2"/>
  <c r="D177" i="2"/>
  <c r="F177" i="2"/>
  <c r="G177" i="2"/>
  <c r="H177" i="2"/>
  <c r="B178" i="2"/>
  <c r="C178" i="2"/>
  <c r="D178" i="2"/>
  <c r="F178" i="2"/>
  <c r="G178" i="2"/>
  <c r="H178" i="2"/>
  <c r="B179" i="2"/>
  <c r="C179" i="2"/>
  <c r="D179" i="2"/>
  <c r="F179" i="2"/>
  <c r="G179" i="2"/>
  <c r="H179" i="2"/>
  <c r="B180" i="2"/>
  <c r="C180" i="2"/>
  <c r="D180" i="2"/>
  <c r="F180" i="2"/>
  <c r="G180" i="2"/>
  <c r="H180" i="2"/>
  <c r="B181" i="2"/>
  <c r="C181" i="2"/>
  <c r="D181" i="2"/>
  <c r="F181" i="2"/>
  <c r="G181" i="2"/>
  <c r="H181" i="2"/>
  <c r="B182" i="2"/>
  <c r="C182" i="2"/>
  <c r="D182" i="2"/>
  <c r="F182" i="2"/>
  <c r="G182" i="2"/>
  <c r="H182" i="2"/>
  <c r="B183" i="2"/>
  <c r="C183" i="2"/>
  <c r="D183" i="2"/>
  <c r="F183" i="2"/>
  <c r="G183" i="2"/>
  <c r="H183" i="2"/>
  <c r="B184" i="2"/>
  <c r="C184" i="2"/>
  <c r="D184" i="2"/>
  <c r="F184" i="2"/>
  <c r="G184" i="2"/>
  <c r="H184" i="2"/>
  <c r="B185" i="2"/>
  <c r="C185" i="2"/>
  <c r="D185" i="2"/>
  <c r="F185" i="2"/>
  <c r="G185" i="2"/>
  <c r="H185" i="2"/>
  <c r="B186" i="2"/>
  <c r="C186" i="2"/>
  <c r="D186" i="2"/>
  <c r="F186" i="2"/>
  <c r="G186" i="2"/>
  <c r="H186" i="2"/>
  <c r="B187" i="2"/>
  <c r="C187" i="2"/>
  <c r="D187" i="2"/>
  <c r="F187" i="2"/>
  <c r="G187" i="2"/>
  <c r="H187" i="2"/>
  <c r="F52" i="3"/>
  <c r="I52" i="3"/>
  <c r="C52" i="3"/>
  <c r="B52" i="3"/>
  <c r="G52" i="3"/>
  <c r="E52" i="3"/>
  <c r="D52" i="3"/>
  <c r="H52" i="3"/>
  <c r="E55" i="3"/>
  <c r="I55" i="3"/>
  <c r="B55" i="3"/>
  <c r="F55" i="3"/>
  <c r="G55" i="3"/>
  <c r="C55" i="3"/>
  <c r="H55" i="3"/>
  <c r="D55" i="3"/>
  <c r="G56" i="3"/>
  <c r="H56" i="3"/>
  <c r="B56" i="3"/>
  <c r="E56" i="3"/>
  <c r="I56" i="3"/>
  <c r="C56" i="3"/>
  <c r="F56" i="3"/>
  <c r="D56" i="3"/>
  <c r="D59" i="3"/>
  <c r="H59" i="3"/>
  <c r="E59" i="3"/>
  <c r="C59" i="3"/>
  <c r="F59" i="3"/>
  <c r="I59" i="3"/>
  <c r="B59" i="3"/>
  <c r="G59" i="3"/>
  <c r="E60" i="3"/>
  <c r="H60" i="3"/>
  <c r="B60" i="3"/>
  <c r="I60" i="3"/>
  <c r="D60" i="3"/>
  <c r="G60" i="3"/>
  <c r="C60" i="3"/>
  <c r="F60" i="3"/>
  <c r="B29" i="2"/>
  <c r="D29" i="2"/>
  <c r="F29" i="2"/>
  <c r="H29" i="2"/>
  <c r="C29" i="2"/>
  <c r="G29" i="2"/>
  <c r="C30" i="2"/>
  <c r="D30" i="2"/>
  <c r="G30" i="2"/>
  <c r="B30" i="2"/>
  <c r="F30" i="2"/>
  <c r="H30" i="2"/>
  <c r="C31" i="2"/>
  <c r="F31" i="2"/>
  <c r="H31" i="2"/>
  <c r="B31" i="2"/>
  <c r="D31" i="2"/>
  <c r="G31" i="2"/>
  <c r="B37" i="2"/>
  <c r="D37" i="2"/>
  <c r="G37" i="2"/>
  <c r="C37" i="2"/>
  <c r="F37" i="2"/>
  <c r="H37" i="2"/>
  <c r="B38" i="2"/>
  <c r="D38" i="2"/>
  <c r="G38" i="2"/>
  <c r="H38" i="2"/>
  <c r="C38" i="2"/>
  <c r="F38" i="2"/>
  <c r="C40" i="2"/>
  <c r="B40" i="2"/>
  <c r="D40" i="2"/>
  <c r="H40" i="2"/>
  <c r="F40" i="2"/>
  <c r="G40" i="2"/>
  <c r="C71" i="2"/>
  <c r="F71" i="2"/>
  <c r="G71" i="2"/>
  <c r="B71" i="2"/>
  <c r="D71" i="2"/>
  <c r="H71" i="2"/>
  <c r="C74" i="2"/>
  <c r="D74" i="2"/>
  <c r="G74" i="2"/>
  <c r="B74" i="2"/>
  <c r="F74" i="2"/>
  <c r="H74" i="2"/>
  <c r="B80" i="2"/>
  <c r="D80" i="2"/>
  <c r="F80" i="2"/>
  <c r="H80" i="2"/>
  <c r="C80" i="2"/>
  <c r="G80" i="2"/>
  <c r="C82" i="2"/>
  <c r="F82" i="2"/>
  <c r="H82" i="2"/>
  <c r="B82" i="2"/>
  <c r="D82" i="2"/>
  <c r="G82" i="2"/>
  <c r="C86" i="2"/>
  <c r="D86" i="2"/>
  <c r="F86" i="2"/>
  <c r="H86" i="2"/>
  <c r="B86" i="2"/>
  <c r="G86" i="2"/>
  <c r="C128" i="2"/>
  <c r="F128" i="2"/>
  <c r="B128" i="2"/>
  <c r="D128" i="2"/>
  <c r="G128" i="2"/>
  <c r="H128" i="2"/>
  <c r="C130" i="2"/>
  <c r="D130" i="2"/>
  <c r="B130" i="2"/>
  <c r="F130" i="2"/>
  <c r="G130" i="2"/>
  <c r="H130" i="2"/>
  <c r="B132" i="2"/>
  <c r="C132" i="2"/>
  <c r="D132" i="2"/>
  <c r="F132" i="2"/>
  <c r="G132" i="2"/>
  <c r="H132" i="2"/>
  <c r="B133" i="2"/>
  <c r="D133" i="2"/>
  <c r="C133" i="2"/>
  <c r="F133" i="2"/>
  <c r="G133" i="2"/>
  <c r="H133" i="2"/>
  <c r="C134" i="2"/>
  <c r="F134" i="2"/>
  <c r="B134" i="2"/>
  <c r="D134" i="2"/>
  <c r="G134" i="2"/>
  <c r="H134" i="2"/>
  <c r="C135" i="2"/>
  <c r="F135" i="2"/>
  <c r="B135" i="2"/>
  <c r="D135" i="2"/>
  <c r="G135" i="2"/>
  <c r="H135" i="2"/>
  <c r="B136" i="2"/>
  <c r="C136" i="2"/>
  <c r="D136" i="2"/>
  <c r="F136" i="2"/>
  <c r="G136" i="2"/>
  <c r="H136" i="2"/>
  <c r="C137" i="2"/>
  <c r="F137" i="2"/>
  <c r="B137" i="2"/>
  <c r="D137" i="2"/>
  <c r="G137" i="2"/>
  <c r="H137" i="2"/>
  <c r="C138" i="2"/>
  <c r="F138" i="2"/>
  <c r="B138" i="2"/>
  <c r="D138" i="2"/>
  <c r="G138" i="2"/>
  <c r="H138" i="2"/>
  <c r="C140" i="2"/>
  <c r="F140" i="2"/>
  <c r="B140" i="2"/>
  <c r="D140" i="2"/>
  <c r="G140" i="2"/>
  <c r="H140" i="2"/>
  <c r="B143" i="2"/>
  <c r="D143" i="2"/>
  <c r="C143" i="2"/>
  <c r="F143" i="2"/>
  <c r="G143" i="2"/>
  <c r="H143" i="2"/>
  <c r="B144" i="2"/>
  <c r="C144" i="2"/>
  <c r="D144" i="2"/>
  <c r="F144" i="2"/>
  <c r="G144" i="2"/>
  <c r="H144" i="2"/>
  <c r="C145" i="2"/>
  <c r="F145" i="2"/>
  <c r="B145" i="2"/>
  <c r="D145" i="2"/>
  <c r="G145" i="2"/>
  <c r="H145" i="2"/>
  <c r="C148" i="2"/>
  <c r="F148" i="2"/>
  <c r="B148" i="2"/>
  <c r="D148" i="2"/>
  <c r="G148" i="2"/>
  <c r="H148" i="2"/>
  <c r="B150" i="2"/>
  <c r="C150" i="2"/>
  <c r="D150" i="2"/>
  <c r="F150" i="2"/>
  <c r="G150" i="2"/>
  <c r="H150" i="2"/>
  <c r="C152" i="2"/>
  <c r="F152" i="2"/>
  <c r="B152" i="2"/>
  <c r="D152" i="2"/>
  <c r="G152" i="2"/>
  <c r="H152" i="2"/>
  <c r="B153" i="2"/>
  <c r="C153" i="2"/>
  <c r="D153" i="2"/>
  <c r="F153" i="2"/>
  <c r="G153" i="2"/>
  <c r="H153" i="2"/>
  <c r="C154" i="2"/>
  <c r="D154" i="2"/>
  <c r="F154" i="2"/>
  <c r="G154" i="2"/>
  <c r="H154" i="2"/>
  <c r="B154" i="2"/>
  <c r="B155" i="2"/>
  <c r="D155" i="2"/>
  <c r="C155" i="2"/>
  <c r="F155" i="2"/>
  <c r="G155" i="2"/>
  <c r="H155" i="2"/>
  <c r="C159" i="2"/>
  <c r="F159" i="2"/>
  <c r="B159" i="2"/>
  <c r="D159" i="2"/>
  <c r="G159" i="2"/>
  <c r="H159" i="2"/>
  <c r="C160" i="2"/>
  <c r="D160" i="2"/>
  <c r="B160" i="2"/>
  <c r="F160" i="2"/>
  <c r="G160" i="2"/>
  <c r="H160" i="2"/>
  <c r="B188" i="2"/>
  <c r="C188" i="2"/>
  <c r="D188" i="2"/>
  <c r="F188" i="2"/>
  <c r="G188" i="2"/>
  <c r="H188" i="2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B12" i="3"/>
  <c r="C12" i="3"/>
  <c r="D12" i="3"/>
  <c r="E12" i="3"/>
  <c r="F12" i="3"/>
  <c r="G12" i="3"/>
  <c r="H12" i="3"/>
  <c r="I12" i="3"/>
  <c r="B13" i="3"/>
  <c r="C13" i="3"/>
  <c r="D13" i="3"/>
  <c r="E13" i="3"/>
  <c r="F13" i="3"/>
  <c r="G13" i="3"/>
  <c r="H13" i="3"/>
  <c r="I13" i="3"/>
  <c r="B14" i="3"/>
  <c r="C14" i="3"/>
  <c r="D14" i="3"/>
  <c r="E14" i="3"/>
  <c r="F14" i="3"/>
  <c r="G14" i="3"/>
  <c r="H14" i="3"/>
  <c r="I14" i="3"/>
  <c r="B15" i="3"/>
  <c r="C15" i="3"/>
  <c r="D15" i="3"/>
  <c r="E15" i="3"/>
  <c r="F15" i="3"/>
  <c r="G15" i="3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B21" i="3"/>
  <c r="C21" i="3"/>
  <c r="D21" i="3"/>
  <c r="E21" i="3"/>
  <c r="F21" i="3"/>
  <c r="G21" i="3"/>
  <c r="H21" i="3"/>
  <c r="I21" i="3"/>
  <c r="B22" i="3"/>
  <c r="C22" i="3"/>
  <c r="D22" i="3"/>
  <c r="E22" i="3"/>
  <c r="F22" i="3"/>
  <c r="G22" i="3"/>
  <c r="H22" i="3"/>
  <c r="I22" i="3"/>
  <c r="B23" i="3"/>
  <c r="C23" i="3"/>
  <c r="D23" i="3"/>
  <c r="E23" i="3"/>
  <c r="F23" i="3"/>
  <c r="G23" i="3"/>
  <c r="H23" i="3"/>
  <c r="I23" i="3"/>
  <c r="B24" i="3"/>
  <c r="C24" i="3"/>
  <c r="D24" i="3"/>
  <c r="E24" i="3"/>
  <c r="F24" i="3"/>
  <c r="G24" i="3"/>
  <c r="H24" i="3"/>
  <c r="I24" i="3"/>
  <c r="B25" i="3"/>
  <c r="C25" i="3"/>
  <c r="D25" i="3"/>
  <c r="E25" i="3"/>
  <c r="F25" i="3"/>
  <c r="G25" i="3"/>
  <c r="H25" i="3"/>
  <c r="I25" i="3"/>
  <c r="B26" i="3"/>
  <c r="C26" i="3"/>
  <c r="D26" i="3"/>
  <c r="E26" i="3"/>
  <c r="F26" i="3"/>
  <c r="G26" i="3"/>
  <c r="H26" i="3"/>
  <c r="I26" i="3"/>
  <c r="B27" i="3"/>
  <c r="C27" i="3"/>
  <c r="D27" i="3"/>
  <c r="E27" i="3"/>
  <c r="F27" i="3"/>
  <c r="G27" i="3"/>
  <c r="H27" i="3"/>
  <c r="I27" i="3"/>
  <c r="B28" i="3"/>
  <c r="C28" i="3"/>
  <c r="D28" i="3"/>
  <c r="E28" i="3"/>
  <c r="F28" i="3"/>
  <c r="G28" i="3"/>
  <c r="H28" i="3"/>
  <c r="I28" i="3"/>
  <c r="B29" i="3"/>
  <c r="C29" i="3"/>
  <c r="D29" i="3"/>
  <c r="E29" i="3"/>
  <c r="F29" i="3"/>
  <c r="G29" i="3"/>
  <c r="H29" i="3"/>
  <c r="I29" i="3"/>
  <c r="B30" i="3"/>
  <c r="C30" i="3"/>
  <c r="D30" i="3"/>
  <c r="E30" i="3"/>
  <c r="F30" i="3"/>
  <c r="G30" i="3"/>
  <c r="H30" i="3"/>
  <c r="I30" i="3"/>
  <c r="B31" i="3"/>
  <c r="C31" i="3"/>
  <c r="D31" i="3"/>
  <c r="E31" i="3"/>
  <c r="F31" i="3"/>
  <c r="G31" i="3"/>
  <c r="H31" i="3"/>
  <c r="I31" i="3"/>
  <c r="B32" i="3"/>
  <c r="C32" i="3"/>
  <c r="D32" i="3"/>
  <c r="E32" i="3"/>
  <c r="F32" i="3"/>
  <c r="G32" i="3"/>
  <c r="H32" i="3"/>
  <c r="I32" i="3"/>
  <c r="B33" i="3"/>
  <c r="C33" i="3"/>
  <c r="D33" i="3"/>
  <c r="E33" i="3"/>
  <c r="F33" i="3"/>
  <c r="G33" i="3"/>
  <c r="H33" i="3"/>
  <c r="I33" i="3"/>
  <c r="B34" i="3"/>
  <c r="C34" i="3"/>
  <c r="D34" i="3"/>
  <c r="E34" i="3"/>
  <c r="F34" i="3"/>
  <c r="G34" i="3"/>
  <c r="H34" i="3"/>
  <c r="I34" i="3"/>
  <c r="B35" i="3"/>
  <c r="C35" i="3"/>
  <c r="D35" i="3"/>
  <c r="E35" i="3"/>
  <c r="F35" i="3"/>
  <c r="G35" i="3"/>
  <c r="H35" i="3"/>
  <c r="I35" i="3"/>
  <c r="B36" i="3"/>
  <c r="C36" i="3"/>
  <c r="D36" i="3"/>
  <c r="E36" i="3"/>
  <c r="F36" i="3"/>
  <c r="G36" i="3"/>
  <c r="H36" i="3"/>
  <c r="I36" i="3"/>
  <c r="B37" i="3"/>
  <c r="C37" i="3"/>
  <c r="D37" i="3"/>
  <c r="E37" i="3"/>
  <c r="F37" i="3"/>
  <c r="G37" i="3"/>
  <c r="H37" i="3"/>
  <c r="I37" i="3"/>
  <c r="B38" i="3"/>
  <c r="C38" i="3"/>
  <c r="D38" i="3"/>
  <c r="E38" i="3"/>
  <c r="F38" i="3"/>
  <c r="G38" i="3"/>
  <c r="H38" i="3"/>
  <c r="I38" i="3"/>
  <c r="B39" i="3"/>
  <c r="C39" i="3"/>
  <c r="D39" i="3"/>
  <c r="E39" i="3"/>
  <c r="F39" i="3"/>
  <c r="G39" i="3"/>
  <c r="H39" i="3"/>
  <c r="I39" i="3"/>
  <c r="B40" i="3"/>
  <c r="C40" i="3"/>
  <c r="D40" i="3"/>
  <c r="E40" i="3"/>
  <c r="F40" i="3"/>
  <c r="G40" i="3"/>
  <c r="H40" i="3"/>
  <c r="I40" i="3"/>
  <c r="B41" i="3"/>
  <c r="C41" i="3"/>
  <c r="D41" i="3"/>
  <c r="E41" i="3"/>
  <c r="F41" i="3"/>
  <c r="G41" i="3"/>
  <c r="H41" i="3"/>
  <c r="I41" i="3"/>
  <c r="B42" i="3"/>
  <c r="C42" i="3"/>
  <c r="D42" i="3"/>
  <c r="E42" i="3"/>
  <c r="F42" i="3"/>
  <c r="G42" i="3"/>
  <c r="H42" i="3"/>
  <c r="I42" i="3"/>
  <c r="B43" i="3"/>
  <c r="C43" i="3"/>
  <c r="D43" i="3"/>
  <c r="E43" i="3"/>
  <c r="F43" i="3"/>
  <c r="G43" i="3"/>
  <c r="H43" i="3"/>
  <c r="I43" i="3"/>
  <c r="B44" i="3"/>
  <c r="C44" i="3"/>
  <c r="D44" i="3"/>
  <c r="E44" i="3"/>
  <c r="F44" i="3"/>
  <c r="G44" i="3"/>
  <c r="H44" i="3"/>
  <c r="I44" i="3"/>
  <c r="B45" i="3"/>
  <c r="C45" i="3"/>
  <c r="D45" i="3"/>
  <c r="E45" i="3"/>
  <c r="F45" i="3"/>
  <c r="G45" i="3"/>
  <c r="H45" i="3"/>
  <c r="I45" i="3"/>
  <c r="B46" i="3"/>
  <c r="C46" i="3"/>
  <c r="D46" i="3"/>
  <c r="E46" i="3"/>
  <c r="F46" i="3"/>
  <c r="G46" i="3"/>
  <c r="H46" i="3"/>
  <c r="I46" i="3"/>
  <c r="B47" i="3"/>
  <c r="C47" i="3"/>
  <c r="D47" i="3"/>
  <c r="E47" i="3"/>
  <c r="F47" i="3"/>
  <c r="G47" i="3"/>
  <c r="H47" i="3"/>
  <c r="I47" i="3"/>
  <c r="B48" i="3"/>
  <c r="C48" i="3"/>
  <c r="D48" i="3"/>
  <c r="E48" i="3"/>
  <c r="F48" i="3"/>
  <c r="G48" i="3"/>
  <c r="H48" i="3"/>
  <c r="I48" i="3"/>
  <c r="B49" i="3"/>
  <c r="C49" i="3"/>
  <c r="D49" i="3"/>
  <c r="E49" i="3"/>
  <c r="F49" i="3"/>
  <c r="G49" i="3"/>
  <c r="H49" i="3"/>
  <c r="I49" i="3"/>
  <c r="B50" i="3"/>
  <c r="C50" i="3"/>
  <c r="D50" i="3"/>
  <c r="E50" i="3"/>
  <c r="F50" i="3"/>
  <c r="G50" i="3"/>
  <c r="H50" i="3"/>
  <c r="I50" i="3"/>
  <c r="B64" i="3"/>
  <c r="C64" i="3"/>
  <c r="D64" i="3"/>
  <c r="E64" i="3"/>
  <c r="F64" i="3"/>
  <c r="G64" i="3"/>
  <c r="H64" i="3"/>
  <c r="I64" i="3"/>
  <c r="B65" i="3"/>
  <c r="C65" i="3"/>
  <c r="D65" i="3"/>
  <c r="E65" i="3"/>
  <c r="F65" i="3"/>
  <c r="G65" i="3"/>
  <c r="H65" i="3"/>
  <c r="I65" i="3"/>
  <c r="B66" i="3"/>
  <c r="C66" i="3"/>
  <c r="D66" i="3"/>
  <c r="E66" i="3"/>
  <c r="F66" i="3"/>
  <c r="G66" i="3"/>
  <c r="H66" i="3"/>
  <c r="I66" i="3"/>
  <c r="B67" i="3"/>
  <c r="C67" i="3"/>
  <c r="D67" i="3"/>
  <c r="E67" i="3"/>
  <c r="F67" i="3"/>
  <c r="G67" i="3"/>
  <c r="H67" i="3"/>
  <c r="I67" i="3"/>
  <c r="B68" i="3"/>
  <c r="C68" i="3"/>
  <c r="D68" i="3"/>
  <c r="E68" i="3"/>
  <c r="F68" i="3"/>
  <c r="G68" i="3"/>
  <c r="H68" i="3"/>
  <c r="I68" i="3"/>
  <c r="B69" i="3"/>
  <c r="C69" i="3"/>
  <c r="D69" i="3"/>
  <c r="E69" i="3"/>
  <c r="F69" i="3"/>
  <c r="G69" i="3"/>
  <c r="H69" i="3"/>
  <c r="I69" i="3"/>
  <c r="B70" i="3"/>
  <c r="C70" i="3"/>
  <c r="D70" i="3"/>
  <c r="E70" i="3"/>
  <c r="F70" i="3"/>
  <c r="G70" i="3"/>
  <c r="H70" i="3"/>
  <c r="I70" i="3"/>
  <c r="B71" i="3"/>
  <c r="C71" i="3"/>
  <c r="D71" i="3"/>
  <c r="E71" i="3"/>
  <c r="F71" i="3"/>
  <c r="G71" i="3"/>
  <c r="H71" i="3"/>
  <c r="I71" i="3"/>
  <c r="D73" i="3"/>
  <c r="G73" i="3"/>
  <c r="H73" i="3"/>
  <c r="I73" i="3"/>
  <c r="B73" i="3"/>
  <c r="C73" i="3"/>
  <c r="E73" i="3"/>
  <c r="F73" i="3"/>
  <c r="B76" i="3"/>
  <c r="C76" i="3"/>
  <c r="D76" i="3"/>
  <c r="E76" i="3"/>
  <c r="F76" i="3"/>
  <c r="G76" i="3"/>
  <c r="H76" i="3"/>
  <c r="I76" i="3"/>
  <c r="D83" i="3"/>
  <c r="F83" i="3"/>
  <c r="G83" i="3"/>
  <c r="H83" i="3"/>
  <c r="I83" i="3"/>
  <c r="B83" i="3"/>
  <c r="C83" i="3"/>
  <c r="E83" i="3"/>
  <c r="O53" i="3"/>
  <c r="L53" i="3"/>
  <c r="Q53" i="3"/>
  <c r="M53" i="3"/>
  <c r="R53" i="3"/>
  <c r="P53" i="3"/>
  <c r="N53" i="3"/>
  <c r="S53" i="3"/>
  <c r="N54" i="3"/>
  <c r="P54" i="3"/>
  <c r="O54" i="3"/>
  <c r="S54" i="3"/>
  <c r="M54" i="3"/>
  <c r="Q54" i="3"/>
  <c r="L54" i="3"/>
  <c r="R54" i="3"/>
  <c r="N58" i="3"/>
  <c r="P58" i="3"/>
  <c r="S58" i="3"/>
  <c r="L58" i="3"/>
  <c r="R58" i="3"/>
  <c r="M58" i="3"/>
  <c r="O58" i="3"/>
  <c r="Q58" i="3"/>
  <c r="N60" i="3"/>
  <c r="P60" i="3"/>
  <c r="R60" i="3"/>
  <c r="L60" i="3"/>
  <c r="O60" i="3"/>
  <c r="S60" i="3"/>
  <c r="M60" i="3"/>
  <c r="Q60" i="3"/>
  <c r="L62" i="3"/>
  <c r="M62" i="3"/>
  <c r="R62" i="3"/>
  <c r="O62" i="3"/>
  <c r="Q62" i="3"/>
  <c r="N62" i="3"/>
  <c r="P62" i="3"/>
  <c r="S62" i="3"/>
  <c r="M63" i="3"/>
  <c r="N63" i="3"/>
  <c r="O63" i="3"/>
  <c r="P63" i="3"/>
  <c r="Q63" i="3"/>
  <c r="R63" i="3"/>
  <c r="S63" i="3"/>
  <c r="L63" i="3"/>
  <c r="L72" i="3"/>
  <c r="M72" i="3"/>
  <c r="N72" i="3"/>
  <c r="O72" i="3"/>
  <c r="P72" i="3"/>
  <c r="Q72" i="3"/>
  <c r="R72" i="3"/>
  <c r="S72" i="3"/>
  <c r="M73" i="3"/>
  <c r="N73" i="3"/>
  <c r="O73" i="3"/>
  <c r="P73" i="3"/>
  <c r="R73" i="3"/>
  <c r="L73" i="3"/>
  <c r="Q73" i="3"/>
  <c r="S73" i="3"/>
  <c r="L75" i="3"/>
  <c r="M75" i="3"/>
  <c r="N75" i="3"/>
  <c r="O75" i="3"/>
  <c r="P75" i="3"/>
  <c r="Q75" i="3"/>
  <c r="R75" i="3"/>
  <c r="S75" i="3"/>
  <c r="L76" i="3"/>
  <c r="M76" i="3"/>
  <c r="O76" i="3"/>
  <c r="P76" i="3"/>
  <c r="N76" i="3"/>
  <c r="Q76" i="3"/>
  <c r="R76" i="3"/>
  <c r="S76" i="3"/>
  <c r="L77" i="3"/>
  <c r="M77" i="3"/>
  <c r="O77" i="3"/>
  <c r="P77" i="3"/>
  <c r="N77" i="3"/>
  <c r="Q77" i="3"/>
  <c r="R77" i="3"/>
  <c r="S77" i="3"/>
  <c r="L78" i="3"/>
  <c r="M78" i="3"/>
  <c r="O78" i="3"/>
  <c r="N78" i="3"/>
  <c r="P78" i="3"/>
  <c r="Q78" i="3"/>
  <c r="R78" i="3"/>
  <c r="S78" i="3"/>
  <c r="M79" i="3"/>
  <c r="O79" i="3"/>
  <c r="Q79" i="3"/>
  <c r="L79" i="3"/>
  <c r="N79" i="3"/>
  <c r="P79" i="3"/>
  <c r="R79" i="3"/>
  <c r="S79" i="3"/>
  <c r="M80" i="3"/>
  <c r="N80" i="3"/>
  <c r="O80" i="3"/>
  <c r="Q80" i="3"/>
  <c r="R80" i="3"/>
  <c r="L80" i="3"/>
  <c r="P80" i="3"/>
  <c r="S80" i="3"/>
  <c r="L82" i="3"/>
  <c r="M82" i="3"/>
  <c r="N82" i="3"/>
  <c r="O82" i="3"/>
  <c r="P82" i="3"/>
  <c r="Q82" i="3"/>
  <c r="R82" i="3"/>
  <c r="S82" i="3"/>
  <c r="M83" i="3"/>
  <c r="N83" i="3"/>
  <c r="P83" i="3"/>
  <c r="Q83" i="3"/>
  <c r="S83" i="3"/>
  <c r="L83" i="3"/>
  <c r="O83" i="3"/>
  <c r="R83" i="3"/>
  <c r="L85" i="3"/>
  <c r="M85" i="3"/>
  <c r="O85" i="3"/>
  <c r="P85" i="3"/>
  <c r="Q85" i="3"/>
  <c r="N85" i="3"/>
  <c r="R85" i="3"/>
  <c r="S85" i="3"/>
  <c r="L88" i="3"/>
  <c r="N88" i="3"/>
  <c r="O88" i="3"/>
  <c r="Q88" i="3"/>
  <c r="M88" i="3"/>
  <c r="P88" i="3"/>
  <c r="R88" i="3"/>
  <c r="S88" i="3"/>
  <c r="L92" i="3"/>
  <c r="N92" i="3"/>
  <c r="O92" i="3"/>
  <c r="M92" i="3"/>
  <c r="P92" i="3"/>
  <c r="Q92" i="3"/>
  <c r="R92" i="3"/>
  <c r="S92" i="3"/>
  <c r="M93" i="3"/>
  <c r="N93" i="3"/>
  <c r="P93" i="3"/>
  <c r="L93" i="3"/>
  <c r="O93" i="3"/>
  <c r="Q93" i="3"/>
  <c r="R93" i="3"/>
  <c r="S93" i="3"/>
  <c r="M94" i="3"/>
  <c r="N94" i="3"/>
  <c r="P94" i="3"/>
  <c r="L94" i="3"/>
  <c r="O94" i="3"/>
  <c r="Q94" i="3"/>
  <c r="R94" i="3"/>
  <c r="S94" i="3"/>
  <c r="M95" i="3"/>
  <c r="N95" i="3"/>
  <c r="P95" i="3"/>
  <c r="Q95" i="3"/>
  <c r="L95" i="3"/>
  <c r="O95" i="3"/>
  <c r="R95" i="3"/>
  <c r="S95" i="3"/>
  <c r="Q56" i="3"/>
  <c r="O56" i="3"/>
  <c r="L56" i="3"/>
  <c r="S56" i="3"/>
  <c r="N56" i="3"/>
  <c r="R56" i="3"/>
  <c r="M56" i="3"/>
  <c r="P56" i="3"/>
  <c r="O12" i="2"/>
  <c r="Q12" i="2"/>
  <c r="L12" i="2"/>
  <c r="M12" i="2"/>
  <c r="P12" i="2"/>
  <c r="K12" i="2"/>
  <c r="M15" i="2"/>
  <c r="Q15" i="2"/>
  <c r="K15" i="2"/>
  <c r="L15" i="2"/>
  <c r="O15" i="2"/>
  <c r="P15" i="2"/>
  <c r="M17" i="2"/>
  <c r="P17" i="2"/>
  <c r="Q17" i="2"/>
  <c r="K17" i="2"/>
  <c r="L17" i="2"/>
  <c r="O17" i="2"/>
  <c r="K18" i="2"/>
  <c r="O18" i="2"/>
  <c r="P18" i="2"/>
  <c r="Q18" i="2"/>
  <c r="L18" i="2"/>
  <c r="M18" i="2"/>
  <c r="K21" i="2"/>
  <c r="L21" i="2"/>
  <c r="M21" i="2"/>
  <c r="O21" i="2"/>
  <c r="P21" i="2"/>
  <c r="Q21" i="2"/>
  <c r="L23" i="2"/>
  <c r="O23" i="2"/>
  <c r="P23" i="2"/>
  <c r="Q23" i="2"/>
  <c r="K23" i="2"/>
  <c r="M23" i="2"/>
  <c r="M28" i="2"/>
  <c r="P28" i="2"/>
  <c r="K28" i="2"/>
  <c r="O28" i="2"/>
  <c r="Q28" i="2"/>
  <c r="L28" i="2"/>
  <c r="O29" i="2"/>
  <c r="L29" i="2"/>
  <c r="P29" i="2"/>
  <c r="Q29" i="2"/>
  <c r="K29" i="2"/>
  <c r="M29" i="2"/>
  <c r="P30" i="2"/>
  <c r="L30" i="2"/>
  <c r="O30" i="2"/>
  <c r="Q30" i="2"/>
  <c r="K30" i="2"/>
  <c r="M30" i="2"/>
  <c r="O31" i="2"/>
  <c r="K31" i="2"/>
  <c r="L31" i="2"/>
  <c r="M31" i="2"/>
  <c r="P31" i="2"/>
  <c r="Q31" i="2"/>
  <c r="M32" i="2"/>
  <c r="Q32" i="2"/>
  <c r="K32" i="2"/>
  <c r="L32" i="2"/>
  <c r="O32" i="2"/>
  <c r="P32" i="2"/>
  <c r="K41" i="2"/>
  <c r="L41" i="2"/>
  <c r="M41" i="2"/>
  <c r="O41" i="2"/>
  <c r="P41" i="2"/>
  <c r="Q41" i="2"/>
  <c r="K42" i="2"/>
  <c r="L42" i="2"/>
  <c r="M42" i="2"/>
  <c r="O42" i="2"/>
  <c r="P42" i="2"/>
  <c r="Q42" i="2"/>
  <c r="K43" i="2"/>
  <c r="L43" i="2"/>
  <c r="M43" i="2"/>
  <c r="O43" i="2"/>
  <c r="P43" i="2"/>
  <c r="Q43" i="2"/>
  <c r="K44" i="2"/>
  <c r="L44" i="2"/>
  <c r="M44" i="2"/>
  <c r="O44" i="2"/>
  <c r="P44" i="2"/>
  <c r="Q44" i="2"/>
  <c r="K45" i="2"/>
  <c r="L45" i="2"/>
  <c r="M45" i="2"/>
  <c r="O45" i="2"/>
  <c r="P45" i="2"/>
  <c r="Q45" i="2"/>
  <c r="K46" i="2"/>
  <c r="L46" i="2"/>
  <c r="M46" i="2"/>
  <c r="O46" i="2"/>
  <c r="P46" i="2"/>
  <c r="Q46" i="2"/>
  <c r="K47" i="2"/>
  <c r="L47" i="2"/>
  <c r="M47" i="2"/>
  <c r="O47" i="2"/>
  <c r="P47" i="2"/>
  <c r="Q47" i="2"/>
  <c r="K48" i="2"/>
  <c r="L48" i="2"/>
  <c r="M48" i="2"/>
  <c r="O48" i="2"/>
  <c r="P48" i="2"/>
  <c r="Q48" i="2"/>
  <c r="K49" i="2"/>
  <c r="L49" i="2"/>
  <c r="M49" i="2"/>
  <c r="O49" i="2"/>
  <c r="P49" i="2"/>
  <c r="Q49" i="2"/>
  <c r="K50" i="2"/>
  <c r="L50" i="2"/>
  <c r="M50" i="2"/>
  <c r="O50" i="2"/>
  <c r="P50" i="2"/>
  <c r="Q50" i="2"/>
  <c r="K51" i="2"/>
  <c r="L51" i="2"/>
  <c r="M51" i="2"/>
  <c r="O51" i="2"/>
  <c r="P51" i="2"/>
  <c r="Q51" i="2"/>
  <c r="K52" i="2"/>
  <c r="L52" i="2"/>
  <c r="M52" i="2"/>
  <c r="O52" i="2"/>
  <c r="P52" i="2"/>
  <c r="Q52" i="2"/>
  <c r="K53" i="2"/>
  <c r="L53" i="2"/>
  <c r="M53" i="2"/>
  <c r="O53" i="2"/>
  <c r="P53" i="2"/>
  <c r="Q53" i="2"/>
  <c r="K54" i="2"/>
  <c r="L54" i="2"/>
  <c r="M54" i="2"/>
  <c r="O54" i="2"/>
  <c r="P54" i="2"/>
  <c r="Q54" i="2"/>
  <c r="K55" i="2"/>
  <c r="L55" i="2"/>
  <c r="M55" i="2"/>
  <c r="O55" i="2"/>
  <c r="P55" i="2"/>
  <c r="Q55" i="2"/>
  <c r="K56" i="2"/>
  <c r="L56" i="2"/>
  <c r="M56" i="2"/>
  <c r="O56" i="2"/>
  <c r="P56" i="2"/>
  <c r="Q56" i="2"/>
  <c r="K57" i="2"/>
  <c r="L57" i="2"/>
  <c r="M57" i="2"/>
  <c r="O57" i="2"/>
  <c r="P57" i="2"/>
  <c r="Q57" i="2"/>
  <c r="K58" i="2"/>
  <c r="L58" i="2"/>
  <c r="M58" i="2"/>
  <c r="O58" i="2"/>
  <c r="P58" i="2"/>
  <c r="Q58" i="2"/>
  <c r="K59" i="2"/>
  <c r="L59" i="2"/>
  <c r="M59" i="2"/>
  <c r="O59" i="2"/>
  <c r="P59" i="2"/>
  <c r="Q59" i="2"/>
  <c r="K60" i="2"/>
  <c r="L60" i="2"/>
  <c r="M60" i="2"/>
  <c r="O60" i="2"/>
  <c r="P60" i="2"/>
  <c r="Q60" i="2"/>
  <c r="K61" i="2"/>
  <c r="L61" i="2"/>
  <c r="M61" i="2"/>
  <c r="O61" i="2"/>
  <c r="P61" i="2"/>
  <c r="Q61" i="2"/>
  <c r="K62" i="2"/>
  <c r="L62" i="2"/>
  <c r="M62" i="2"/>
  <c r="O62" i="2"/>
  <c r="P62" i="2"/>
  <c r="Q62" i="2"/>
  <c r="K63" i="2"/>
  <c r="L63" i="2"/>
  <c r="M63" i="2"/>
  <c r="O63" i="2"/>
  <c r="P63" i="2"/>
  <c r="Q63" i="2"/>
  <c r="K64" i="2"/>
  <c r="L64" i="2"/>
  <c r="M64" i="2"/>
  <c r="O64" i="2"/>
  <c r="P64" i="2"/>
  <c r="Q64" i="2"/>
  <c r="O51" i="3"/>
  <c r="S51" i="3"/>
  <c r="N51" i="3"/>
  <c r="R51" i="3"/>
  <c r="L51" i="3"/>
  <c r="P51" i="3"/>
  <c r="M51" i="3"/>
  <c r="Q51" i="3"/>
  <c r="P52" i="3"/>
  <c r="S52" i="3"/>
  <c r="M52" i="3"/>
  <c r="Q52" i="3"/>
  <c r="N52" i="3"/>
  <c r="R52" i="3"/>
  <c r="L52" i="3"/>
  <c r="O52" i="3"/>
  <c r="N59" i="3"/>
  <c r="R59" i="3"/>
  <c r="L59" i="3"/>
  <c r="Q59" i="3"/>
  <c r="M59" i="3"/>
  <c r="P59" i="3"/>
  <c r="O59" i="3"/>
  <c r="S59" i="3"/>
  <c r="L5" i="2"/>
  <c r="O5" i="2"/>
  <c r="Q5" i="2"/>
  <c r="K5" i="2"/>
  <c r="M5" i="2"/>
  <c r="P5" i="2"/>
  <c r="L7" i="2"/>
  <c r="O7" i="2"/>
  <c r="Q7" i="2"/>
  <c r="K7" i="2"/>
  <c r="M7" i="2"/>
  <c r="P7" i="2"/>
  <c r="O9" i="2"/>
  <c r="Q9" i="2"/>
  <c r="K9" i="2"/>
  <c r="M9" i="2"/>
  <c r="L9" i="2"/>
  <c r="P9" i="2"/>
  <c r="L10" i="2"/>
  <c r="O10" i="2"/>
  <c r="Q10" i="2"/>
  <c r="K10" i="2"/>
  <c r="M10" i="2"/>
  <c r="P10" i="2"/>
  <c r="M14" i="2"/>
  <c r="O14" i="2"/>
  <c r="Q14" i="2"/>
  <c r="K14" i="2"/>
  <c r="L14" i="2"/>
  <c r="P14" i="2"/>
  <c r="L16" i="2"/>
  <c r="P16" i="2"/>
  <c r="K16" i="2"/>
  <c r="O16" i="2"/>
  <c r="M16" i="2"/>
  <c r="Q16" i="2"/>
  <c r="M37" i="2"/>
  <c r="Q37" i="2"/>
  <c r="L37" i="2"/>
  <c r="O37" i="2"/>
  <c r="P37" i="2"/>
  <c r="K37" i="2"/>
  <c r="M66" i="2"/>
  <c r="P66" i="2"/>
  <c r="K66" i="2"/>
  <c r="L66" i="2"/>
  <c r="O66" i="2"/>
  <c r="Q66" i="2"/>
  <c r="K69" i="2"/>
  <c r="M69" i="2"/>
  <c r="Q69" i="2"/>
  <c r="L69" i="2"/>
  <c r="O69" i="2"/>
  <c r="P69" i="2"/>
  <c r="M70" i="2"/>
  <c r="P70" i="2"/>
  <c r="K70" i="2"/>
  <c r="O70" i="2"/>
  <c r="Q70" i="2"/>
  <c r="L70" i="2"/>
  <c r="L71" i="2"/>
  <c r="P71" i="2"/>
  <c r="K71" i="2"/>
  <c r="M71" i="2"/>
  <c r="O71" i="2"/>
  <c r="Q71" i="2"/>
  <c r="M73" i="2"/>
  <c r="P73" i="2"/>
  <c r="K73" i="2"/>
  <c r="O73" i="2"/>
  <c r="Q73" i="2"/>
  <c r="L73" i="2"/>
  <c r="L76" i="2"/>
  <c r="Q76" i="2"/>
  <c r="K76" i="2"/>
  <c r="M76" i="2"/>
  <c r="O76" i="2"/>
  <c r="P76" i="2"/>
  <c r="K89" i="2"/>
  <c r="L89" i="2"/>
  <c r="M89" i="2"/>
  <c r="O89" i="2"/>
  <c r="P89" i="2"/>
  <c r="Q89" i="2"/>
  <c r="K90" i="2"/>
  <c r="L90" i="2"/>
  <c r="M90" i="2"/>
  <c r="O90" i="2"/>
  <c r="P90" i="2"/>
  <c r="Q90" i="2"/>
  <c r="K91" i="2"/>
  <c r="L91" i="2"/>
  <c r="M91" i="2"/>
  <c r="O91" i="2"/>
  <c r="P91" i="2"/>
  <c r="Q91" i="2"/>
  <c r="K92" i="2"/>
  <c r="L92" i="2"/>
  <c r="M92" i="2"/>
  <c r="O92" i="2"/>
  <c r="P92" i="2"/>
  <c r="Q92" i="2"/>
  <c r="K93" i="2"/>
  <c r="L93" i="2"/>
  <c r="M93" i="2"/>
  <c r="O93" i="2"/>
  <c r="P93" i="2"/>
  <c r="Q93" i="2"/>
  <c r="K94" i="2"/>
  <c r="L94" i="2"/>
  <c r="M94" i="2"/>
  <c r="O94" i="2"/>
  <c r="P94" i="2"/>
  <c r="Q94" i="2"/>
  <c r="K95" i="2"/>
  <c r="L95" i="2"/>
  <c r="M95" i="2"/>
  <c r="O95" i="2"/>
  <c r="P95" i="2"/>
  <c r="Q95" i="2"/>
  <c r="K96" i="2"/>
  <c r="L96" i="2"/>
  <c r="M96" i="2"/>
  <c r="O96" i="2"/>
  <c r="P96" i="2"/>
  <c r="Q96" i="2"/>
  <c r="K97" i="2"/>
  <c r="L97" i="2"/>
  <c r="M97" i="2"/>
  <c r="O97" i="2"/>
  <c r="P97" i="2"/>
  <c r="Q97" i="2"/>
  <c r="K98" i="2"/>
  <c r="L98" i="2"/>
  <c r="M98" i="2"/>
  <c r="O98" i="2"/>
  <c r="P98" i="2"/>
  <c r="Q98" i="2"/>
  <c r="K99" i="2"/>
  <c r="L99" i="2"/>
  <c r="M99" i="2"/>
  <c r="O99" i="2"/>
  <c r="P99" i="2"/>
  <c r="Q99" i="2"/>
  <c r="K100" i="2"/>
  <c r="L100" i="2"/>
  <c r="M100" i="2"/>
  <c r="O100" i="2"/>
  <c r="P100" i="2"/>
  <c r="Q100" i="2"/>
  <c r="K101" i="2"/>
  <c r="L101" i="2"/>
  <c r="M101" i="2"/>
  <c r="O101" i="2"/>
  <c r="P101" i="2"/>
  <c r="Q101" i="2"/>
  <c r="K102" i="2"/>
  <c r="L102" i="2"/>
  <c r="M102" i="2"/>
  <c r="O102" i="2"/>
  <c r="P102" i="2"/>
  <c r="Q102" i="2"/>
  <c r="K103" i="2"/>
  <c r="L103" i="2"/>
  <c r="M103" i="2"/>
  <c r="O103" i="2"/>
  <c r="P103" i="2"/>
  <c r="Q103" i="2"/>
  <c r="K104" i="2"/>
  <c r="L104" i="2"/>
  <c r="M104" i="2"/>
  <c r="O104" i="2"/>
  <c r="P104" i="2"/>
  <c r="Q104" i="2"/>
  <c r="K105" i="2"/>
  <c r="L105" i="2"/>
  <c r="M105" i="2"/>
  <c r="O105" i="2"/>
  <c r="P105" i="2"/>
  <c r="Q105" i="2"/>
  <c r="K106" i="2"/>
  <c r="L106" i="2"/>
  <c r="M106" i="2"/>
  <c r="O106" i="2"/>
  <c r="P106" i="2"/>
  <c r="Q106" i="2"/>
  <c r="K107" i="2"/>
  <c r="L107" i="2"/>
  <c r="M107" i="2"/>
  <c r="O107" i="2"/>
  <c r="P107" i="2"/>
  <c r="Q107" i="2"/>
  <c r="K108" i="2"/>
  <c r="L108" i="2"/>
  <c r="M108" i="2"/>
  <c r="O108" i="2"/>
  <c r="P108" i="2"/>
  <c r="Q108" i="2"/>
  <c r="K109" i="2"/>
  <c r="L109" i="2"/>
  <c r="M109" i="2"/>
  <c r="O109" i="2"/>
  <c r="P109" i="2"/>
  <c r="Q109" i="2"/>
  <c r="K110" i="2"/>
  <c r="L110" i="2"/>
  <c r="M110" i="2"/>
  <c r="O110" i="2"/>
  <c r="P110" i="2"/>
  <c r="Q110" i="2"/>
  <c r="K111" i="2"/>
  <c r="L111" i="2"/>
  <c r="M111" i="2"/>
  <c r="O111" i="2"/>
  <c r="P111" i="2"/>
  <c r="Q111" i="2"/>
  <c r="K112" i="2"/>
  <c r="L112" i="2"/>
  <c r="M112" i="2"/>
  <c r="O112" i="2"/>
  <c r="P112" i="2"/>
  <c r="Q112" i="2"/>
  <c r="K113" i="2"/>
  <c r="L113" i="2"/>
  <c r="M113" i="2"/>
  <c r="O113" i="2"/>
  <c r="P113" i="2"/>
  <c r="Q113" i="2"/>
  <c r="K114" i="2"/>
  <c r="L114" i="2"/>
  <c r="M114" i="2"/>
  <c r="O114" i="2"/>
  <c r="P114" i="2"/>
  <c r="Q114" i="2"/>
  <c r="K115" i="2"/>
  <c r="L115" i="2"/>
  <c r="M115" i="2"/>
  <c r="O115" i="2"/>
  <c r="P115" i="2"/>
  <c r="Q115" i="2"/>
  <c r="K116" i="2"/>
  <c r="L116" i="2"/>
  <c r="M116" i="2"/>
  <c r="O116" i="2"/>
  <c r="P116" i="2"/>
  <c r="Q116" i="2"/>
  <c r="K117" i="2"/>
  <c r="L117" i="2"/>
  <c r="M117" i="2"/>
  <c r="O117" i="2"/>
  <c r="P117" i="2"/>
  <c r="Q117" i="2"/>
  <c r="K118" i="2"/>
  <c r="L118" i="2"/>
  <c r="M118" i="2"/>
  <c r="O118" i="2"/>
  <c r="P118" i="2"/>
  <c r="Q118" i="2"/>
  <c r="K119" i="2"/>
  <c r="L119" i="2"/>
  <c r="M119" i="2"/>
  <c r="O119" i="2"/>
  <c r="P119" i="2"/>
  <c r="Q119" i="2"/>
  <c r="K120" i="2"/>
  <c r="L120" i="2"/>
  <c r="M120" i="2"/>
  <c r="O120" i="2"/>
  <c r="P120" i="2"/>
  <c r="Q120" i="2"/>
  <c r="K121" i="2"/>
  <c r="L121" i="2"/>
  <c r="M121" i="2"/>
  <c r="O121" i="2"/>
  <c r="P121" i="2"/>
  <c r="Q121" i="2"/>
  <c r="K122" i="2"/>
  <c r="L122" i="2"/>
  <c r="M122" i="2"/>
  <c r="O122" i="2"/>
  <c r="P122" i="2"/>
  <c r="Q122" i="2"/>
  <c r="K123" i="2"/>
  <c r="L123" i="2"/>
  <c r="M123" i="2"/>
  <c r="O123" i="2"/>
  <c r="P123" i="2"/>
  <c r="Q123" i="2"/>
  <c r="K124" i="2"/>
  <c r="L124" i="2"/>
  <c r="M124" i="2"/>
  <c r="O124" i="2"/>
  <c r="P124" i="2"/>
  <c r="Q124" i="2"/>
  <c r="K125" i="2"/>
  <c r="L125" i="2"/>
  <c r="M125" i="2"/>
  <c r="O125" i="2"/>
  <c r="P125" i="2"/>
  <c r="Q125" i="2"/>
  <c r="L4" i="2"/>
  <c r="O4" i="2"/>
  <c r="Q4" i="2"/>
  <c r="M4" i="2"/>
  <c r="P4" i="2"/>
  <c r="K4" i="2"/>
  <c r="L6" i="2"/>
  <c r="O6" i="2"/>
  <c r="Q6" i="2"/>
  <c r="M6" i="2"/>
  <c r="P6" i="2"/>
  <c r="K6" i="2"/>
  <c r="K8" i="2"/>
  <c r="M8" i="2"/>
  <c r="P8" i="2"/>
  <c r="L8" i="2"/>
  <c r="O8" i="2"/>
  <c r="Q8" i="2"/>
  <c r="M11" i="2"/>
  <c r="P11" i="2"/>
  <c r="Q11" i="2"/>
  <c r="L11" i="2"/>
  <c r="O11" i="2"/>
  <c r="K11" i="2"/>
  <c r="L13" i="2"/>
  <c r="O13" i="2"/>
  <c r="Q13" i="2"/>
  <c r="K13" i="2"/>
  <c r="M13" i="2"/>
  <c r="P13" i="2"/>
  <c r="K19" i="2"/>
  <c r="M19" i="2"/>
  <c r="L19" i="2"/>
  <c r="O19" i="2"/>
  <c r="P19" i="2"/>
  <c r="Q19" i="2"/>
  <c r="L20" i="2"/>
  <c r="O20" i="2"/>
  <c r="K20" i="2"/>
  <c r="M20" i="2"/>
  <c r="P20" i="2"/>
  <c r="Q20" i="2"/>
  <c r="K22" i="2"/>
  <c r="M22" i="2"/>
  <c r="L22" i="2"/>
  <c r="O22" i="2"/>
  <c r="P22" i="2"/>
  <c r="Q22" i="2"/>
  <c r="L24" i="2"/>
  <c r="M24" i="2"/>
  <c r="O24" i="2"/>
  <c r="P24" i="2"/>
  <c r="Q24" i="2"/>
  <c r="K24" i="2"/>
  <c r="L25" i="2"/>
  <c r="M25" i="2"/>
  <c r="O25" i="2"/>
  <c r="P25" i="2"/>
  <c r="Q25" i="2"/>
  <c r="K25" i="2"/>
  <c r="L26" i="2"/>
  <c r="M26" i="2"/>
  <c r="O26" i="2"/>
  <c r="P26" i="2"/>
  <c r="Q26" i="2"/>
  <c r="K26" i="2"/>
  <c r="K27" i="2"/>
  <c r="M27" i="2"/>
  <c r="Q27" i="2"/>
  <c r="L27" i="2"/>
  <c r="O27" i="2"/>
  <c r="P27" i="2"/>
  <c r="M38" i="2"/>
  <c r="P38" i="2"/>
  <c r="K38" i="2"/>
  <c r="L38" i="2"/>
  <c r="O38" i="2"/>
  <c r="Q38" i="2"/>
  <c r="K74" i="2"/>
  <c r="M74" i="2"/>
  <c r="O74" i="2"/>
  <c r="Q74" i="2"/>
  <c r="L74" i="2"/>
  <c r="P74" i="2"/>
  <c r="M77" i="2"/>
  <c r="P77" i="2"/>
  <c r="K77" i="2"/>
  <c r="L77" i="2"/>
  <c r="O77" i="2"/>
  <c r="Q77" i="2"/>
  <c r="M78" i="2"/>
  <c r="P78" i="2"/>
  <c r="K78" i="2"/>
  <c r="L78" i="2"/>
  <c r="O78" i="2"/>
  <c r="Q78" i="2"/>
  <c r="M79" i="2"/>
  <c r="P79" i="2"/>
  <c r="L79" i="2"/>
  <c r="K79" i="2"/>
  <c r="O79" i="2"/>
  <c r="Q79" i="2"/>
  <c r="M80" i="2"/>
  <c r="P80" i="2"/>
  <c r="K80" i="2"/>
  <c r="L80" i="2"/>
  <c r="O80" i="2"/>
  <c r="Q80" i="2"/>
  <c r="M81" i="2"/>
  <c r="Q81" i="2"/>
  <c r="L81" i="2"/>
  <c r="K81" i="2"/>
  <c r="O81" i="2"/>
  <c r="P81" i="2"/>
  <c r="M84" i="2"/>
  <c r="P84" i="2"/>
  <c r="K84" i="2"/>
  <c r="L84" i="2"/>
  <c r="O84" i="2"/>
  <c r="Q84" i="2"/>
  <c r="M86" i="2"/>
  <c r="P86" i="2"/>
  <c r="K86" i="2"/>
  <c r="L86" i="2"/>
  <c r="O86" i="2"/>
  <c r="Q86" i="2"/>
  <c r="L132" i="2"/>
  <c r="O132" i="2"/>
  <c r="P132" i="2"/>
  <c r="Q132" i="2"/>
  <c r="K132" i="2"/>
  <c r="M132" i="2"/>
  <c r="L136" i="2"/>
  <c r="O136" i="2"/>
  <c r="P136" i="2"/>
  <c r="Q136" i="2"/>
  <c r="K136" i="2"/>
  <c r="M136" i="2"/>
  <c r="M139" i="2"/>
  <c r="P139" i="2"/>
  <c r="Q139" i="2"/>
  <c r="K139" i="2"/>
  <c r="L139" i="2"/>
  <c r="O139" i="2"/>
  <c r="L144" i="2"/>
  <c r="O144" i="2"/>
  <c r="Q144" i="2"/>
  <c r="K144" i="2"/>
  <c r="M144" i="2"/>
  <c r="P144" i="2"/>
  <c r="K146" i="2"/>
  <c r="L146" i="2"/>
  <c r="M146" i="2"/>
  <c r="O146" i="2"/>
  <c r="P146" i="2"/>
  <c r="Q146" i="2"/>
  <c r="L149" i="2"/>
  <c r="P149" i="2"/>
  <c r="Q149" i="2"/>
  <c r="K149" i="2"/>
  <c r="M149" i="2"/>
  <c r="O149" i="2"/>
  <c r="K150" i="2"/>
  <c r="L150" i="2"/>
  <c r="M150" i="2"/>
  <c r="O150" i="2"/>
  <c r="P150" i="2"/>
  <c r="Q150" i="2"/>
  <c r="L153" i="2"/>
  <c r="P153" i="2"/>
  <c r="Q153" i="2"/>
  <c r="K153" i="2"/>
  <c r="M153" i="2"/>
  <c r="O153" i="2"/>
  <c r="M154" i="2"/>
  <c r="P154" i="2"/>
  <c r="Q154" i="2"/>
  <c r="K154" i="2"/>
  <c r="L154" i="2"/>
  <c r="O154" i="2"/>
  <c r="L158" i="2"/>
  <c r="P158" i="2"/>
  <c r="Q158" i="2"/>
  <c r="K158" i="2"/>
  <c r="M158" i="2"/>
  <c r="O158" i="2"/>
  <c r="K161" i="2"/>
  <c r="L161" i="2"/>
  <c r="M161" i="2"/>
  <c r="O161" i="2"/>
  <c r="P161" i="2"/>
  <c r="Q161" i="2"/>
  <c r="K162" i="2"/>
  <c r="L162" i="2"/>
  <c r="M162" i="2"/>
  <c r="O162" i="2"/>
  <c r="P162" i="2"/>
  <c r="Q162" i="2"/>
  <c r="K163" i="2"/>
  <c r="L163" i="2"/>
  <c r="M163" i="2"/>
  <c r="O163" i="2"/>
  <c r="P163" i="2"/>
  <c r="Q163" i="2"/>
  <c r="K164" i="2"/>
  <c r="L164" i="2"/>
  <c r="M164" i="2"/>
  <c r="O164" i="2"/>
  <c r="P164" i="2"/>
  <c r="Q164" i="2"/>
  <c r="K165" i="2"/>
  <c r="L165" i="2"/>
  <c r="M165" i="2"/>
  <c r="O165" i="2"/>
  <c r="P165" i="2"/>
  <c r="Q165" i="2"/>
  <c r="K166" i="2"/>
  <c r="L166" i="2"/>
  <c r="M166" i="2"/>
  <c r="O166" i="2"/>
  <c r="P166" i="2"/>
  <c r="Q166" i="2"/>
  <c r="K167" i="2"/>
  <c r="L167" i="2"/>
  <c r="M167" i="2"/>
  <c r="O167" i="2"/>
  <c r="P167" i="2"/>
  <c r="Q167" i="2"/>
  <c r="K168" i="2"/>
  <c r="L168" i="2"/>
  <c r="M168" i="2"/>
  <c r="O168" i="2"/>
  <c r="P168" i="2"/>
  <c r="Q168" i="2"/>
  <c r="K169" i="2"/>
  <c r="L169" i="2"/>
  <c r="M169" i="2"/>
  <c r="O169" i="2"/>
  <c r="P169" i="2"/>
  <c r="Q169" i="2"/>
  <c r="K170" i="2"/>
  <c r="L170" i="2"/>
  <c r="M170" i="2"/>
  <c r="O170" i="2"/>
  <c r="P170" i="2"/>
  <c r="Q170" i="2"/>
  <c r="K171" i="2"/>
  <c r="L171" i="2"/>
  <c r="M171" i="2"/>
  <c r="O171" i="2"/>
  <c r="P171" i="2"/>
  <c r="Q171" i="2"/>
  <c r="K172" i="2"/>
  <c r="L172" i="2"/>
  <c r="M172" i="2"/>
  <c r="O172" i="2"/>
  <c r="P172" i="2"/>
  <c r="Q172" i="2"/>
  <c r="K173" i="2"/>
  <c r="L173" i="2"/>
  <c r="M173" i="2"/>
  <c r="O173" i="2"/>
  <c r="P173" i="2"/>
  <c r="Q173" i="2"/>
  <c r="K174" i="2"/>
  <c r="L174" i="2"/>
  <c r="M174" i="2"/>
  <c r="O174" i="2"/>
  <c r="P174" i="2"/>
  <c r="Q174" i="2"/>
  <c r="K175" i="2"/>
  <c r="L175" i="2"/>
  <c r="M175" i="2"/>
  <c r="O175" i="2"/>
  <c r="P175" i="2"/>
  <c r="Q175" i="2"/>
  <c r="K176" i="2"/>
  <c r="L176" i="2"/>
  <c r="M176" i="2"/>
  <c r="O176" i="2"/>
  <c r="P176" i="2"/>
  <c r="Q176" i="2"/>
  <c r="K177" i="2"/>
  <c r="L177" i="2"/>
  <c r="M177" i="2"/>
  <c r="O177" i="2"/>
  <c r="P177" i="2"/>
  <c r="Q177" i="2"/>
  <c r="K178" i="2"/>
  <c r="L178" i="2"/>
  <c r="M178" i="2"/>
  <c r="O178" i="2"/>
  <c r="P178" i="2"/>
  <c r="Q178" i="2"/>
  <c r="K179" i="2"/>
  <c r="L179" i="2"/>
  <c r="M179" i="2"/>
  <c r="O179" i="2"/>
  <c r="P179" i="2"/>
  <c r="Q179" i="2"/>
  <c r="K180" i="2"/>
  <c r="L180" i="2"/>
  <c r="M180" i="2"/>
  <c r="O180" i="2"/>
  <c r="P180" i="2"/>
  <c r="Q180" i="2"/>
  <c r="K181" i="2"/>
  <c r="L181" i="2"/>
  <c r="M181" i="2"/>
  <c r="O181" i="2"/>
  <c r="P181" i="2"/>
  <c r="Q181" i="2"/>
  <c r="K182" i="2"/>
  <c r="L182" i="2"/>
  <c r="M182" i="2"/>
  <c r="O182" i="2"/>
  <c r="P182" i="2"/>
  <c r="Q182" i="2"/>
  <c r="K183" i="2"/>
  <c r="L183" i="2"/>
  <c r="M183" i="2"/>
  <c r="O183" i="2"/>
  <c r="P183" i="2"/>
  <c r="Q183" i="2"/>
  <c r="K184" i="2"/>
  <c r="L184" i="2"/>
  <c r="M184" i="2"/>
  <c r="O184" i="2"/>
  <c r="P184" i="2"/>
  <c r="Q184" i="2"/>
  <c r="K185" i="2"/>
  <c r="L185" i="2"/>
  <c r="M185" i="2"/>
  <c r="O185" i="2"/>
  <c r="P185" i="2"/>
  <c r="Q185" i="2"/>
  <c r="K186" i="2"/>
  <c r="L186" i="2"/>
  <c r="M186" i="2"/>
  <c r="O186" i="2"/>
  <c r="P186" i="2"/>
  <c r="Q186" i="2"/>
  <c r="K187" i="2"/>
  <c r="L187" i="2"/>
  <c r="M187" i="2"/>
  <c r="O187" i="2"/>
  <c r="P187" i="2"/>
  <c r="Q187" i="2"/>
  <c r="O57" i="3"/>
  <c r="R57" i="3"/>
  <c r="N57" i="3"/>
  <c r="S57" i="3"/>
  <c r="P57" i="3"/>
  <c r="L57" i="3"/>
  <c r="M57" i="3"/>
  <c r="Q57" i="3"/>
  <c r="Q61" i="3"/>
  <c r="M61" i="3"/>
  <c r="O61" i="3"/>
  <c r="S61" i="3"/>
  <c r="N61" i="3"/>
  <c r="R61" i="3"/>
  <c r="L61" i="3"/>
  <c r="P61" i="3"/>
  <c r="L33" i="2"/>
  <c r="M33" i="2"/>
  <c r="P33" i="2"/>
  <c r="K33" i="2"/>
  <c r="O33" i="2"/>
  <c r="Q33" i="2"/>
  <c r="K34" i="2"/>
  <c r="L34" i="2"/>
  <c r="O34" i="2"/>
  <c r="Q34" i="2"/>
  <c r="M34" i="2"/>
  <c r="P34" i="2"/>
  <c r="L35" i="2"/>
  <c r="M35" i="2"/>
  <c r="O35" i="2"/>
  <c r="Q35" i="2"/>
  <c r="K35" i="2"/>
  <c r="P35" i="2"/>
  <c r="L36" i="2"/>
  <c r="O36" i="2"/>
  <c r="K36" i="2"/>
  <c r="M36" i="2"/>
  <c r="P36" i="2"/>
  <c r="Q36" i="2"/>
  <c r="K39" i="2"/>
  <c r="M39" i="2"/>
  <c r="P39" i="2"/>
  <c r="L39" i="2"/>
  <c r="O39" i="2"/>
  <c r="Q39" i="2"/>
  <c r="M40" i="2"/>
  <c r="O40" i="2"/>
  <c r="P40" i="2"/>
  <c r="Q40" i="2"/>
  <c r="K40" i="2"/>
  <c r="L40" i="2"/>
  <c r="L65" i="2"/>
  <c r="O65" i="2"/>
  <c r="P65" i="2"/>
  <c r="K65" i="2"/>
  <c r="M65" i="2"/>
  <c r="Q65" i="2"/>
  <c r="L67" i="2"/>
  <c r="M67" i="2"/>
  <c r="P67" i="2"/>
  <c r="K67" i="2"/>
  <c r="O67" i="2"/>
  <c r="Q67" i="2"/>
  <c r="K68" i="2"/>
  <c r="M68" i="2"/>
  <c r="O68" i="2"/>
  <c r="Q68" i="2"/>
  <c r="L68" i="2"/>
  <c r="P68" i="2"/>
  <c r="L72" i="2"/>
  <c r="M72" i="2"/>
  <c r="P72" i="2"/>
  <c r="Q72" i="2"/>
  <c r="K72" i="2"/>
  <c r="O72" i="2"/>
  <c r="L75" i="2"/>
  <c r="O75" i="2"/>
  <c r="Q75" i="2"/>
  <c r="K75" i="2"/>
  <c r="M75" i="2"/>
  <c r="P75" i="2"/>
  <c r="L82" i="2"/>
  <c r="O82" i="2"/>
  <c r="Q82" i="2"/>
  <c r="K82" i="2"/>
  <c r="M82" i="2"/>
  <c r="P82" i="2"/>
  <c r="K83" i="2"/>
  <c r="M83" i="2"/>
  <c r="O83" i="2"/>
  <c r="Q83" i="2"/>
  <c r="L83" i="2"/>
  <c r="P83" i="2"/>
  <c r="L85" i="2"/>
  <c r="O85" i="2"/>
  <c r="P85" i="2"/>
  <c r="K85" i="2"/>
  <c r="M85" i="2"/>
  <c r="Q85" i="2"/>
  <c r="L87" i="2"/>
  <c r="O87" i="2"/>
  <c r="Q87" i="2"/>
  <c r="K87" i="2"/>
  <c r="M87" i="2"/>
  <c r="P87" i="2"/>
  <c r="L88" i="2"/>
  <c r="O88" i="2"/>
  <c r="Q88" i="2"/>
  <c r="K88" i="2"/>
  <c r="M88" i="2"/>
  <c r="P88" i="2"/>
  <c r="L126" i="2"/>
  <c r="M126" i="2"/>
  <c r="O126" i="2"/>
  <c r="P126" i="2"/>
  <c r="Q126" i="2"/>
  <c r="K126" i="2"/>
  <c r="L127" i="2"/>
  <c r="O127" i="2"/>
  <c r="K127" i="2"/>
  <c r="M127" i="2"/>
  <c r="P127" i="2"/>
  <c r="Q127" i="2"/>
  <c r="K128" i="2"/>
  <c r="L128" i="2"/>
  <c r="M128" i="2"/>
  <c r="O128" i="2"/>
  <c r="P128" i="2"/>
  <c r="Q128" i="2"/>
  <c r="K129" i="2"/>
  <c r="M129" i="2"/>
  <c r="L129" i="2"/>
  <c r="O129" i="2"/>
  <c r="P129" i="2"/>
  <c r="Q129" i="2"/>
  <c r="K130" i="2"/>
  <c r="L130" i="2"/>
  <c r="M130" i="2"/>
  <c r="O130" i="2"/>
  <c r="P130" i="2"/>
  <c r="Q130" i="2"/>
  <c r="K131" i="2"/>
  <c r="M131" i="2"/>
  <c r="L131" i="2"/>
  <c r="O131" i="2"/>
  <c r="P131" i="2"/>
  <c r="Q131" i="2"/>
  <c r="K133" i="2"/>
  <c r="M133" i="2"/>
  <c r="L133" i="2"/>
  <c r="O133" i="2"/>
  <c r="P133" i="2"/>
  <c r="Q133" i="2"/>
  <c r="K134" i="2"/>
  <c r="M134" i="2"/>
  <c r="L134" i="2"/>
  <c r="O134" i="2"/>
  <c r="P134" i="2"/>
  <c r="Q134" i="2"/>
  <c r="L135" i="2"/>
  <c r="O135" i="2"/>
  <c r="K135" i="2"/>
  <c r="M135" i="2"/>
  <c r="P135" i="2"/>
  <c r="Q135" i="2"/>
  <c r="L137" i="2"/>
  <c r="O137" i="2"/>
  <c r="K137" i="2"/>
  <c r="M137" i="2"/>
  <c r="P137" i="2"/>
  <c r="Q137" i="2"/>
  <c r="K138" i="2"/>
  <c r="L138" i="2"/>
  <c r="M138" i="2"/>
  <c r="O138" i="2"/>
  <c r="P138" i="2"/>
  <c r="Q138" i="2"/>
  <c r="L140" i="2"/>
  <c r="M140" i="2"/>
  <c r="O140" i="2"/>
  <c r="P140" i="2"/>
  <c r="Q140" i="2"/>
  <c r="K140" i="2"/>
  <c r="K141" i="2"/>
  <c r="L141" i="2"/>
  <c r="M141" i="2"/>
  <c r="O141" i="2"/>
  <c r="P141" i="2"/>
  <c r="Q141" i="2"/>
  <c r="K142" i="2"/>
  <c r="M142" i="2"/>
  <c r="L142" i="2"/>
  <c r="O142" i="2"/>
  <c r="P142" i="2"/>
  <c r="Q142" i="2"/>
  <c r="L143" i="2"/>
  <c r="O143" i="2"/>
  <c r="K143" i="2"/>
  <c r="M143" i="2"/>
  <c r="P143" i="2"/>
  <c r="Q143" i="2"/>
  <c r="L145" i="2"/>
  <c r="M145" i="2"/>
  <c r="O145" i="2"/>
  <c r="P145" i="2"/>
  <c r="Q145" i="2"/>
  <c r="K145" i="2"/>
  <c r="L147" i="2"/>
  <c r="O147" i="2"/>
  <c r="K147" i="2"/>
  <c r="M147" i="2"/>
  <c r="P147" i="2"/>
  <c r="Q147" i="2"/>
  <c r="K148" i="2"/>
  <c r="L148" i="2"/>
  <c r="M148" i="2"/>
  <c r="O148" i="2"/>
  <c r="P148" i="2"/>
  <c r="Q148" i="2"/>
  <c r="L151" i="2"/>
  <c r="O151" i="2"/>
  <c r="K151" i="2"/>
  <c r="M151" i="2"/>
  <c r="P151" i="2"/>
  <c r="Q151" i="2"/>
  <c r="L152" i="2"/>
  <c r="M152" i="2"/>
  <c r="K152" i="2"/>
  <c r="O152" i="2"/>
  <c r="P152" i="2"/>
  <c r="Q152" i="2"/>
  <c r="L155" i="2"/>
  <c r="M155" i="2"/>
  <c r="O155" i="2"/>
  <c r="P155" i="2"/>
  <c r="Q155" i="2"/>
  <c r="K155" i="2"/>
  <c r="L156" i="2"/>
  <c r="M156" i="2"/>
  <c r="O156" i="2"/>
  <c r="P156" i="2"/>
  <c r="Q156" i="2"/>
  <c r="K156" i="2"/>
  <c r="L157" i="2"/>
  <c r="M157" i="2"/>
  <c r="O157" i="2"/>
  <c r="P157" i="2"/>
  <c r="Q157" i="2"/>
  <c r="K157" i="2"/>
  <c r="L159" i="2"/>
  <c r="O159" i="2"/>
  <c r="K159" i="2"/>
  <c r="M159" i="2"/>
  <c r="P159" i="2"/>
  <c r="Q159" i="2"/>
  <c r="K160" i="2"/>
  <c r="M160" i="2"/>
  <c r="O160" i="2"/>
  <c r="P160" i="2"/>
  <c r="Q160" i="2"/>
  <c r="L160" i="2"/>
  <c r="K188" i="2"/>
  <c r="L188" i="2"/>
  <c r="M188" i="2"/>
  <c r="O188" i="2"/>
  <c r="P188" i="2"/>
  <c r="Q188" i="2"/>
  <c r="L4" i="3"/>
  <c r="M4" i="3"/>
  <c r="N4" i="3"/>
  <c r="O4" i="3"/>
  <c r="P4" i="3"/>
  <c r="Q4" i="3"/>
  <c r="R4" i="3"/>
  <c r="S4" i="3"/>
  <c r="L5" i="3"/>
  <c r="M5" i="3"/>
  <c r="N5" i="3"/>
  <c r="O5" i="3"/>
  <c r="P5" i="3"/>
  <c r="Q5" i="3"/>
  <c r="R5" i="3"/>
  <c r="S5" i="3"/>
  <c r="L6" i="3"/>
  <c r="M6" i="3"/>
  <c r="N6" i="3"/>
  <c r="O6" i="3"/>
  <c r="P6" i="3"/>
  <c r="Q6" i="3"/>
  <c r="R6" i="3"/>
  <c r="S6" i="3"/>
  <c r="L7" i="3"/>
  <c r="M7" i="3"/>
  <c r="N7" i="3"/>
  <c r="O7" i="3"/>
  <c r="P7" i="3"/>
  <c r="Q7" i="3"/>
  <c r="R7" i="3"/>
  <c r="S7" i="3"/>
  <c r="L8" i="3"/>
  <c r="M8" i="3"/>
  <c r="N8" i="3"/>
  <c r="O8" i="3"/>
  <c r="P8" i="3"/>
  <c r="Q8" i="3"/>
  <c r="R8" i="3"/>
  <c r="S8" i="3"/>
  <c r="L9" i="3"/>
  <c r="M9" i="3"/>
  <c r="N9" i="3"/>
  <c r="O9" i="3"/>
  <c r="P9" i="3"/>
  <c r="Q9" i="3"/>
  <c r="R9" i="3"/>
  <c r="S9" i="3"/>
  <c r="L10" i="3"/>
  <c r="M10" i="3"/>
  <c r="N10" i="3"/>
  <c r="O10" i="3"/>
  <c r="P10" i="3"/>
  <c r="Q10" i="3"/>
  <c r="R10" i="3"/>
  <c r="S10" i="3"/>
  <c r="L11" i="3"/>
  <c r="M11" i="3"/>
  <c r="N11" i="3"/>
  <c r="O11" i="3"/>
  <c r="P11" i="3"/>
  <c r="Q11" i="3"/>
  <c r="R11" i="3"/>
  <c r="S11" i="3"/>
  <c r="L12" i="3"/>
  <c r="M12" i="3"/>
  <c r="N12" i="3"/>
  <c r="O12" i="3"/>
  <c r="P12" i="3"/>
  <c r="Q12" i="3"/>
  <c r="R12" i="3"/>
  <c r="S12" i="3"/>
  <c r="L13" i="3"/>
  <c r="M13" i="3"/>
  <c r="N13" i="3"/>
  <c r="O13" i="3"/>
  <c r="P13" i="3"/>
  <c r="Q13" i="3"/>
  <c r="R13" i="3"/>
  <c r="S13" i="3"/>
  <c r="L14" i="3"/>
  <c r="M14" i="3"/>
  <c r="N14" i="3"/>
  <c r="O14" i="3"/>
  <c r="P14" i="3"/>
  <c r="Q14" i="3"/>
  <c r="R14" i="3"/>
  <c r="S14" i="3"/>
  <c r="L15" i="3"/>
  <c r="M15" i="3"/>
  <c r="N15" i="3"/>
  <c r="O15" i="3"/>
  <c r="P15" i="3"/>
  <c r="Q15" i="3"/>
  <c r="R15" i="3"/>
  <c r="S15" i="3"/>
  <c r="L16" i="3"/>
  <c r="M16" i="3"/>
  <c r="N16" i="3"/>
  <c r="O16" i="3"/>
  <c r="P16" i="3"/>
  <c r="Q16" i="3"/>
  <c r="R16" i="3"/>
  <c r="S16" i="3"/>
  <c r="L17" i="3"/>
  <c r="M17" i="3"/>
  <c r="N17" i="3"/>
  <c r="O17" i="3"/>
  <c r="P17" i="3"/>
  <c r="Q17" i="3"/>
  <c r="R17" i="3"/>
  <c r="S17" i="3"/>
  <c r="L18" i="3"/>
  <c r="M18" i="3"/>
  <c r="N18" i="3"/>
  <c r="O18" i="3"/>
  <c r="P18" i="3"/>
  <c r="Q18" i="3"/>
  <c r="R18" i="3"/>
  <c r="S18" i="3"/>
  <c r="L19" i="3"/>
  <c r="M19" i="3"/>
  <c r="N19" i="3"/>
  <c r="O19" i="3"/>
  <c r="P19" i="3"/>
  <c r="Q19" i="3"/>
  <c r="R19" i="3"/>
  <c r="S19" i="3"/>
  <c r="L20" i="3"/>
  <c r="M20" i="3"/>
  <c r="N20" i="3"/>
  <c r="O20" i="3"/>
  <c r="P20" i="3"/>
  <c r="Q20" i="3"/>
  <c r="R20" i="3"/>
  <c r="S20" i="3"/>
  <c r="L21" i="3"/>
  <c r="M21" i="3"/>
  <c r="N21" i="3"/>
  <c r="O21" i="3"/>
  <c r="P21" i="3"/>
  <c r="Q21" i="3"/>
  <c r="R21" i="3"/>
  <c r="S21" i="3"/>
  <c r="L22" i="3"/>
  <c r="M22" i="3"/>
  <c r="N22" i="3"/>
  <c r="O22" i="3"/>
  <c r="P22" i="3"/>
  <c r="Q22" i="3"/>
  <c r="R22" i="3"/>
  <c r="S22" i="3"/>
  <c r="L23" i="3"/>
  <c r="M23" i="3"/>
  <c r="N23" i="3"/>
  <c r="O23" i="3"/>
  <c r="P23" i="3"/>
  <c r="Q23" i="3"/>
  <c r="R23" i="3"/>
  <c r="S23" i="3"/>
  <c r="L24" i="3"/>
  <c r="M24" i="3"/>
  <c r="N24" i="3"/>
  <c r="O24" i="3"/>
  <c r="P24" i="3"/>
  <c r="Q24" i="3"/>
  <c r="R24" i="3"/>
  <c r="S24" i="3"/>
  <c r="L25" i="3"/>
  <c r="M25" i="3"/>
  <c r="N25" i="3"/>
  <c r="O25" i="3"/>
  <c r="P25" i="3"/>
  <c r="Q25" i="3"/>
  <c r="R25" i="3"/>
  <c r="S25" i="3"/>
  <c r="L26" i="3"/>
  <c r="M26" i="3"/>
  <c r="N26" i="3"/>
  <c r="O26" i="3"/>
  <c r="P26" i="3"/>
  <c r="Q26" i="3"/>
  <c r="R26" i="3"/>
  <c r="S26" i="3"/>
  <c r="L27" i="3"/>
  <c r="M27" i="3"/>
  <c r="N27" i="3"/>
  <c r="O27" i="3"/>
  <c r="P27" i="3"/>
  <c r="Q27" i="3"/>
  <c r="R27" i="3"/>
  <c r="S27" i="3"/>
  <c r="L28" i="3"/>
  <c r="M28" i="3"/>
  <c r="N28" i="3"/>
  <c r="O28" i="3"/>
  <c r="P28" i="3"/>
  <c r="Q28" i="3"/>
  <c r="R28" i="3"/>
  <c r="S28" i="3"/>
  <c r="L29" i="3"/>
  <c r="M29" i="3"/>
  <c r="N29" i="3"/>
  <c r="O29" i="3"/>
  <c r="P29" i="3"/>
  <c r="Q29" i="3"/>
  <c r="R29" i="3"/>
  <c r="S29" i="3"/>
  <c r="L30" i="3"/>
  <c r="M30" i="3"/>
  <c r="N30" i="3"/>
  <c r="O30" i="3"/>
  <c r="P30" i="3"/>
  <c r="Q30" i="3"/>
  <c r="R30" i="3"/>
  <c r="S30" i="3"/>
  <c r="L31" i="3"/>
  <c r="M31" i="3"/>
  <c r="N31" i="3"/>
  <c r="O31" i="3"/>
  <c r="P31" i="3"/>
  <c r="Q31" i="3"/>
  <c r="R31" i="3"/>
  <c r="S31" i="3"/>
  <c r="L32" i="3"/>
  <c r="M32" i="3"/>
  <c r="N32" i="3"/>
  <c r="O32" i="3"/>
  <c r="P32" i="3"/>
  <c r="Q32" i="3"/>
  <c r="R32" i="3"/>
  <c r="S32" i="3"/>
  <c r="L33" i="3"/>
  <c r="M33" i="3"/>
  <c r="N33" i="3"/>
  <c r="O33" i="3"/>
  <c r="P33" i="3"/>
  <c r="Q33" i="3"/>
  <c r="R33" i="3"/>
  <c r="S33" i="3"/>
  <c r="L34" i="3"/>
  <c r="M34" i="3"/>
  <c r="N34" i="3"/>
  <c r="O34" i="3"/>
  <c r="P34" i="3"/>
  <c r="Q34" i="3"/>
  <c r="R34" i="3"/>
  <c r="S34" i="3"/>
  <c r="L35" i="3"/>
  <c r="M35" i="3"/>
  <c r="N35" i="3"/>
  <c r="O35" i="3"/>
  <c r="P35" i="3"/>
  <c r="Q35" i="3"/>
  <c r="R35" i="3"/>
  <c r="S35" i="3"/>
  <c r="L36" i="3"/>
  <c r="M36" i="3"/>
  <c r="N36" i="3"/>
  <c r="O36" i="3"/>
  <c r="P36" i="3"/>
  <c r="Q36" i="3"/>
  <c r="R36" i="3"/>
  <c r="S36" i="3"/>
  <c r="L37" i="3"/>
  <c r="M37" i="3"/>
  <c r="N37" i="3"/>
  <c r="O37" i="3"/>
  <c r="P37" i="3"/>
  <c r="Q37" i="3"/>
  <c r="R37" i="3"/>
  <c r="S37" i="3"/>
  <c r="L38" i="3"/>
  <c r="M38" i="3"/>
  <c r="N38" i="3"/>
  <c r="O38" i="3"/>
  <c r="P38" i="3"/>
  <c r="Q38" i="3"/>
  <c r="R38" i="3"/>
  <c r="S38" i="3"/>
  <c r="L39" i="3"/>
  <c r="M39" i="3"/>
  <c r="N39" i="3"/>
  <c r="O39" i="3"/>
  <c r="P39" i="3"/>
  <c r="Q39" i="3"/>
  <c r="R39" i="3"/>
  <c r="S39" i="3"/>
  <c r="L40" i="3"/>
  <c r="M40" i="3"/>
  <c r="N40" i="3"/>
  <c r="O40" i="3"/>
  <c r="P40" i="3"/>
  <c r="Q40" i="3"/>
  <c r="R40" i="3"/>
  <c r="S40" i="3"/>
  <c r="L41" i="3"/>
  <c r="M41" i="3"/>
  <c r="N41" i="3"/>
  <c r="O41" i="3"/>
  <c r="P41" i="3"/>
  <c r="Q41" i="3"/>
  <c r="R41" i="3"/>
  <c r="S41" i="3"/>
  <c r="L42" i="3"/>
  <c r="M42" i="3"/>
  <c r="N42" i="3"/>
  <c r="O42" i="3"/>
  <c r="P42" i="3"/>
  <c r="Q42" i="3"/>
  <c r="R42" i="3"/>
  <c r="S42" i="3"/>
  <c r="L43" i="3"/>
  <c r="M43" i="3"/>
  <c r="N43" i="3"/>
  <c r="O43" i="3"/>
  <c r="P43" i="3"/>
  <c r="Q43" i="3"/>
  <c r="R43" i="3"/>
  <c r="S43" i="3"/>
  <c r="L44" i="3"/>
  <c r="M44" i="3"/>
  <c r="N44" i="3"/>
  <c r="O44" i="3"/>
  <c r="P44" i="3"/>
  <c r="Q44" i="3"/>
  <c r="R44" i="3"/>
  <c r="S44" i="3"/>
  <c r="L45" i="3"/>
  <c r="M45" i="3"/>
  <c r="N45" i="3"/>
  <c r="O45" i="3"/>
  <c r="P45" i="3"/>
  <c r="Q45" i="3"/>
  <c r="R45" i="3"/>
  <c r="S45" i="3"/>
  <c r="L46" i="3"/>
  <c r="M46" i="3"/>
  <c r="N46" i="3"/>
  <c r="O46" i="3"/>
  <c r="P46" i="3"/>
  <c r="Q46" i="3"/>
  <c r="R46" i="3"/>
  <c r="S46" i="3"/>
  <c r="L47" i="3"/>
  <c r="M47" i="3"/>
  <c r="N47" i="3"/>
  <c r="O47" i="3"/>
  <c r="P47" i="3"/>
  <c r="Q47" i="3"/>
  <c r="R47" i="3"/>
  <c r="S47" i="3"/>
  <c r="L48" i="3"/>
  <c r="M48" i="3"/>
  <c r="N48" i="3"/>
  <c r="O48" i="3"/>
  <c r="P48" i="3"/>
  <c r="Q48" i="3"/>
  <c r="R48" i="3"/>
  <c r="S48" i="3"/>
  <c r="L49" i="3"/>
  <c r="M49" i="3"/>
  <c r="N49" i="3"/>
  <c r="O49" i="3"/>
  <c r="P49" i="3"/>
  <c r="Q49" i="3"/>
  <c r="R49" i="3"/>
  <c r="S49" i="3"/>
  <c r="L50" i="3"/>
  <c r="P50" i="3"/>
  <c r="N50" i="3"/>
  <c r="R50" i="3"/>
  <c r="O50" i="3"/>
  <c r="S50" i="3"/>
  <c r="M50" i="3"/>
  <c r="Q50" i="3"/>
  <c r="Q55" i="3"/>
  <c r="N55" i="3"/>
  <c r="R55" i="3"/>
  <c r="O55" i="3"/>
  <c r="M55" i="3"/>
  <c r="P55" i="3"/>
  <c r="L55" i="3"/>
  <c r="S55" i="3"/>
  <c r="L64" i="3"/>
  <c r="M64" i="3"/>
  <c r="N64" i="3"/>
  <c r="O64" i="3"/>
  <c r="P64" i="3"/>
  <c r="Q64" i="3"/>
  <c r="R64" i="3"/>
  <c r="S64" i="3"/>
  <c r="L65" i="3"/>
  <c r="M65" i="3"/>
  <c r="N65" i="3"/>
  <c r="O65" i="3"/>
  <c r="P65" i="3"/>
  <c r="Q65" i="3"/>
  <c r="R65" i="3"/>
  <c r="S65" i="3"/>
  <c r="L66" i="3"/>
  <c r="M66" i="3"/>
  <c r="N66" i="3"/>
  <c r="O66" i="3"/>
  <c r="P66" i="3"/>
  <c r="Q66" i="3"/>
  <c r="R66" i="3"/>
  <c r="S66" i="3"/>
  <c r="L67" i="3"/>
  <c r="M67" i="3"/>
  <c r="N67" i="3"/>
  <c r="O67" i="3"/>
  <c r="P67" i="3"/>
  <c r="Q67" i="3"/>
  <c r="R67" i="3"/>
  <c r="S67" i="3"/>
  <c r="L68" i="3"/>
  <c r="M68" i="3"/>
  <c r="N68" i="3"/>
  <c r="O68" i="3"/>
  <c r="P68" i="3"/>
  <c r="Q68" i="3"/>
  <c r="R68" i="3"/>
  <c r="S68" i="3"/>
  <c r="L69" i="3"/>
  <c r="M69" i="3"/>
  <c r="N69" i="3"/>
  <c r="O69" i="3"/>
  <c r="P69" i="3"/>
  <c r="Q69" i="3"/>
  <c r="R69" i="3"/>
  <c r="S69" i="3"/>
  <c r="L70" i="3"/>
  <c r="M70" i="3"/>
  <c r="N70" i="3"/>
  <c r="O70" i="3"/>
  <c r="P70" i="3"/>
  <c r="Q70" i="3"/>
  <c r="R70" i="3"/>
  <c r="S70" i="3"/>
  <c r="L71" i="3"/>
  <c r="M71" i="3"/>
  <c r="N71" i="3"/>
  <c r="O71" i="3"/>
  <c r="P71" i="3"/>
  <c r="Q71" i="3"/>
  <c r="R71" i="3"/>
  <c r="S71" i="3"/>
  <c r="M74" i="3"/>
  <c r="P74" i="3"/>
  <c r="Q74" i="3"/>
  <c r="R74" i="3"/>
  <c r="S74" i="3"/>
  <c r="L74" i="3"/>
  <c r="N74" i="3"/>
  <c r="O74" i="3"/>
  <c r="M81" i="3"/>
  <c r="Q81" i="3"/>
  <c r="R81" i="3"/>
  <c r="S81" i="3"/>
  <c r="L81" i="3"/>
  <c r="N81" i="3"/>
  <c r="O81" i="3"/>
  <c r="P81" i="3"/>
  <c r="N84" i="3"/>
  <c r="Q84" i="3"/>
  <c r="R84" i="3"/>
  <c r="S84" i="3"/>
  <c r="L84" i="3"/>
  <c r="M84" i="3"/>
  <c r="O84" i="3"/>
  <c r="P84" i="3"/>
  <c r="N86" i="3"/>
  <c r="Q86" i="3"/>
  <c r="R86" i="3"/>
  <c r="S86" i="3"/>
  <c r="L86" i="3"/>
  <c r="M86" i="3"/>
  <c r="O86" i="3"/>
  <c r="P86" i="3"/>
  <c r="L87" i="3"/>
  <c r="M87" i="3"/>
  <c r="N87" i="3"/>
  <c r="O87" i="3"/>
  <c r="P87" i="3"/>
  <c r="Q87" i="3"/>
  <c r="R87" i="3"/>
  <c r="S87" i="3"/>
  <c r="N89" i="3"/>
  <c r="P89" i="3"/>
  <c r="R89" i="3"/>
  <c r="S89" i="3"/>
  <c r="L89" i="3"/>
  <c r="M89" i="3"/>
  <c r="O89" i="3"/>
  <c r="Q89" i="3"/>
  <c r="N90" i="3"/>
  <c r="Q90" i="3"/>
  <c r="S90" i="3"/>
  <c r="L90" i="3"/>
  <c r="M90" i="3"/>
  <c r="O90" i="3"/>
  <c r="P90" i="3"/>
  <c r="R90" i="3"/>
  <c r="N91" i="3"/>
  <c r="P91" i="3"/>
  <c r="Q91" i="3"/>
  <c r="R91" i="3"/>
  <c r="S91" i="3"/>
  <c r="L91" i="3"/>
  <c r="M91" i="3"/>
  <c r="O91" i="3"/>
  <c r="M96" i="3"/>
  <c r="N96" i="3"/>
  <c r="O96" i="3"/>
  <c r="Q96" i="3"/>
  <c r="R96" i="3"/>
  <c r="S96" i="3"/>
  <c r="L96" i="3"/>
  <c r="P96" i="3"/>
</calcChain>
</file>

<file path=xl/sharedStrings.xml><?xml version="1.0" encoding="utf-8"?>
<sst xmlns="http://schemas.openxmlformats.org/spreadsheetml/2006/main" count="86" uniqueCount="39">
  <si>
    <t>名簿から名前をコピペして使ってください。３年生以上は性別欄を記入しないと動きません。タイムまで入力したら②のシートへ</t>
  </si>
  <si>
    <t>No.</t>
  </si>
  <si>
    <t>1組 名前</t>
  </si>
  <si>
    <t>性別
(1=男子
2=女子)</t>
  </si>
  <si>
    <t>タイム
(1/100秒)</t>
  </si>
  <si>
    <t>赤or白</t>
  </si>
  <si>
    <t>2組 名前</t>
  </si>
  <si>
    <t>3組 名前</t>
  </si>
  <si>
    <t>4組 名前</t>
  </si>
  <si>
    <t>5組 名前</t>
  </si>
  <si>
    <t>男子</t>
  </si>
  <si>
    <t>女子</t>
  </si>
  <si>
    <t>赤組</t>
  </si>
  <si>
    <t>白組</t>
  </si>
  <si>
    <t>名前</t>
  </si>
  <si>
    <t>クラス</t>
  </si>
  <si>
    <t>タイム</t>
  </si>
  <si>
    <t>組</t>
  </si>
  <si>
    <t>赤1番 名前</t>
  </si>
  <si>
    <t>赤2番 名前</t>
  </si>
  <si>
    <t>白1番 名前</t>
  </si>
  <si>
    <t>白2番 名前</t>
  </si>
  <si>
    <t>通し番号</t>
  </si>
  <si>
    <t>クラス番号</t>
  </si>
  <si>
    <t>クラス内行</t>
  </si>
  <si>
    <t>性別(入力)</t>
  </si>
  <si>
    <t>性別</t>
  </si>
  <si>
    <t>赤白(入力)</t>
  </si>
  <si>
    <t>赤白</t>
  </si>
  <si>
    <t>区分</t>
  </si>
  <si>
    <t>区分内順位</t>
  </si>
  <si>
    <t>検索キー</t>
  </si>
  <si>
    <t>入力不足</t>
  </si>
  <si>
    <t>人数</t>
  </si>
  <si>
    <t>男赤</t>
  </si>
  <si>
    <t>男白</t>
  </si>
  <si>
    <t>女赤</t>
  </si>
  <si>
    <t>女白</t>
  </si>
  <si>
    <t>※このシートは自動計算用です。触らないでください。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</si>
</sst>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sz val="11"/>
      <color theme="1"/>
      <name val="UD Digi Kyokasho NP-B"/>
      <family val="1"/>
      <charset val="128"/>
    </font>
    <font>
      <b/>
      <sz val="11"/>
      <name val="UD Digi Kyokasho NP-B"/>
      <family val="1"/>
      <charset val="128"/>
    </font>
    <font>
      <b/>
      <sz val="11"/>
      <color rgb="FFFF0000"/>
      <name val="UD Digi Kyokasho NP-B"/>
      <family val="1"/>
      <charset val="128"/>
    </font>
    <font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>
      <alignment vertical="center"/>
    </xf>
    <xf numFmtId="0" fontId="3" fillId="0" borderId="1" xfId="0" applyFont="1" applyBorder="1" applyAlignment="1"/>
    <xf numFmtId="0" fontId="4" fillId="0" borderId="0" xfId="0" applyFont="1" applyAlignme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2" fontId="3" fillId="0" borderId="1" xfId="0" applyNumberFormat="1" applyFont="1" applyBorder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/>
    <xf numFmtId="0" fontId="7" fillId="0" borderId="0" xfId="0" applyFont="1" applyAlignment="1"/>
    <xf numFmtId="0" fontId="6" fillId="0" borderId="3" xfId="0" applyFont="1" applyBorder="1">
      <alignment vertical="center"/>
    </xf>
    <xf numFmtId="2" fontId="6" fillId="0" borderId="3" xfId="0" applyNumberFormat="1" applyFont="1" applyBorder="1">
      <alignment vertical="center"/>
    </xf>
    <xf numFmtId="0" fontId="6" fillId="0" borderId="3" xfId="0" applyFont="1" applyBorder="1" applyAlignment="1"/>
    <xf numFmtId="2" fontId="6" fillId="0" borderId="3" xfId="0" applyNumberFormat="1" applyFont="1" applyBorder="1" applyAlignment="1"/>
    <xf numFmtId="0" fontId="8" fillId="0" borderId="0" xfId="0" applyFont="1" applyAlignment="1"/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8" fillId="0" borderId="4" xfId="0" applyFont="1" applyBorder="1" applyAlignment="1">
      <alignment horizontal="center" vertical="center"/>
    </xf>
  </cellXfs>
  <cellStyles count="2">
    <cellStyle name="標準" xfId="0" builtinId="0"/>
    <cellStyle name="標準 4" xfId="1" xr:uid="{00000000-0005-0000-0000-000001000000}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defaultColWidth="8.5" defaultRowHeight="15" x14ac:dyDescent="0.25"/>
  <cols>
    <col min="1" max="1" width="5" style="1" customWidth="1"/>
    <col min="2" max="2" width="14" style="1" customWidth="1"/>
    <col min="3" max="4" width="10" style="1" customWidth="1"/>
    <col min="5" max="5" width="4.625" style="1" customWidth="1"/>
    <col min="6" max="6" width="3" style="1" customWidth="1"/>
    <col min="7" max="7" width="14" style="1" customWidth="1"/>
    <col min="8" max="9" width="10" style="1" customWidth="1"/>
    <col min="10" max="10" width="4.625" style="1" customWidth="1"/>
    <col min="11" max="11" width="3" style="1" customWidth="1"/>
    <col min="12" max="12" width="14" style="1" customWidth="1"/>
    <col min="13" max="14" width="10" style="1" customWidth="1"/>
    <col min="15" max="15" width="4.625" style="1" customWidth="1"/>
    <col min="16" max="16" width="3" style="1" customWidth="1"/>
    <col min="17" max="17" width="14" style="1" customWidth="1"/>
    <col min="18" max="19" width="10" style="1" customWidth="1"/>
    <col min="20" max="20" width="4.625" style="1" customWidth="1"/>
    <col min="21" max="21" width="2.375" style="3" customWidth="1"/>
    <col min="22" max="22" width="14" style="3" customWidth="1"/>
    <col min="23" max="23" width="8.5" style="3" customWidth="1"/>
    <col min="24" max="24" width="9.875" style="3" customWidth="1"/>
    <col min="25" max="25" width="4.625" style="3" customWidth="1"/>
    <col min="26" max="26" width="8.5" style="3" customWidth="1"/>
    <col min="27" max="16384" width="8.5" style="3"/>
  </cols>
  <sheetData>
    <row r="1" spans="1:25" x14ac:dyDescent="0.25">
      <c r="A1" s="6"/>
      <c r="I1" s="1" t="s">
        <v>0</v>
      </c>
    </row>
    <row r="2" spans="1:25" ht="46.5" customHeight="1" x14ac:dyDescent="0.25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G2" s="7" t="s">
        <v>6</v>
      </c>
      <c r="H2" s="7" t="s">
        <v>3</v>
      </c>
      <c r="I2" s="7" t="s">
        <v>4</v>
      </c>
      <c r="J2" s="7" t="s">
        <v>5</v>
      </c>
      <c r="L2" s="7" t="s">
        <v>7</v>
      </c>
      <c r="M2" s="7" t="s">
        <v>3</v>
      </c>
      <c r="N2" s="7" t="s">
        <v>4</v>
      </c>
      <c r="O2" s="7" t="s">
        <v>5</v>
      </c>
      <c r="Q2" s="7" t="s">
        <v>8</v>
      </c>
      <c r="R2" s="7" t="s">
        <v>3</v>
      </c>
      <c r="S2" s="7" t="s">
        <v>4</v>
      </c>
      <c r="T2" s="7" t="s">
        <v>5</v>
      </c>
      <c r="V2" s="7" t="s">
        <v>9</v>
      </c>
      <c r="W2" s="7" t="s">
        <v>3</v>
      </c>
      <c r="X2" s="7" t="s">
        <v>4</v>
      </c>
      <c r="Y2" s="7" t="s">
        <v>5</v>
      </c>
    </row>
    <row r="3" spans="1:25" ht="15" customHeight="1" x14ac:dyDescent="0.25">
      <c r="A3" s="2">
        <v>1</v>
      </c>
      <c r="B3" s="4"/>
      <c r="C3" s="2"/>
      <c r="D3" s="8"/>
      <c r="E3" s="8"/>
      <c r="G3" s="4"/>
      <c r="H3" s="2"/>
      <c r="I3" s="8"/>
      <c r="J3" s="8"/>
      <c r="L3" s="4"/>
      <c r="M3" s="2"/>
      <c r="N3" s="8"/>
      <c r="O3" s="8"/>
      <c r="Q3" s="4"/>
      <c r="R3" s="2"/>
      <c r="S3" s="8"/>
      <c r="T3" s="8"/>
      <c r="V3" s="4"/>
      <c r="W3" s="2"/>
      <c r="X3" s="8"/>
      <c r="Y3" s="8"/>
    </row>
    <row r="4" spans="1:25" ht="15" customHeight="1" x14ac:dyDescent="0.25">
      <c r="A4" s="2">
        <v>2</v>
      </c>
      <c r="B4" s="4"/>
      <c r="C4" s="2"/>
      <c r="D4" s="8"/>
      <c r="E4" s="8"/>
      <c r="G4" s="4"/>
      <c r="H4" s="2"/>
      <c r="I4" s="8"/>
      <c r="J4" s="8"/>
      <c r="L4" s="4"/>
      <c r="M4" s="2"/>
      <c r="N4" s="8"/>
      <c r="O4" s="8"/>
      <c r="Q4" s="4"/>
      <c r="R4" s="2"/>
      <c r="S4" s="8"/>
      <c r="T4" s="8"/>
      <c r="V4" s="4"/>
      <c r="W4" s="2"/>
      <c r="X4" s="8"/>
      <c r="Y4" s="8"/>
    </row>
    <row r="5" spans="1:25" ht="15" customHeight="1" x14ac:dyDescent="0.25">
      <c r="A5" s="2">
        <v>3</v>
      </c>
      <c r="B5" s="4"/>
      <c r="C5" s="2"/>
      <c r="D5" s="8"/>
      <c r="E5" s="8"/>
      <c r="G5" s="4"/>
      <c r="H5" s="2"/>
      <c r="I5" s="8"/>
      <c r="J5" s="8"/>
      <c r="L5" s="4"/>
      <c r="M5" s="2"/>
      <c r="N5" s="8"/>
      <c r="O5" s="8"/>
      <c r="Q5" s="4"/>
      <c r="R5" s="2"/>
      <c r="S5" s="8"/>
      <c r="T5" s="8"/>
      <c r="V5" s="4"/>
      <c r="W5" s="2"/>
      <c r="X5" s="8"/>
      <c r="Y5" s="8"/>
    </row>
    <row r="6" spans="1:25" ht="15" customHeight="1" x14ac:dyDescent="0.25">
      <c r="A6" s="2">
        <v>4</v>
      </c>
      <c r="B6" s="4"/>
      <c r="C6" s="2"/>
      <c r="D6" s="8"/>
      <c r="E6" s="8"/>
      <c r="G6" s="4"/>
      <c r="H6" s="2"/>
      <c r="I6" s="8"/>
      <c r="J6" s="8"/>
      <c r="L6" s="4"/>
      <c r="M6" s="2"/>
      <c r="N6" s="8"/>
      <c r="O6" s="8"/>
      <c r="Q6" s="4"/>
      <c r="R6" s="2"/>
      <c r="S6" s="8"/>
      <c r="T6" s="8"/>
      <c r="V6" s="4"/>
      <c r="W6" s="2"/>
      <c r="X6" s="8"/>
      <c r="Y6" s="8"/>
    </row>
    <row r="7" spans="1:25" ht="15" customHeight="1" x14ac:dyDescent="0.25">
      <c r="A7" s="2">
        <v>5</v>
      </c>
      <c r="B7" s="4"/>
      <c r="C7" s="2"/>
      <c r="D7" s="8"/>
      <c r="E7" s="8"/>
      <c r="G7" s="4"/>
      <c r="H7" s="2"/>
      <c r="I7" s="8"/>
      <c r="J7" s="8"/>
      <c r="L7" s="4"/>
      <c r="M7" s="2"/>
      <c r="N7" s="8"/>
      <c r="O7" s="8"/>
      <c r="Q7" s="4"/>
      <c r="R7" s="2"/>
      <c r="S7" s="8"/>
      <c r="T7" s="8"/>
      <c r="V7" s="4"/>
      <c r="W7" s="2"/>
      <c r="X7" s="8"/>
      <c r="Y7" s="8"/>
    </row>
    <row r="8" spans="1:25" ht="15" customHeight="1" x14ac:dyDescent="0.25">
      <c r="A8" s="2">
        <v>6</v>
      </c>
      <c r="B8" s="4"/>
      <c r="C8" s="2"/>
      <c r="D8" s="8"/>
      <c r="E8" s="8"/>
      <c r="G8" s="4"/>
      <c r="H8" s="2"/>
      <c r="I8" s="8"/>
      <c r="J8" s="8"/>
      <c r="L8" s="4"/>
      <c r="M8" s="2"/>
      <c r="N8" s="8"/>
      <c r="O8" s="8"/>
      <c r="Q8" s="4"/>
      <c r="R8" s="2"/>
      <c r="S8" s="8"/>
      <c r="T8" s="8"/>
      <c r="V8" s="4"/>
      <c r="W8" s="2"/>
      <c r="X8" s="8"/>
      <c r="Y8" s="8"/>
    </row>
    <row r="9" spans="1:25" ht="15" customHeight="1" x14ac:dyDescent="0.25">
      <c r="A9" s="2">
        <v>7</v>
      </c>
      <c r="B9" s="4"/>
      <c r="C9" s="2"/>
      <c r="D9" s="8"/>
      <c r="E9" s="8"/>
      <c r="G9" s="4"/>
      <c r="H9" s="2"/>
      <c r="I9" s="8"/>
      <c r="J9" s="8"/>
      <c r="L9" s="4"/>
      <c r="M9" s="2"/>
      <c r="N9" s="8"/>
      <c r="O9" s="8"/>
      <c r="Q9" s="4"/>
      <c r="R9" s="2"/>
      <c r="S9" s="8"/>
      <c r="T9" s="8"/>
      <c r="V9" s="4"/>
      <c r="W9" s="2"/>
      <c r="X9" s="8"/>
      <c r="Y9" s="8"/>
    </row>
    <row r="10" spans="1:25" ht="15" customHeight="1" x14ac:dyDescent="0.25">
      <c r="A10" s="2">
        <v>8</v>
      </c>
      <c r="B10" s="4"/>
      <c r="C10" s="2"/>
      <c r="D10" s="8"/>
      <c r="E10" s="8"/>
      <c r="G10" s="4"/>
      <c r="H10" s="2"/>
      <c r="I10" s="8"/>
      <c r="J10" s="8"/>
      <c r="L10" s="4"/>
      <c r="M10" s="2"/>
      <c r="N10" s="8"/>
      <c r="O10" s="8"/>
      <c r="Q10" s="4"/>
      <c r="R10" s="2"/>
      <c r="S10" s="8"/>
      <c r="T10" s="8"/>
      <c r="V10" s="4"/>
      <c r="W10" s="2"/>
      <c r="X10" s="8"/>
      <c r="Y10" s="8"/>
    </row>
    <row r="11" spans="1:25" ht="15" customHeight="1" x14ac:dyDescent="0.25">
      <c r="A11" s="2">
        <v>9</v>
      </c>
      <c r="B11" s="4"/>
      <c r="C11" s="2"/>
      <c r="D11" s="8"/>
      <c r="E11" s="8"/>
      <c r="G11" s="4"/>
      <c r="H11" s="2"/>
      <c r="I11" s="8"/>
      <c r="J11" s="8"/>
      <c r="L11" s="4"/>
      <c r="M11" s="2"/>
      <c r="N11" s="8"/>
      <c r="O11" s="8"/>
      <c r="Q11" s="4"/>
      <c r="R11" s="2"/>
      <c r="S11" s="8"/>
      <c r="T11" s="8"/>
      <c r="V11" s="4"/>
      <c r="W11" s="2"/>
      <c r="X11" s="8"/>
      <c r="Y11" s="8"/>
    </row>
    <row r="12" spans="1:25" ht="15" customHeight="1" x14ac:dyDescent="0.25">
      <c r="A12" s="2">
        <v>10</v>
      </c>
      <c r="B12" s="4"/>
      <c r="C12" s="2"/>
      <c r="D12" s="8"/>
      <c r="E12" s="8"/>
      <c r="G12" s="4"/>
      <c r="H12" s="2"/>
      <c r="I12" s="8"/>
      <c r="J12" s="8"/>
      <c r="L12" s="4"/>
      <c r="M12" s="2"/>
      <c r="N12" s="8"/>
      <c r="O12" s="8"/>
      <c r="Q12" s="4"/>
      <c r="R12" s="2"/>
      <c r="S12" s="8"/>
      <c r="T12" s="8"/>
      <c r="V12" s="4"/>
      <c r="W12" s="2"/>
      <c r="X12" s="8"/>
      <c r="Y12" s="8"/>
    </row>
    <row r="13" spans="1:25" ht="15" customHeight="1" x14ac:dyDescent="0.25">
      <c r="A13" s="2">
        <v>11</v>
      </c>
      <c r="B13" s="4"/>
      <c r="C13" s="2"/>
      <c r="D13" s="8"/>
      <c r="E13" s="8"/>
      <c r="G13" s="4"/>
      <c r="H13" s="2"/>
      <c r="I13" s="8"/>
      <c r="J13" s="8"/>
      <c r="L13" s="4"/>
      <c r="M13" s="2"/>
      <c r="N13" s="8"/>
      <c r="O13" s="8"/>
      <c r="Q13" s="4"/>
      <c r="R13" s="2"/>
      <c r="S13" s="8"/>
      <c r="T13" s="8"/>
      <c r="V13" s="4"/>
      <c r="W13" s="2"/>
      <c r="X13" s="8"/>
      <c r="Y13" s="8"/>
    </row>
    <row r="14" spans="1:25" ht="15" customHeight="1" x14ac:dyDescent="0.25">
      <c r="A14" s="2">
        <v>12</v>
      </c>
      <c r="B14" s="4"/>
      <c r="C14" s="2"/>
      <c r="D14" s="8"/>
      <c r="E14" s="8"/>
      <c r="G14" s="4"/>
      <c r="H14" s="2"/>
      <c r="I14" s="8"/>
      <c r="J14" s="8"/>
      <c r="L14" s="4"/>
      <c r="M14" s="2"/>
      <c r="N14" s="8"/>
      <c r="O14" s="8"/>
      <c r="Q14" s="4"/>
      <c r="R14" s="2"/>
      <c r="S14" s="8"/>
      <c r="T14" s="8"/>
      <c r="V14" s="4"/>
      <c r="W14" s="2"/>
      <c r="X14" s="8"/>
      <c r="Y14" s="8"/>
    </row>
    <row r="15" spans="1:25" ht="15" customHeight="1" x14ac:dyDescent="0.25">
      <c r="A15" s="2">
        <v>13</v>
      </c>
      <c r="B15" s="4"/>
      <c r="C15" s="2"/>
      <c r="D15" s="8"/>
      <c r="E15" s="8"/>
      <c r="G15" s="4"/>
      <c r="H15" s="2"/>
      <c r="I15" s="8"/>
      <c r="J15" s="8"/>
      <c r="L15" s="4"/>
      <c r="M15" s="2"/>
      <c r="N15" s="8"/>
      <c r="O15" s="8"/>
      <c r="Q15" s="4"/>
      <c r="R15" s="2"/>
      <c r="S15" s="8"/>
      <c r="T15" s="8"/>
      <c r="V15" s="4"/>
      <c r="W15" s="2"/>
      <c r="X15" s="8"/>
      <c r="Y15" s="8"/>
    </row>
    <row r="16" spans="1:25" ht="15" customHeight="1" x14ac:dyDescent="0.25">
      <c r="A16" s="2">
        <v>14</v>
      </c>
      <c r="B16" s="4"/>
      <c r="C16" s="2"/>
      <c r="D16" s="8"/>
      <c r="E16" s="8"/>
      <c r="G16" s="4"/>
      <c r="H16" s="2"/>
      <c r="I16" s="8"/>
      <c r="J16" s="8"/>
      <c r="L16" s="4"/>
      <c r="M16" s="2"/>
      <c r="N16" s="8"/>
      <c r="O16" s="8"/>
      <c r="Q16" s="4"/>
      <c r="R16" s="2"/>
      <c r="S16" s="8"/>
      <c r="T16" s="8"/>
      <c r="V16" s="4"/>
      <c r="W16" s="2"/>
      <c r="X16" s="8"/>
      <c r="Y16" s="8"/>
    </row>
    <row r="17" spans="1:25" ht="15" customHeight="1" x14ac:dyDescent="0.25">
      <c r="A17" s="2">
        <v>15</v>
      </c>
      <c r="B17" s="4"/>
      <c r="C17" s="2"/>
      <c r="D17" s="8"/>
      <c r="E17" s="8"/>
      <c r="G17" s="4"/>
      <c r="H17" s="2"/>
      <c r="I17" s="8"/>
      <c r="J17" s="8"/>
      <c r="L17" s="4"/>
      <c r="M17" s="2"/>
      <c r="N17" s="8"/>
      <c r="O17" s="8"/>
      <c r="Q17" s="4"/>
      <c r="R17" s="2"/>
      <c r="S17" s="8"/>
      <c r="T17" s="8"/>
      <c r="V17" s="4"/>
      <c r="W17" s="2"/>
      <c r="X17" s="8"/>
      <c r="Y17" s="8"/>
    </row>
    <row r="18" spans="1:25" ht="15" customHeight="1" x14ac:dyDescent="0.25">
      <c r="A18" s="2">
        <v>16</v>
      </c>
      <c r="B18" s="4"/>
      <c r="C18" s="2"/>
      <c r="D18" s="8"/>
      <c r="E18" s="8"/>
      <c r="G18" s="4"/>
      <c r="H18" s="2"/>
      <c r="I18" s="8"/>
      <c r="J18" s="8"/>
      <c r="L18" s="4"/>
      <c r="M18" s="2"/>
      <c r="N18" s="8"/>
      <c r="O18" s="8"/>
      <c r="Q18" s="4"/>
      <c r="R18" s="2"/>
      <c r="S18" s="8"/>
      <c r="T18" s="8"/>
      <c r="V18" s="4"/>
      <c r="W18" s="2"/>
      <c r="X18" s="8"/>
      <c r="Y18" s="8"/>
    </row>
    <row r="19" spans="1:25" ht="15" customHeight="1" x14ac:dyDescent="0.25">
      <c r="A19" s="2">
        <v>17</v>
      </c>
      <c r="B19" s="4"/>
      <c r="C19" s="2"/>
      <c r="D19" s="8"/>
      <c r="E19" s="8"/>
      <c r="G19" s="4"/>
      <c r="H19" s="2"/>
      <c r="I19" s="8"/>
      <c r="J19" s="8"/>
      <c r="L19" s="4"/>
      <c r="M19" s="2"/>
      <c r="N19" s="8"/>
      <c r="O19" s="8"/>
      <c r="Q19" s="4"/>
      <c r="R19" s="2"/>
      <c r="S19" s="8"/>
      <c r="T19" s="8"/>
      <c r="V19" s="4"/>
      <c r="W19" s="2"/>
      <c r="X19" s="8"/>
      <c r="Y19" s="8"/>
    </row>
    <row r="20" spans="1:25" ht="15" customHeight="1" x14ac:dyDescent="0.25">
      <c r="A20" s="2">
        <v>18</v>
      </c>
      <c r="B20" s="4"/>
      <c r="C20" s="2"/>
      <c r="D20" s="8"/>
      <c r="E20" s="8"/>
      <c r="G20" s="4"/>
      <c r="H20" s="2"/>
      <c r="I20" s="8"/>
      <c r="J20" s="8"/>
      <c r="L20" s="4"/>
      <c r="M20" s="2"/>
      <c r="N20" s="8"/>
      <c r="O20" s="8"/>
      <c r="Q20" s="4"/>
      <c r="R20" s="2"/>
      <c r="S20" s="8"/>
      <c r="T20" s="8"/>
      <c r="V20" s="4"/>
      <c r="W20" s="2"/>
      <c r="X20" s="8"/>
      <c r="Y20" s="8"/>
    </row>
    <row r="21" spans="1:25" ht="15" customHeight="1" x14ac:dyDescent="0.25">
      <c r="A21" s="2">
        <v>19</v>
      </c>
      <c r="B21" s="4"/>
      <c r="C21" s="2"/>
      <c r="D21" s="8"/>
      <c r="E21" s="8"/>
      <c r="G21" s="4"/>
      <c r="H21" s="2"/>
      <c r="I21" s="8"/>
      <c r="J21" s="8"/>
      <c r="L21" s="4"/>
      <c r="M21" s="2"/>
      <c r="N21" s="8"/>
      <c r="O21" s="8"/>
      <c r="Q21" s="4"/>
      <c r="R21" s="2"/>
      <c r="S21" s="8"/>
      <c r="T21" s="8"/>
      <c r="V21" s="4"/>
      <c r="W21" s="2"/>
      <c r="X21" s="8"/>
      <c r="Y21" s="8"/>
    </row>
    <row r="22" spans="1:25" ht="15" customHeight="1" x14ac:dyDescent="0.25">
      <c r="A22" s="2">
        <v>20</v>
      </c>
      <c r="B22" s="4"/>
      <c r="C22" s="2"/>
      <c r="D22" s="8"/>
      <c r="E22" s="8"/>
      <c r="G22" s="4"/>
      <c r="H22" s="2"/>
      <c r="I22" s="8"/>
      <c r="J22" s="8"/>
      <c r="L22" s="4"/>
      <c r="M22" s="2"/>
      <c r="N22" s="8"/>
      <c r="O22" s="8"/>
      <c r="Q22" s="4"/>
      <c r="R22" s="2"/>
      <c r="S22" s="8"/>
      <c r="T22" s="8"/>
      <c r="V22" s="4"/>
      <c r="W22" s="2"/>
      <c r="X22" s="8"/>
      <c r="Y22" s="8"/>
    </row>
    <row r="23" spans="1:25" ht="15" customHeight="1" x14ac:dyDescent="0.25">
      <c r="A23" s="2">
        <v>21</v>
      </c>
      <c r="B23" s="4"/>
      <c r="C23" s="2"/>
      <c r="D23" s="8"/>
      <c r="E23" s="8"/>
      <c r="G23" s="4"/>
      <c r="H23" s="2"/>
      <c r="I23" s="8"/>
      <c r="J23" s="8"/>
      <c r="L23" s="4"/>
      <c r="M23" s="2"/>
      <c r="N23" s="8"/>
      <c r="O23" s="8"/>
      <c r="Q23" s="4"/>
      <c r="R23" s="2"/>
      <c r="S23" s="8"/>
      <c r="T23" s="8"/>
      <c r="V23" s="4"/>
      <c r="W23" s="2"/>
      <c r="X23" s="8"/>
      <c r="Y23" s="8"/>
    </row>
    <row r="24" spans="1:25" ht="15" customHeight="1" x14ac:dyDescent="0.25">
      <c r="A24" s="2">
        <v>22</v>
      </c>
      <c r="B24" s="4"/>
      <c r="C24" s="2"/>
      <c r="D24" s="8"/>
      <c r="E24" s="8"/>
      <c r="G24" s="4"/>
      <c r="H24" s="2"/>
      <c r="I24" s="8"/>
      <c r="J24" s="8"/>
      <c r="L24" s="4"/>
      <c r="M24" s="2"/>
      <c r="N24" s="8"/>
      <c r="O24" s="8"/>
      <c r="Q24" s="4"/>
      <c r="R24" s="2"/>
      <c r="S24" s="8"/>
      <c r="T24" s="8"/>
      <c r="V24" s="4"/>
      <c r="W24" s="2"/>
      <c r="X24" s="8"/>
      <c r="Y24" s="8"/>
    </row>
    <row r="25" spans="1:25" ht="15" customHeight="1" x14ac:dyDescent="0.25">
      <c r="A25" s="2">
        <v>23</v>
      </c>
      <c r="B25" s="4"/>
      <c r="C25" s="2"/>
      <c r="D25" s="8"/>
      <c r="E25" s="8"/>
      <c r="G25" s="4"/>
      <c r="H25" s="2"/>
      <c r="I25" s="8"/>
      <c r="J25" s="8"/>
      <c r="L25" s="4"/>
      <c r="M25" s="2"/>
      <c r="N25" s="8"/>
      <c r="O25" s="8"/>
      <c r="Q25" s="4"/>
      <c r="R25" s="2"/>
      <c r="S25" s="8"/>
      <c r="T25" s="8"/>
      <c r="V25" s="4"/>
      <c r="W25" s="2"/>
      <c r="X25" s="8"/>
      <c r="Y25" s="8"/>
    </row>
    <row r="26" spans="1:25" ht="15" customHeight="1" x14ac:dyDescent="0.25">
      <c r="A26" s="2">
        <v>24</v>
      </c>
      <c r="B26" s="4"/>
      <c r="C26" s="2"/>
      <c r="D26" s="8"/>
      <c r="E26" s="8"/>
      <c r="G26" s="4"/>
      <c r="H26" s="2"/>
      <c r="I26" s="8"/>
      <c r="J26" s="8"/>
      <c r="L26" s="4"/>
      <c r="M26" s="2"/>
      <c r="N26" s="8"/>
      <c r="O26" s="8"/>
      <c r="Q26" s="4"/>
      <c r="R26" s="2"/>
      <c r="S26" s="8"/>
      <c r="T26" s="8"/>
      <c r="V26" s="4"/>
      <c r="W26" s="2"/>
      <c r="X26" s="8"/>
      <c r="Y26" s="8"/>
    </row>
    <row r="27" spans="1:25" ht="15" customHeight="1" x14ac:dyDescent="0.25">
      <c r="A27" s="2">
        <v>25</v>
      </c>
      <c r="B27" s="4"/>
      <c r="C27" s="2"/>
      <c r="D27" s="8"/>
      <c r="E27" s="8"/>
      <c r="G27" s="4"/>
      <c r="H27" s="2"/>
      <c r="I27" s="8"/>
      <c r="J27" s="8"/>
      <c r="L27" s="4"/>
      <c r="M27" s="2"/>
      <c r="N27" s="8"/>
      <c r="O27" s="8"/>
      <c r="Q27" s="4"/>
      <c r="R27" s="2"/>
      <c r="S27" s="8"/>
      <c r="T27" s="8"/>
      <c r="V27" s="4"/>
      <c r="W27" s="2"/>
      <c r="X27" s="8"/>
      <c r="Y27" s="8"/>
    </row>
    <row r="28" spans="1:25" ht="15" customHeight="1" x14ac:dyDescent="0.25">
      <c r="A28" s="2">
        <v>26</v>
      </c>
      <c r="B28" s="4"/>
      <c r="C28" s="2"/>
      <c r="D28" s="8"/>
      <c r="E28" s="8"/>
      <c r="G28" s="4"/>
      <c r="H28" s="2"/>
      <c r="I28" s="8"/>
      <c r="J28" s="8"/>
      <c r="L28" s="4"/>
      <c r="M28" s="2"/>
      <c r="N28" s="8"/>
      <c r="O28" s="8"/>
      <c r="Q28" s="4"/>
      <c r="R28" s="2"/>
      <c r="S28" s="8"/>
      <c r="T28" s="8"/>
      <c r="V28" s="4"/>
      <c r="W28" s="2"/>
      <c r="X28" s="8"/>
      <c r="Y28" s="8"/>
    </row>
    <row r="29" spans="1:25" ht="15" customHeight="1" x14ac:dyDescent="0.25">
      <c r="A29" s="2">
        <v>27</v>
      </c>
      <c r="B29" s="4"/>
      <c r="C29" s="2"/>
      <c r="D29" s="8"/>
      <c r="E29" s="8"/>
      <c r="G29" s="4"/>
      <c r="H29" s="2"/>
      <c r="I29" s="8"/>
      <c r="J29" s="8"/>
      <c r="L29" s="4"/>
      <c r="M29" s="2"/>
      <c r="N29" s="8"/>
      <c r="O29" s="8"/>
      <c r="Q29" s="4"/>
      <c r="R29" s="2"/>
      <c r="S29" s="8"/>
      <c r="T29" s="8"/>
      <c r="V29" s="4"/>
      <c r="W29" s="2"/>
      <c r="X29" s="8"/>
      <c r="Y29" s="8"/>
    </row>
    <row r="30" spans="1:25" ht="15" customHeight="1" x14ac:dyDescent="0.25">
      <c r="A30" s="2">
        <v>28</v>
      </c>
      <c r="B30" s="4"/>
      <c r="C30" s="2"/>
      <c r="D30" s="8"/>
      <c r="E30" s="8"/>
      <c r="G30" s="4"/>
      <c r="H30" s="2"/>
      <c r="I30" s="8"/>
      <c r="J30" s="8"/>
      <c r="L30" s="4"/>
      <c r="M30" s="2"/>
      <c r="N30" s="8"/>
      <c r="O30" s="8"/>
      <c r="Q30" s="4"/>
      <c r="R30" s="2"/>
      <c r="S30" s="8"/>
      <c r="T30" s="8"/>
      <c r="V30" s="4"/>
      <c r="W30" s="2"/>
      <c r="X30" s="8"/>
      <c r="Y30" s="8"/>
    </row>
    <row r="31" spans="1:25" ht="15" customHeight="1" x14ac:dyDescent="0.25">
      <c r="A31" s="2">
        <v>29</v>
      </c>
      <c r="B31" s="4"/>
      <c r="C31" s="2"/>
      <c r="D31" s="8"/>
      <c r="E31" s="8"/>
      <c r="G31" s="4"/>
      <c r="H31" s="2"/>
      <c r="I31" s="8"/>
      <c r="J31" s="8"/>
      <c r="L31" s="4"/>
      <c r="M31" s="2"/>
      <c r="N31" s="8"/>
      <c r="O31" s="8"/>
      <c r="Q31" s="4"/>
      <c r="R31" s="2"/>
      <c r="S31" s="8"/>
      <c r="T31" s="8"/>
      <c r="V31" s="4"/>
      <c r="W31" s="2"/>
      <c r="X31" s="8"/>
      <c r="Y31" s="8"/>
    </row>
    <row r="32" spans="1:25" ht="15" customHeight="1" x14ac:dyDescent="0.25">
      <c r="A32" s="2">
        <v>30</v>
      </c>
      <c r="B32" s="4"/>
      <c r="C32" s="2"/>
      <c r="D32" s="8"/>
      <c r="E32" s="8"/>
      <c r="G32" s="4"/>
      <c r="H32" s="2"/>
      <c r="I32" s="8"/>
      <c r="J32" s="8"/>
      <c r="L32" s="4"/>
      <c r="M32" s="2"/>
      <c r="N32" s="8"/>
      <c r="O32" s="8"/>
      <c r="Q32" s="4"/>
      <c r="R32" s="2"/>
      <c r="S32" s="8"/>
      <c r="T32" s="8"/>
      <c r="V32" s="4"/>
      <c r="W32" s="2"/>
      <c r="X32" s="8"/>
      <c r="Y32" s="8"/>
    </row>
    <row r="33" spans="1:25" ht="15" customHeight="1" x14ac:dyDescent="0.25">
      <c r="A33" s="2">
        <v>31</v>
      </c>
      <c r="B33" s="4"/>
      <c r="C33" s="2"/>
      <c r="D33" s="8"/>
      <c r="E33" s="8"/>
      <c r="G33" s="4"/>
      <c r="H33" s="2"/>
      <c r="I33" s="8"/>
      <c r="J33" s="8"/>
      <c r="L33" s="4"/>
      <c r="M33" s="2"/>
      <c r="N33" s="8"/>
      <c r="O33" s="8"/>
      <c r="Q33" s="4"/>
      <c r="R33" s="2"/>
      <c r="S33" s="8"/>
      <c r="T33" s="8"/>
      <c r="V33" s="4"/>
      <c r="W33" s="2"/>
      <c r="X33" s="8"/>
      <c r="Y33" s="8"/>
    </row>
    <row r="34" spans="1:25" ht="15" customHeight="1" x14ac:dyDescent="0.25">
      <c r="A34" s="2">
        <v>32</v>
      </c>
      <c r="B34" s="4"/>
      <c r="C34" s="2"/>
      <c r="D34" s="8"/>
      <c r="E34" s="8"/>
      <c r="G34" s="4"/>
      <c r="H34" s="2"/>
      <c r="I34" s="8"/>
      <c r="J34" s="8"/>
      <c r="L34" s="4"/>
      <c r="M34" s="2"/>
      <c r="N34" s="8"/>
      <c r="O34" s="8"/>
      <c r="Q34" s="4"/>
      <c r="R34" s="2"/>
      <c r="S34" s="8"/>
      <c r="T34" s="8"/>
      <c r="V34" s="4"/>
      <c r="W34" s="2"/>
      <c r="X34" s="8"/>
      <c r="Y34" s="8"/>
    </row>
    <row r="35" spans="1:25" ht="15" customHeight="1" x14ac:dyDescent="0.25">
      <c r="A35" s="2">
        <v>33</v>
      </c>
      <c r="B35" s="4"/>
      <c r="C35" s="2"/>
      <c r="D35" s="8"/>
      <c r="E35" s="8"/>
      <c r="G35" s="4"/>
      <c r="H35" s="2"/>
      <c r="I35" s="8"/>
      <c r="J35" s="8"/>
      <c r="L35" s="4"/>
      <c r="M35" s="2"/>
      <c r="N35" s="8"/>
      <c r="O35" s="8"/>
      <c r="Q35" s="4"/>
      <c r="R35" s="2"/>
      <c r="S35" s="8"/>
      <c r="T35" s="8"/>
      <c r="V35" s="4"/>
      <c r="W35" s="2"/>
      <c r="X35" s="8"/>
      <c r="Y35" s="8"/>
    </row>
    <row r="36" spans="1:25" ht="15" customHeight="1" x14ac:dyDescent="0.25">
      <c r="A36" s="2">
        <v>34</v>
      </c>
      <c r="B36" s="4"/>
      <c r="C36" s="2"/>
      <c r="D36" s="8"/>
      <c r="E36" s="8"/>
      <c r="G36" s="4"/>
      <c r="H36" s="2"/>
      <c r="I36" s="8"/>
      <c r="J36" s="8"/>
      <c r="L36" s="4"/>
      <c r="M36" s="2"/>
      <c r="N36" s="8"/>
      <c r="O36" s="8"/>
      <c r="Q36" s="4"/>
      <c r="R36" s="2"/>
      <c r="S36" s="8"/>
      <c r="T36" s="8"/>
      <c r="V36" s="4"/>
      <c r="W36" s="2"/>
      <c r="X36" s="8"/>
      <c r="Y36" s="8"/>
    </row>
    <row r="37" spans="1:25" ht="15" customHeight="1" x14ac:dyDescent="0.25">
      <c r="A37" s="2">
        <v>35</v>
      </c>
      <c r="B37" s="4"/>
      <c r="C37" s="2"/>
      <c r="D37" s="8"/>
      <c r="E37" s="8"/>
      <c r="G37" s="4"/>
      <c r="H37" s="2"/>
      <c r="I37" s="8"/>
      <c r="J37" s="8"/>
      <c r="L37" s="4"/>
      <c r="M37" s="2"/>
      <c r="N37" s="8"/>
      <c r="O37" s="8"/>
      <c r="Q37" s="4"/>
      <c r="R37" s="2"/>
      <c r="S37" s="8"/>
      <c r="T37" s="8"/>
      <c r="V37" s="4"/>
      <c r="W37" s="2"/>
      <c r="X37" s="8"/>
      <c r="Y37" s="8"/>
    </row>
    <row r="38" spans="1:25" ht="15" customHeight="1" x14ac:dyDescent="0.25">
      <c r="A38" s="2">
        <v>36</v>
      </c>
      <c r="B38" s="4"/>
      <c r="C38" s="2"/>
      <c r="D38" s="8"/>
      <c r="E38" s="8"/>
      <c r="G38" s="4"/>
      <c r="H38" s="2"/>
      <c r="I38" s="8"/>
      <c r="J38" s="8"/>
      <c r="L38" s="4"/>
      <c r="M38" s="2"/>
      <c r="N38" s="8"/>
      <c r="O38" s="8"/>
      <c r="Q38" s="4"/>
      <c r="R38" s="2"/>
      <c r="S38" s="8"/>
      <c r="T38" s="8"/>
      <c r="V38" s="4"/>
      <c r="W38" s="2"/>
      <c r="X38" s="8"/>
      <c r="Y38" s="8"/>
    </row>
    <row r="39" spans="1:25" ht="15" customHeight="1" x14ac:dyDescent="0.25">
      <c r="A39" s="2">
        <v>37</v>
      </c>
      <c r="B39" s="4"/>
      <c r="C39" s="2"/>
      <c r="D39" s="8"/>
      <c r="E39" s="8"/>
      <c r="G39" s="4"/>
      <c r="H39" s="2"/>
      <c r="I39" s="8"/>
      <c r="J39" s="8"/>
      <c r="L39" s="4"/>
      <c r="M39" s="2"/>
      <c r="N39" s="8"/>
      <c r="O39" s="8"/>
      <c r="Q39" s="4"/>
      <c r="R39" s="2"/>
      <c r="S39" s="8"/>
      <c r="T39" s="8"/>
      <c r="V39" s="4"/>
      <c r="W39" s="2"/>
      <c r="X39" s="8"/>
      <c r="Y39" s="8"/>
    </row>
  </sheetData>
  <phoneticPr fontId="2"/>
  <dataValidations count="2">
    <dataValidation type="list" allowBlank="1" showInputMessage="1" showErrorMessage="1" errorTitle="入力エラー" error="1か2を入力してください" promptTitle="性別" prompt="1=男子 / 2=女子" sqref="C3:C39 H3:H39 M3:M39 R3:R39 W3:W39" xr:uid="{00000000-0002-0000-0000-000000000000}">
      <formula1>"1,2"</formula1>
      <formula2>0</formula2>
    </dataValidation>
    <dataValidation type="list" allowBlank="1" showInputMessage="1" showErrorMessage="1" errorTitle="入力エラー" error="赤か白を入力してください" promptTitle="赤or白" prompt="赤 / 白" sqref="E3:E39 J3:J39 O3:O39 T3:T39 Y3:Y39" xr:uid="{00000000-0002-0000-0000-000001000000}">
      <formula1>"赤,白"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8"/>
  <sheetViews>
    <sheetView workbookViewId="0">
      <selection activeCell="I9" sqref="I9"/>
    </sheetView>
  </sheetViews>
  <sheetFormatPr defaultRowHeight="13.5" x14ac:dyDescent="0.15"/>
  <cols>
    <col min="5" max="5" width="1.5" style="11" customWidth="1"/>
    <col min="9" max="9" width="5.25" style="11" customWidth="1"/>
    <col min="14" max="14" width="1" style="11" customWidth="1"/>
  </cols>
  <sheetData>
    <row r="1" spans="1:19" x14ac:dyDescent="0.15">
      <c r="A1" t="s">
        <v>10</v>
      </c>
      <c r="J1" t="s">
        <v>11</v>
      </c>
      <c r="S1" s="12" t="str">
        <f>IF(計算用!$Q$6&gt;0,"※名前はあるのに性別・タイム・赤白のどれかが未入力で、表に出ていない人が"&amp;計算用!$Q$6&amp;"人います","")</f>
        <v/>
      </c>
    </row>
    <row r="2" spans="1:19" x14ac:dyDescent="0.15">
      <c r="B2" t="s">
        <v>12</v>
      </c>
      <c r="F2" t="s">
        <v>13</v>
      </c>
      <c r="K2" t="s">
        <v>12</v>
      </c>
      <c r="O2" t="s">
        <v>13</v>
      </c>
    </row>
    <row r="3" spans="1:19" x14ac:dyDescent="0.15">
      <c r="A3" s="9"/>
      <c r="B3" s="9" t="s">
        <v>14</v>
      </c>
      <c r="C3" s="9" t="s">
        <v>15</v>
      </c>
      <c r="D3" s="9" t="s">
        <v>16</v>
      </c>
      <c r="E3" s="10"/>
      <c r="F3" s="9" t="s">
        <v>14</v>
      </c>
      <c r="G3" s="9" t="s">
        <v>15</v>
      </c>
      <c r="H3" s="9" t="s">
        <v>16</v>
      </c>
      <c r="J3" s="9"/>
      <c r="K3" s="9" t="s">
        <v>14</v>
      </c>
      <c r="L3" s="9" t="s">
        <v>15</v>
      </c>
      <c r="M3" s="9" t="s">
        <v>16</v>
      </c>
      <c r="N3" s="10"/>
      <c r="O3" s="9" t="s">
        <v>14</v>
      </c>
      <c r="P3" s="9" t="s">
        <v>15</v>
      </c>
      <c r="Q3" s="9" t="s">
        <v>16</v>
      </c>
    </row>
    <row r="4" spans="1:19" x14ac:dyDescent="0.15">
      <c r="A4" s="13" t="str">
        <f>IF(ROW()-3&lt;=MAX(計算用!$Q$2,計算用!$Q$3),ROW()-3,"")</f>
        <v/>
      </c>
      <c r="B4" s="13" t="str">
        <f>IFERROR(INDEX(計算用!$D$2:$D$186,MATCH("男赤"&amp;$A4,計算用!$L$2:$L$186,0)),"")</f>
        <v/>
      </c>
      <c r="C4" s="13" t="str">
        <f>IFERROR(INDEX(計算用!$M$2:$M$186,MATCH("男赤"&amp;$A4,計算用!$L$2:$L$186,0)),"")</f>
        <v/>
      </c>
      <c r="D4" s="14" t="str">
        <f>IFERROR(INDEX(計算用!$G$2:$G$186,MATCH("男赤"&amp;$A4,計算用!$L$2:$L$186,0)),"")</f>
        <v/>
      </c>
      <c r="E4" s="13"/>
      <c r="F4" s="13" t="str">
        <f>IFERROR(INDEX(計算用!$D$2:$D$186,MATCH("男白"&amp;$A4,計算用!$L$2:$L$186,0)),"")</f>
        <v/>
      </c>
      <c r="G4" s="13" t="str">
        <f>IFERROR(INDEX(計算用!$M$2:$M$186,MATCH("男白"&amp;$A4,計算用!$L$2:$L$186,0)),"")</f>
        <v/>
      </c>
      <c r="H4" s="14" t="str">
        <f>IFERROR(INDEX(計算用!$G$2:$G$186,MATCH("男白"&amp;$A4,計算用!$L$2:$L$186,0)),"")</f>
        <v/>
      </c>
      <c r="I4" s="15"/>
      <c r="J4" s="13" t="str">
        <f>IF(ROW()-3&lt;=MAX(計算用!$Q$4,計算用!$Q$5),ROW()-3,"")</f>
        <v/>
      </c>
      <c r="K4" s="13" t="str">
        <f>IFERROR(INDEX(計算用!$D$2:$D$186,MATCH("女赤"&amp;$J4,計算用!$L$2:$L$186,0)),"")</f>
        <v/>
      </c>
      <c r="L4" s="13" t="str">
        <f>IFERROR(INDEX(計算用!$M$2:$M$186,MATCH("女赤"&amp;$J4,計算用!$L$2:$L$186,0)),"")</f>
        <v/>
      </c>
      <c r="M4" s="14" t="str">
        <f>IFERROR(INDEX(計算用!$G$2:$G$186,MATCH("女赤"&amp;$J4,計算用!$L$2:$L$186,0)),"")</f>
        <v/>
      </c>
      <c r="N4" s="13"/>
      <c r="O4" s="13" t="str">
        <f>IFERROR(INDEX(計算用!$D$2:$D$186,MATCH("女白"&amp;$J4,計算用!$L$2:$L$186,0)),"")</f>
        <v/>
      </c>
      <c r="P4" s="13" t="str">
        <f>IFERROR(INDEX(計算用!$M$2:$M$186,MATCH("女白"&amp;$J4,計算用!$L$2:$L$186,0)),"")</f>
        <v/>
      </c>
      <c r="Q4" s="14" t="str">
        <f>IFERROR(INDEX(計算用!$G$2:$G$186,MATCH("女白"&amp;$J4,計算用!$L$2:$L$186,0)),"")</f>
        <v/>
      </c>
    </row>
    <row r="5" spans="1:19" x14ac:dyDescent="0.15">
      <c r="A5" s="13" t="str">
        <f>IF(ROW()-3&lt;=MAX(計算用!$Q$2,計算用!$Q$3),ROW()-3,"")</f>
        <v/>
      </c>
      <c r="B5" s="13" t="str">
        <f>IFERROR(INDEX(計算用!$D$2:$D$186,MATCH("男赤"&amp;$A5,計算用!$L$2:$L$186,0)),"")</f>
        <v/>
      </c>
      <c r="C5" s="13" t="str">
        <f>IFERROR(INDEX(計算用!$M$2:$M$186,MATCH("男赤"&amp;$A5,計算用!$L$2:$L$186,0)),"")</f>
        <v/>
      </c>
      <c r="D5" s="14" t="str">
        <f>IFERROR(INDEX(計算用!$G$2:$G$186,MATCH("男赤"&amp;$A5,計算用!$L$2:$L$186,0)),"")</f>
        <v/>
      </c>
      <c r="E5" s="13"/>
      <c r="F5" s="13" t="str">
        <f>IFERROR(INDEX(計算用!$D$2:$D$186,MATCH("男白"&amp;$A5,計算用!$L$2:$L$186,0)),"")</f>
        <v/>
      </c>
      <c r="G5" s="13" t="str">
        <f>IFERROR(INDEX(計算用!$M$2:$M$186,MATCH("男白"&amp;$A5,計算用!$L$2:$L$186,0)),"")</f>
        <v/>
      </c>
      <c r="H5" s="14" t="str">
        <f>IFERROR(INDEX(計算用!$G$2:$G$186,MATCH("男白"&amp;$A5,計算用!$L$2:$L$186,0)),"")</f>
        <v/>
      </c>
      <c r="I5" s="15"/>
      <c r="J5" s="13" t="str">
        <f>IF(ROW()-3&lt;=MAX(計算用!$Q$4,計算用!$Q$5),ROW()-3,"")</f>
        <v/>
      </c>
      <c r="K5" s="13" t="str">
        <f>IFERROR(INDEX(計算用!$D$2:$D$186,MATCH("女赤"&amp;$J5,計算用!$L$2:$L$186,0)),"")</f>
        <v/>
      </c>
      <c r="L5" s="13" t="str">
        <f>IFERROR(INDEX(計算用!$M$2:$M$186,MATCH("女赤"&amp;$J5,計算用!$L$2:$L$186,0)),"")</f>
        <v/>
      </c>
      <c r="M5" s="14" t="str">
        <f>IFERROR(INDEX(計算用!$G$2:$G$186,MATCH("女赤"&amp;$J5,計算用!$L$2:$L$186,0)),"")</f>
        <v/>
      </c>
      <c r="N5" s="13"/>
      <c r="O5" s="13" t="str">
        <f>IFERROR(INDEX(計算用!$D$2:$D$186,MATCH("女白"&amp;$J5,計算用!$L$2:$L$186,0)),"")</f>
        <v/>
      </c>
      <c r="P5" s="13" t="str">
        <f>IFERROR(INDEX(計算用!$M$2:$M$186,MATCH("女白"&amp;$J5,計算用!$L$2:$L$186,0)),"")</f>
        <v/>
      </c>
      <c r="Q5" s="14" t="str">
        <f>IFERROR(INDEX(計算用!$G$2:$G$186,MATCH("女白"&amp;$J5,計算用!$L$2:$L$186,0)),"")</f>
        <v/>
      </c>
    </row>
    <row r="6" spans="1:19" x14ac:dyDescent="0.15">
      <c r="A6" s="15" t="str">
        <f>IF(ROW()-3&lt;=MAX(計算用!$Q$2,計算用!$Q$3),ROW()-3,"")</f>
        <v/>
      </c>
      <c r="B6" s="15" t="str">
        <f>IFERROR(INDEX(計算用!$D$2:$D$186,MATCH("男赤"&amp;$A6,計算用!$L$2:$L$186,0)),"")</f>
        <v/>
      </c>
      <c r="C6" s="15" t="str">
        <f>IFERROR(INDEX(計算用!$M$2:$M$186,MATCH("男赤"&amp;$A6,計算用!$L$2:$L$186,0)),"")</f>
        <v/>
      </c>
      <c r="D6" s="16" t="str">
        <f>IFERROR(INDEX(計算用!$G$2:$G$186,MATCH("男赤"&amp;$A6,計算用!$L$2:$L$186,0)),"")</f>
        <v/>
      </c>
      <c r="E6" s="15"/>
      <c r="F6" s="15" t="str">
        <f>IFERROR(INDEX(計算用!$D$2:$D$186,MATCH("男白"&amp;$A6,計算用!$L$2:$L$186,0)),"")</f>
        <v/>
      </c>
      <c r="G6" s="15" t="str">
        <f>IFERROR(INDEX(計算用!$M$2:$M$186,MATCH("男白"&amp;$A6,計算用!$L$2:$L$186,0)),"")</f>
        <v/>
      </c>
      <c r="H6" s="16" t="str">
        <f>IFERROR(INDEX(計算用!$G$2:$G$186,MATCH("男白"&amp;$A6,計算用!$L$2:$L$186,0)),"")</f>
        <v/>
      </c>
      <c r="I6" s="15"/>
      <c r="J6" s="15" t="str">
        <f>IF(ROW()-3&lt;=MAX(計算用!$Q$4,計算用!$Q$5),ROW()-3,"")</f>
        <v/>
      </c>
      <c r="K6" s="15" t="str">
        <f>IFERROR(INDEX(計算用!$D$2:$D$186,MATCH("女赤"&amp;$J6,計算用!$L$2:$L$186,0)),"")</f>
        <v/>
      </c>
      <c r="L6" s="15" t="str">
        <f>IFERROR(INDEX(計算用!$M$2:$M$186,MATCH("女赤"&amp;$J6,計算用!$L$2:$L$186,0)),"")</f>
        <v/>
      </c>
      <c r="M6" s="16" t="str">
        <f>IFERROR(INDEX(計算用!$G$2:$G$186,MATCH("女赤"&amp;$J6,計算用!$L$2:$L$186,0)),"")</f>
        <v/>
      </c>
      <c r="N6" s="15"/>
      <c r="O6" s="15" t="str">
        <f>IFERROR(INDEX(計算用!$D$2:$D$186,MATCH("女白"&amp;$J6,計算用!$L$2:$L$186,0)),"")</f>
        <v/>
      </c>
      <c r="P6" s="15" t="str">
        <f>IFERROR(INDEX(計算用!$M$2:$M$186,MATCH("女白"&amp;$J6,計算用!$L$2:$L$186,0)),"")</f>
        <v/>
      </c>
      <c r="Q6" s="16" t="str">
        <f>IFERROR(INDEX(計算用!$G$2:$G$186,MATCH("女白"&amp;$J6,計算用!$L$2:$L$186,0)),"")</f>
        <v/>
      </c>
    </row>
    <row r="7" spans="1:19" x14ac:dyDescent="0.15">
      <c r="A7" s="15" t="str">
        <f>IF(ROW()-3&lt;=MAX(計算用!$Q$2,計算用!$Q$3),ROW()-3,"")</f>
        <v/>
      </c>
      <c r="B7" s="15" t="str">
        <f>IFERROR(INDEX(計算用!$D$2:$D$186,MATCH("男赤"&amp;$A7,計算用!$L$2:$L$186,0)),"")</f>
        <v/>
      </c>
      <c r="C7" s="15" t="str">
        <f>IFERROR(INDEX(計算用!$M$2:$M$186,MATCH("男赤"&amp;$A7,計算用!$L$2:$L$186,0)),"")</f>
        <v/>
      </c>
      <c r="D7" s="16" t="str">
        <f>IFERROR(INDEX(計算用!$G$2:$G$186,MATCH("男赤"&amp;$A7,計算用!$L$2:$L$186,0)),"")</f>
        <v/>
      </c>
      <c r="E7" s="15"/>
      <c r="F7" s="15" t="str">
        <f>IFERROR(INDEX(計算用!$D$2:$D$186,MATCH("男白"&amp;$A7,計算用!$L$2:$L$186,0)),"")</f>
        <v/>
      </c>
      <c r="G7" s="15" t="str">
        <f>IFERROR(INDEX(計算用!$M$2:$M$186,MATCH("男白"&amp;$A7,計算用!$L$2:$L$186,0)),"")</f>
        <v/>
      </c>
      <c r="H7" s="16" t="str">
        <f>IFERROR(INDEX(計算用!$G$2:$G$186,MATCH("男白"&amp;$A7,計算用!$L$2:$L$186,0)),"")</f>
        <v/>
      </c>
      <c r="I7" s="15"/>
      <c r="J7" s="15" t="str">
        <f>IF(ROW()-3&lt;=MAX(計算用!$Q$4,計算用!$Q$5),ROW()-3,"")</f>
        <v/>
      </c>
      <c r="K7" s="15" t="str">
        <f>IFERROR(INDEX(計算用!$D$2:$D$186,MATCH("女赤"&amp;$J7,計算用!$L$2:$L$186,0)),"")</f>
        <v/>
      </c>
      <c r="L7" s="15" t="str">
        <f>IFERROR(INDEX(計算用!$M$2:$M$186,MATCH("女赤"&amp;$J7,計算用!$L$2:$L$186,0)),"")</f>
        <v/>
      </c>
      <c r="M7" s="16" t="str">
        <f>IFERROR(INDEX(計算用!$G$2:$G$186,MATCH("女赤"&amp;$J7,計算用!$L$2:$L$186,0)),"")</f>
        <v/>
      </c>
      <c r="N7" s="15"/>
      <c r="O7" s="15" t="str">
        <f>IFERROR(INDEX(計算用!$D$2:$D$186,MATCH("女白"&amp;$J7,計算用!$L$2:$L$186,0)),"")</f>
        <v/>
      </c>
      <c r="P7" s="15" t="str">
        <f>IFERROR(INDEX(計算用!$M$2:$M$186,MATCH("女白"&amp;$J7,計算用!$L$2:$L$186,0)),"")</f>
        <v/>
      </c>
      <c r="Q7" s="16" t="str">
        <f>IFERROR(INDEX(計算用!$G$2:$G$186,MATCH("女白"&amp;$J7,計算用!$L$2:$L$186,0)),"")</f>
        <v/>
      </c>
    </row>
    <row r="8" spans="1:19" x14ac:dyDescent="0.15">
      <c r="A8" s="15" t="str">
        <f>IF(ROW()-3&lt;=MAX(計算用!$Q$2,計算用!$Q$3),ROW()-3,"")</f>
        <v/>
      </c>
      <c r="B8" s="15" t="str">
        <f>IFERROR(INDEX(計算用!$D$2:$D$186,MATCH("男赤"&amp;$A8,計算用!$L$2:$L$186,0)),"")</f>
        <v/>
      </c>
      <c r="C8" s="15" t="str">
        <f>IFERROR(INDEX(計算用!$M$2:$M$186,MATCH("男赤"&amp;$A8,計算用!$L$2:$L$186,0)),"")</f>
        <v/>
      </c>
      <c r="D8" s="16" t="str">
        <f>IFERROR(INDEX(計算用!$G$2:$G$186,MATCH("男赤"&amp;$A8,計算用!$L$2:$L$186,0)),"")</f>
        <v/>
      </c>
      <c r="E8" s="15"/>
      <c r="F8" s="15" t="str">
        <f>IFERROR(INDEX(計算用!$D$2:$D$186,MATCH("男白"&amp;$A8,計算用!$L$2:$L$186,0)),"")</f>
        <v/>
      </c>
      <c r="G8" s="15" t="str">
        <f>IFERROR(INDEX(計算用!$M$2:$M$186,MATCH("男白"&amp;$A8,計算用!$L$2:$L$186,0)),"")</f>
        <v/>
      </c>
      <c r="H8" s="16" t="str">
        <f>IFERROR(INDEX(計算用!$G$2:$G$186,MATCH("男白"&amp;$A8,計算用!$L$2:$L$186,0)),"")</f>
        <v/>
      </c>
      <c r="I8" s="15"/>
      <c r="J8" s="15" t="str">
        <f>IF(ROW()-3&lt;=MAX(計算用!$Q$4,計算用!$Q$5),ROW()-3,"")</f>
        <v/>
      </c>
      <c r="K8" s="15" t="str">
        <f>IFERROR(INDEX(計算用!$D$2:$D$186,MATCH("女赤"&amp;$J8,計算用!$L$2:$L$186,0)),"")</f>
        <v/>
      </c>
      <c r="L8" s="15" t="str">
        <f>IFERROR(INDEX(計算用!$M$2:$M$186,MATCH("女赤"&amp;$J8,計算用!$L$2:$L$186,0)),"")</f>
        <v/>
      </c>
      <c r="M8" s="16" t="str">
        <f>IFERROR(INDEX(計算用!$G$2:$G$186,MATCH("女赤"&amp;$J8,計算用!$L$2:$L$186,0)),"")</f>
        <v/>
      </c>
      <c r="N8" s="15"/>
      <c r="O8" s="15" t="str">
        <f>IFERROR(INDEX(計算用!$D$2:$D$186,MATCH("女白"&amp;$J8,計算用!$L$2:$L$186,0)),"")</f>
        <v/>
      </c>
      <c r="P8" s="15" t="str">
        <f>IFERROR(INDEX(計算用!$M$2:$M$186,MATCH("女白"&amp;$J8,計算用!$L$2:$L$186,0)),"")</f>
        <v/>
      </c>
      <c r="Q8" s="16" t="str">
        <f>IFERROR(INDEX(計算用!$G$2:$G$186,MATCH("女白"&amp;$J8,計算用!$L$2:$L$186,0)),"")</f>
        <v/>
      </c>
    </row>
    <row r="9" spans="1:19" x14ac:dyDescent="0.15">
      <c r="A9" s="15" t="str">
        <f>IF(ROW()-3&lt;=MAX(計算用!$Q$2,計算用!$Q$3),ROW()-3,"")</f>
        <v/>
      </c>
      <c r="B9" s="15" t="str">
        <f>IFERROR(INDEX(計算用!$D$2:$D$186,MATCH("男赤"&amp;$A9,計算用!$L$2:$L$186,0)),"")</f>
        <v/>
      </c>
      <c r="C9" s="15" t="str">
        <f>IFERROR(INDEX(計算用!$M$2:$M$186,MATCH("男赤"&amp;$A9,計算用!$L$2:$L$186,0)),"")</f>
        <v/>
      </c>
      <c r="D9" s="16" t="str">
        <f>IFERROR(INDEX(計算用!$G$2:$G$186,MATCH("男赤"&amp;$A9,計算用!$L$2:$L$186,0)),"")</f>
        <v/>
      </c>
      <c r="E9" s="15"/>
      <c r="F9" s="15" t="str">
        <f>IFERROR(INDEX(計算用!$D$2:$D$186,MATCH("男白"&amp;$A9,計算用!$L$2:$L$186,0)),"")</f>
        <v/>
      </c>
      <c r="G9" s="15" t="str">
        <f>IFERROR(INDEX(計算用!$M$2:$M$186,MATCH("男白"&amp;$A9,計算用!$L$2:$L$186,0)),"")</f>
        <v/>
      </c>
      <c r="H9" s="16" t="str">
        <f>IFERROR(INDEX(計算用!$G$2:$G$186,MATCH("男白"&amp;$A9,計算用!$L$2:$L$186,0)),"")</f>
        <v/>
      </c>
      <c r="I9" s="15"/>
      <c r="J9" s="15" t="str">
        <f>IF(ROW()-3&lt;=MAX(計算用!$Q$4,計算用!$Q$5),ROW()-3,"")</f>
        <v/>
      </c>
      <c r="K9" s="15" t="str">
        <f>IFERROR(INDEX(計算用!$D$2:$D$186,MATCH("女赤"&amp;$J9,計算用!$L$2:$L$186,0)),"")</f>
        <v/>
      </c>
      <c r="L9" s="15" t="str">
        <f>IFERROR(INDEX(計算用!$M$2:$M$186,MATCH("女赤"&amp;$J9,計算用!$L$2:$L$186,0)),"")</f>
        <v/>
      </c>
      <c r="M9" s="16" t="str">
        <f>IFERROR(INDEX(計算用!$G$2:$G$186,MATCH("女赤"&amp;$J9,計算用!$L$2:$L$186,0)),"")</f>
        <v/>
      </c>
      <c r="N9" s="15"/>
      <c r="O9" s="15" t="str">
        <f>IFERROR(INDEX(計算用!$D$2:$D$186,MATCH("女白"&amp;$J9,計算用!$L$2:$L$186,0)),"")</f>
        <v/>
      </c>
      <c r="P9" s="15" t="str">
        <f>IFERROR(INDEX(計算用!$M$2:$M$186,MATCH("女白"&amp;$J9,計算用!$L$2:$L$186,0)),"")</f>
        <v/>
      </c>
      <c r="Q9" s="16" t="str">
        <f>IFERROR(INDEX(計算用!$G$2:$G$186,MATCH("女白"&amp;$J9,計算用!$L$2:$L$186,0)),"")</f>
        <v/>
      </c>
    </row>
    <row r="10" spans="1:19" x14ac:dyDescent="0.15">
      <c r="A10" s="15" t="str">
        <f>IF(ROW()-3&lt;=MAX(計算用!$Q$2,計算用!$Q$3),ROW()-3,"")</f>
        <v/>
      </c>
      <c r="B10" s="15" t="str">
        <f>IFERROR(INDEX(計算用!$D$2:$D$186,MATCH("男赤"&amp;$A10,計算用!$L$2:$L$186,0)),"")</f>
        <v/>
      </c>
      <c r="C10" s="15" t="str">
        <f>IFERROR(INDEX(計算用!$M$2:$M$186,MATCH("男赤"&amp;$A10,計算用!$L$2:$L$186,0)),"")</f>
        <v/>
      </c>
      <c r="D10" s="16" t="str">
        <f>IFERROR(INDEX(計算用!$G$2:$G$186,MATCH("男赤"&amp;$A10,計算用!$L$2:$L$186,0)),"")</f>
        <v/>
      </c>
      <c r="E10" s="15"/>
      <c r="F10" s="15" t="str">
        <f>IFERROR(INDEX(計算用!$D$2:$D$186,MATCH("男白"&amp;$A10,計算用!$L$2:$L$186,0)),"")</f>
        <v/>
      </c>
      <c r="G10" s="15" t="str">
        <f>IFERROR(INDEX(計算用!$M$2:$M$186,MATCH("男白"&amp;$A10,計算用!$L$2:$L$186,0)),"")</f>
        <v/>
      </c>
      <c r="H10" s="16" t="str">
        <f>IFERROR(INDEX(計算用!$G$2:$G$186,MATCH("男白"&amp;$A10,計算用!$L$2:$L$186,0)),"")</f>
        <v/>
      </c>
      <c r="I10" s="15"/>
      <c r="J10" s="15" t="str">
        <f>IF(ROW()-3&lt;=MAX(計算用!$Q$4,計算用!$Q$5),ROW()-3,"")</f>
        <v/>
      </c>
      <c r="K10" s="15" t="str">
        <f>IFERROR(INDEX(計算用!$D$2:$D$186,MATCH("女赤"&amp;$J10,計算用!$L$2:$L$186,0)),"")</f>
        <v/>
      </c>
      <c r="L10" s="15" t="str">
        <f>IFERROR(INDEX(計算用!$M$2:$M$186,MATCH("女赤"&amp;$J10,計算用!$L$2:$L$186,0)),"")</f>
        <v/>
      </c>
      <c r="M10" s="16" t="str">
        <f>IFERROR(INDEX(計算用!$G$2:$G$186,MATCH("女赤"&amp;$J10,計算用!$L$2:$L$186,0)),"")</f>
        <v/>
      </c>
      <c r="N10" s="15"/>
      <c r="O10" s="15" t="str">
        <f>IFERROR(INDEX(計算用!$D$2:$D$186,MATCH("女白"&amp;$J10,計算用!$L$2:$L$186,0)),"")</f>
        <v/>
      </c>
      <c r="P10" s="15" t="str">
        <f>IFERROR(INDEX(計算用!$M$2:$M$186,MATCH("女白"&amp;$J10,計算用!$L$2:$L$186,0)),"")</f>
        <v/>
      </c>
      <c r="Q10" s="16" t="str">
        <f>IFERROR(INDEX(計算用!$G$2:$G$186,MATCH("女白"&amp;$J10,計算用!$L$2:$L$186,0)),"")</f>
        <v/>
      </c>
    </row>
    <row r="11" spans="1:19" x14ac:dyDescent="0.15">
      <c r="A11" s="15" t="str">
        <f>IF(ROW()-3&lt;=MAX(計算用!$Q$2,計算用!$Q$3),ROW()-3,"")</f>
        <v/>
      </c>
      <c r="B11" s="15" t="str">
        <f>IFERROR(INDEX(計算用!$D$2:$D$186,MATCH("男赤"&amp;$A11,計算用!$L$2:$L$186,0)),"")</f>
        <v/>
      </c>
      <c r="C11" s="15" t="str">
        <f>IFERROR(INDEX(計算用!$M$2:$M$186,MATCH("男赤"&amp;$A11,計算用!$L$2:$L$186,0)),"")</f>
        <v/>
      </c>
      <c r="D11" s="16" t="str">
        <f>IFERROR(INDEX(計算用!$G$2:$G$186,MATCH("男赤"&amp;$A11,計算用!$L$2:$L$186,0)),"")</f>
        <v/>
      </c>
      <c r="E11" s="15"/>
      <c r="F11" s="15" t="str">
        <f>IFERROR(INDEX(計算用!$D$2:$D$186,MATCH("男白"&amp;$A11,計算用!$L$2:$L$186,0)),"")</f>
        <v/>
      </c>
      <c r="G11" s="15" t="str">
        <f>IFERROR(INDEX(計算用!$M$2:$M$186,MATCH("男白"&amp;$A11,計算用!$L$2:$L$186,0)),"")</f>
        <v/>
      </c>
      <c r="H11" s="16" t="str">
        <f>IFERROR(INDEX(計算用!$G$2:$G$186,MATCH("男白"&amp;$A11,計算用!$L$2:$L$186,0)),"")</f>
        <v/>
      </c>
      <c r="I11" s="15"/>
      <c r="J11" s="15" t="str">
        <f>IF(ROW()-3&lt;=MAX(計算用!$Q$4,計算用!$Q$5),ROW()-3,"")</f>
        <v/>
      </c>
      <c r="K11" s="15" t="str">
        <f>IFERROR(INDEX(計算用!$D$2:$D$186,MATCH("女赤"&amp;$J11,計算用!$L$2:$L$186,0)),"")</f>
        <v/>
      </c>
      <c r="L11" s="15" t="str">
        <f>IFERROR(INDEX(計算用!$M$2:$M$186,MATCH("女赤"&amp;$J11,計算用!$L$2:$L$186,0)),"")</f>
        <v/>
      </c>
      <c r="M11" s="16" t="str">
        <f>IFERROR(INDEX(計算用!$G$2:$G$186,MATCH("女赤"&amp;$J11,計算用!$L$2:$L$186,0)),"")</f>
        <v/>
      </c>
      <c r="N11" s="15"/>
      <c r="O11" s="15" t="str">
        <f>IFERROR(INDEX(計算用!$D$2:$D$186,MATCH("女白"&amp;$J11,計算用!$L$2:$L$186,0)),"")</f>
        <v/>
      </c>
      <c r="P11" s="15" t="str">
        <f>IFERROR(INDEX(計算用!$M$2:$M$186,MATCH("女白"&amp;$J11,計算用!$L$2:$L$186,0)),"")</f>
        <v/>
      </c>
      <c r="Q11" s="16" t="str">
        <f>IFERROR(INDEX(計算用!$G$2:$G$186,MATCH("女白"&amp;$J11,計算用!$L$2:$L$186,0)),"")</f>
        <v/>
      </c>
    </row>
    <row r="12" spans="1:19" x14ac:dyDescent="0.15">
      <c r="A12" s="15" t="str">
        <f>IF(ROW()-3&lt;=MAX(計算用!$Q$2,計算用!$Q$3),ROW()-3,"")</f>
        <v/>
      </c>
      <c r="B12" s="15" t="str">
        <f>IFERROR(INDEX(計算用!$D$2:$D$186,MATCH("男赤"&amp;$A12,計算用!$L$2:$L$186,0)),"")</f>
        <v/>
      </c>
      <c r="C12" s="15" t="str">
        <f>IFERROR(INDEX(計算用!$M$2:$M$186,MATCH("男赤"&amp;$A12,計算用!$L$2:$L$186,0)),"")</f>
        <v/>
      </c>
      <c r="D12" s="16" t="str">
        <f>IFERROR(INDEX(計算用!$G$2:$G$186,MATCH("男赤"&amp;$A12,計算用!$L$2:$L$186,0)),"")</f>
        <v/>
      </c>
      <c r="E12" s="15"/>
      <c r="F12" s="15" t="str">
        <f>IFERROR(INDEX(計算用!$D$2:$D$186,MATCH("男白"&amp;$A12,計算用!$L$2:$L$186,0)),"")</f>
        <v/>
      </c>
      <c r="G12" s="15" t="str">
        <f>IFERROR(INDEX(計算用!$M$2:$M$186,MATCH("男白"&amp;$A12,計算用!$L$2:$L$186,0)),"")</f>
        <v/>
      </c>
      <c r="H12" s="16" t="str">
        <f>IFERROR(INDEX(計算用!$G$2:$G$186,MATCH("男白"&amp;$A12,計算用!$L$2:$L$186,0)),"")</f>
        <v/>
      </c>
      <c r="I12" s="15"/>
      <c r="J12" s="15" t="str">
        <f>IF(ROW()-3&lt;=MAX(計算用!$Q$4,計算用!$Q$5),ROW()-3,"")</f>
        <v/>
      </c>
      <c r="K12" s="15" t="str">
        <f>IFERROR(INDEX(計算用!$D$2:$D$186,MATCH("女赤"&amp;$J12,計算用!$L$2:$L$186,0)),"")</f>
        <v/>
      </c>
      <c r="L12" s="15" t="str">
        <f>IFERROR(INDEX(計算用!$M$2:$M$186,MATCH("女赤"&amp;$J12,計算用!$L$2:$L$186,0)),"")</f>
        <v/>
      </c>
      <c r="M12" s="16" t="str">
        <f>IFERROR(INDEX(計算用!$G$2:$G$186,MATCH("女赤"&amp;$J12,計算用!$L$2:$L$186,0)),"")</f>
        <v/>
      </c>
      <c r="N12" s="15"/>
      <c r="O12" s="15" t="str">
        <f>IFERROR(INDEX(計算用!$D$2:$D$186,MATCH("女白"&amp;$J12,計算用!$L$2:$L$186,0)),"")</f>
        <v/>
      </c>
      <c r="P12" s="15" t="str">
        <f>IFERROR(INDEX(計算用!$M$2:$M$186,MATCH("女白"&amp;$J12,計算用!$L$2:$L$186,0)),"")</f>
        <v/>
      </c>
      <c r="Q12" s="16" t="str">
        <f>IFERROR(INDEX(計算用!$G$2:$G$186,MATCH("女白"&amp;$J12,計算用!$L$2:$L$186,0)),"")</f>
        <v/>
      </c>
    </row>
    <row r="13" spans="1:19" x14ac:dyDescent="0.15">
      <c r="A13" s="15" t="str">
        <f>IF(ROW()-3&lt;=MAX(計算用!$Q$2,計算用!$Q$3),ROW()-3,"")</f>
        <v/>
      </c>
      <c r="B13" s="15" t="str">
        <f>IFERROR(INDEX(計算用!$D$2:$D$186,MATCH("男赤"&amp;$A13,計算用!$L$2:$L$186,0)),"")</f>
        <v/>
      </c>
      <c r="C13" s="15" t="str">
        <f>IFERROR(INDEX(計算用!$M$2:$M$186,MATCH("男赤"&amp;$A13,計算用!$L$2:$L$186,0)),"")</f>
        <v/>
      </c>
      <c r="D13" s="16" t="str">
        <f>IFERROR(INDEX(計算用!$G$2:$G$186,MATCH("男赤"&amp;$A13,計算用!$L$2:$L$186,0)),"")</f>
        <v/>
      </c>
      <c r="E13" s="15"/>
      <c r="F13" s="15" t="str">
        <f>IFERROR(INDEX(計算用!$D$2:$D$186,MATCH("男白"&amp;$A13,計算用!$L$2:$L$186,0)),"")</f>
        <v/>
      </c>
      <c r="G13" s="15" t="str">
        <f>IFERROR(INDEX(計算用!$M$2:$M$186,MATCH("男白"&amp;$A13,計算用!$L$2:$L$186,0)),"")</f>
        <v/>
      </c>
      <c r="H13" s="16" t="str">
        <f>IFERROR(INDEX(計算用!$G$2:$G$186,MATCH("男白"&amp;$A13,計算用!$L$2:$L$186,0)),"")</f>
        <v/>
      </c>
      <c r="I13" s="15"/>
      <c r="J13" s="15" t="str">
        <f>IF(ROW()-3&lt;=MAX(計算用!$Q$4,計算用!$Q$5),ROW()-3,"")</f>
        <v/>
      </c>
      <c r="K13" s="15" t="str">
        <f>IFERROR(INDEX(計算用!$D$2:$D$186,MATCH("女赤"&amp;$J13,計算用!$L$2:$L$186,0)),"")</f>
        <v/>
      </c>
      <c r="L13" s="15" t="str">
        <f>IFERROR(INDEX(計算用!$M$2:$M$186,MATCH("女赤"&amp;$J13,計算用!$L$2:$L$186,0)),"")</f>
        <v/>
      </c>
      <c r="M13" s="16" t="str">
        <f>IFERROR(INDEX(計算用!$G$2:$G$186,MATCH("女赤"&amp;$J13,計算用!$L$2:$L$186,0)),"")</f>
        <v/>
      </c>
      <c r="N13" s="15"/>
      <c r="O13" s="15" t="str">
        <f>IFERROR(INDEX(計算用!$D$2:$D$186,MATCH("女白"&amp;$J13,計算用!$L$2:$L$186,0)),"")</f>
        <v/>
      </c>
      <c r="P13" s="15" t="str">
        <f>IFERROR(INDEX(計算用!$M$2:$M$186,MATCH("女白"&amp;$J13,計算用!$L$2:$L$186,0)),"")</f>
        <v/>
      </c>
      <c r="Q13" s="16" t="str">
        <f>IFERROR(INDEX(計算用!$G$2:$G$186,MATCH("女白"&amp;$J13,計算用!$L$2:$L$186,0)),"")</f>
        <v/>
      </c>
    </row>
    <row r="14" spans="1:19" x14ac:dyDescent="0.15">
      <c r="A14" s="15" t="str">
        <f>IF(ROW()-3&lt;=MAX(計算用!$Q$2,計算用!$Q$3),ROW()-3,"")</f>
        <v/>
      </c>
      <c r="B14" s="15" t="str">
        <f>IFERROR(INDEX(計算用!$D$2:$D$186,MATCH("男赤"&amp;$A14,計算用!$L$2:$L$186,0)),"")</f>
        <v/>
      </c>
      <c r="C14" s="15" t="str">
        <f>IFERROR(INDEX(計算用!$M$2:$M$186,MATCH("男赤"&amp;$A14,計算用!$L$2:$L$186,0)),"")</f>
        <v/>
      </c>
      <c r="D14" s="16" t="str">
        <f>IFERROR(INDEX(計算用!$G$2:$G$186,MATCH("男赤"&amp;$A14,計算用!$L$2:$L$186,0)),"")</f>
        <v/>
      </c>
      <c r="E14" s="15"/>
      <c r="F14" s="15" t="str">
        <f>IFERROR(INDEX(計算用!$D$2:$D$186,MATCH("男白"&amp;$A14,計算用!$L$2:$L$186,0)),"")</f>
        <v/>
      </c>
      <c r="G14" s="15" t="str">
        <f>IFERROR(INDEX(計算用!$M$2:$M$186,MATCH("男白"&amp;$A14,計算用!$L$2:$L$186,0)),"")</f>
        <v/>
      </c>
      <c r="H14" s="16" t="str">
        <f>IFERROR(INDEX(計算用!$G$2:$G$186,MATCH("男白"&amp;$A14,計算用!$L$2:$L$186,0)),"")</f>
        <v/>
      </c>
      <c r="I14" s="15"/>
      <c r="J14" s="15" t="str">
        <f>IF(ROW()-3&lt;=MAX(計算用!$Q$4,計算用!$Q$5),ROW()-3,"")</f>
        <v/>
      </c>
      <c r="K14" s="15" t="str">
        <f>IFERROR(INDEX(計算用!$D$2:$D$186,MATCH("女赤"&amp;$J14,計算用!$L$2:$L$186,0)),"")</f>
        <v/>
      </c>
      <c r="L14" s="15" t="str">
        <f>IFERROR(INDEX(計算用!$M$2:$M$186,MATCH("女赤"&amp;$J14,計算用!$L$2:$L$186,0)),"")</f>
        <v/>
      </c>
      <c r="M14" s="16" t="str">
        <f>IFERROR(INDEX(計算用!$G$2:$G$186,MATCH("女赤"&amp;$J14,計算用!$L$2:$L$186,0)),"")</f>
        <v/>
      </c>
      <c r="N14" s="15"/>
      <c r="O14" s="15" t="str">
        <f>IFERROR(INDEX(計算用!$D$2:$D$186,MATCH("女白"&amp;$J14,計算用!$L$2:$L$186,0)),"")</f>
        <v/>
      </c>
      <c r="P14" s="15" t="str">
        <f>IFERROR(INDEX(計算用!$M$2:$M$186,MATCH("女白"&amp;$J14,計算用!$L$2:$L$186,0)),"")</f>
        <v/>
      </c>
      <c r="Q14" s="16" t="str">
        <f>IFERROR(INDEX(計算用!$G$2:$G$186,MATCH("女白"&amp;$J14,計算用!$L$2:$L$186,0)),"")</f>
        <v/>
      </c>
    </row>
    <row r="15" spans="1:19" x14ac:dyDescent="0.15">
      <c r="A15" s="15" t="str">
        <f>IF(ROW()-3&lt;=MAX(計算用!$Q$2,計算用!$Q$3),ROW()-3,"")</f>
        <v/>
      </c>
      <c r="B15" s="15" t="str">
        <f>IFERROR(INDEX(計算用!$D$2:$D$186,MATCH("男赤"&amp;$A15,計算用!$L$2:$L$186,0)),"")</f>
        <v/>
      </c>
      <c r="C15" s="15" t="str">
        <f>IFERROR(INDEX(計算用!$M$2:$M$186,MATCH("男赤"&amp;$A15,計算用!$L$2:$L$186,0)),"")</f>
        <v/>
      </c>
      <c r="D15" s="16" t="str">
        <f>IFERROR(INDEX(計算用!$G$2:$G$186,MATCH("男赤"&amp;$A15,計算用!$L$2:$L$186,0)),"")</f>
        <v/>
      </c>
      <c r="E15" s="15"/>
      <c r="F15" s="15" t="str">
        <f>IFERROR(INDEX(計算用!$D$2:$D$186,MATCH("男白"&amp;$A15,計算用!$L$2:$L$186,0)),"")</f>
        <v/>
      </c>
      <c r="G15" s="15" t="str">
        <f>IFERROR(INDEX(計算用!$M$2:$M$186,MATCH("男白"&amp;$A15,計算用!$L$2:$L$186,0)),"")</f>
        <v/>
      </c>
      <c r="H15" s="16" t="str">
        <f>IFERROR(INDEX(計算用!$G$2:$G$186,MATCH("男白"&amp;$A15,計算用!$L$2:$L$186,0)),"")</f>
        <v/>
      </c>
      <c r="I15" s="15"/>
      <c r="J15" s="15" t="str">
        <f>IF(ROW()-3&lt;=MAX(計算用!$Q$4,計算用!$Q$5),ROW()-3,"")</f>
        <v/>
      </c>
      <c r="K15" s="15" t="str">
        <f>IFERROR(INDEX(計算用!$D$2:$D$186,MATCH("女赤"&amp;$J15,計算用!$L$2:$L$186,0)),"")</f>
        <v/>
      </c>
      <c r="L15" s="15" t="str">
        <f>IFERROR(INDEX(計算用!$M$2:$M$186,MATCH("女赤"&amp;$J15,計算用!$L$2:$L$186,0)),"")</f>
        <v/>
      </c>
      <c r="M15" s="16" t="str">
        <f>IFERROR(INDEX(計算用!$G$2:$G$186,MATCH("女赤"&amp;$J15,計算用!$L$2:$L$186,0)),"")</f>
        <v/>
      </c>
      <c r="N15" s="15"/>
      <c r="O15" s="15" t="str">
        <f>IFERROR(INDEX(計算用!$D$2:$D$186,MATCH("女白"&amp;$J15,計算用!$L$2:$L$186,0)),"")</f>
        <v/>
      </c>
      <c r="P15" s="15" t="str">
        <f>IFERROR(INDEX(計算用!$M$2:$M$186,MATCH("女白"&amp;$J15,計算用!$L$2:$L$186,0)),"")</f>
        <v/>
      </c>
      <c r="Q15" s="16" t="str">
        <f>IFERROR(INDEX(計算用!$G$2:$G$186,MATCH("女白"&amp;$J15,計算用!$L$2:$L$186,0)),"")</f>
        <v/>
      </c>
    </row>
    <row r="16" spans="1:19" x14ac:dyDescent="0.15">
      <c r="A16" s="15" t="str">
        <f>IF(ROW()-3&lt;=MAX(計算用!$Q$2,計算用!$Q$3),ROW()-3,"")</f>
        <v/>
      </c>
      <c r="B16" s="15" t="str">
        <f>IFERROR(INDEX(計算用!$D$2:$D$186,MATCH("男赤"&amp;$A16,計算用!$L$2:$L$186,0)),"")</f>
        <v/>
      </c>
      <c r="C16" s="15" t="str">
        <f>IFERROR(INDEX(計算用!$M$2:$M$186,MATCH("男赤"&amp;$A16,計算用!$L$2:$L$186,0)),"")</f>
        <v/>
      </c>
      <c r="D16" s="16" t="str">
        <f>IFERROR(INDEX(計算用!$G$2:$G$186,MATCH("男赤"&amp;$A16,計算用!$L$2:$L$186,0)),"")</f>
        <v/>
      </c>
      <c r="E16" s="15"/>
      <c r="F16" s="15" t="str">
        <f>IFERROR(INDEX(計算用!$D$2:$D$186,MATCH("男白"&amp;$A16,計算用!$L$2:$L$186,0)),"")</f>
        <v/>
      </c>
      <c r="G16" s="15" t="str">
        <f>IFERROR(INDEX(計算用!$M$2:$M$186,MATCH("男白"&amp;$A16,計算用!$L$2:$L$186,0)),"")</f>
        <v/>
      </c>
      <c r="H16" s="16" t="str">
        <f>IFERROR(INDEX(計算用!$G$2:$G$186,MATCH("男白"&amp;$A16,計算用!$L$2:$L$186,0)),"")</f>
        <v/>
      </c>
      <c r="I16" s="15"/>
      <c r="J16" s="15" t="str">
        <f>IF(ROW()-3&lt;=MAX(計算用!$Q$4,計算用!$Q$5),ROW()-3,"")</f>
        <v/>
      </c>
      <c r="K16" s="15" t="str">
        <f>IFERROR(INDEX(計算用!$D$2:$D$186,MATCH("女赤"&amp;$J16,計算用!$L$2:$L$186,0)),"")</f>
        <v/>
      </c>
      <c r="L16" s="15" t="str">
        <f>IFERROR(INDEX(計算用!$M$2:$M$186,MATCH("女赤"&amp;$J16,計算用!$L$2:$L$186,0)),"")</f>
        <v/>
      </c>
      <c r="M16" s="16" t="str">
        <f>IFERROR(INDEX(計算用!$G$2:$G$186,MATCH("女赤"&amp;$J16,計算用!$L$2:$L$186,0)),"")</f>
        <v/>
      </c>
      <c r="N16" s="15"/>
      <c r="O16" s="15" t="str">
        <f>IFERROR(INDEX(計算用!$D$2:$D$186,MATCH("女白"&amp;$J16,計算用!$L$2:$L$186,0)),"")</f>
        <v/>
      </c>
      <c r="P16" s="15" t="str">
        <f>IFERROR(INDEX(計算用!$M$2:$M$186,MATCH("女白"&amp;$J16,計算用!$L$2:$L$186,0)),"")</f>
        <v/>
      </c>
      <c r="Q16" s="16" t="str">
        <f>IFERROR(INDEX(計算用!$G$2:$G$186,MATCH("女白"&amp;$J16,計算用!$L$2:$L$186,0)),"")</f>
        <v/>
      </c>
    </row>
    <row r="17" spans="1:17" x14ac:dyDescent="0.15">
      <c r="A17" s="15" t="str">
        <f>IF(ROW()-3&lt;=MAX(計算用!$Q$2,計算用!$Q$3),ROW()-3,"")</f>
        <v/>
      </c>
      <c r="B17" s="15" t="str">
        <f>IFERROR(INDEX(計算用!$D$2:$D$186,MATCH("男赤"&amp;$A17,計算用!$L$2:$L$186,0)),"")</f>
        <v/>
      </c>
      <c r="C17" s="15" t="str">
        <f>IFERROR(INDEX(計算用!$M$2:$M$186,MATCH("男赤"&amp;$A17,計算用!$L$2:$L$186,0)),"")</f>
        <v/>
      </c>
      <c r="D17" s="16" t="str">
        <f>IFERROR(INDEX(計算用!$G$2:$G$186,MATCH("男赤"&amp;$A17,計算用!$L$2:$L$186,0)),"")</f>
        <v/>
      </c>
      <c r="E17" s="15"/>
      <c r="F17" s="15" t="str">
        <f>IFERROR(INDEX(計算用!$D$2:$D$186,MATCH("男白"&amp;$A17,計算用!$L$2:$L$186,0)),"")</f>
        <v/>
      </c>
      <c r="G17" s="15" t="str">
        <f>IFERROR(INDEX(計算用!$M$2:$M$186,MATCH("男白"&amp;$A17,計算用!$L$2:$L$186,0)),"")</f>
        <v/>
      </c>
      <c r="H17" s="16" t="str">
        <f>IFERROR(INDEX(計算用!$G$2:$G$186,MATCH("男白"&amp;$A17,計算用!$L$2:$L$186,0)),"")</f>
        <v/>
      </c>
      <c r="I17" s="15"/>
      <c r="J17" s="15" t="str">
        <f>IF(ROW()-3&lt;=MAX(計算用!$Q$4,計算用!$Q$5),ROW()-3,"")</f>
        <v/>
      </c>
      <c r="K17" s="15" t="str">
        <f>IFERROR(INDEX(計算用!$D$2:$D$186,MATCH("女赤"&amp;$J17,計算用!$L$2:$L$186,0)),"")</f>
        <v/>
      </c>
      <c r="L17" s="15" t="str">
        <f>IFERROR(INDEX(計算用!$M$2:$M$186,MATCH("女赤"&amp;$J17,計算用!$L$2:$L$186,0)),"")</f>
        <v/>
      </c>
      <c r="M17" s="16" t="str">
        <f>IFERROR(INDEX(計算用!$G$2:$G$186,MATCH("女赤"&amp;$J17,計算用!$L$2:$L$186,0)),"")</f>
        <v/>
      </c>
      <c r="N17" s="15"/>
      <c r="O17" s="15" t="str">
        <f>IFERROR(INDEX(計算用!$D$2:$D$186,MATCH("女白"&amp;$J17,計算用!$L$2:$L$186,0)),"")</f>
        <v/>
      </c>
      <c r="P17" s="15" t="str">
        <f>IFERROR(INDEX(計算用!$M$2:$M$186,MATCH("女白"&amp;$J17,計算用!$L$2:$L$186,0)),"")</f>
        <v/>
      </c>
      <c r="Q17" s="16" t="str">
        <f>IFERROR(INDEX(計算用!$G$2:$G$186,MATCH("女白"&amp;$J17,計算用!$L$2:$L$186,0)),"")</f>
        <v/>
      </c>
    </row>
    <row r="18" spans="1:17" x14ac:dyDescent="0.15">
      <c r="A18" s="15" t="str">
        <f>IF(ROW()-3&lt;=MAX(計算用!$Q$2,計算用!$Q$3),ROW()-3,"")</f>
        <v/>
      </c>
      <c r="B18" s="15" t="str">
        <f>IFERROR(INDEX(計算用!$D$2:$D$186,MATCH("男赤"&amp;$A18,計算用!$L$2:$L$186,0)),"")</f>
        <v/>
      </c>
      <c r="C18" s="15" t="str">
        <f>IFERROR(INDEX(計算用!$M$2:$M$186,MATCH("男赤"&amp;$A18,計算用!$L$2:$L$186,0)),"")</f>
        <v/>
      </c>
      <c r="D18" s="16" t="str">
        <f>IFERROR(INDEX(計算用!$G$2:$G$186,MATCH("男赤"&amp;$A18,計算用!$L$2:$L$186,0)),"")</f>
        <v/>
      </c>
      <c r="E18" s="15"/>
      <c r="F18" s="15" t="str">
        <f>IFERROR(INDEX(計算用!$D$2:$D$186,MATCH("男白"&amp;$A18,計算用!$L$2:$L$186,0)),"")</f>
        <v/>
      </c>
      <c r="G18" s="15" t="str">
        <f>IFERROR(INDEX(計算用!$M$2:$M$186,MATCH("男白"&amp;$A18,計算用!$L$2:$L$186,0)),"")</f>
        <v/>
      </c>
      <c r="H18" s="16" t="str">
        <f>IFERROR(INDEX(計算用!$G$2:$G$186,MATCH("男白"&amp;$A18,計算用!$L$2:$L$186,0)),"")</f>
        <v/>
      </c>
      <c r="I18" s="15"/>
      <c r="J18" s="15" t="str">
        <f>IF(ROW()-3&lt;=MAX(計算用!$Q$4,計算用!$Q$5),ROW()-3,"")</f>
        <v/>
      </c>
      <c r="K18" s="15" t="str">
        <f>IFERROR(INDEX(計算用!$D$2:$D$186,MATCH("女赤"&amp;$J18,計算用!$L$2:$L$186,0)),"")</f>
        <v/>
      </c>
      <c r="L18" s="15" t="str">
        <f>IFERROR(INDEX(計算用!$M$2:$M$186,MATCH("女赤"&amp;$J18,計算用!$L$2:$L$186,0)),"")</f>
        <v/>
      </c>
      <c r="M18" s="16" t="str">
        <f>IFERROR(INDEX(計算用!$G$2:$G$186,MATCH("女赤"&amp;$J18,計算用!$L$2:$L$186,0)),"")</f>
        <v/>
      </c>
      <c r="N18" s="15"/>
      <c r="O18" s="15" t="str">
        <f>IFERROR(INDEX(計算用!$D$2:$D$186,MATCH("女白"&amp;$J18,計算用!$L$2:$L$186,0)),"")</f>
        <v/>
      </c>
      <c r="P18" s="15" t="str">
        <f>IFERROR(INDEX(計算用!$M$2:$M$186,MATCH("女白"&amp;$J18,計算用!$L$2:$L$186,0)),"")</f>
        <v/>
      </c>
      <c r="Q18" s="16" t="str">
        <f>IFERROR(INDEX(計算用!$G$2:$G$186,MATCH("女白"&amp;$J18,計算用!$L$2:$L$186,0)),"")</f>
        <v/>
      </c>
    </row>
    <row r="19" spans="1:17" x14ac:dyDescent="0.15">
      <c r="A19" s="15" t="str">
        <f>IF(ROW()-3&lt;=MAX(計算用!$Q$2,計算用!$Q$3),ROW()-3,"")</f>
        <v/>
      </c>
      <c r="B19" s="15" t="str">
        <f>IFERROR(INDEX(計算用!$D$2:$D$186,MATCH("男赤"&amp;$A19,計算用!$L$2:$L$186,0)),"")</f>
        <v/>
      </c>
      <c r="C19" s="15" t="str">
        <f>IFERROR(INDEX(計算用!$M$2:$M$186,MATCH("男赤"&amp;$A19,計算用!$L$2:$L$186,0)),"")</f>
        <v/>
      </c>
      <c r="D19" s="16" t="str">
        <f>IFERROR(INDEX(計算用!$G$2:$G$186,MATCH("男赤"&amp;$A19,計算用!$L$2:$L$186,0)),"")</f>
        <v/>
      </c>
      <c r="E19" s="15"/>
      <c r="F19" s="15" t="str">
        <f>IFERROR(INDEX(計算用!$D$2:$D$186,MATCH("男白"&amp;$A19,計算用!$L$2:$L$186,0)),"")</f>
        <v/>
      </c>
      <c r="G19" s="15" t="str">
        <f>IFERROR(INDEX(計算用!$M$2:$M$186,MATCH("男白"&amp;$A19,計算用!$L$2:$L$186,0)),"")</f>
        <v/>
      </c>
      <c r="H19" s="16" t="str">
        <f>IFERROR(INDEX(計算用!$G$2:$G$186,MATCH("男白"&amp;$A19,計算用!$L$2:$L$186,0)),"")</f>
        <v/>
      </c>
      <c r="I19" s="15"/>
      <c r="J19" s="15" t="str">
        <f>IF(ROW()-3&lt;=MAX(計算用!$Q$4,計算用!$Q$5),ROW()-3,"")</f>
        <v/>
      </c>
      <c r="K19" s="15" t="str">
        <f>IFERROR(INDEX(計算用!$D$2:$D$186,MATCH("女赤"&amp;$J19,計算用!$L$2:$L$186,0)),"")</f>
        <v/>
      </c>
      <c r="L19" s="15" t="str">
        <f>IFERROR(INDEX(計算用!$M$2:$M$186,MATCH("女赤"&amp;$J19,計算用!$L$2:$L$186,0)),"")</f>
        <v/>
      </c>
      <c r="M19" s="16" t="str">
        <f>IFERROR(INDEX(計算用!$G$2:$G$186,MATCH("女赤"&amp;$J19,計算用!$L$2:$L$186,0)),"")</f>
        <v/>
      </c>
      <c r="N19" s="15"/>
      <c r="O19" s="15" t="str">
        <f>IFERROR(INDEX(計算用!$D$2:$D$186,MATCH("女白"&amp;$J19,計算用!$L$2:$L$186,0)),"")</f>
        <v/>
      </c>
      <c r="P19" s="15" t="str">
        <f>IFERROR(INDEX(計算用!$M$2:$M$186,MATCH("女白"&amp;$J19,計算用!$L$2:$L$186,0)),"")</f>
        <v/>
      </c>
      <c r="Q19" s="16" t="str">
        <f>IFERROR(INDEX(計算用!$G$2:$G$186,MATCH("女白"&amp;$J19,計算用!$L$2:$L$186,0)),"")</f>
        <v/>
      </c>
    </row>
    <row r="20" spans="1:17" x14ac:dyDescent="0.15">
      <c r="A20" s="15" t="str">
        <f>IF(ROW()-3&lt;=MAX(計算用!$Q$2,計算用!$Q$3),ROW()-3,"")</f>
        <v/>
      </c>
      <c r="B20" s="15" t="str">
        <f>IFERROR(INDEX(計算用!$D$2:$D$186,MATCH("男赤"&amp;$A20,計算用!$L$2:$L$186,0)),"")</f>
        <v/>
      </c>
      <c r="C20" s="15" t="str">
        <f>IFERROR(INDEX(計算用!$M$2:$M$186,MATCH("男赤"&amp;$A20,計算用!$L$2:$L$186,0)),"")</f>
        <v/>
      </c>
      <c r="D20" s="16" t="str">
        <f>IFERROR(INDEX(計算用!$G$2:$G$186,MATCH("男赤"&amp;$A20,計算用!$L$2:$L$186,0)),"")</f>
        <v/>
      </c>
      <c r="E20" s="15"/>
      <c r="F20" s="15" t="str">
        <f>IFERROR(INDEX(計算用!$D$2:$D$186,MATCH("男白"&amp;$A20,計算用!$L$2:$L$186,0)),"")</f>
        <v/>
      </c>
      <c r="G20" s="15" t="str">
        <f>IFERROR(INDEX(計算用!$M$2:$M$186,MATCH("男白"&amp;$A20,計算用!$L$2:$L$186,0)),"")</f>
        <v/>
      </c>
      <c r="H20" s="16" t="str">
        <f>IFERROR(INDEX(計算用!$G$2:$G$186,MATCH("男白"&amp;$A20,計算用!$L$2:$L$186,0)),"")</f>
        <v/>
      </c>
      <c r="I20" s="15"/>
      <c r="J20" s="15" t="str">
        <f>IF(ROW()-3&lt;=MAX(計算用!$Q$4,計算用!$Q$5),ROW()-3,"")</f>
        <v/>
      </c>
      <c r="K20" s="15" t="str">
        <f>IFERROR(INDEX(計算用!$D$2:$D$186,MATCH("女赤"&amp;$J20,計算用!$L$2:$L$186,0)),"")</f>
        <v/>
      </c>
      <c r="L20" s="15" t="str">
        <f>IFERROR(INDEX(計算用!$M$2:$M$186,MATCH("女赤"&amp;$J20,計算用!$L$2:$L$186,0)),"")</f>
        <v/>
      </c>
      <c r="M20" s="16" t="str">
        <f>IFERROR(INDEX(計算用!$G$2:$G$186,MATCH("女赤"&amp;$J20,計算用!$L$2:$L$186,0)),"")</f>
        <v/>
      </c>
      <c r="N20" s="15"/>
      <c r="O20" s="15" t="str">
        <f>IFERROR(INDEX(計算用!$D$2:$D$186,MATCH("女白"&amp;$J20,計算用!$L$2:$L$186,0)),"")</f>
        <v/>
      </c>
      <c r="P20" s="15" t="str">
        <f>IFERROR(INDEX(計算用!$M$2:$M$186,MATCH("女白"&amp;$J20,計算用!$L$2:$L$186,0)),"")</f>
        <v/>
      </c>
      <c r="Q20" s="16" t="str">
        <f>IFERROR(INDEX(計算用!$G$2:$G$186,MATCH("女白"&amp;$J20,計算用!$L$2:$L$186,0)),"")</f>
        <v/>
      </c>
    </row>
    <row r="21" spans="1:17" x14ac:dyDescent="0.15">
      <c r="A21" s="15" t="str">
        <f>IF(ROW()-3&lt;=MAX(計算用!$Q$2,計算用!$Q$3),ROW()-3,"")</f>
        <v/>
      </c>
      <c r="B21" s="15" t="str">
        <f>IFERROR(INDEX(計算用!$D$2:$D$186,MATCH("男赤"&amp;$A21,計算用!$L$2:$L$186,0)),"")</f>
        <v/>
      </c>
      <c r="C21" s="15" t="str">
        <f>IFERROR(INDEX(計算用!$M$2:$M$186,MATCH("男赤"&amp;$A21,計算用!$L$2:$L$186,0)),"")</f>
        <v/>
      </c>
      <c r="D21" s="16" t="str">
        <f>IFERROR(INDEX(計算用!$G$2:$G$186,MATCH("男赤"&amp;$A21,計算用!$L$2:$L$186,0)),"")</f>
        <v/>
      </c>
      <c r="E21" s="15"/>
      <c r="F21" s="15" t="str">
        <f>IFERROR(INDEX(計算用!$D$2:$D$186,MATCH("男白"&amp;$A21,計算用!$L$2:$L$186,0)),"")</f>
        <v/>
      </c>
      <c r="G21" s="15" t="str">
        <f>IFERROR(INDEX(計算用!$M$2:$M$186,MATCH("男白"&amp;$A21,計算用!$L$2:$L$186,0)),"")</f>
        <v/>
      </c>
      <c r="H21" s="16" t="str">
        <f>IFERROR(INDEX(計算用!$G$2:$G$186,MATCH("男白"&amp;$A21,計算用!$L$2:$L$186,0)),"")</f>
        <v/>
      </c>
      <c r="I21" s="15"/>
      <c r="J21" s="15" t="str">
        <f>IF(ROW()-3&lt;=MAX(計算用!$Q$4,計算用!$Q$5),ROW()-3,"")</f>
        <v/>
      </c>
      <c r="K21" s="15" t="str">
        <f>IFERROR(INDEX(計算用!$D$2:$D$186,MATCH("女赤"&amp;$J21,計算用!$L$2:$L$186,0)),"")</f>
        <v/>
      </c>
      <c r="L21" s="15" t="str">
        <f>IFERROR(INDEX(計算用!$M$2:$M$186,MATCH("女赤"&amp;$J21,計算用!$L$2:$L$186,0)),"")</f>
        <v/>
      </c>
      <c r="M21" s="16" t="str">
        <f>IFERROR(INDEX(計算用!$G$2:$G$186,MATCH("女赤"&amp;$J21,計算用!$L$2:$L$186,0)),"")</f>
        <v/>
      </c>
      <c r="N21" s="15"/>
      <c r="O21" s="15" t="str">
        <f>IFERROR(INDEX(計算用!$D$2:$D$186,MATCH("女白"&amp;$J21,計算用!$L$2:$L$186,0)),"")</f>
        <v/>
      </c>
      <c r="P21" s="15" t="str">
        <f>IFERROR(INDEX(計算用!$M$2:$M$186,MATCH("女白"&amp;$J21,計算用!$L$2:$L$186,0)),"")</f>
        <v/>
      </c>
      <c r="Q21" s="16" t="str">
        <f>IFERROR(INDEX(計算用!$G$2:$G$186,MATCH("女白"&amp;$J21,計算用!$L$2:$L$186,0)),"")</f>
        <v/>
      </c>
    </row>
    <row r="22" spans="1:17" x14ac:dyDescent="0.15">
      <c r="A22" s="15" t="str">
        <f>IF(ROW()-3&lt;=MAX(計算用!$Q$2,計算用!$Q$3),ROW()-3,"")</f>
        <v/>
      </c>
      <c r="B22" s="15" t="str">
        <f>IFERROR(INDEX(計算用!$D$2:$D$186,MATCH("男赤"&amp;$A22,計算用!$L$2:$L$186,0)),"")</f>
        <v/>
      </c>
      <c r="C22" s="15" t="str">
        <f>IFERROR(INDEX(計算用!$M$2:$M$186,MATCH("男赤"&amp;$A22,計算用!$L$2:$L$186,0)),"")</f>
        <v/>
      </c>
      <c r="D22" s="16" t="str">
        <f>IFERROR(INDEX(計算用!$G$2:$G$186,MATCH("男赤"&amp;$A22,計算用!$L$2:$L$186,0)),"")</f>
        <v/>
      </c>
      <c r="E22" s="15"/>
      <c r="F22" s="15" t="str">
        <f>IFERROR(INDEX(計算用!$D$2:$D$186,MATCH("男白"&amp;$A22,計算用!$L$2:$L$186,0)),"")</f>
        <v/>
      </c>
      <c r="G22" s="15" t="str">
        <f>IFERROR(INDEX(計算用!$M$2:$M$186,MATCH("男白"&amp;$A22,計算用!$L$2:$L$186,0)),"")</f>
        <v/>
      </c>
      <c r="H22" s="16" t="str">
        <f>IFERROR(INDEX(計算用!$G$2:$G$186,MATCH("男白"&amp;$A22,計算用!$L$2:$L$186,0)),"")</f>
        <v/>
      </c>
      <c r="I22" s="15"/>
      <c r="J22" s="15" t="str">
        <f>IF(ROW()-3&lt;=MAX(計算用!$Q$4,計算用!$Q$5),ROW()-3,"")</f>
        <v/>
      </c>
      <c r="K22" s="15" t="str">
        <f>IFERROR(INDEX(計算用!$D$2:$D$186,MATCH("女赤"&amp;$J22,計算用!$L$2:$L$186,0)),"")</f>
        <v/>
      </c>
      <c r="L22" s="15" t="str">
        <f>IFERROR(INDEX(計算用!$M$2:$M$186,MATCH("女赤"&amp;$J22,計算用!$L$2:$L$186,0)),"")</f>
        <v/>
      </c>
      <c r="M22" s="16" t="str">
        <f>IFERROR(INDEX(計算用!$G$2:$G$186,MATCH("女赤"&amp;$J22,計算用!$L$2:$L$186,0)),"")</f>
        <v/>
      </c>
      <c r="N22" s="15"/>
      <c r="O22" s="15" t="str">
        <f>IFERROR(INDEX(計算用!$D$2:$D$186,MATCH("女白"&amp;$J22,計算用!$L$2:$L$186,0)),"")</f>
        <v/>
      </c>
      <c r="P22" s="15" t="str">
        <f>IFERROR(INDEX(計算用!$M$2:$M$186,MATCH("女白"&amp;$J22,計算用!$L$2:$L$186,0)),"")</f>
        <v/>
      </c>
      <c r="Q22" s="16" t="str">
        <f>IFERROR(INDEX(計算用!$G$2:$G$186,MATCH("女白"&amp;$J22,計算用!$L$2:$L$186,0)),"")</f>
        <v/>
      </c>
    </row>
    <row r="23" spans="1:17" x14ac:dyDescent="0.15">
      <c r="A23" s="15" t="str">
        <f>IF(ROW()-3&lt;=MAX(計算用!$Q$2,計算用!$Q$3),ROW()-3,"")</f>
        <v/>
      </c>
      <c r="B23" s="15" t="str">
        <f>IFERROR(INDEX(計算用!$D$2:$D$186,MATCH("男赤"&amp;$A23,計算用!$L$2:$L$186,0)),"")</f>
        <v/>
      </c>
      <c r="C23" s="15" t="str">
        <f>IFERROR(INDEX(計算用!$M$2:$M$186,MATCH("男赤"&amp;$A23,計算用!$L$2:$L$186,0)),"")</f>
        <v/>
      </c>
      <c r="D23" s="16" t="str">
        <f>IFERROR(INDEX(計算用!$G$2:$G$186,MATCH("男赤"&amp;$A23,計算用!$L$2:$L$186,0)),"")</f>
        <v/>
      </c>
      <c r="E23" s="15"/>
      <c r="F23" s="15" t="str">
        <f>IFERROR(INDEX(計算用!$D$2:$D$186,MATCH("男白"&amp;$A23,計算用!$L$2:$L$186,0)),"")</f>
        <v/>
      </c>
      <c r="G23" s="15" t="str">
        <f>IFERROR(INDEX(計算用!$M$2:$M$186,MATCH("男白"&amp;$A23,計算用!$L$2:$L$186,0)),"")</f>
        <v/>
      </c>
      <c r="H23" s="16" t="str">
        <f>IFERROR(INDEX(計算用!$G$2:$G$186,MATCH("男白"&amp;$A23,計算用!$L$2:$L$186,0)),"")</f>
        <v/>
      </c>
      <c r="I23" s="15"/>
      <c r="J23" s="15" t="str">
        <f>IF(ROW()-3&lt;=MAX(計算用!$Q$4,計算用!$Q$5),ROW()-3,"")</f>
        <v/>
      </c>
      <c r="K23" s="15" t="str">
        <f>IFERROR(INDEX(計算用!$D$2:$D$186,MATCH("女赤"&amp;$J23,計算用!$L$2:$L$186,0)),"")</f>
        <v/>
      </c>
      <c r="L23" s="15" t="str">
        <f>IFERROR(INDEX(計算用!$M$2:$M$186,MATCH("女赤"&amp;$J23,計算用!$L$2:$L$186,0)),"")</f>
        <v/>
      </c>
      <c r="M23" s="16" t="str">
        <f>IFERROR(INDEX(計算用!$G$2:$G$186,MATCH("女赤"&amp;$J23,計算用!$L$2:$L$186,0)),"")</f>
        <v/>
      </c>
      <c r="N23" s="15"/>
      <c r="O23" s="15" t="str">
        <f>IFERROR(INDEX(計算用!$D$2:$D$186,MATCH("女白"&amp;$J23,計算用!$L$2:$L$186,0)),"")</f>
        <v/>
      </c>
      <c r="P23" s="15" t="str">
        <f>IFERROR(INDEX(計算用!$M$2:$M$186,MATCH("女白"&amp;$J23,計算用!$L$2:$L$186,0)),"")</f>
        <v/>
      </c>
      <c r="Q23" s="16" t="str">
        <f>IFERROR(INDEX(計算用!$G$2:$G$186,MATCH("女白"&amp;$J23,計算用!$L$2:$L$186,0)),"")</f>
        <v/>
      </c>
    </row>
    <row r="24" spans="1:17" x14ac:dyDescent="0.15">
      <c r="A24" s="15" t="str">
        <f>IF(ROW()-3&lt;=MAX(計算用!$Q$2,計算用!$Q$3),ROW()-3,"")</f>
        <v/>
      </c>
      <c r="B24" s="15" t="str">
        <f>IFERROR(INDEX(計算用!$D$2:$D$186,MATCH("男赤"&amp;$A24,計算用!$L$2:$L$186,0)),"")</f>
        <v/>
      </c>
      <c r="C24" s="15" t="str">
        <f>IFERROR(INDEX(計算用!$M$2:$M$186,MATCH("男赤"&amp;$A24,計算用!$L$2:$L$186,0)),"")</f>
        <v/>
      </c>
      <c r="D24" s="16" t="str">
        <f>IFERROR(INDEX(計算用!$G$2:$G$186,MATCH("男赤"&amp;$A24,計算用!$L$2:$L$186,0)),"")</f>
        <v/>
      </c>
      <c r="E24" s="15"/>
      <c r="F24" s="15" t="str">
        <f>IFERROR(INDEX(計算用!$D$2:$D$186,MATCH("男白"&amp;$A24,計算用!$L$2:$L$186,0)),"")</f>
        <v/>
      </c>
      <c r="G24" s="15" t="str">
        <f>IFERROR(INDEX(計算用!$M$2:$M$186,MATCH("男白"&amp;$A24,計算用!$L$2:$L$186,0)),"")</f>
        <v/>
      </c>
      <c r="H24" s="16" t="str">
        <f>IFERROR(INDEX(計算用!$G$2:$G$186,MATCH("男白"&amp;$A24,計算用!$L$2:$L$186,0)),"")</f>
        <v/>
      </c>
      <c r="I24" s="15"/>
      <c r="J24" s="15" t="str">
        <f>IF(ROW()-3&lt;=MAX(計算用!$Q$4,計算用!$Q$5),ROW()-3,"")</f>
        <v/>
      </c>
      <c r="K24" s="15" t="str">
        <f>IFERROR(INDEX(計算用!$D$2:$D$186,MATCH("女赤"&amp;$J24,計算用!$L$2:$L$186,0)),"")</f>
        <v/>
      </c>
      <c r="L24" s="15" t="str">
        <f>IFERROR(INDEX(計算用!$M$2:$M$186,MATCH("女赤"&amp;$J24,計算用!$L$2:$L$186,0)),"")</f>
        <v/>
      </c>
      <c r="M24" s="16" t="str">
        <f>IFERROR(INDEX(計算用!$G$2:$G$186,MATCH("女赤"&amp;$J24,計算用!$L$2:$L$186,0)),"")</f>
        <v/>
      </c>
      <c r="N24" s="15"/>
      <c r="O24" s="15" t="str">
        <f>IFERROR(INDEX(計算用!$D$2:$D$186,MATCH("女白"&amp;$J24,計算用!$L$2:$L$186,0)),"")</f>
        <v/>
      </c>
      <c r="P24" s="15" t="str">
        <f>IFERROR(INDEX(計算用!$M$2:$M$186,MATCH("女白"&amp;$J24,計算用!$L$2:$L$186,0)),"")</f>
        <v/>
      </c>
      <c r="Q24" s="16" t="str">
        <f>IFERROR(INDEX(計算用!$G$2:$G$186,MATCH("女白"&amp;$J24,計算用!$L$2:$L$186,0)),"")</f>
        <v/>
      </c>
    </row>
    <row r="25" spans="1:17" x14ac:dyDescent="0.15">
      <c r="A25" s="15" t="str">
        <f>IF(ROW()-3&lt;=MAX(計算用!$Q$2,計算用!$Q$3),ROW()-3,"")</f>
        <v/>
      </c>
      <c r="B25" s="15" t="str">
        <f>IFERROR(INDEX(計算用!$D$2:$D$186,MATCH("男赤"&amp;$A25,計算用!$L$2:$L$186,0)),"")</f>
        <v/>
      </c>
      <c r="C25" s="15" t="str">
        <f>IFERROR(INDEX(計算用!$M$2:$M$186,MATCH("男赤"&amp;$A25,計算用!$L$2:$L$186,0)),"")</f>
        <v/>
      </c>
      <c r="D25" s="16" t="str">
        <f>IFERROR(INDEX(計算用!$G$2:$G$186,MATCH("男赤"&amp;$A25,計算用!$L$2:$L$186,0)),"")</f>
        <v/>
      </c>
      <c r="E25" s="15"/>
      <c r="F25" s="15" t="str">
        <f>IFERROR(INDEX(計算用!$D$2:$D$186,MATCH("男白"&amp;$A25,計算用!$L$2:$L$186,0)),"")</f>
        <v/>
      </c>
      <c r="G25" s="15" t="str">
        <f>IFERROR(INDEX(計算用!$M$2:$M$186,MATCH("男白"&amp;$A25,計算用!$L$2:$L$186,0)),"")</f>
        <v/>
      </c>
      <c r="H25" s="16" t="str">
        <f>IFERROR(INDEX(計算用!$G$2:$G$186,MATCH("男白"&amp;$A25,計算用!$L$2:$L$186,0)),"")</f>
        <v/>
      </c>
      <c r="I25" s="15"/>
      <c r="J25" s="15" t="str">
        <f>IF(ROW()-3&lt;=MAX(計算用!$Q$4,計算用!$Q$5),ROW()-3,"")</f>
        <v/>
      </c>
      <c r="K25" s="15" t="str">
        <f>IFERROR(INDEX(計算用!$D$2:$D$186,MATCH("女赤"&amp;$J25,計算用!$L$2:$L$186,0)),"")</f>
        <v/>
      </c>
      <c r="L25" s="15" t="str">
        <f>IFERROR(INDEX(計算用!$M$2:$M$186,MATCH("女赤"&amp;$J25,計算用!$L$2:$L$186,0)),"")</f>
        <v/>
      </c>
      <c r="M25" s="16" t="str">
        <f>IFERROR(INDEX(計算用!$G$2:$G$186,MATCH("女赤"&amp;$J25,計算用!$L$2:$L$186,0)),"")</f>
        <v/>
      </c>
      <c r="N25" s="15"/>
      <c r="O25" s="15" t="str">
        <f>IFERROR(INDEX(計算用!$D$2:$D$186,MATCH("女白"&amp;$J25,計算用!$L$2:$L$186,0)),"")</f>
        <v/>
      </c>
      <c r="P25" s="15" t="str">
        <f>IFERROR(INDEX(計算用!$M$2:$M$186,MATCH("女白"&amp;$J25,計算用!$L$2:$L$186,0)),"")</f>
        <v/>
      </c>
      <c r="Q25" s="16" t="str">
        <f>IFERROR(INDEX(計算用!$G$2:$G$186,MATCH("女白"&amp;$J25,計算用!$L$2:$L$186,0)),"")</f>
        <v/>
      </c>
    </row>
    <row r="26" spans="1:17" x14ac:dyDescent="0.15">
      <c r="A26" s="15" t="str">
        <f>IF(ROW()-3&lt;=MAX(計算用!$Q$2,計算用!$Q$3),ROW()-3,"")</f>
        <v/>
      </c>
      <c r="B26" s="15" t="str">
        <f>IFERROR(INDEX(計算用!$D$2:$D$186,MATCH("男赤"&amp;$A26,計算用!$L$2:$L$186,0)),"")</f>
        <v/>
      </c>
      <c r="C26" s="15" t="str">
        <f>IFERROR(INDEX(計算用!$M$2:$M$186,MATCH("男赤"&amp;$A26,計算用!$L$2:$L$186,0)),"")</f>
        <v/>
      </c>
      <c r="D26" s="16" t="str">
        <f>IFERROR(INDEX(計算用!$G$2:$G$186,MATCH("男赤"&amp;$A26,計算用!$L$2:$L$186,0)),"")</f>
        <v/>
      </c>
      <c r="E26" s="15"/>
      <c r="F26" s="15" t="str">
        <f>IFERROR(INDEX(計算用!$D$2:$D$186,MATCH("男白"&amp;$A26,計算用!$L$2:$L$186,0)),"")</f>
        <v/>
      </c>
      <c r="G26" s="15" t="str">
        <f>IFERROR(INDEX(計算用!$M$2:$M$186,MATCH("男白"&amp;$A26,計算用!$L$2:$L$186,0)),"")</f>
        <v/>
      </c>
      <c r="H26" s="16" t="str">
        <f>IFERROR(INDEX(計算用!$G$2:$G$186,MATCH("男白"&amp;$A26,計算用!$L$2:$L$186,0)),"")</f>
        <v/>
      </c>
      <c r="I26" s="15"/>
      <c r="J26" s="15" t="str">
        <f>IF(ROW()-3&lt;=MAX(計算用!$Q$4,計算用!$Q$5),ROW()-3,"")</f>
        <v/>
      </c>
      <c r="K26" s="15" t="str">
        <f>IFERROR(INDEX(計算用!$D$2:$D$186,MATCH("女赤"&amp;$J26,計算用!$L$2:$L$186,0)),"")</f>
        <v/>
      </c>
      <c r="L26" s="15" t="str">
        <f>IFERROR(INDEX(計算用!$M$2:$M$186,MATCH("女赤"&amp;$J26,計算用!$L$2:$L$186,0)),"")</f>
        <v/>
      </c>
      <c r="M26" s="16" t="str">
        <f>IFERROR(INDEX(計算用!$G$2:$G$186,MATCH("女赤"&amp;$J26,計算用!$L$2:$L$186,0)),"")</f>
        <v/>
      </c>
      <c r="N26" s="15"/>
      <c r="O26" s="15" t="str">
        <f>IFERROR(INDEX(計算用!$D$2:$D$186,MATCH("女白"&amp;$J26,計算用!$L$2:$L$186,0)),"")</f>
        <v/>
      </c>
      <c r="P26" s="15" t="str">
        <f>IFERROR(INDEX(計算用!$M$2:$M$186,MATCH("女白"&amp;$J26,計算用!$L$2:$L$186,0)),"")</f>
        <v/>
      </c>
      <c r="Q26" s="16" t="str">
        <f>IFERROR(INDEX(計算用!$G$2:$G$186,MATCH("女白"&amp;$J26,計算用!$L$2:$L$186,0)),"")</f>
        <v/>
      </c>
    </row>
    <row r="27" spans="1:17" x14ac:dyDescent="0.15">
      <c r="A27" s="15" t="str">
        <f>IF(ROW()-3&lt;=MAX(計算用!$Q$2,計算用!$Q$3),ROW()-3,"")</f>
        <v/>
      </c>
      <c r="B27" s="15" t="str">
        <f>IFERROR(INDEX(計算用!$D$2:$D$186,MATCH("男赤"&amp;$A27,計算用!$L$2:$L$186,0)),"")</f>
        <v/>
      </c>
      <c r="C27" s="15" t="str">
        <f>IFERROR(INDEX(計算用!$M$2:$M$186,MATCH("男赤"&amp;$A27,計算用!$L$2:$L$186,0)),"")</f>
        <v/>
      </c>
      <c r="D27" s="16" t="str">
        <f>IFERROR(INDEX(計算用!$G$2:$G$186,MATCH("男赤"&amp;$A27,計算用!$L$2:$L$186,0)),"")</f>
        <v/>
      </c>
      <c r="E27" s="15"/>
      <c r="F27" s="15" t="str">
        <f>IFERROR(INDEX(計算用!$D$2:$D$186,MATCH("男白"&amp;$A27,計算用!$L$2:$L$186,0)),"")</f>
        <v/>
      </c>
      <c r="G27" s="15" t="str">
        <f>IFERROR(INDEX(計算用!$M$2:$M$186,MATCH("男白"&amp;$A27,計算用!$L$2:$L$186,0)),"")</f>
        <v/>
      </c>
      <c r="H27" s="16" t="str">
        <f>IFERROR(INDEX(計算用!$G$2:$G$186,MATCH("男白"&amp;$A27,計算用!$L$2:$L$186,0)),"")</f>
        <v/>
      </c>
      <c r="I27" s="15"/>
      <c r="J27" s="15" t="str">
        <f>IF(ROW()-3&lt;=MAX(計算用!$Q$4,計算用!$Q$5),ROW()-3,"")</f>
        <v/>
      </c>
      <c r="K27" s="15" t="str">
        <f>IFERROR(INDEX(計算用!$D$2:$D$186,MATCH("女赤"&amp;$J27,計算用!$L$2:$L$186,0)),"")</f>
        <v/>
      </c>
      <c r="L27" s="15" t="str">
        <f>IFERROR(INDEX(計算用!$M$2:$M$186,MATCH("女赤"&amp;$J27,計算用!$L$2:$L$186,0)),"")</f>
        <v/>
      </c>
      <c r="M27" s="16" t="str">
        <f>IFERROR(INDEX(計算用!$G$2:$G$186,MATCH("女赤"&amp;$J27,計算用!$L$2:$L$186,0)),"")</f>
        <v/>
      </c>
      <c r="N27" s="15"/>
      <c r="O27" s="15" t="str">
        <f>IFERROR(INDEX(計算用!$D$2:$D$186,MATCH("女白"&amp;$J27,計算用!$L$2:$L$186,0)),"")</f>
        <v/>
      </c>
      <c r="P27" s="15" t="str">
        <f>IFERROR(INDEX(計算用!$M$2:$M$186,MATCH("女白"&amp;$J27,計算用!$L$2:$L$186,0)),"")</f>
        <v/>
      </c>
      <c r="Q27" s="16" t="str">
        <f>IFERROR(INDEX(計算用!$G$2:$G$186,MATCH("女白"&amp;$J27,計算用!$L$2:$L$186,0)),"")</f>
        <v/>
      </c>
    </row>
    <row r="28" spans="1:17" x14ac:dyDescent="0.15">
      <c r="A28" s="15" t="str">
        <f>IF(ROW()-3&lt;=MAX(計算用!$Q$2,計算用!$Q$3),ROW()-3,"")</f>
        <v/>
      </c>
      <c r="B28" s="15" t="str">
        <f>IFERROR(INDEX(計算用!$D$2:$D$186,MATCH("男赤"&amp;$A28,計算用!$L$2:$L$186,0)),"")</f>
        <v/>
      </c>
      <c r="C28" s="15" t="str">
        <f>IFERROR(INDEX(計算用!$M$2:$M$186,MATCH("男赤"&amp;$A28,計算用!$L$2:$L$186,0)),"")</f>
        <v/>
      </c>
      <c r="D28" s="16" t="str">
        <f>IFERROR(INDEX(計算用!$G$2:$G$186,MATCH("男赤"&amp;$A28,計算用!$L$2:$L$186,0)),"")</f>
        <v/>
      </c>
      <c r="E28" s="15"/>
      <c r="F28" s="15" t="str">
        <f>IFERROR(INDEX(計算用!$D$2:$D$186,MATCH("男白"&amp;$A28,計算用!$L$2:$L$186,0)),"")</f>
        <v/>
      </c>
      <c r="G28" s="15" t="str">
        <f>IFERROR(INDEX(計算用!$M$2:$M$186,MATCH("男白"&amp;$A28,計算用!$L$2:$L$186,0)),"")</f>
        <v/>
      </c>
      <c r="H28" s="16" t="str">
        <f>IFERROR(INDEX(計算用!$G$2:$G$186,MATCH("男白"&amp;$A28,計算用!$L$2:$L$186,0)),"")</f>
        <v/>
      </c>
      <c r="I28" s="15"/>
      <c r="J28" s="15" t="str">
        <f>IF(ROW()-3&lt;=MAX(計算用!$Q$4,計算用!$Q$5),ROW()-3,"")</f>
        <v/>
      </c>
      <c r="K28" s="15" t="str">
        <f>IFERROR(INDEX(計算用!$D$2:$D$186,MATCH("女赤"&amp;$J28,計算用!$L$2:$L$186,0)),"")</f>
        <v/>
      </c>
      <c r="L28" s="15" t="str">
        <f>IFERROR(INDEX(計算用!$M$2:$M$186,MATCH("女赤"&amp;$J28,計算用!$L$2:$L$186,0)),"")</f>
        <v/>
      </c>
      <c r="M28" s="16" t="str">
        <f>IFERROR(INDEX(計算用!$G$2:$G$186,MATCH("女赤"&amp;$J28,計算用!$L$2:$L$186,0)),"")</f>
        <v/>
      </c>
      <c r="N28" s="15"/>
      <c r="O28" s="15" t="str">
        <f>IFERROR(INDEX(計算用!$D$2:$D$186,MATCH("女白"&amp;$J28,計算用!$L$2:$L$186,0)),"")</f>
        <v/>
      </c>
      <c r="P28" s="15" t="str">
        <f>IFERROR(INDEX(計算用!$M$2:$M$186,MATCH("女白"&amp;$J28,計算用!$L$2:$L$186,0)),"")</f>
        <v/>
      </c>
      <c r="Q28" s="16" t="str">
        <f>IFERROR(INDEX(計算用!$G$2:$G$186,MATCH("女白"&amp;$J28,計算用!$L$2:$L$186,0)),"")</f>
        <v/>
      </c>
    </row>
    <row r="29" spans="1:17" x14ac:dyDescent="0.15">
      <c r="A29" s="15" t="str">
        <f>IF(ROW()-3&lt;=MAX(計算用!$Q$2,計算用!$Q$3),ROW()-3,"")</f>
        <v/>
      </c>
      <c r="B29" s="15" t="str">
        <f>IFERROR(INDEX(計算用!$D$2:$D$186,MATCH("男赤"&amp;$A29,計算用!$L$2:$L$186,0)),"")</f>
        <v/>
      </c>
      <c r="C29" s="15" t="str">
        <f>IFERROR(INDEX(計算用!$M$2:$M$186,MATCH("男赤"&amp;$A29,計算用!$L$2:$L$186,0)),"")</f>
        <v/>
      </c>
      <c r="D29" s="16" t="str">
        <f>IFERROR(INDEX(計算用!$G$2:$G$186,MATCH("男赤"&amp;$A29,計算用!$L$2:$L$186,0)),"")</f>
        <v/>
      </c>
      <c r="E29" s="15"/>
      <c r="F29" s="15" t="str">
        <f>IFERROR(INDEX(計算用!$D$2:$D$186,MATCH("男白"&amp;$A29,計算用!$L$2:$L$186,0)),"")</f>
        <v/>
      </c>
      <c r="G29" s="15" t="str">
        <f>IFERROR(INDEX(計算用!$M$2:$M$186,MATCH("男白"&amp;$A29,計算用!$L$2:$L$186,0)),"")</f>
        <v/>
      </c>
      <c r="H29" s="16" t="str">
        <f>IFERROR(INDEX(計算用!$G$2:$G$186,MATCH("男白"&amp;$A29,計算用!$L$2:$L$186,0)),"")</f>
        <v/>
      </c>
      <c r="I29" s="15"/>
      <c r="J29" s="15" t="str">
        <f>IF(ROW()-3&lt;=MAX(計算用!$Q$4,計算用!$Q$5),ROW()-3,"")</f>
        <v/>
      </c>
      <c r="K29" s="15" t="str">
        <f>IFERROR(INDEX(計算用!$D$2:$D$186,MATCH("女赤"&amp;$J29,計算用!$L$2:$L$186,0)),"")</f>
        <v/>
      </c>
      <c r="L29" s="15" t="str">
        <f>IFERROR(INDEX(計算用!$M$2:$M$186,MATCH("女赤"&amp;$J29,計算用!$L$2:$L$186,0)),"")</f>
        <v/>
      </c>
      <c r="M29" s="16" t="str">
        <f>IFERROR(INDEX(計算用!$G$2:$G$186,MATCH("女赤"&amp;$J29,計算用!$L$2:$L$186,0)),"")</f>
        <v/>
      </c>
      <c r="N29" s="15"/>
      <c r="O29" s="15" t="str">
        <f>IFERROR(INDEX(計算用!$D$2:$D$186,MATCH("女白"&amp;$J29,計算用!$L$2:$L$186,0)),"")</f>
        <v/>
      </c>
      <c r="P29" s="15" t="str">
        <f>IFERROR(INDEX(計算用!$M$2:$M$186,MATCH("女白"&amp;$J29,計算用!$L$2:$L$186,0)),"")</f>
        <v/>
      </c>
      <c r="Q29" s="16" t="str">
        <f>IFERROR(INDEX(計算用!$G$2:$G$186,MATCH("女白"&amp;$J29,計算用!$L$2:$L$186,0)),"")</f>
        <v/>
      </c>
    </row>
    <row r="30" spans="1:17" x14ac:dyDescent="0.15">
      <c r="A30" s="15" t="str">
        <f>IF(ROW()-3&lt;=MAX(計算用!$Q$2,計算用!$Q$3),ROW()-3,"")</f>
        <v/>
      </c>
      <c r="B30" s="15" t="str">
        <f>IFERROR(INDEX(計算用!$D$2:$D$186,MATCH("男赤"&amp;$A30,計算用!$L$2:$L$186,0)),"")</f>
        <v/>
      </c>
      <c r="C30" s="15" t="str">
        <f>IFERROR(INDEX(計算用!$M$2:$M$186,MATCH("男赤"&amp;$A30,計算用!$L$2:$L$186,0)),"")</f>
        <v/>
      </c>
      <c r="D30" s="16" t="str">
        <f>IFERROR(INDEX(計算用!$G$2:$G$186,MATCH("男赤"&amp;$A30,計算用!$L$2:$L$186,0)),"")</f>
        <v/>
      </c>
      <c r="E30" s="15"/>
      <c r="F30" s="15" t="str">
        <f>IFERROR(INDEX(計算用!$D$2:$D$186,MATCH("男白"&amp;$A30,計算用!$L$2:$L$186,0)),"")</f>
        <v/>
      </c>
      <c r="G30" s="15" t="str">
        <f>IFERROR(INDEX(計算用!$M$2:$M$186,MATCH("男白"&amp;$A30,計算用!$L$2:$L$186,0)),"")</f>
        <v/>
      </c>
      <c r="H30" s="16" t="str">
        <f>IFERROR(INDEX(計算用!$G$2:$G$186,MATCH("男白"&amp;$A30,計算用!$L$2:$L$186,0)),"")</f>
        <v/>
      </c>
      <c r="I30" s="15"/>
      <c r="J30" s="15" t="str">
        <f>IF(ROW()-3&lt;=MAX(計算用!$Q$4,計算用!$Q$5),ROW()-3,"")</f>
        <v/>
      </c>
      <c r="K30" s="15" t="str">
        <f>IFERROR(INDEX(計算用!$D$2:$D$186,MATCH("女赤"&amp;$J30,計算用!$L$2:$L$186,0)),"")</f>
        <v/>
      </c>
      <c r="L30" s="15" t="str">
        <f>IFERROR(INDEX(計算用!$M$2:$M$186,MATCH("女赤"&amp;$J30,計算用!$L$2:$L$186,0)),"")</f>
        <v/>
      </c>
      <c r="M30" s="16" t="str">
        <f>IFERROR(INDEX(計算用!$G$2:$G$186,MATCH("女赤"&amp;$J30,計算用!$L$2:$L$186,0)),"")</f>
        <v/>
      </c>
      <c r="N30" s="15"/>
      <c r="O30" s="15" t="str">
        <f>IFERROR(INDEX(計算用!$D$2:$D$186,MATCH("女白"&amp;$J30,計算用!$L$2:$L$186,0)),"")</f>
        <v/>
      </c>
      <c r="P30" s="15" t="str">
        <f>IFERROR(INDEX(計算用!$M$2:$M$186,MATCH("女白"&amp;$J30,計算用!$L$2:$L$186,0)),"")</f>
        <v/>
      </c>
      <c r="Q30" s="16" t="str">
        <f>IFERROR(INDEX(計算用!$G$2:$G$186,MATCH("女白"&amp;$J30,計算用!$L$2:$L$186,0)),"")</f>
        <v/>
      </c>
    </row>
    <row r="31" spans="1:17" x14ac:dyDescent="0.15">
      <c r="A31" s="15" t="str">
        <f>IF(ROW()-3&lt;=MAX(計算用!$Q$2,計算用!$Q$3),ROW()-3,"")</f>
        <v/>
      </c>
      <c r="B31" s="15" t="str">
        <f>IFERROR(INDEX(計算用!$D$2:$D$186,MATCH("男赤"&amp;$A31,計算用!$L$2:$L$186,0)),"")</f>
        <v/>
      </c>
      <c r="C31" s="15" t="str">
        <f>IFERROR(INDEX(計算用!$M$2:$M$186,MATCH("男赤"&amp;$A31,計算用!$L$2:$L$186,0)),"")</f>
        <v/>
      </c>
      <c r="D31" s="16" t="str">
        <f>IFERROR(INDEX(計算用!$G$2:$G$186,MATCH("男赤"&amp;$A31,計算用!$L$2:$L$186,0)),"")</f>
        <v/>
      </c>
      <c r="E31" s="15"/>
      <c r="F31" s="15" t="str">
        <f>IFERROR(INDEX(計算用!$D$2:$D$186,MATCH("男白"&amp;$A31,計算用!$L$2:$L$186,0)),"")</f>
        <v/>
      </c>
      <c r="G31" s="15" t="str">
        <f>IFERROR(INDEX(計算用!$M$2:$M$186,MATCH("男白"&amp;$A31,計算用!$L$2:$L$186,0)),"")</f>
        <v/>
      </c>
      <c r="H31" s="16" t="str">
        <f>IFERROR(INDEX(計算用!$G$2:$G$186,MATCH("男白"&amp;$A31,計算用!$L$2:$L$186,0)),"")</f>
        <v/>
      </c>
      <c r="I31" s="15"/>
      <c r="J31" s="15" t="str">
        <f>IF(ROW()-3&lt;=MAX(計算用!$Q$4,計算用!$Q$5),ROW()-3,"")</f>
        <v/>
      </c>
      <c r="K31" s="15" t="str">
        <f>IFERROR(INDEX(計算用!$D$2:$D$186,MATCH("女赤"&amp;$J31,計算用!$L$2:$L$186,0)),"")</f>
        <v/>
      </c>
      <c r="L31" s="15" t="str">
        <f>IFERROR(INDEX(計算用!$M$2:$M$186,MATCH("女赤"&amp;$J31,計算用!$L$2:$L$186,0)),"")</f>
        <v/>
      </c>
      <c r="M31" s="16" t="str">
        <f>IFERROR(INDEX(計算用!$G$2:$G$186,MATCH("女赤"&amp;$J31,計算用!$L$2:$L$186,0)),"")</f>
        <v/>
      </c>
      <c r="N31" s="15"/>
      <c r="O31" s="15" t="str">
        <f>IFERROR(INDEX(計算用!$D$2:$D$186,MATCH("女白"&amp;$J31,計算用!$L$2:$L$186,0)),"")</f>
        <v/>
      </c>
      <c r="P31" s="15" t="str">
        <f>IFERROR(INDEX(計算用!$M$2:$M$186,MATCH("女白"&amp;$J31,計算用!$L$2:$L$186,0)),"")</f>
        <v/>
      </c>
      <c r="Q31" s="16" t="str">
        <f>IFERROR(INDEX(計算用!$G$2:$G$186,MATCH("女白"&amp;$J31,計算用!$L$2:$L$186,0)),"")</f>
        <v/>
      </c>
    </row>
    <row r="32" spans="1:17" x14ac:dyDescent="0.15">
      <c r="A32" s="15" t="str">
        <f>IF(ROW()-3&lt;=MAX(計算用!$Q$2,計算用!$Q$3),ROW()-3,"")</f>
        <v/>
      </c>
      <c r="B32" s="15" t="str">
        <f>IFERROR(INDEX(計算用!$D$2:$D$186,MATCH("男赤"&amp;$A32,計算用!$L$2:$L$186,0)),"")</f>
        <v/>
      </c>
      <c r="C32" s="15" t="str">
        <f>IFERROR(INDEX(計算用!$M$2:$M$186,MATCH("男赤"&amp;$A32,計算用!$L$2:$L$186,0)),"")</f>
        <v/>
      </c>
      <c r="D32" s="16" t="str">
        <f>IFERROR(INDEX(計算用!$G$2:$G$186,MATCH("男赤"&amp;$A32,計算用!$L$2:$L$186,0)),"")</f>
        <v/>
      </c>
      <c r="E32" s="15"/>
      <c r="F32" s="15" t="str">
        <f>IFERROR(INDEX(計算用!$D$2:$D$186,MATCH("男白"&amp;$A32,計算用!$L$2:$L$186,0)),"")</f>
        <v/>
      </c>
      <c r="G32" s="15" t="str">
        <f>IFERROR(INDEX(計算用!$M$2:$M$186,MATCH("男白"&amp;$A32,計算用!$L$2:$L$186,0)),"")</f>
        <v/>
      </c>
      <c r="H32" s="16" t="str">
        <f>IFERROR(INDEX(計算用!$G$2:$G$186,MATCH("男白"&amp;$A32,計算用!$L$2:$L$186,0)),"")</f>
        <v/>
      </c>
      <c r="I32" s="15"/>
      <c r="J32" s="15" t="str">
        <f>IF(ROW()-3&lt;=MAX(計算用!$Q$4,計算用!$Q$5),ROW()-3,"")</f>
        <v/>
      </c>
      <c r="K32" s="15" t="str">
        <f>IFERROR(INDEX(計算用!$D$2:$D$186,MATCH("女赤"&amp;$J32,計算用!$L$2:$L$186,0)),"")</f>
        <v/>
      </c>
      <c r="L32" s="15" t="str">
        <f>IFERROR(INDEX(計算用!$M$2:$M$186,MATCH("女赤"&amp;$J32,計算用!$L$2:$L$186,0)),"")</f>
        <v/>
      </c>
      <c r="M32" s="16" t="str">
        <f>IFERROR(INDEX(計算用!$G$2:$G$186,MATCH("女赤"&amp;$J32,計算用!$L$2:$L$186,0)),"")</f>
        <v/>
      </c>
      <c r="N32" s="15"/>
      <c r="O32" s="15" t="str">
        <f>IFERROR(INDEX(計算用!$D$2:$D$186,MATCH("女白"&amp;$J32,計算用!$L$2:$L$186,0)),"")</f>
        <v/>
      </c>
      <c r="P32" s="15" t="str">
        <f>IFERROR(INDEX(計算用!$M$2:$M$186,MATCH("女白"&amp;$J32,計算用!$L$2:$L$186,0)),"")</f>
        <v/>
      </c>
      <c r="Q32" s="16" t="str">
        <f>IFERROR(INDEX(計算用!$G$2:$G$186,MATCH("女白"&amp;$J32,計算用!$L$2:$L$186,0)),"")</f>
        <v/>
      </c>
    </row>
    <row r="33" spans="1:17" x14ac:dyDescent="0.15">
      <c r="A33" s="15" t="str">
        <f>IF(ROW()-3&lt;=MAX(計算用!$Q$2,計算用!$Q$3),ROW()-3,"")</f>
        <v/>
      </c>
      <c r="B33" s="15" t="str">
        <f>IFERROR(INDEX(計算用!$D$2:$D$186,MATCH("男赤"&amp;$A33,計算用!$L$2:$L$186,0)),"")</f>
        <v/>
      </c>
      <c r="C33" s="15" t="str">
        <f>IFERROR(INDEX(計算用!$M$2:$M$186,MATCH("男赤"&amp;$A33,計算用!$L$2:$L$186,0)),"")</f>
        <v/>
      </c>
      <c r="D33" s="16" t="str">
        <f>IFERROR(INDEX(計算用!$G$2:$G$186,MATCH("男赤"&amp;$A33,計算用!$L$2:$L$186,0)),"")</f>
        <v/>
      </c>
      <c r="E33" s="15"/>
      <c r="F33" s="15" t="str">
        <f>IFERROR(INDEX(計算用!$D$2:$D$186,MATCH("男白"&amp;$A33,計算用!$L$2:$L$186,0)),"")</f>
        <v/>
      </c>
      <c r="G33" s="15" t="str">
        <f>IFERROR(INDEX(計算用!$M$2:$M$186,MATCH("男白"&amp;$A33,計算用!$L$2:$L$186,0)),"")</f>
        <v/>
      </c>
      <c r="H33" s="16" t="str">
        <f>IFERROR(INDEX(計算用!$G$2:$G$186,MATCH("男白"&amp;$A33,計算用!$L$2:$L$186,0)),"")</f>
        <v/>
      </c>
      <c r="I33" s="15"/>
      <c r="J33" s="15" t="str">
        <f>IF(ROW()-3&lt;=MAX(計算用!$Q$4,計算用!$Q$5),ROW()-3,"")</f>
        <v/>
      </c>
      <c r="K33" s="15" t="str">
        <f>IFERROR(INDEX(計算用!$D$2:$D$186,MATCH("女赤"&amp;$J33,計算用!$L$2:$L$186,0)),"")</f>
        <v/>
      </c>
      <c r="L33" s="15" t="str">
        <f>IFERROR(INDEX(計算用!$M$2:$M$186,MATCH("女赤"&amp;$J33,計算用!$L$2:$L$186,0)),"")</f>
        <v/>
      </c>
      <c r="M33" s="16" t="str">
        <f>IFERROR(INDEX(計算用!$G$2:$G$186,MATCH("女赤"&amp;$J33,計算用!$L$2:$L$186,0)),"")</f>
        <v/>
      </c>
      <c r="N33" s="15"/>
      <c r="O33" s="15" t="str">
        <f>IFERROR(INDEX(計算用!$D$2:$D$186,MATCH("女白"&amp;$J33,計算用!$L$2:$L$186,0)),"")</f>
        <v/>
      </c>
      <c r="P33" s="15" t="str">
        <f>IFERROR(INDEX(計算用!$M$2:$M$186,MATCH("女白"&amp;$J33,計算用!$L$2:$L$186,0)),"")</f>
        <v/>
      </c>
      <c r="Q33" s="16" t="str">
        <f>IFERROR(INDEX(計算用!$G$2:$G$186,MATCH("女白"&amp;$J33,計算用!$L$2:$L$186,0)),"")</f>
        <v/>
      </c>
    </row>
    <row r="34" spans="1:17" x14ac:dyDescent="0.15">
      <c r="A34" s="15" t="str">
        <f>IF(ROW()-3&lt;=MAX(計算用!$Q$2,計算用!$Q$3),ROW()-3,"")</f>
        <v/>
      </c>
      <c r="B34" s="15" t="str">
        <f>IFERROR(INDEX(計算用!$D$2:$D$186,MATCH("男赤"&amp;$A34,計算用!$L$2:$L$186,0)),"")</f>
        <v/>
      </c>
      <c r="C34" s="15" t="str">
        <f>IFERROR(INDEX(計算用!$M$2:$M$186,MATCH("男赤"&amp;$A34,計算用!$L$2:$L$186,0)),"")</f>
        <v/>
      </c>
      <c r="D34" s="16" t="str">
        <f>IFERROR(INDEX(計算用!$G$2:$G$186,MATCH("男赤"&amp;$A34,計算用!$L$2:$L$186,0)),"")</f>
        <v/>
      </c>
      <c r="E34" s="15"/>
      <c r="F34" s="15" t="str">
        <f>IFERROR(INDEX(計算用!$D$2:$D$186,MATCH("男白"&amp;$A34,計算用!$L$2:$L$186,0)),"")</f>
        <v/>
      </c>
      <c r="G34" s="15" t="str">
        <f>IFERROR(INDEX(計算用!$M$2:$M$186,MATCH("男白"&amp;$A34,計算用!$L$2:$L$186,0)),"")</f>
        <v/>
      </c>
      <c r="H34" s="16" t="str">
        <f>IFERROR(INDEX(計算用!$G$2:$G$186,MATCH("男白"&amp;$A34,計算用!$L$2:$L$186,0)),"")</f>
        <v/>
      </c>
      <c r="I34" s="15"/>
      <c r="J34" s="15" t="str">
        <f>IF(ROW()-3&lt;=MAX(計算用!$Q$4,計算用!$Q$5),ROW()-3,"")</f>
        <v/>
      </c>
      <c r="K34" s="15" t="str">
        <f>IFERROR(INDEX(計算用!$D$2:$D$186,MATCH("女赤"&amp;$J34,計算用!$L$2:$L$186,0)),"")</f>
        <v/>
      </c>
      <c r="L34" s="15" t="str">
        <f>IFERROR(INDEX(計算用!$M$2:$M$186,MATCH("女赤"&amp;$J34,計算用!$L$2:$L$186,0)),"")</f>
        <v/>
      </c>
      <c r="M34" s="16" t="str">
        <f>IFERROR(INDEX(計算用!$G$2:$G$186,MATCH("女赤"&amp;$J34,計算用!$L$2:$L$186,0)),"")</f>
        <v/>
      </c>
      <c r="N34" s="15"/>
      <c r="O34" s="15" t="str">
        <f>IFERROR(INDEX(計算用!$D$2:$D$186,MATCH("女白"&amp;$J34,計算用!$L$2:$L$186,0)),"")</f>
        <v/>
      </c>
      <c r="P34" s="15" t="str">
        <f>IFERROR(INDEX(計算用!$M$2:$M$186,MATCH("女白"&amp;$J34,計算用!$L$2:$L$186,0)),"")</f>
        <v/>
      </c>
      <c r="Q34" s="16" t="str">
        <f>IFERROR(INDEX(計算用!$G$2:$G$186,MATCH("女白"&amp;$J34,計算用!$L$2:$L$186,0)),"")</f>
        <v/>
      </c>
    </row>
    <row r="35" spans="1:17" x14ac:dyDescent="0.15">
      <c r="A35" s="15" t="str">
        <f>IF(ROW()-3&lt;=MAX(計算用!$Q$2,計算用!$Q$3),ROW()-3,"")</f>
        <v/>
      </c>
      <c r="B35" s="15" t="str">
        <f>IFERROR(INDEX(計算用!$D$2:$D$186,MATCH("男赤"&amp;$A35,計算用!$L$2:$L$186,0)),"")</f>
        <v/>
      </c>
      <c r="C35" s="15" t="str">
        <f>IFERROR(INDEX(計算用!$M$2:$M$186,MATCH("男赤"&amp;$A35,計算用!$L$2:$L$186,0)),"")</f>
        <v/>
      </c>
      <c r="D35" s="16" t="str">
        <f>IFERROR(INDEX(計算用!$G$2:$G$186,MATCH("男赤"&amp;$A35,計算用!$L$2:$L$186,0)),"")</f>
        <v/>
      </c>
      <c r="E35" s="15"/>
      <c r="F35" s="15" t="str">
        <f>IFERROR(INDEX(計算用!$D$2:$D$186,MATCH("男白"&amp;$A35,計算用!$L$2:$L$186,0)),"")</f>
        <v/>
      </c>
      <c r="G35" s="15" t="str">
        <f>IFERROR(INDEX(計算用!$M$2:$M$186,MATCH("男白"&amp;$A35,計算用!$L$2:$L$186,0)),"")</f>
        <v/>
      </c>
      <c r="H35" s="16" t="str">
        <f>IFERROR(INDEX(計算用!$G$2:$G$186,MATCH("男白"&amp;$A35,計算用!$L$2:$L$186,0)),"")</f>
        <v/>
      </c>
      <c r="I35" s="15"/>
      <c r="J35" s="15" t="str">
        <f>IF(ROW()-3&lt;=MAX(計算用!$Q$4,計算用!$Q$5),ROW()-3,"")</f>
        <v/>
      </c>
      <c r="K35" s="15" t="str">
        <f>IFERROR(INDEX(計算用!$D$2:$D$186,MATCH("女赤"&amp;$J35,計算用!$L$2:$L$186,0)),"")</f>
        <v/>
      </c>
      <c r="L35" s="15" t="str">
        <f>IFERROR(INDEX(計算用!$M$2:$M$186,MATCH("女赤"&amp;$J35,計算用!$L$2:$L$186,0)),"")</f>
        <v/>
      </c>
      <c r="M35" s="16" t="str">
        <f>IFERROR(INDEX(計算用!$G$2:$G$186,MATCH("女赤"&amp;$J35,計算用!$L$2:$L$186,0)),"")</f>
        <v/>
      </c>
      <c r="N35" s="15"/>
      <c r="O35" s="15" t="str">
        <f>IFERROR(INDEX(計算用!$D$2:$D$186,MATCH("女白"&amp;$J35,計算用!$L$2:$L$186,0)),"")</f>
        <v/>
      </c>
      <c r="P35" s="15" t="str">
        <f>IFERROR(INDEX(計算用!$M$2:$M$186,MATCH("女白"&amp;$J35,計算用!$L$2:$L$186,0)),"")</f>
        <v/>
      </c>
      <c r="Q35" s="16" t="str">
        <f>IFERROR(INDEX(計算用!$G$2:$G$186,MATCH("女白"&amp;$J35,計算用!$L$2:$L$186,0)),"")</f>
        <v/>
      </c>
    </row>
    <row r="36" spans="1:17" x14ac:dyDescent="0.15">
      <c r="A36" s="15" t="str">
        <f>IF(ROW()-3&lt;=MAX(計算用!$Q$2,計算用!$Q$3),ROW()-3,"")</f>
        <v/>
      </c>
      <c r="B36" s="15" t="str">
        <f>IFERROR(INDEX(計算用!$D$2:$D$186,MATCH("男赤"&amp;$A36,計算用!$L$2:$L$186,0)),"")</f>
        <v/>
      </c>
      <c r="C36" s="15" t="str">
        <f>IFERROR(INDEX(計算用!$M$2:$M$186,MATCH("男赤"&amp;$A36,計算用!$L$2:$L$186,0)),"")</f>
        <v/>
      </c>
      <c r="D36" s="16" t="str">
        <f>IFERROR(INDEX(計算用!$G$2:$G$186,MATCH("男赤"&amp;$A36,計算用!$L$2:$L$186,0)),"")</f>
        <v/>
      </c>
      <c r="E36" s="15"/>
      <c r="F36" s="15" t="str">
        <f>IFERROR(INDEX(計算用!$D$2:$D$186,MATCH("男白"&amp;$A36,計算用!$L$2:$L$186,0)),"")</f>
        <v/>
      </c>
      <c r="G36" s="15" t="str">
        <f>IFERROR(INDEX(計算用!$M$2:$M$186,MATCH("男白"&amp;$A36,計算用!$L$2:$L$186,0)),"")</f>
        <v/>
      </c>
      <c r="H36" s="16" t="str">
        <f>IFERROR(INDEX(計算用!$G$2:$G$186,MATCH("男白"&amp;$A36,計算用!$L$2:$L$186,0)),"")</f>
        <v/>
      </c>
      <c r="I36" s="15"/>
      <c r="J36" s="15" t="str">
        <f>IF(ROW()-3&lt;=MAX(計算用!$Q$4,計算用!$Q$5),ROW()-3,"")</f>
        <v/>
      </c>
      <c r="K36" s="15" t="str">
        <f>IFERROR(INDEX(計算用!$D$2:$D$186,MATCH("女赤"&amp;$J36,計算用!$L$2:$L$186,0)),"")</f>
        <v/>
      </c>
      <c r="L36" s="15" t="str">
        <f>IFERROR(INDEX(計算用!$M$2:$M$186,MATCH("女赤"&amp;$J36,計算用!$L$2:$L$186,0)),"")</f>
        <v/>
      </c>
      <c r="M36" s="16" t="str">
        <f>IFERROR(INDEX(計算用!$G$2:$G$186,MATCH("女赤"&amp;$J36,計算用!$L$2:$L$186,0)),"")</f>
        <v/>
      </c>
      <c r="N36" s="15"/>
      <c r="O36" s="15" t="str">
        <f>IFERROR(INDEX(計算用!$D$2:$D$186,MATCH("女白"&amp;$J36,計算用!$L$2:$L$186,0)),"")</f>
        <v/>
      </c>
      <c r="P36" s="15" t="str">
        <f>IFERROR(INDEX(計算用!$M$2:$M$186,MATCH("女白"&amp;$J36,計算用!$L$2:$L$186,0)),"")</f>
        <v/>
      </c>
      <c r="Q36" s="16" t="str">
        <f>IFERROR(INDEX(計算用!$G$2:$G$186,MATCH("女白"&amp;$J36,計算用!$L$2:$L$186,0)),"")</f>
        <v/>
      </c>
    </row>
    <row r="37" spans="1:17" x14ac:dyDescent="0.15">
      <c r="A37" s="15" t="str">
        <f>IF(ROW()-3&lt;=MAX(計算用!$Q$2,計算用!$Q$3),ROW()-3,"")</f>
        <v/>
      </c>
      <c r="B37" s="15" t="str">
        <f>IFERROR(INDEX(計算用!$D$2:$D$186,MATCH("男赤"&amp;$A37,計算用!$L$2:$L$186,0)),"")</f>
        <v/>
      </c>
      <c r="C37" s="15" t="str">
        <f>IFERROR(INDEX(計算用!$M$2:$M$186,MATCH("男赤"&amp;$A37,計算用!$L$2:$L$186,0)),"")</f>
        <v/>
      </c>
      <c r="D37" s="16" t="str">
        <f>IFERROR(INDEX(計算用!$G$2:$G$186,MATCH("男赤"&amp;$A37,計算用!$L$2:$L$186,0)),"")</f>
        <v/>
      </c>
      <c r="E37" s="15"/>
      <c r="F37" s="15" t="str">
        <f>IFERROR(INDEX(計算用!$D$2:$D$186,MATCH("男白"&amp;$A37,計算用!$L$2:$L$186,0)),"")</f>
        <v/>
      </c>
      <c r="G37" s="15" t="str">
        <f>IFERROR(INDEX(計算用!$M$2:$M$186,MATCH("男白"&amp;$A37,計算用!$L$2:$L$186,0)),"")</f>
        <v/>
      </c>
      <c r="H37" s="16" t="str">
        <f>IFERROR(INDEX(計算用!$G$2:$G$186,MATCH("男白"&amp;$A37,計算用!$L$2:$L$186,0)),"")</f>
        <v/>
      </c>
      <c r="I37" s="15"/>
      <c r="J37" s="15" t="str">
        <f>IF(ROW()-3&lt;=MAX(計算用!$Q$4,計算用!$Q$5),ROW()-3,"")</f>
        <v/>
      </c>
      <c r="K37" s="15" t="str">
        <f>IFERROR(INDEX(計算用!$D$2:$D$186,MATCH("女赤"&amp;$J37,計算用!$L$2:$L$186,0)),"")</f>
        <v/>
      </c>
      <c r="L37" s="15" t="str">
        <f>IFERROR(INDEX(計算用!$M$2:$M$186,MATCH("女赤"&amp;$J37,計算用!$L$2:$L$186,0)),"")</f>
        <v/>
      </c>
      <c r="M37" s="16" t="str">
        <f>IFERROR(INDEX(計算用!$G$2:$G$186,MATCH("女赤"&amp;$J37,計算用!$L$2:$L$186,0)),"")</f>
        <v/>
      </c>
      <c r="N37" s="15"/>
      <c r="O37" s="15" t="str">
        <f>IFERROR(INDEX(計算用!$D$2:$D$186,MATCH("女白"&amp;$J37,計算用!$L$2:$L$186,0)),"")</f>
        <v/>
      </c>
      <c r="P37" s="15" t="str">
        <f>IFERROR(INDEX(計算用!$M$2:$M$186,MATCH("女白"&amp;$J37,計算用!$L$2:$L$186,0)),"")</f>
        <v/>
      </c>
      <c r="Q37" s="16" t="str">
        <f>IFERROR(INDEX(計算用!$G$2:$G$186,MATCH("女白"&amp;$J37,計算用!$L$2:$L$186,0)),"")</f>
        <v/>
      </c>
    </row>
    <row r="38" spans="1:17" x14ac:dyDescent="0.15">
      <c r="A38" s="15" t="str">
        <f>IF(ROW()-3&lt;=MAX(計算用!$Q$2,計算用!$Q$3),ROW()-3,"")</f>
        <v/>
      </c>
      <c r="B38" s="15" t="str">
        <f>IFERROR(INDEX(計算用!$D$2:$D$186,MATCH("男赤"&amp;$A38,計算用!$L$2:$L$186,0)),"")</f>
        <v/>
      </c>
      <c r="C38" s="15" t="str">
        <f>IFERROR(INDEX(計算用!$M$2:$M$186,MATCH("男赤"&amp;$A38,計算用!$L$2:$L$186,0)),"")</f>
        <v/>
      </c>
      <c r="D38" s="16" t="str">
        <f>IFERROR(INDEX(計算用!$G$2:$G$186,MATCH("男赤"&amp;$A38,計算用!$L$2:$L$186,0)),"")</f>
        <v/>
      </c>
      <c r="E38" s="15"/>
      <c r="F38" s="15" t="str">
        <f>IFERROR(INDEX(計算用!$D$2:$D$186,MATCH("男白"&amp;$A38,計算用!$L$2:$L$186,0)),"")</f>
        <v/>
      </c>
      <c r="G38" s="15" t="str">
        <f>IFERROR(INDEX(計算用!$M$2:$M$186,MATCH("男白"&amp;$A38,計算用!$L$2:$L$186,0)),"")</f>
        <v/>
      </c>
      <c r="H38" s="16" t="str">
        <f>IFERROR(INDEX(計算用!$G$2:$G$186,MATCH("男白"&amp;$A38,計算用!$L$2:$L$186,0)),"")</f>
        <v/>
      </c>
      <c r="I38" s="15"/>
      <c r="J38" s="15" t="str">
        <f>IF(ROW()-3&lt;=MAX(計算用!$Q$4,計算用!$Q$5),ROW()-3,"")</f>
        <v/>
      </c>
      <c r="K38" s="15" t="str">
        <f>IFERROR(INDEX(計算用!$D$2:$D$186,MATCH("女赤"&amp;$J38,計算用!$L$2:$L$186,0)),"")</f>
        <v/>
      </c>
      <c r="L38" s="15" t="str">
        <f>IFERROR(INDEX(計算用!$M$2:$M$186,MATCH("女赤"&amp;$J38,計算用!$L$2:$L$186,0)),"")</f>
        <v/>
      </c>
      <c r="M38" s="16" t="str">
        <f>IFERROR(INDEX(計算用!$G$2:$G$186,MATCH("女赤"&amp;$J38,計算用!$L$2:$L$186,0)),"")</f>
        <v/>
      </c>
      <c r="N38" s="15"/>
      <c r="O38" s="15" t="str">
        <f>IFERROR(INDEX(計算用!$D$2:$D$186,MATCH("女白"&amp;$J38,計算用!$L$2:$L$186,0)),"")</f>
        <v/>
      </c>
      <c r="P38" s="15" t="str">
        <f>IFERROR(INDEX(計算用!$M$2:$M$186,MATCH("女白"&amp;$J38,計算用!$L$2:$L$186,0)),"")</f>
        <v/>
      </c>
      <c r="Q38" s="16" t="str">
        <f>IFERROR(INDEX(計算用!$G$2:$G$186,MATCH("女白"&amp;$J38,計算用!$L$2:$L$186,0)),"")</f>
        <v/>
      </c>
    </row>
    <row r="39" spans="1:17" x14ac:dyDescent="0.15">
      <c r="A39" s="15" t="str">
        <f>IF(ROW()-3&lt;=MAX(計算用!$Q$2,計算用!$Q$3),ROW()-3,"")</f>
        <v/>
      </c>
      <c r="B39" s="15" t="str">
        <f>IFERROR(INDEX(計算用!$D$2:$D$186,MATCH("男赤"&amp;$A39,計算用!$L$2:$L$186,0)),"")</f>
        <v/>
      </c>
      <c r="C39" s="15" t="str">
        <f>IFERROR(INDEX(計算用!$M$2:$M$186,MATCH("男赤"&amp;$A39,計算用!$L$2:$L$186,0)),"")</f>
        <v/>
      </c>
      <c r="D39" s="16" t="str">
        <f>IFERROR(INDEX(計算用!$G$2:$G$186,MATCH("男赤"&amp;$A39,計算用!$L$2:$L$186,0)),"")</f>
        <v/>
      </c>
      <c r="E39" s="15"/>
      <c r="F39" s="15" t="str">
        <f>IFERROR(INDEX(計算用!$D$2:$D$186,MATCH("男白"&amp;$A39,計算用!$L$2:$L$186,0)),"")</f>
        <v/>
      </c>
      <c r="G39" s="15" t="str">
        <f>IFERROR(INDEX(計算用!$M$2:$M$186,MATCH("男白"&amp;$A39,計算用!$L$2:$L$186,0)),"")</f>
        <v/>
      </c>
      <c r="H39" s="16" t="str">
        <f>IFERROR(INDEX(計算用!$G$2:$G$186,MATCH("男白"&amp;$A39,計算用!$L$2:$L$186,0)),"")</f>
        <v/>
      </c>
      <c r="I39" s="15"/>
      <c r="J39" s="15" t="str">
        <f>IF(ROW()-3&lt;=MAX(計算用!$Q$4,計算用!$Q$5),ROW()-3,"")</f>
        <v/>
      </c>
      <c r="K39" s="15" t="str">
        <f>IFERROR(INDEX(計算用!$D$2:$D$186,MATCH("女赤"&amp;$J39,計算用!$L$2:$L$186,0)),"")</f>
        <v/>
      </c>
      <c r="L39" s="15" t="str">
        <f>IFERROR(INDEX(計算用!$M$2:$M$186,MATCH("女赤"&amp;$J39,計算用!$L$2:$L$186,0)),"")</f>
        <v/>
      </c>
      <c r="M39" s="16" t="str">
        <f>IFERROR(INDEX(計算用!$G$2:$G$186,MATCH("女赤"&amp;$J39,計算用!$L$2:$L$186,0)),"")</f>
        <v/>
      </c>
      <c r="N39" s="15"/>
      <c r="O39" s="15" t="str">
        <f>IFERROR(INDEX(計算用!$D$2:$D$186,MATCH("女白"&amp;$J39,計算用!$L$2:$L$186,0)),"")</f>
        <v/>
      </c>
      <c r="P39" s="15" t="str">
        <f>IFERROR(INDEX(計算用!$M$2:$M$186,MATCH("女白"&amp;$J39,計算用!$L$2:$L$186,0)),"")</f>
        <v/>
      </c>
      <c r="Q39" s="16" t="str">
        <f>IFERROR(INDEX(計算用!$G$2:$G$186,MATCH("女白"&amp;$J39,計算用!$L$2:$L$186,0)),"")</f>
        <v/>
      </c>
    </row>
    <row r="40" spans="1:17" x14ac:dyDescent="0.15">
      <c r="A40" s="15" t="str">
        <f>IF(ROW()-3&lt;=MAX(計算用!$Q$2,計算用!$Q$3),ROW()-3,"")</f>
        <v/>
      </c>
      <c r="B40" s="15" t="str">
        <f>IFERROR(INDEX(計算用!$D$2:$D$186,MATCH("男赤"&amp;$A40,計算用!$L$2:$L$186,0)),"")</f>
        <v/>
      </c>
      <c r="C40" s="15" t="str">
        <f>IFERROR(INDEX(計算用!$M$2:$M$186,MATCH("男赤"&amp;$A40,計算用!$L$2:$L$186,0)),"")</f>
        <v/>
      </c>
      <c r="D40" s="16" t="str">
        <f>IFERROR(INDEX(計算用!$G$2:$G$186,MATCH("男赤"&amp;$A40,計算用!$L$2:$L$186,0)),"")</f>
        <v/>
      </c>
      <c r="E40" s="15"/>
      <c r="F40" s="15" t="str">
        <f>IFERROR(INDEX(計算用!$D$2:$D$186,MATCH("男白"&amp;$A40,計算用!$L$2:$L$186,0)),"")</f>
        <v/>
      </c>
      <c r="G40" s="15" t="str">
        <f>IFERROR(INDEX(計算用!$M$2:$M$186,MATCH("男白"&amp;$A40,計算用!$L$2:$L$186,0)),"")</f>
        <v/>
      </c>
      <c r="H40" s="16" t="str">
        <f>IFERROR(INDEX(計算用!$G$2:$G$186,MATCH("男白"&amp;$A40,計算用!$L$2:$L$186,0)),"")</f>
        <v/>
      </c>
      <c r="I40" s="15"/>
      <c r="J40" s="15" t="str">
        <f>IF(ROW()-3&lt;=MAX(計算用!$Q$4,計算用!$Q$5),ROW()-3,"")</f>
        <v/>
      </c>
      <c r="K40" s="15" t="str">
        <f>IFERROR(INDEX(計算用!$D$2:$D$186,MATCH("女赤"&amp;$J40,計算用!$L$2:$L$186,0)),"")</f>
        <v/>
      </c>
      <c r="L40" s="15" t="str">
        <f>IFERROR(INDEX(計算用!$M$2:$M$186,MATCH("女赤"&amp;$J40,計算用!$L$2:$L$186,0)),"")</f>
        <v/>
      </c>
      <c r="M40" s="16" t="str">
        <f>IFERROR(INDEX(計算用!$G$2:$G$186,MATCH("女赤"&amp;$J40,計算用!$L$2:$L$186,0)),"")</f>
        <v/>
      </c>
      <c r="N40" s="15"/>
      <c r="O40" s="15" t="str">
        <f>IFERROR(INDEX(計算用!$D$2:$D$186,MATCH("女白"&amp;$J40,計算用!$L$2:$L$186,0)),"")</f>
        <v/>
      </c>
      <c r="P40" s="15" t="str">
        <f>IFERROR(INDEX(計算用!$M$2:$M$186,MATCH("女白"&amp;$J40,計算用!$L$2:$L$186,0)),"")</f>
        <v/>
      </c>
      <c r="Q40" s="16" t="str">
        <f>IFERROR(INDEX(計算用!$G$2:$G$186,MATCH("女白"&amp;$J40,計算用!$L$2:$L$186,0)),"")</f>
        <v/>
      </c>
    </row>
    <row r="41" spans="1:17" x14ac:dyDescent="0.15">
      <c r="A41" s="15" t="str">
        <f>IF(ROW()-3&lt;=MAX(計算用!$Q$2,計算用!$Q$3),ROW()-3,"")</f>
        <v/>
      </c>
      <c r="B41" s="15" t="str">
        <f>IFERROR(INDEX(計算用!$D$2:$D$186,MATCH("男赤"&amp;$A41,計算用!$L$2:$L$186,0)),"")</f>
        <v/>
      </c>
      <c r="C41" s="15" t="str">
        <f>IFERROR(INDEX(計算用!$M$2:$M$186,MATCH("男赤"&amp;$A41,計算用!$L$2:$L$186,0)),"")</f>
        <v/>
      </c>
      <c r="D41" s="16" t="str">
        <f>IFERROR(INDEX(計算用!$G$2:$G$186,MATCH("男赤"&amp;$A41,計算用!$L$2:$L$186,0)),"")</f>
        <v/>
      </c>
      <c r="E41" s="15"/>
      <c r="F41" s="15" t="str">
        <f>IFERROR(INDEX(計算用!$D$2:$D$186,MATCH("男白"&amp;$A41,計算用!$L$2:$L$186,0)),"")</f>
        <v/>
      </c>
      <c r="G41" s="15" t="str">
        <f>IFERROR(INDEX(計算用!$M$2:$M$186,MATCH("男白"&amp;$A41,計算用!$L$2:$L$186,0)),"")</f>
        <v/>
      </c>
      <c r="H41" s="16" t="str">
        <f>IFERROR(INDEX(計算用!$G$2:$G$186,MATCH("男白"&amp;$A41,計算用!$L$2:$L$186,0)),"")</f>
        <v/>
      </c>
      <c r="I41" s="15"/>
      <c r="J41" s="15" t="str">
        <f>IF(ROW()-3&lt;=MAX(計算用!$Q$4,計算用!$Q$5),ROW()-3,"")</f>
        <v/>
      </c>
      <c r="K41" s="15" t="str">
        <f>IFERROR(INDEX(計算用!$D$2:$D$186,MATCH("女赤"&amp;$J41,計算用!$L$2:$L$186,0)),"")</f>
        <v/>
      </c>
      <c r="L41" s="15" t="str">
        <f>IFERROR(INDEX(計算用!$M$2:$M$186,MATCH("女赤"&amp;$J41,計算用!$L$2:$L$186,0)),"")</f>
        <v/>
      </c>
      <c r="M41" s="16" t="str">
        <f>IFERROR(INDEX(計算用!$G$2:$G$186,MATCH("女赤"&amp;$J41,計算用!$L$2:$L$186,0)),"")</f>
        <v/>
      </c>
      <c r="N41" s="15"/>
      <c r="O41" s="15" t="str">
        <f>IFERROR(INDEX(計算用!$D$2:$D$186,MATCH("女白"&amp;$J41,計算用!$L$2:$L$186,0)),"")</f>
        <v/>
      </c>
      <c r="P41" s="15" t="str">
        <f>IFERROR(INDEX(計算用!$M$2:$M$186,MATCH("女白"&amp;$J41,計算用!$L$2:$L$186,0)),"")</f>
        <v/>
      </c>
      <c r="Q41" s="16" t="str">
        <f>IFERROR(INDEX(計算用!$G$2:$G$186,MATCH("女白"&amp;$J41,計算用!$L$2:$L$186,0)),"")</f>
        <v/>
      </c>
    </row>
    <row r="42" spans="1:17" x14ac:dyDescent="0.15">
      <c r="A42" s="15" t="str">
        <f>IF(ROW()-3&lt;=MAX(計算用!$Q$2,計算用!$Q$3),ROW()-3,"")</f>
        <v/>
      </c>
      <c r="B42" s="15" t="str">
        <f>IFERROR(INDEX(計算用!$D$2:$D$186,MATCH("男赤"&amp;$A42,計算用!$L$2:$L$186,0)),"")</f>
        <v/>
      </c>
      <c r="C42" s="15" t="str">
        <f>IFERROR(INDEX(計算用!$M$2:$M$186,MATCH("男赤"&amp;$A42,計算用!$L$2:$L$186,0)),"")</f>
        <v/>
      </c>
      <c r="D42" s="16" t="str">
        <f>IFERROR(INDEX(計算用!$G$2:$G$186,MATCH("男赤"&amp;$A42,計算用!$L$2:$L$186,0)),"")</f>
        <v/>
      </c>
      <c r="E42" s="15"/>
      <c r="F42" s="15" t="str">
        <f>IFERROR(INDEX(計算用!$D$2:$D$186,MATCH("男白"&amp;$A42,計算用!$L$2:$L$186,0)),"")</f>
        <v/>
      </c>
      <c r="G42" s="15" t="str">
        <f>IFERROR(INDEX(計算用!$M$2:$M$186,MATCH("男白"&amp;$A42,計算用!$L$2:$L$186,0)),"")</f>
        <v/>
      </c>
      <c r="H42" s="16" t="str">
        <f>IFERROR(INDEX(計算用!$G$2:$G$186,MATCH("男白"&amp;$A42,計算用!$L$2:$L$186,0)),"")</f>
        <v/>
      </c>
      <c r="I42" s="15"/>
      <c r="J42" s="15" t="str">
        <f>IF(ROW()-3&lt;=MAX(計算用!$Q$4,計算用!$Q$5),ROW()-3,"")</f>
        <v/>
      </c>
      <c r="K42" s="15" t="str">
        <f>IFERROR(INDEX(計算用!$D$2:$D$186,MATCH("女赤"&amp;$J42,計算用!$L$2:$L$186,0)),"")</f>
        <v/>
      </c>
      <c r="L42" s="15" t="str">
        <f>IFERROR(INDEX(計算用!$M$2:$M$186,MATCH("女赤"&amp;$J42,計算用!$L$2:$L$186,0)),"")</f>
        <v/>
      </c>
      <c r="M42" s="16" t="str">
        <f>IFERROR(INDEX(計算用!$G$2:$G$186,MATCH("女赤"&amp;$J42,計算用!$L$2:$L$186,0)),"")</f>
        <v/>
      </c>
      <c r="N42" s="15"/>
      <c r="O42" s="15" t="str">
        <f>IFERROR(INDEX(計算用!$D$2:$D$186,MATCH("女白"&amp;$J42,計算用!$L$2:$L$186,0)),"")</f>
        <v/>
      </c>
      <c r="P42" s="15" t="str">
        <f>IFERROR(INDEX(計算用!$M$2:$M$186,MATCH("女白"&amp;$J42,計算用!$L$2:$L$186,0)),"")</f>
        <v/>
      </c>
      <c r="Q42" s="16" t="str">
        <f>IFERROR(INDEX(計算用!$G$2:$G$186,MATCH("女白"&amp;$J42,計算用!$L$2:$L$186,0)),"")</f>
        <v/>
      </c>
    </row>
    <row r="43" spans="1:17" x14ac:dyDescent="0.15">
      <c r="A43" s="15" t="str">
        <f>IF(ROW()-3&lt;=MAX(計算用!$Q$2,計算用!$Q$3),ROW()-3,"")</f>
        <v/>
      </c>
      <c r="B43" s="15" t="str">
        <f>IFERROR(INDEX(計算用!$D$2:$D$186,MATCH("男赤"&amp;$A43,計算用!$L$2:$L$186,0)),"")</f>
        <v/>
      </c>
      <c r="C43" s="15" t="str">
        <f>IFERROR(INDEX(計算用!$M$2:$M$186,MATCH("男赤"&amp;$A43,計算用!$L$2:$L$186,0)),"")</f>
        <v/>
      </c>
      <c r="D43" s="16" t="str">
        <f>IFERROR(INDEX(計算用!$G$2:$G$186,MATCH("男赤"&amp;$A43,計算用!$L$2:$L$186,0)),"")</f>
        <v/>
      </c>
      <c r="E43" s="15"/>
      <c r="F43" s="15" t="str">
        <f>IFERROR(INDEX(計算用!$D$2:$D$186,MATCH("男白"&amp;$A43,計算用!$L$2:$L$186,0)),"")</f>
        <v/>
      </c>
      <c r="G43" s="15" t="str">
        <f>IFERROR(INDEX(計算用!$M$2:$M$186,MATCH("男白"&amp;$A43,計算用!$L$2:$L$186,0)),"")</f>
        <v/>
      </c>
      <c r="H43" s="16" t="str">
        <f>IFERROR(INDEX(計算用!$G$2:$G$186,MATCH("男白"&amp;$A43,計算用!$L$2:$L$186,0)),"")</f>
        <v/>
      </c>
      <c r="I43" s="15"/>
      <c r="J43" s="15" t="str">
        <f>IF(ROW()-3&lt;=MAX(計算用!$Q$4,計算用!$Q$5),ROW()-3,"")</f>
        <v/>
      </c>
      <c r="K43" s="15" t="str">
        <f>IFERROR(INDEX(計算用!$D$2:$D$186,MATCH("女赤"&amp;$J43,計算用!$L$2:$L$186,0)),"")</f>
        <v/>
      </c>
      <c r="L43" s="15" t="str">
        <f>IFERROR(INDEX(計算用!$M$2:$M$186,MATCH("女赤"&amp;$J43,計算用!$L$2:$L$186,0)),"")</f>
        <v/>
      </c>
      <c r="M43" s="16" t="str">
        <f>IFERROR(INDEX(計算用!$G$2:$G$186,MATCH("女赤"&amp;$J43,計算用!$L$2:$L$186,0)),"")</f>
        <v/>
      </c>
      <c r="N43" s="15"/>
      <c r="O43" s="15" t="str">
        <f>IFERROR(INDEX(計算用!$D$2:$D$186,MATCH("女白"&amp;$J43,計算用!$L$2:$L$186,0)),"")</f>
        <v/>
      </c>
      <c r="P43" s="15" t="str">
        <f>IFERROR(INDEX(計算用!$M$2:$M$186,MATCH("女白"&amp;$J43,計算用!$L$2:$L$186,0)),"")</f>
        <v/>
      </c>
      <c r="Q43" s="16" t="str">
        <f>IFERROR(INDEX(計算用!$G$2:$G$186,MATCH("女白"&amp;$J43,計算用!$L$2:$L$186,0)),"")</f>
        <v/>
      </c>
    </row>
    <row r="44" spans="1:17" x14ac:dyDescent="0.15">
      <c r="A44" s="15" t="str">
        <f>IF(ROW()-3&lt;=MAX(計算用!$Q$2,計算用!$Q$3),ROW()-3,"")</f>
        <v/>
      </c>
      <c r="B44" s="15" t="str">
        <f>IFERROR(INDEX(計算用!$D$2:$D$186,MATCH("男赤"&amp;$A44,計算用!$L$2:$L$186,0)),"")</f>
        <v/>
      </c>
      <c r="C44" s="15" t="str">
        <f>IFERROR(INDEX(計算用!$M$2:$M$186,MATCH("男赤"&amp;$A44,計算用!$L$2:$L$186,0)),"")</f>
        <v/>
      </c>
      <c r="D44" s="16" t="str">
        <f>IFERROR(INDEX(計算用!$G$2:$G$186,MATCH("男赤"&amp;$A44,計算用!$L$2:$L$186,0)),"")</f>
        <v/>
      </c>
      <c r="E44" s="15"/>
      <c r="F44" s="15" t="str">
        <f>IFERROR(INDEX(計算用!$D$2:$D$186,MATCH("男白"&amp;$A44,計算用!$L$2:$L$186,0)),"")</f>
        <v/>
      </c>
      <c r="G44" s="15" t="str">
        <f>IFERROR(INDEX(計算用!$M$2:$M$186,MATCH("男白"&amp;$A44,計算用!$L$2:$L$186,0)),"")</f>
        <v/>
      </c>
      <c r="H44" s="16" t="str">
        <f>IFERROR(INDEX(計算用!$G$2:$G$186,MATCH("男白"&amp;$A44,計算用!$L$2:$L$186,0)),"")</f>
        <v/>
      </c>
      <c r="I44" s="15"/>
      <c r="J44" s="15" t="str">
        <f>IF(ROW()-3&lt;=MAX(計算用!$Q$4,計算用!$Q$5),ROW()-3,"")</f>
        <v/>
      </c>
      <c r="K44" s="15" t="str">
        <f>IFERROR(INDEX(計算用!$D$2:$D$186,MATCH("女赤"&amp;$J44,計算用!$L$2:$L$186,0)),"")</f>
        <v/>
      </c>
      <c r="L44" s="15" t="str">
        <f>IFERROR(INDEX(計算用!$M$2:$M$186,MATCH("女赤"&amp;$J44,計算用!$L$2:$L$186,0)),"")</f>
        <v/>
      </c>
      <c r="M44" s="16" t="str">
        <f>IFERROR(INDEX(計算用!$G$2:$G$186,MATCH("女赤"&amp;$J44,計算用!$L$2:$L$186,0)),"")</f>
        <v/>
      </c>
      <c r="N44" s="15"/>
      <c r="O44" s="15" t="str">
        <f>IFERROR(INDEX(計算用!$D$2:$D$186,MATCH("女白"&amp;$J44,計算用!$L$2:$L$186,0)),"")</f>
        <v/>
      </c>
      <c r="P44" s="15" t="str">
        <f>IFERROR(INDEX(計算用!$M$2:$M$186,MATCH("女白"&amp;$J44,計算用!$L$2:$L$186,0)),"")</f>
        <v/>
      </c>
      <c r="Q44" s="16" t="str">
        <f>IFERROR(INDEX(計算用!$G$2:$G$186,MATCH("女白"&amp;$J44,計算用!$L$2:$L$186,0)),"")</f>
        <v/>
      </c>
    </row>
    <row r="45" spans="1:17" x14ac:dyDescent="0.15">
      <c r="A45" s="15" t="str">
        <f>IF(ROW()-3&lt;=MAX(計算用!$Q$2,計算用!$Q$3),ROW()-3,"")</f>
        <v/>
      </c>
      <c r="B45" s="15" t="str">
        <f>IFERROR(INDEX(計算用!$D$2:$D$186,MATCH("男赤"&amp;$A45,計算用!$L$2:$L$186,0)),"")</f>
        <v/>
      </c>
      <c r="C45" s="15" t="str">
        <f>IFERROR(INDEX(計算用!$M$2:$M$186,MATCH("男赤"&amp;$A45,計算用!$L$2:$L$186,0)),"")</f>
        <v/>
      </c>
      <c r="D45" s="16" t="str">
        <f>IFERROR(INDEX(計算用!$G$2:$G$186,MATCH("男赤"&amp;$A45,計算用!$L$2:$L$186,0)),"")</f>
        <v/>
      </c>
      <c r="E45" s="15"/>
      <c r="F45" s="15" t="str">
        <f>IFERROR(INDEX(計算用!$D$2:$D$186,MATCH("男白"&amp;$A45,計算用!$L$2:$L$186,0)),"")</f>
        <v/>
      </c>
      <c r="G45" s="15" t="str">
        <f>IFERROR(INDEX(計算用!$M$2:$M$186,MATCH("男白"&amp;$A45,計算用!$L$2:$L$186,0)),"")</f>
        <v/>
      </c>
      <c r="H45" s="16" t="str">
        <f>IFERROR(INDEX(計算用!$G$2:$G$186,MATCH("男白"&amp;$A45,計算用!$L$2:$L$186,0)),"")</f>
        <v/>
      </c>
      <c r="I45" s="15"/>
      <c r="J45" s="15" t="str">
        <f>IF(ROW()-3&lt;=MAX(計算用!$Q$4,計算用!$Q$5),ROW()-3,"")</f>
        <v/>
      </c>
      <c r="K45" s="15" t="str">
        <f>IFERROR(INDEX(計算用!$D$2:$D$186,MATCH("女赤"&amp;$J45,計算用!$L$2:$L$186,0)),"")</f>
        <v/>
      </c>
      <c r="L45" s="15" t="str">
        <f>IFERROR(INDEX(計算用!$M$2:$M$186,MATCH("女赤"&amp;$J45,計算用!$L$2:$L$186,0)),"")</f>
        <v/>
      </c>
      <c r="M45" s="16" t="str">
        <f>IFERROR(INDEX(計算用!$G$2:$G$186,MATCH("女赤"&amp;$J45,計算用!$L$2:$L$186,0)),"")</f>
        <v/>
      </c>
      <c r="N45" s="15"/>
      <c r="O45" s="15" t="str">
        <f>IFERROR(INDEX(計算用!$D$2:$D$186,MATCH("女白"&amp;$J45,計算用!$L$2:$L$186,0)),"")</f>
        <v/>
      </c>
      <c r="P45" s="15" t="str">
        <f>IFERROR(INDEX(計算用!$M$2:$M$186,MATCH("女白"&amp;$J45,計算用!$L$2:$L$186,0)),"")</f>
        <v/>
      </c>
      <c r="Q45" s="16" t="str">
        <f>IFERROR(INDEX(計算用!$G$2:$G$186,MATCH("女白"&amp;$J45,計算用!$L$2:$L$186,0)),"")</f>
        <v/>
      </c>
    </row>
    <row r="46" spans="1:17" x14ac:dyDescent="0.15">
      <c r="A46" s="15" t="str">
        <f>IF(ROW()-3&lt;=MAX(計算用!$Q$2,計算用!$Q$3),ROW()-3,"")</f>
        <v/>
      </c>
      <c r="B46" s="15" t="str">
        <f>IFERROR(INDEX(計算用!$D$2:$D$186,MATCH("男赤"&amp;$A46,計算用!$L$2:$L$186,0)),"")</f>
        <v/>
      </c>
      <c r="C46" s="15" t="str">
        <f>IFERROR(INDEX(計算用!$M$2:$M$186,MATCH("男赤"&amp;$A46,計算用!$L$2:$L$186,0)),"")</f>
        <v/>
      </c>
      <c r="D46" s="16" t="str">
        <f>IFERROR(INDEX(計算用!$G$2:$G$186,MATCH("男赤"&amp;$A46,計算用!$L$2:$L$186,0)),"")</f>
        <v/>
      </c>
      <c r="E46" s="15"/>
      <c r="F46" s="15" t="str">
        <f>IFERROR(INDEX(計算用!$D$2:$D$186,MATCH("男白"&amp;$A46,計算用!$L$2:$L$186,0)),"")</f>
        <v/>
      </c>
      <c r="G46" s="15" t="str">
        <f>IFERROR(INDEX(計算用!$M$2:$M$186,MATCH("男白"&amp;$A46,計算用!$L$2:$L$186,0)),"")</f>
        <v/>
      </c>
      <c r="H46" s="16" t="str">
        <f>IFERROR(INDEX(計算用!$G$2:$G$186,MATCH("男白"&amp;$A46,計算用!$L$2:$L$186,0)),"")</f>
        <v/>
      </c>
      <c r="I46" s="15"/>
      <c r="J46" s="15" t="str">
        <f>IF(ROW()-3&lt;=MAX(計算用!$Q$4,計算用!$Q$5),ROW()-3,"")</f>
        <v/>
      </c>
      <c r="K46" s="15" t="str">
        <f>IFERROR(INDEX(計算用!$D$2:$D$186,MATCH("女赤"&amp;$J46,計算用!$L$2:$L$186,0)),"")</f>
        <v/>
      </c>
      <c r="L46" s="15" t="str">
        <f>IFERROR(INDEX(計算用!$M$2:$M$186,MATCH("女赤"&amp;$J46,計算用!$L$2:$L$186,0)),"")</f>
        <v/>
      </c>
      <c r="M46" s="16" t="str">
        <f>IFERROR(INDEX(計算用!$G$2:$G$186,MATCH("女赤"&amp;$J46,計算用!$L$2:$L$186,0)),"")</f>
        <v/>
      </c>
      <c r="N46" s="15"/>
      <c r="O46" s="15" t="str">
        <f>IFERROR(INDEX(計算用!$D$2:$D$186,MATCH("女白"&amp;$J46,計算用!$L$2:$L$186,0)),"")</f>
        <v/>
      </c>
      <c r="P46" s="15" t="str">
        <f>IFERROR(INDEX(計算用!$M$2:$M$186,MATCH("女白"&amp;$J46,計算用!$L$2:$L$186,0)),"")</f>
        <v/>
      </c>
      <c r="Q46" s="16" t="str">
        <f>IFERROR(INDEX(計算用!$G$2:$G$186,MATCH("女白"&amp;$J46,計算用!$L$2:$L$186,0)),"")</f>
        <v/>
      </c>
    </row>
    <row r="47" spans="1:17" x14ac:dyDescent="0.15">
      <c r="A47" s="15" t="str">
        <f>IF(ROW()-3&lt;=MAX(計算用!$Q$2,計算用!$Q$3),ROW()-3,"")</f>
        <v/>
      </c>
      <c r="B47" s="15" t="str">
        <f>IFERROR(INDEX(計算用!$D$2:$D$186,MATCH("男赤"&amp;$A47,計算用!$L$2:$L$186,0)),"")</f>
        <v/>
      </c>
      <c r="C47" s="15" t="str">
        <f>IFERROR(INDEX(計算用!$M$2:$M$186,MATCH("男赤"&amp;$A47,計算用!$L$2:$L$186,0)),"")</f>
        <v/>
      </c>
      <c r="D47" s="16" t="str">
        <f>IFERROR(INDEX(計算用!$G$2:$G$186,MATCH("男赤"&amp;$A47,計算用!$L$2:$L$186,0)),"")</f>
        <v/>
      </c>
      <c r="E47" s="15"/>
      <c r="F47" s="15" t="str">
        <f>IFERROR(INDEX(計算用!$D$2:$D$186,MATCH("男白"&amp;$A47,計算用!$L$2:$L$186,0)),"")</f>
        <v/>
      </c>
      <c r="G47" s="15" t="str">
        <f>IFERROR(INDEX(計算用!$M$2:$M$186,MATCH("男白"&amp;$A47,計算用!$L$2:$L$186,0)),"")</f>
        <v/>
      </c>
      <c r="H47" s="16" t="str">
        <f>IFERROR(INDEX(計算用!$G$2:$G$186,MATCH("男白"&amp;$A47,計算用!$L$2:$L$186,0)),"")</f>
        <v/>
      </c>
      <c r="I47" s="15"/>
      <c r="J47" s="15" t="str">
        <f>IF(ROW()-3&lt;=MAX(計算用!$Q$4,計算用!$Q$5),ROW()-3,"")</f>
        <v/>
      </c>
      <c r="K47" s="15" t="str">
        <f>IFERROR(INDEX(計算用!$D$2:$D$186,MATCH("女赤"&amp;$J47,計算用!$L$2:$L$186,0)),"")</f>
        <v/>
      </c>
      <c r="L47" s="15" t="str">
        <f>IFERROR(INDEX(計算用!$M$2:$M$186,MATCH("女赤"&amp;$J47,計算用!$L$2:$L$186,0)),"")</f>
        <v/>
      </c>
      <c r="M47" s="16" t="str">
        <f>IFERROR(INDEX(計算用!$G$2:$G$186,MATCH("女赤"&amp;$J47,計算用!$L$2:$L$186,0)),"")</f>
        <v/>
      </c>
      <c r="N47" s="15"/>
      <c r="O47" s="15" t="str">
        <f>IFERROR(INDEX(計算用!$D$2:$D$186,MATCH("女白"&amp;$J47,計算用!$L$2:$L$186,0)),"")</f>
        <v/>
      </c>
      <c r="P47" s="15" t="str">
        <f>IFERROR(INDEX(計算用!$M$2:$M$186,MATCH("女白"&amp;$J47,計算用!$L$2:$L$186,0)),"")</f>
        <v/>
      </c>
      <c r="Q47" s="16" t="str">
        <f>IFERROR(INDEX(計算用!$G$2:$G$186,MATCH("女白"&amp;$J47,計算用!$L$2:$L$186,0)),"")</f>
        <v/>
      </c>
    </row>
    <row r="48" spans="1:17" x14ac:dyDescent="0.15">
      <c r="A48" s="15" t="str">
        <f>IF(ROW()-3&lt;=MAX(計算用!$Q$2,計算用!$Q$3),ROW()-3,"")</f>
        <v/>
      </c>
      <c r="B48" s="15" t="str">
        <f>IFERROR(INDEX(計算用!$D$2:$D$186,MATCH("男赤"&amp;$A48,計算用!$L$2:$L$186,0)),"")</f>
        <v/>
      </c>
      <c r="C48" s="15" t="str">
        <f>IFERROR(INDEX(計算用!$M$2:$M$186,MATCH("男赤"&amp;$A48,計算用!$L$2:$L$186,0)),"")</f>
        <v/>
      </c>
      <c r="D48" s="16" t="str">
        <f>IFERROR(INDEX(計算用!$G$2:$G$186,MATCH("男赤"&amp;$A48,計算用!$L$2:$L$186,0)),"")</f>
        <v/>
      </c>
      <c r="E48" s="15"/>
      <c r="F48" s="15" t="str">
        <f>IFERROR(INDEX(計算用!$D$2:$D$186,MATCH("男白"&amp;$A48,計算用!$L$2:$L$186,0)),"")</f>
        <v/>
      </c>
      <c r="G48" s="15" t="str">
        <f>IFERROR(INDEX(計算用!$M$2:$M$186,MATCH("男白"&amp;$A48,計算用!$L$2:$L$186,0)),"")</f>
        <v/>
      </c>
      <c r="H48" s="16" t="str">
        <f>IFERROR(INDEX(計算用!$G$2:$G$186,MATCH("男白"&amp;$A48,計算用!$L$2:$L$186,0)),"")</f>
        <v/>
      </c>
      <c r="I48" s="15"/>
      <c r="J48" s="15" t="str">
        <f>IF(ROW()-3&lt;=MAX(計算用!$Q$4,計算用!$Q$5),ROW()-3,"")</f>
        <v/>
      </c>
      <c r="K48" s="15" t="str">
        <f>IFERROR(INDEX(計算用!$D$2:$D$186,MATCH("女赤"&amp;$J48,計算用!$L$2:$L$186,0)),"")</f>
        <v/>
      </c>
      <c r="L48" s="15" t="str">
        <f>IFERROR(INDEX(計算用!$M$2:$M$186,MATCH("女赤"&amp;$J48,計算用!$L$2:$L$186,0)),"")</f>
        <v/>
      </c>
      <c r="M48" s="16" t="str">
        <f>IFERROR(INDEX(計算用!$G$2:$G$186,MATCH("女赤"&amp;$J48,計算用!$L$2:$L$186,0)),"")</f>
        <v/>
      </c>
      <c r="N48" s="15"/>
      <c r="O48" s="15" t="str">
        <f>IFERROR(INDEX(計算用!$D$2:$D$186,MATCH("女白"&amp;$J48,計算用!$L$2:$L$186,0)),"")</f>
        <v/>
      </c>
      <c r="P48" s="15" t="str">
        <f>IFERROR(INDEX(計算用!$M$2:$M$186,MATCH("女白"&amp;$J48,計算用!$L$2:$L$186,0)),"")</f>
        <v/>
      </c>
      <c r="Q48" s="16" t="str">
        <f>IFERROR(INDEX(計算用!$G$2:$G$186,MATCH("女白"&amp;$J48,計算用!$L$2:$L$186,0)),"")</f>
        <v/>
      </c>
    </row>
    <row r="49" spans="1:17" x14ac:dyDescent="0.15">
      <c r="A49" s="15" t="str">
        <f>IF(ROW()-3&lt;=MAX(計算用!$Q$2,計算用!$Q$3),ROW()-3,"")</f>
        <v/>
      </c>
      <c r="B49" s="15" t="str">
        <f>IFERROR(INDEX(計算用!$D$2:$D$186,MATCH("男赤"&amp;$A49,計算用!$L$2:$L$186,0)),"")</f>
        <v/>
      </c>
      <c r="C49" s="15" t="str">
        <f>IFERROR(INDEX(計算用!$M$2:$M$186,MATCH("男赤"&amp;$A49,計算用!$L$2:$L$186,0)),"")</f>
        <v/>
      </c>
      <c r="D49" s="16" t="str">
        <f>IFERROR(INDEX(計算用!$G$2:$G$186,MATCH("男赤"&amp;$A49,計算用!$L$2:$L$186,0)),"")</f>
        <v/>
      </c>
      <c r="E49" s="15"/>
      <c r="F49" s="15" t="str">
        <f>IFERROR(INDEX(計算用!$D$2:$D$186,MATCH("男白"&amp;$A49,計算用!$L$2:$L$186,0)),"")</f>
        <v/>
      </c>
      <c r="G49" s="15" t="str">
        <f>IFERROR(INDEX(計算用!$M$2:$M$186,MATCH("男白"&amp;$A49,計算用!$L$2:$L$186,0)),"")</f>
        <v/>
      </c>
      <c r="H49" s="16" t="str">
        <f>IFERROR(INDEX(計算用!$G$2:$G$186,MATCH("男白"&amp;$A49,計算用!$L$2:$L$186,0)),"")</f>
        <v/>
      </c>
      <c r="I49" s="15"/>
      <c r="J49" s="15" t="str">
        <f>IF(ROW()-3&lt;=MAX(計算用!$Q$4,計算用!$Q$5),ROW()-3,"")</f>
        <v/>
      </c>
      <c r="K49" s="15" t="str">
        <f>IFERROR(INDEX(計算用!$D$2:$D$186,MATCH("女赤"&amp;$J49,計算用!$L$2:$L$186,0)),"")</f>
        <v/>
      </c>
      <c r="L49" s="15" t="str">
        <f>IFERROR(INDEX(計算用!$M$2:$M$186,MATCH("女赤"&amp;$J49,計算用!$L$2:$L$186,0)),"")</f>
        <v/>
      </c>
      <c r="M49" s="16" t="str">
        <f>IFERROR(INDEX(計算用!$G$2:$G$186,MATCH("女赤"&amp;$J49,計算用!$L$2:$L$186,0)),"")</f>
        <v/>
      </c>
      <c r="N49" s="15"/>
      <c r="O49" s="15" t="str">
        <f>IFERROR(INDEX(計算用!$D$2:$D$186,MATCH("女白"&amp;$J49,計算用!$L$2:$L$186,0)),"")</f>
        <v/>
      </c>
      <c r="P49" s="15" t="str">
        <f>IFERROR(INDEX(計算用!$M$2:$M$186,MATCH("女白"&amp;$J49,計算用!$L$2:$L$186,0)),"")</f>
        <v/>
      </c>
      <c r="Q49" s="16" t="str">
        <f>IFERROR(INDEX(計算用!$G$2:$G$186,MATCH("女白"&amp;$J49,計算用!$L$2:$L$186,0)),"")</f>
        <v/>
      </c>
    </row>
    <row r="50" spans="1:17" x14ac:dyDescent="0.15">
      <c r="A50" s="15" t="str">
        <f>IF(ROW()-3&lt;=MAX(計算用!$Q$2,計算用!$Q$3),ROW()-3,"")</f>
        <v/>
      </c>
      <c r="B50" s="15" t="str">
        <f>IFERROR(INDEX(計算用!$D$2:$D$186,MATCH("男赤"&amp;$A50,計算用!$L$2:$L$186,0)),"")</f>
        <v/>
      </c>
      <c r="C50" s="15" t="str">
        <f>IFERROR(INDEX(計算用!$M$2:$M$186,MATCH("男赤"&amp;$A50,計算用!$L$2:$L$186,0)),"")</f>
        <v/>
      </c>
      <c r="D50" s="16" t="str">
        <f>IFERROR(INDEX(計算用!$G$2:$G$186,MATCH("男赤"&amp;$A50,計算用!$L$2:$L$186,0)),"")</f>
        <v/>
      </c>
      <c r="E50" s="15"/>
      <c r="F50" s="15" t="str">
        <f>IFERROR(INDEX(計算用!$D$2:$D$186,MATCH("男白"&amp;$A50,計算用!$L$2:$L$186,0)),"")</f>
        <v/>
      </c>
      <c r="G50" s="15" t="str">
        <f>IFERROR(INDEX(計算用!$M$2:$M$186,MATCH("男白"&amp;$A50,計算用!$L$2:$L$186,0)),"")</f>
        <v/>
      </c>
      <c r="H50" s="16" t="str">
        <f>IFERROR(INDEX(計算用!$G$2:$G$186,MATCH("男白"&amp;$A50,計算用!$L$2:$L$186,0)),"")</f>
        <v/>
      </c>
      <c r="I50" s="15"/>
      <c r="J50" s="15" t="str">
        <f>IF(ROW()-3&lt;=MAX(計算用!$Q$4,計算用!$Q$5),ROW()-3,"")</f>
        <v/>
      </c>
      <c r="K50" s="15" t="str">
        <f>IFERROR(INDEX(計算用!$D$2:$D$186,MATCH("女赤"&amp;$J50,計算用!$L$2:$L$186,0)),"")</f>
        <v/>
      </c>
      <c r="L50" s="15" t="str">
        <f>IFERROR(INDEX(計算用!$M$2:$M$186,MATCH("女赤"&amp;$J50,計算用!$L$2:$L$186,0)),"")</f>
        <v/>
      </c>
      <c r="M50" s="16" t="str">
        <f>IFERROR(INDEX(計算用!$G$2:$G$186,MATCH("女赤"&amp;$J50,計算用!$L$2:$L$186,0)),"")</f>
        <v/>
      </c>
      <c r="N50" s="15"/>
      <c r="O50" s="15" t="str">
        <f>IFERROR(INDEX(計算用!$D$2:$D$186,MATCH("女白"&amp;$J50,計算用!$L$2:$L$186,0)),"")</f>
        <v/>
      </c>
      <c r="P50" s="15" t="str">
        <f>IFERROR(INDEX(計算用!$M$2:$M$186,MATCH("女白"&amp;$J50,計算用!$L$2:$L$186,0)),"")</f>
        <v/>
      </c>
      <c r="Q50" s="16" t="str">
        <f>IFERROR(INDEX(計算用!$G$2:$G$186,MATCH("女白"&amp;$J50,計算用!$L$2:$L$186,0)),"")</f>
        <v/>
      </c>
    </row>
    <row r="51" spans="1:17" x14ac:dyDescent="0.15">
      <c r="A51" s="15" t="str">
        <f>IF(ROW()-3&lt;=MAX(計算用!$Q$2,計算用!$Q$3),ROW()-3,"")</f>
        <v/>
      </c>
      <c r="B51" s="15" t="str">
        <f>IFERROR(INDEX(計算用!$D$2:$D$186,MATCH("男赤"&amp;$A51,計算用!$L$2:$L$186,0)),"")</f>
        <v/>
      </c>
      <c r="C51" s="15" t="str">
        <f>IFERROR(INDEX(計算用!$M$2:$M$186,MATCH("男赤"&amp;$A51,計算用!$L$2:$L$186,0)),"")</f>
        <v/>
      </c>
      <c r="D51" s="16" t="str">
        <f>IFERROR(INDEX(計算用!$G$2:$G$186,MATCH("男赤"&amp;$A51,計算用!$L$2:$L$186,0)),"")</f>
        <v/>
      </c>
      <c r="E51" s="15"/>
      <c r="F51" s="15" t="str">
        <f>IFERROR(INDEX(計算用!$D$2:$D$186,MATCH("男白"&amp;$A51,計算用!$L$2:$L$186,0)),"")</f>
        <v/>
      </c>
      <c r="G51" s="15" t="str">
        <f>IFERROR(INDEX(計算用!$M$2:$M$186,MATCH("男白"&amp;$A51,計算用!$L$2:$L$186,0)),"")</f>
        <v/>
      </c>
      <c r="H51" s="16" t="str">
        <f>IFERROR(INDEX(計算用!$G$2:$G$186,MATCH("男白"&amp;$A51,計算用!$L$2:$L$186,0)),"")</f>
        <v/>
      </c>
      <c r="I51" s="15"/>
      <c r="J51" s="15" t="str">
        <f>IF(ROW()-3&lt;=MAX(計算用!$Q$4,計算用!$Q$5),ROW()-3,"")</f>
        <v/>
      </c>
      <c r="K51" s="15" t="str">
        <f>IFERROR(INDEX(計算用!$D$2:$D$186,MATCH("女赤"&amp;$J51,計算用!$L$2:$L$186,0)),"")</f>
        <v/>
      </c>
      <c r="L51" s="15" t="str">
        <f>IFERROR(INDEX(計算用!$M$2:$M$186,MATCH("女赤"&amp;$J51,計算用!$L$2:$L$186,0)),"")</f>
        <v/>
      </c>
      <c r="M51" s="16" t="str">
        <f>IFERROR(INDEX(計算用!$G$2:$G$186,MATCH("女赤"&amp;$J51,計算用!$L$2:$L$186,0)),"")</f>
        <v/>
      </c>
      <c r="N51" s="15"/>
      <c r="O51" s="15" t="str">
        <f>IFERROR(INDEX(計算用!$D$2:$D$186,MATCH("女白"&amp;$J51,計算用!$L$2:$L$186,0)),"")</f>
        <v/>
      </c>
      <c r="P51" s="15" t="str">
        <f>IFERROR(INDEX(計算用!$M$2:$M$186,MATCH("女白"&amp;$J51,計算用!$L$2:$L$186,0)),"")</f>
        <v/>
      </c>
      <c r="Q51" s="16" t="str">
        <f>IFERROR(INDEX(計算用!$G$2:$G$186,MATCH("女白"&amp;$J51,計算用!$L$2:$L$186,0)),"")</f>
        <v/>
      </c>
    </row>
    <row r="52" spans="1:17" x14ac:dyDescent="0.15">
      <c r="A52" s="15" t="str">
        <f>IF(ROW()-3&lt;=MAX(計算用!$Q$2,計算用!$Q$3),ROW()-3,"")</f>
        <v/>
      </c>
      <c r="B52" s="15" t="str">
        <f>IFERROR(INDEX(計算用!$D$2:$D$186,MATCH("男赤"&amp;$A52,計算用!$L$2:$L$186,0)),"")</f>
        <v/>
      </c>
      <c r="C52" s="15" t="str">
        <f>IFERROR(INDEX(計算用!$M$2:$M$186,MATCH("男赤"&amp;$A52,計算用!$L$2:$L$186,0)),"")</f>
        <v/>
      </c>
      <c r="D52" s="16" t="str">
        <f>IFERROR(INDEX(計算用!$G$2:$G$186,MATCH("男赤"&amp;$A52,計算用!$L$2:$L$186,0)),"")</f>
        <v/>
      </c>
      <c r="E52" s="15"/>
      <c r="F52" s="15" t="str">
        <f>IFERROR(INDEX(計算用!$D$2:$D$186,MATCH("男白"&amp;$A52,計算用!$L$2:$L$186,0)),"")</f>
        <v/>
      </c>
      <c r="G52" s="15" t="str">
        <f>IFERROR(INDEX(計算用!$M$2:$M$186,MATCH("男白"&amp;$A52,計算用!$L$2:$L$186,0)),"")</f>
        <v/>
      </c>
      <c r="H52" s="16" t="str">
        <f>IFERROR(INDEX(計算用!$G$2:$G$186,MATCH("男白"&amp;$A52,計算用!$L$2:$L$186,0)),"")</f>
        <v/>
      </c>
      <c r="I52" s="15"/>
      <c r="J52" s="15" t="str">
        <f>IF(ROW()-3&lt;=MAX(計算用!$Q$4,計算用!$Q$5),ROW()-3,"")</f>
        <v/>
      </c>
      <c r="K52" s="15" t="str">
        <f>IFERROR(INDEX(計算用!$D$2:$D$186,MATCH("女赤"&amp;$J52,計算用!$L$2:$L$186,0)),"")</f>
        <v/>
      </c>
      <c r="L52" s="15" t="str">
        <f>IFERROR(INDEX(計算用!$M$2:$M$186,MATCH("女赤"&amp;$J52,計算用!$L$2:$L$186,0)),"")</f>
        <v/>
      </c>
      <c r="M52" s="16" t="str">
        <f>IFERROR(INDEX(計算用!$G$2:$G$186,MATCH("女赤"&amp;$J52,計算用!$L$2:$L$186,0)),"")</f>
        <v/>
      </c>
      <c r="N52" s="15"/>
      <c r="O52" s="15" t="str">
        <f>IFERROR(INDEX(計算用!$D$2:$D$186,MATCH("女白"&amp;$J52,計算用!$L$2:$L$186,0)),"")</f>
        <v/>
      </c>
      <c r="P52" s="15" t="str">
        <f>IFERROR(INDEX(計算用!$M$2:$M$186,MATCH("女白"&amp;$J52,計算用!$L$2:$L$186,0)),"")</f>
        <v/>
      </c>
      <c r="Q52" s="16" t="str">
        <f>IFERROR(INDEX(計算用!$G$2:$G$186,MATCH("女白"&amp;$J52,計算用!$L$2:$L$186,0)),"")</f>
        <v/>
      </c>
    </row>
    <row r="53" spans="1:17" x14ac:dyDescent="0.15">
      <c r="A53" s="15" t="str">
        <f>IF(ROW()-3&lt;=MAX(計算用!$Q$2,計算用!$Q$3),ROW()-3,"")</f>
        <v/>
      </c>
      <c r="B53" s="15" t="str">
        <f>IFERROR(INDEX(計算用!$D$2:$D$186,MATCH("男赤"&amp;$A53,計算用!$L$2:$L$186,0)),"")</f>
        <v/>
      </c>
      <c r="C53" s="15" t="str">
        <f>IFERROR(INDEX(計算用!$M$2:$M$186,MATCH("男赤"&amp;$A53,計算用!$L$2:$L$186,0)),"")</f>
        <v/>
      </c>
      <c r="D53" s="16" t="str">
        <f>IFERROR(INDEX(計算用!$G$2:$G$186,MATCH("男赤"&amp;$A53,計算用!$L$2:$L$186,0)),"")</f>
        <v/>
      </c>
      <c r="E53" s="15"/>
      <c r="F53" s="15" t="str">
        <f>IFERROR(INDEX(計算用!$D$2:$D$186,MATCH("男白"&amp;$A53,計算用!$L$2:$L$186,0)),"")</f>
        <v/>
      </c>
      <c r="G53" s="15" t="str">
        <f>IFERROR(INDEX(計算用!$M$2:$M$186,MATCH("男白"&amp;$A53,計算用!$L$2:$L$186,0)),"")</f>
        <v/>
      </c>
      <c r="H53" s="16" t="str">
        <f>IFERROR(INDEX(計算用!$G$2:$G$186,MATCH("男白"&amp;$A53,計算用!$L$2:$L$186,0)),"")</f>
        <v/>
      </c>
      <c r="I53" s="15"/>
      <c r="J53" s="15" t="str">
        <f>IF(ROW()-3&lt;=MAX(計算用!$Q$4,計算用!$Q$5),ROW()-3,"")</f>
        <v/>
      </c>
      <c r="K53" s="15" t="str">
        <f>IFERROR(INDEX(計算用!$D$2:$D$186,MATCH("女赤"&amp;$J53,計算用!$L$2:$L$186,0)),"")</f>
        <v/>
      </c>
      <c r="L53" s="15" t="str">
        <f>IFERROR(INDEX(計算用!$M$2:$M$186,MATCH("女赤"&amp;$J53,計算用!$L$2:$L$186,0)),"")</f>
        <v/>
      </c>
      <c r="M53" s="16" t="str">
        <f>IFERROR(INDEX(計算用!$G$2:$G$186,MATCH("女赤"&amp;$J53,計算用!$L$2:$L$186,0)),"")</f>
        <v/>
      </c>
      <c r="N53" s="15"/>
      <c r="O53" s="15" t="str">
        <f>IFERROR(INDEX(計算用!$D$2:$D$186,MATCH("女白"&amp;$J53,計算用!$L$2:$L$186,0)),"")</f>
        <v/>
      </c>
      <c r="P53" s="15" t="str">
        <f>IFERROR(INDEX(計算用!$M$2:$M$186,MATCH("女白"&amp;$J53,計算用!$L$2:$L$186,0)),"")</f>
        <v/>
      </c>
      <c r="Q53" s="16" t="str">
        <f>IFERROR(INDEX(計算用!$G$2:$G$186,MATCH("女白"&amp;$J53,計算用!$L$2:$L$186,0)),"")</f>
        <v/>
      </c>
    </row>
    <row r="54" spans="1:17" x14ac:dyDescent="0.15">
      <c r="A54" s="15" t="str">
        <f>IF(ROW()-3&lt;=MAX(計算用!$Q$2,計算用!$Q$3),ROW()-3,"")</f>
        <v/>
      </c>
      <c r="B54" s="15" t="str">
        <f>IFERROR(INDEX(計算用!$D$2:$D$186,MATCH("男赤"&amp;$A54,計算用!$L$2:$L$186,0)),"")</f>
        <v/>
      </c>
      <c r="C54" s="15" t="str">
        <f>IFERROR(INDEX(計算用!$M$2:$M$186,MATCH("男赤"&amp;$A54,計算用!$L$2:$L$186,0)),"")</f>
        <v/>
      </c>
      <c r="D54" s="16" t="str">
        <f>IFERROR(INDEX(計算用!$G$2:$G$186,MATCH("男赤"&amp;$A54,計算用!$L$2:$L$186,0)),"")</f>
        <v/>
      </c>
      <c r="E54" s="15"/>
      <c r="F54" s="15" t="str">
        <f>IFERROR(INDEX(計算用!$D$2:$D$186,MATCH("男白"&amp;$A54,計算用!$L$2:$L$186,0)),"")</f>
        <v/>
      </c>
      <c r="G54" s="15" t="str">
        <f>IFERROR(INDEX(計算用!$M$2:$M$186,MATCH("男白"&amp;$A54,計算用!$L$2:$L$186,0)),"")</f>
        <v/>
      </c>
      <c r="H54" s="16" t="str">
        <f>IFERROR(INDEX(計算用!$G$2:$G$186,MATCH("男白"&amp;$A54,計算用!$L$2:$L$186,0)),"")</f>
        <v/>
      </c>
      <c r="I54" s="15"/>
      <c r="J54" s="15" t="str">
        <f>IF(ROW()-3&lt;=MAX(計算用!$Q$4,計算用!$Q$5),ROW()-3,"")</f>
        <v/>
      </c>
      <c r="K54" s="15" t="str">
        <f>IFERROR(INDEX(計算用!$D$2:$D$186,MATCH("女赤"&amp;$J54,計算用!$L$2:$L$186,0)),"")</f>
        <v/>
      </c>
      <c r="L54" s="15" t="str">
        <f>IFERROR(INDEX(計算用!$M$2:$M$186,MATCH("女赤"&amp;$J54,計算用!$L$2:$L$186,0)),"")</f>
        <v/>
      </c>
      <c r="M54" s="16" t="str">
        <f>IFERROR(INDEX(計算用!$G$2:$G$186,MATCH("女赤"&amp;$J54,計算用!$L$2:$L$186,0)),"")</f>
        <v/>
      </c>
      <c r="N54" s="15"/>
      <c r="O54" s="15" t="str">
        <f>IFERROR(INDEX(計算用!$D$2:$D$186,MATCH("女白"&amp;$J54,計算用!$L$2:$L$186,0)),"")</f>
        <v/>
      </c>
      <c r="P54" s="15" t="str">
        <f>IFERROR(INDEX(計算用!$M$2:$M$186,MATCH("女白"&amp;$J54,計算用!$L$2:$L$186,0)),"")</f>
        <v/>
      </c>
      <c r="Q54" s="16" t="str">
        <f>IFERROR(INDEX(計算用!$G$2:$G$186,MATCH("女白"&amp;$J54,計算用!$L$2:$L$186,0)),"")</f>
        <v/>
      </c>
    </row>
    <row r="55" spans="1:17" x14ac:dyDescent="0.15">
      <c r="A55" s="15" t="str">
        <f>IF(ROW()-3&lt;=MAX(計算用!$Q$2,計算用!$Q$3),ROW()-3,"")</f>
        <v/>
      </c>
      <c r="B55" s="15" t="str">
        <f>IFERROR(INDEX(計算用!$D$2:$D$186,MATCH("男赤"&amp;$A55,計算用!$L$2:$L$186,0)),"")</f>
        <v/>
      </c>
      <c r="C55" s="15" t="str">
        <f>IFERROR(INDEX(計算用!$M$2:$M$186,MATCH("男赤"&amp;$A55,計算用!$L$2:$L$186,0)),"")</f>
        <v/>
      </c>
      <c r="D55" s="16" t="str">
        <f>IFERROR(INDEX(計算用!$G$2:$G$186,MATCH("男赤"&amp;$A55,計算用!$L$2:$L$186,0)),"")</f>
        <v/>
      </c>
      <c r="E55" s="15"/>
      <c r="F55" s="15" t="str">
        <f>IFERROR(INDEX(計算用!$D$2:$D$186,MATCH("男白"&amp;$A55,計算用!$L$2:$L$186,0)),"")</f>
        <v/>
      </c>
      <c r="G55" s="15" t="str">
        <f>IFERROR(INDEX(計算用!$M$2:$M$186,MATCH("男白"&amp;$A55,計算用!$L$2:$L$186,0)),"")</f>
        <v/>
      </c>
      <c r="H55" s="16" t="str">
        <f>IFERROR(INDEX(計算用!$G$2:$G$186,MATCH("男白"&amp;$A55,計算用!$L$2:$L$186,0)),"")</f>
        <v/>
      </c>
      <c r="I55" s="15"/>
      <c r="J55" s="15" t="str">
        <f>IF(ROW()-3&lt;=MAX(計算用!$Q$4,計算用!$Q$5),ROW()-3,"")</f>
        <v/>
      </c>
      <c r="K55" s="15" t="str">
        <f>IFERROR(INDEX(計算用!$D$2:$D$186,MATCH("女赤"&amp;$J55,計算用!$L$2:$L$186,0)),"")</f>
        <v/>
      </c>
      <c r="L55" s="15" t="str">
        <f>IFERROR(INDEX(計算用!$M$2:$M$186,MATCH("女赤"&amp;$J55,計算用!$L$2:$L$186,0)),"")</f>
        <v/>
      </c>
      <c r="M55" s="16" t="str">
        <f>IFERROR(INDEX(計算用!$G$2:$G$186,MATCH("女赤"&amp;$J55,計算用!$L$2:$L$186,0)),"")</f>
        <v/>
      </c>
      <c r="N55" s="15"/>
      <c r="O55" s="15" t="str">
        <f>IFERROR(INDEX(計算用!$D$2:$D$186,MATCH("女白"&amp;$J55,計算用!$L$2:$L$186,0)),"")</f>
        <v/>
      </c>
      <c r="P55" s="15" t="str">
        <f>IFERROR(INDEX(計算用!$M$2:$M$186,MATCH("女白"&amp;$J55,計算用!$L$2:$L$186,0)),"")</f>
        <v/>
      </c>
      <c r="Q55" s="16" t="str">
        <f>IFERROR(INDEX(計算用!$G$2:$G$186,MATCH("女白"&amp;$J55,計算用!$L$2:$L$186,0)),"")</f>
        <v/>
      </c>
    </row>
    <row r="56" spans="1:17" x14ac:dyDescent="0.15">
      <c r="A56" s="15" t="str">
        <f>IF(ROW()-3&lt;=MAX(計算用!$Q$2,計算用!$Q$3),ROW()-3,"")</f>
        <v/>
      </c>
      <c r="B56" s="15" t="str">
        <f>IFERROR(INDEX(計算用!$D$2:$D$186,MATCH("男赤"&amp;$A56,計算用!$L$2:$L$186,0)),"")</f>
        <v/>
      </c>
      <c r="C56" s="15" t="str">
        <f>IFERROR(INDEX(計算用!$M$2:$M$186,MATCH("男赤"&amp;$A56,計算用!$L$2:$L$186,0)),"")</f>
        <v/>
      </c>
      <c r="D56" s="16" t="str">
        <f>IFERROR(INDEX(計算用!$G$2:$G$186,MATCH("男赤"&amp;$A56,計算用!$L$2:$L$186,0)),"")</f>
        <v/>
      </c>
      <c r="E56" s="15"/>
      <c r="F56" s="15" t="str">
        <f>IFERROR(INDEX(計算用!$D$2:$D$186,MATCH("男白"&amp;$A56,計算用!$L$2:$L$186,0)),"")</f>
        <v/>
      </c>
      <c r="G56" s="15" t="str">
        <f>IFERROR(INDEX(計算用!$M$2:$M$186,MATCH("男白"&amp;$A56,計算用!$L$2:$L$186,0)),"")</f>
        <v/>
      </c>
      <c r="H56" s="16" t="str">
        <f>IFERROR(INDEX(計算用!$G$2:$G$186,MATCH("男白"&amp;$A56,計算用!$L$2:$L$186,0)),"")</f>
        <v/>
      </c>
      <c r="I56" s="15"/>
      <c r="J56" s="15" t="str">
        <f>IF(ROW()-3&lt;=MAX(計算用!$Q$4,計算用!$Q$5),ROW()-3,"")</f>
        <v/>
      </c>
      <c r="K56" s="15" t="str">
        <f>IFERROR(INDEX(計算用!$D$2:$D$186,MATCH("女赤"&amp;$J56,計算用!$L$2:$L$186,0)),"")</f>
        <v/>
      </c>
      <c r="L56" s="15" t="str">
        <f>IFERROR(INDEX(計算用!$M$2:$M$186,MATCH("女赤"&amp;$J56,計算用!$L$2:$L$186,0)),"")</f>
        <v/>
      </c>
      <c r="M56" s="16" t="str">
        <f>IFERROR(INDEX(計算用!$G$2:$G$186,MATCH("女赤"&amp;$J56,計算用!$L$2:$L$186,0)),"")</f>
        <v/>
      </c>
      <c r="N56" s="15"/>
      <c r="O56" s="15" t="str">
        <f>IFERROR(INDEX(計算用!$D$2:$D$186,MATCH("女白"&amp;$J56,計算用!$L$2:$L$186,0)),"")</f>
        <v/>
      </c>
      <c r="P56" s="15" t="str">
        <f>IFERROR(INDEX(計算用!$M$2:$M$186,MATCH("女白"&amp;$J56,計算用!$L$2:$L$186,0)),"")</f>
        <v/>
      </c>
      <c r="Q56" s="16" t="str">
        <f>IFERROR(INDEX(計算用!$G$2:$G$186,MATCH("女白"&amp;$J56,計算用!$L$2:$L$186,0)),"")</f>
        <v/>
      </c>
    </row>
    <row r="57" spans="1:17" x14ac:dyDescent="0.15">
      <c r="A57" s="15" t="str">
        <f>IF(ROW()-3&lt;=MAX(計算用!$Q$2,計算用!$Q$3),ROW()-3,"")</f>
        <v/>
      </c>
      <c r="B57" s="15" t="str">
        <f>IFERROR(INDEX(計算用!$D$2:$D$186,MATCH("男赤"&amp;$A57,計算用!$L$2:$L$186,0)),"")</f>
        <v/>
      </c>
      <c r="C57" s="15" t="str">
        <f>IFERROR(INDEX(計算用!$M$2:$M$186,MATCH("男赤"&amp;$A57,計算用!$L$2:$L$186,0)),"")</f>
        <v/>
      </c>
      <c r="D57" s="16" t="str">
        <f>IFERROR(INDEX(計算用!$G$2:$G$186,MATCH("男赤"&amp;$A57,計算用!$L$2:$L$186,0)),"")</f>
        <v/>
      </c>
      <c r="E57" s="15"/>
      <c r="F57" s="15" t="str">
        <f>IFERROR(INDEX(計算用!$D$2:$D$186,MATCH("男白"&amp;$A57,計算用!$L$2:$L$186,0)),"")</f>
        <v/>
      </c>
      <c r="G57" s="15" t="str">
        <f>IFERROR(INDEX(計算用!$M$2:$M$186,MATCH("男白"&amp;$A57,計算用!$L$2:$L$186,0)),"")</f>
        <v/>
      </c>
      <c r="H57" s="16" t="str">
        <f>IFERROR(INDEX(計算用!$G$2:$G$186,MATCH("男白"&amp;$A57,計算用!$L$2:$L$186,0)),"")</f>
        <v/>
      </c>
      <c r="I57" s="15"/>
      <c r="J57" s="15" t="str">
        <f>IF(ROW()-3&lt;=MAX(計算用!$Q$4,計算用!$Q$5),ROW()-3,"")</f>
        <v/>
      </c>
      <c r="K57" s="15" t="str">
        <f>IFERROR(INDEX(計算用!$D$2:$D$186,MATCH("女赤"&amp;$J57,計算用!$L$2:$L$186,0)),"")</f>
        <v/>
      </c>
      <c r="L57" s="15" t="str">
        <f>IFERROR(INDEX(計算用!$M$2:$M$186,MATCH("女赤"&amp;$J57,計算用!$L$2:$L$186,0)),"")</f>
        <v/>
      </c>
      <c r="M57" s="16" t="str">
        <f>IFERROR(INDEX(計算用!$G$2:$G$186,MATCH("女赤"&amp;$J57,計算用!$L$2:$L$186,0)),"")</f>
        <v/>
      </c>
      <c r="N57" s="15"/>
      <c r="O57" s="15" t="str">
        <f>IFERROR(INDEX(計算用!$D$2:$D$186,MATCH("女白"&amp;$J57,計算用!$L$2:$L$186,0)),"")</f>
        <v/>
      </c>
      <c r="P57" s="15" t="str">
        <f>IFERROR(INDEX(計算用!$M$2:$M$186,MATCH("女白"&amp;$J57,計算用!$L$2:$L$186,0)),"")</f>
        <v/>
      </c>
      <c r="Q57" s="16" t="str">
        <f>IFERROR(INDEX(計算用!$G$2:$G$186,MATCH("女白"&amp;$J57,計算用!$L$2:$L$186,0)),"")</f>
        <v/>
      </c>
    </row>
    <row r="58" spans="1:17" x14ac:dyDescent="0.15">
      <c r="A58" s="15" t="str">
        <f>IF(ROW()-3&lt;=MAX(計算用!$Q$2,計算用!$Q$3),ROW()-3,"")</f>
        <v/>
      </c>
      <c r="B58" s="15" t="str">
        <f>IFERROR(INDEX(計算用!$D$2:$D$186,MATCH("男赤"&amp;$A58,計算用!$L$2:$L$186,0)),"")</f>
        <v/>
      </c>
      <c r="C58" s="15" t="str">
        <f>IFERROR(INDEX(計算用!$M$2:$M$186,MATCH("男赤"&amp;$A58,計算用!$L$2:$L$186,0)),"")</f>
        <v/>
      </c>
      <c r="D58" s="16" t="str">
        <f>IFERROR(INDEX(計算用!$G$2:$G$186,MATCH("男赤"&amp;$A58,計算用!$L$2:$L$186,0)),"")</f>
        <v/>
      </c>
      <c r="E58" s="15"/>
      <c r="F58" s="15" t="str">
        <f>IFERROR(INDEX(計算用!$D$2:$D$186,MATCH("男白"&amp;$A58,計算用!$L$2:$L$186,0)),"")</f>
        <v/>
      </c>
      <c r="G58" s="15" t="str">
        <f>IFERROR(INDEX(計算用!$M$2:$M$186,MATCH("男白"&amp;$A58,計算用!$L$2:$L$186,0)),"")</f>
        <v/>
      </c>
      <c r="H58" s="16" t="str">
        <f>IFERROR(INDEX(計算用!$G$2:$G$186,MATCH("男白"&amp;$A58,計算用!$L$2:$L$186,0)),"")</f>
        <v/>
      </c>
      <c r="I58" s="15"/>
      <c r="J58" s="15" t="str">
        <f>IF(ROW()-3&lt;=MAX(計算用!$Q$4,計算用!$Q$5),ROW()-3,"")</f>
        <v/>
      </c>
      <c r="K58" s="15" t="str">
        <f>IFERROR(INDEX(計算用!$D$2:$D$186,MATCH("女赤"&amp;$J58,計算用!$L$2:$L$186,0)),"")</f>
        <v/>
      </c>
      <c r="L58" s="15" t="str">
        <f>IFERROR(INDEX(計算用!$M$2:$M$186,MATCH("女赤"&amp;$J58,計算用!$L$2:$L$186,0)),"")</f>
        <v/>
      </c>
      <c r="M58" s="16" t="str">
        <f>IFERROR(INDEX(計算用!$G$2:$G$186,MATCH("女赤"&amp;$J58,計算用!$L$2:$L$186,0)),"")</f>
        <v/>
      </c>
      <c r="N58" s="15"/>
      <c r="O58" s="15" t="str">
        <f>IFERROR(INDEX(計算用!$D$2:$D$186,MATCH("女白"&amp;$J58,計算用!$L$2:$L$186,0)),"")</f>
        <v/>
      </c>
      <c r="P58" s="15" t="str">
        <f>IFERROR(INDEX(計算用!$M$2:$M$186,MATCH("女白"&amp;$J58,計算用!$L$2:$L$186,0)),"")</f>
        <v/>
      </c>
      <c r="Q58" s="16" t="str">
        <f>IFERROR(INDEX(計算用!$G$2:$G$186,MATCH("女白"&amp;$J58,計算用!$L$2:$L$186,0)),"")</f>
        <v/>
      </c>
    </row>
    <row r="59" spans="1:17" x14ac:dyDescent="0.15">
      <c r="A59" s="15" t="str">
        <f>IF(ROW()-3&lt;=MAX(計算用!$Q$2,計算用!$Q$3),ROW()-3,"")</f>
        <v/>
      </c>
      <c r="B59" s="15" t="str">
        <f>IFERROR(INDEX(計算用!$D$2:$D$186,MATCH("男赤"&amp;$A59,計算用!$L$2:$L$186,0)),"")</f>
        <v/>
      </c>
      <c r="C59" s="15" t="str">
        <f>IFERROR(INDEX(計算用!$M$2:$M$186,MATCH("男赤"&amp;$A59,計算用!$L$2:$L$186,0)),"")</f>
        <v/>
      </c>
      <c r="D59" s="16" t="str">
        <f>IFERROR(INDEX(計算用!$G$2:$G$186,MATCH("男赤"&amp;$A59,計算用!$L$2:$L$186,0)),"")</f>
        <v/>
      </c>
      <c r="E59" s="15"/>
      <c r="F59" s="15" t="str">
        <f>IFERROR(INDEX(計算用!$D$2:$D$186,MATCH("男白"&amp;$A59,計算用!$L$2:$L$186,0)),"")</f>
        <v/>
      </c>
      <c r="G59" s="15" t="str">
        <f>IFERROR(INDEX(計算用!$M$2:$M$186,MATCH("男白"&amp;$A59,計算用!$L$2:$L$186,0)),"")</f>
        <v/>
      </c>
      <c r="H59" s="16" t="str">
        <f>IFERROR(INDEX(計算用!$G$2:$G$186,MATCH("男白"&amp;$A59,計算用!$L$2:$L$186,0)),"")</f>
        <v/>
      </c>
      <c r="I59" s="15"/>
      <c r="J59" s="15" t="str">
        <f>IF(ROW()-3&lt;=MAX(計算用!$Q$4,計算用!$Q$5),ROW()-3,"")</f>
        <v/>
      </c>
      <c r="K59" s="15" t="str">
        <f>IFERROR(INDEX(計算用!$D$2:$D$186,MATCH("女赤"&amp;$J59,計算用!$L$2:$L$186,0)),"")</f>
        <v/>
      </c>
      <c r="L59" s="15" t="str">
        <f>IFERROR(INDEX(計算用!$M$2:$M$186,MATCH("女赤"&amp;$J59,計算用!$L$2:$L$186,0)),"")</f>
        <v/>
      </c>
      <c r="M59" s="16" t="str">
        <f>IFERROR(INDEX(計算用!$G$2:$G$186,MATCH("女赤"&amp;$J59,計算用!$L$2:$L$186,0)),"")</f>
        <v/>
      </c>
      <c r="N59" s="15"/>
      <c r="O59" s="15" t="str">
        <f>IFERROR(INDEX(計算用!$D$2:$D$186,MATCH("女白"&amp;$J59,計算用!$L$2:$L$186,0)),"")</f>
        <v/>
      </c>
      <c r="P59" s="15" t="str">
        <f>IFERROR(INDEX(計算用!$M$2:$M$186,MATCH("女白"&amp;$J59,計算用!$L$2:$L$186,0)),"")</f>
        <v/>
      </c>
      <c r="Q59" s="16" t="str">
        <f>IFERROR(INDEX(計算用!$G$2:$G$186,MATCH("女白"&amp;$J59,計算用!$L$2:$L$186,0)),"")</f>
        <v/>
      </c>
    </row>
    <row r="60" spans="1:17" x14ac:dyDescent="0.15">
      <c r="A60" s="15" t="str">
        <f>IF(ROW()-3&lt;=MAX(計算用!$Q$2,計算用!$Q$3),ROW()-3,"")</f>
        <v/>
      </c>
      <c r="B60" s="15" t="str">
        <f>IFERROR(INDEX(計算用!$D$2:$D$186,MATCH("男赤"&amp;$A60,計算用!$L$2:$L$186,0)),"")</f>
        <v/>
      </c>
      <c r="C60" s="15" t="str">
        <f>IFERROR(INDEX(計算用!$M$2:$M$186,MATCH("男赤"&amp;$A60,計算用!$L$2:$L$186,0)),"")</f>
        <v/>
      </c>
      <c r="D60" s="16" t="str">
        <f>IFERROR(INDEX(計算用!$G$2:$G$186,MATCH("男赤"&amp;$A60,計算用!$L$2:$L$186,0)),"")</f>
        <v/>
      </c>
      <c r="E60" s="15"/>
      <c r="F60" s="15" t="str">
        <f>IFERROR(INDEX(計算用!$D$2:$D$186,MATCH("男白"&amp;$A60,計算用!$L$2:$L$186,0)),"")</f>
        <v/>
      </c>
      <c r="G60" s="15" t="str">
        <f>IFERROR(INDEX(計算用!$M$2:$M$186,MATCH("男白"&amp;$A60,計算用!$L$2:$L$186,0)),"")</f>
        <v/>
      </c>
      <c r="H60" s="16" t="str">
        <f>IFERROR(INDEX(計算用!$G$2:$G$186,MATCH("男白"&amp;$A60,計算用!$L$2:$L$186,0)),"")</f>
        <v/>
      </c>
      <c r="I60" s="15"/>
      <c r="J60" s="15" t="str">
        <f>IF(ROW()-3&lt;=MAX(計算用!$Q$4,計算用!$Q$5),ROW()-3,"")</f>
        <v/>
      </c>
      <c r="K60" s="15" t="str">
        <f>IFERROR(INDEX(計算用!$D$2:$D$186,MATCH("女赤"&amp;$J60,計算用!$L$2:$L$186,0)),"")</f>
        <v/>
      </c>
      <c r="L60" s="15" t="str">
        <f>IFERROR(INDEX(計算用!$M$2:$M$186,MATCH("女赤"&amp;$J60,計算用!$L$2:$L$186,0)),"")</f>
        <v/>
      </c>
      <c r="M60" s="16" t="str">
        <f>IFERROR(INDEX(計算用!$G$2:$G$186,MATCH("女赤"&amp;$J60,計算用!$L$2:$L$186,0)),"")</f>
        <v/>
      </c>
      <c r="N60" s="15"/>
      <c r="O60" s="15" t="str">
        <f>IFERROR(INDEX(計算用!$D$2:$D$186,MATCH("女白"&amp;$J60,計算用!$L$2:$L$186,0)),"")</f>
        <v/>
      </c>
      <c r="P60" s="15" t="str">
        <f>IFERROR(INDEX(計算用!$M$2:$M$186,MATCH("女白"&amp;$J60,計算用!$L$2:$L$186,0)),"")</f>
        <v/>
      </c>
      <c r="Q60" s="16" t="str">
        <f>IFERROR(INDEX(計算用!$G$2:$G$186,MATCH("女白"&amp;$J60,計算用!$L$2:$L$186,0)),"")</f>
        <v/>
      </c>
    </row>
    <row r="61" spans="1:17" x14ac:dyDescent="0.15">
      <c r="A61" s="15" t="str">
        <f>IF(ROW()-3&lt;=MAX(計算用!$Q$2,計算用!$Q$3),ROW()-3,"")</f>
        <v/>
      </c>
      <c r="B61" s="15" t="str">
        <f>IFERROR(INDEX(計算用!$D$2:$D$186,MATCH("男赤"&amp;$A61,計算用!$L$2:$L$186,0)),"")</f>
        <v/>
      </c>
      <c r="C61" s="15" t="str">
        <f>IFERROR(INDEX(計算用!$M$2:$M$186,MATCH("男赤"&amp;$A61,計算用!$L$2:$L$186,0)),"")</f>
        <v/>
      </c>
      <c r="D61" s="16" t="str">
        <f>IFERROR(INDEX(計算用!$G$2:$G$186,MATCH("男赤"&amp;$A61,計算用!$L$2:$L$186,0)),"")</f>
        <v/>
      </c>
      <c r="E61" s="15"/>
      <c r="F61" s="15" t="str">
        <f>IFERROR(INDEX(計算用!$D$2:$D$186,MATCH("男白"&amp;$A61,計算用!$L$2:$L$186,0)),"")</f>
        <v/>
      </c>
      <c r="G61" s="15" t="str">
        <f>IFERROR(INDEX(計算用!$M$2:$M$186,MATCH("男白"&amp;$A61,計算用!$L$2:$L$186,0)),"")</f>
        <v/>
      </c>
      <c r="H61" s="16" t="str">
        <f>IFERROR(INDEX(計算用!$G$2:$G$186,MATCH("男白"&amp;$A61,計算用!$L$2:$L$186,0)),"")</f>
        <v/>
      </c>
      <c r="I61" s="15"/>
      <c r="J61" s="15" t="str">
        <f>IF(ROW()-3&lt;=MAX(計算用!$Q$4,計算用!$Q$5),ROW()-3,"")</f>
        <v/>
      </c>
      <c r="K61" s="15" t="str">
        <f>IFERROR(INDEX(計算用!$D$2:$D$186,MATCH("女赤"&amp;$J61,計算用!$L$2:$L$186,0)),"")</f>
        <v/>
      </c>
      <c r="L61" s="15" t="str">
        <f>IFERROR(INDEX(計算用!$M$2:$M$186,MATCH("女赤"&amp;$J61,計算用!$L$2:$L$186,0)),"")</f>
        <v/>
      </c>
      <c r="M61" s="16" t="str">
        <f>IFERROR(INDEX(計算用!$G$2:$G$186,MATCH("女赤"&amp;$J61,計算用!$L$2:$L$186,0)),"")</f>
        <v/>
      </c>
      <c r="N61" s="15"/>
      <c r="O61" s="15" t="str">
        <f>IFERROR(INDEX(計算用!$D$2:$D$186,MATCH("女白"&amp;$J61,計算用!$L$2:$L$186,0)),"")</f>
        <v/>
      </c>
      <c r="P61" s="15" t="str">
        <f>IFERROR(INDEX(計算用!$M$2:$M$186,MATCH("女白"&amp;$J61,計算用!$L$2:$L$186,0)),"")</f>
        <v/>
      </c>
      <c r="Q61" s="16" t="str">
        <f>IFERROR(INDEX(計算用!$G$2:$G$186,MATCH("女白"&amp;$J61,計算用!$L$2:$L$186,0)),"")</f>
        <v/>
      </c>
    </row>
    <row r="62" spans="1:17" x14ac:dyDescent="0.15">
      <c r="A62" s="15" t="str">
        <f>IF(ROW()-3&lt;=MAX(計算用!$Q$2,計算用!$Q$3),ROW()-3,"")</f>
        <v/>
      </c>
      <c r="B62" s="15" t="str">
        <f>IFERROR(INDEX(計算用!$D$2:$D$186,MATCH("男赤"&amp;$A62,計算用!$L$2:$L$186,0)),"")</f>
        <v/>
      </c>
      <c r="C62" s="15" t="str">
        <f>IFERROR(INDEX(計算用!$M$2:$M$186,MATCH("男赤"&amp;$A62,計算用!$L$2:$L$186,0)),"")</f>
        <v/>
      </c>
      <c r="D62" s="16" t="str">
        <f>IFERROR(INDEX(計算用!$G$2:$G$186,MATCH("男赤"&amp;$A62,計算用!$L$2:$L$186,0)),"")</f>
        <v/>
      </c>
      <c r="E62" s="15"/>
      <c r="F62" s="15" t="str">
        <f>IFERROR(INDEX(計算用!$D$2:$D$186,MATCH("男白"&amp;$A62,計算用!$L$2:$L$186,0)),"")</f>
        <v/>
      </c>
      <c r="G62" s="15" t="str">
        <f>IFERROR(INDEX(計算用!$M$2:$M$186,MATCH("男白"&amp;$A62,計算用!$L$2:$L$186,0)),"")</f>
        <v/>
      </c>
      <c r="H62" s="16" t="str">
        <f>IFERROR(INDEX(計算用!$G$2:$G$186,MATCH("男白"&amp;$A62,計算用!$L$2:$L$186,0)),"")</f>
        <v/>
      </c>
      <c r="I62" s="15"/>
      <c r="J62" s="15" t="str">
        <f>IF(ROW()-3&lt;=MAX(計算用!$Q$4,計算用!$Q$5),ROW()-3,"")</f>
        <v/>
      </c>
      <c r="K62" s="15" t="str">
        <f>IFERROR(INDEX(計算用!$D$2:$D$186,MATCH("女赤"&amp;$J62,計算用!$L$2:$L$186,0)),"")</f>
        <v/>
      </c>
      <c r="L62" s="15" t="str">
        <f>IFERROR(INDEX(計算用!$M$2:$M$186,MATCH("女赤"&amp;$J62,計算用!$L$2:$L$186,0)),"")</f>
        <v/>
      </c>
      <c r="M62" s="16" t="str">
        <f>IFERROR(INDEX(計算用!$G$2:$G$186,MATCH("女赤"&amp;$J62,計算用!$L$2:$L$186,0)),"")</f>
        <v/>
      </c>
      <c r="N62" s="15"/>
      <c r="O62" s="15" t="str">
        <f>IFERROR(INDEX(計算用!$D$2:$D$186,MATCH("女白"&amp;$J62,計算用!$L$2:$L$186,0)),"")</f>
        <v/>
      </c>
      <c r="P62" s="15" t="str">
        <f>IFERROR(INDEX(計算用!$M$2:$M$186,MATCH("女白"&amp;$J62,計算用!$L$2:$L$186,0)),"")</f>
        <v/>
      </c>
      <c r="Q62" s="16" t="str">
        <f>IFERROR(INDEX(計算用!$G$2:$G$186,MATCH("女白"&amp;$J62,計算用!$L$2:$L$186,0)),"")</f>
        <v/>
      </c>
    </row>
    <row r="63" spans="1:17" x14ac:dyDescent="0.15">
      <c r="A63" s="15" t="str">
        <f>IF(ROW()-3&lt;=MAX(計算用!$Q$2,計算用!$Q$3),ROW()-3,"")</f>
        <v/>
      </c>
      <c r="B63" s="15" t="str">
        <f>IFERROR(INDEX(計算用!$D$2:$D$186,MATCH("男赤"&amp;$A63,計算用!$L$2:$L$186,0)),"")</f>
        <v/>
      </c>
      <c r="C63" s="15" t="str">
        <f>IFERROR(INDEX(計算用!$M$2:$M$186,MATCH("男赤"&amp;$A63,計算用!$L$2:$L$186,0)),"")</f>
        <v/>
      </c>
      <c r="D63" s="16" t="str">
        <f>IFERROR(INDEX(計算用!$G$2:$G$186,MATCH("男赤"&amp;$A63,計算用!$L$2:$L$186,0)),"")</f>
        <v/>
      </c>
      <c r="E63" s="15"/>
      <c r="F63" s="15" t="str">
        <f>IFERROR(INDEX(計算用!$D$2:$D$186,MATCH("男白"&amp;$A63,計算用!$L$2:$L$186,0)),"")</f>
        <v/>
      </c>
      <c r="G63" s="15" t="str">
        <f>IFERROR(INDEX(計算用!$M$2:$M$186,MATCH("男白"&amp;$A63,計算用!$L$2:$L$186,0)),"")</f>
        <v/>
      </c>
      <c r="H63" s="16" t="str">
        <f>IFERROR(INDEX(計算用!$G$2:$G$186,MATCH("男白"&amp;$A63,計算用!$L$2:$L$186,0)),"")</f>
        <v/>
      </c>
      <c r="I63" s="15"/>
      <c r="J63" s="15" t="str">
        <f>IF(ROW()-3&lt;=MAX(計算用!$Q$4,計算用!$Q$5),ROW()-3,"")</f>
        <v/>
      </c>
      <c r="K63" s="15" t="str">
        <f>IFERROR(INDEX(計算用!$D$2:$D$186,MATCH("女赤"&amp;$J63,計算用!$L$2:$L$186,0)),"")</f>
        <v/>
      </c>
      <c r="L63" s="15" t="str">
        <f>IFERROR(INDEX(計算用!$M$2:$M$186,MATCH("女赤"&amp;$J63,計算用!$L$2:$L$186,0)),"")</f>
        <v/>
      </c>
      <c r="M63" s="16" t="str">
        <f>IFERROR(INDEX(計算用!$G$2:$G$186,MATCH("女赤"&amp;$J63,計算用!$L$2:$L$186,0)),"")</f>
        <v/>
      </c>
      <c r="N63" s="15"/>
      <c r="O63" s="15" t="str">
        <f>IFERROR(INDEX(計算用!$D$2:$D$186,MATCH("女白"&amp;$J63,計算用!$L$2:$L$186,0)),"")</f>
        <v/>
      </c>
      <c r="P63" s="15" t="str">
        <f>IFERROR(INDEX(計算用!$M$2:$M$186,MATCH("女白"&amp;$J63,計算用!$L$2:$L$186,0)),"")</f>
        <v/>
      </c>
      <c r="Q63" s="16" t="str">
        <f>IFERROR(INDEX(計算用!$G$2:$G$186,MATCH("女白"&amp;$J63,計算用!$L$2:$L$186,0)),"")</f>
        <v/>
      </c>
    </row>
    <row r="64" spans="1:17" x14ac:dyDescent="0.15">
      <c r="A64" s="15" t="str">
        <f>IF(ROW()-3&lt;=MAX(計算用!$Q$2,計算用!$Q$3),ROW()-3,"")</f>
        <v/>
      </c>
      <c r="B64" s="15" t="str">
        <f>IFERROR(INDEX(計算用!$D$2:$D$186,MATCH("男赤"&amp;$A64,計算用!$L$2:$L$186,0)),"")</f>
        <v/>
      </c>
      <c r="C64" s="15" t="str">
        <f>IFERROR(INDEX(計算用!$M$2:$M$186,MATCH("男赤"&amp;$A64,計算用!$L$2:$L$186,0)),"")</f>
        <v/>
      </c>
      <c r="D64" s="16" t="str">
        <f>IFERROR(INDEX(計算用!$G$2:$G$186,MATCH("男赤"&amp;$A64,計算用!$L$2:$L$186,0)),"")</f>
        <v/>
      </c>
      <c r="E64" s="15"/>
      <c r="F64" s="15" t="str">
        <f>IFERROR(INDEX(計算用!$D$2:$D$186,MATCH("男白"&amp;$A64,計算用!$L$2:$L$186,0)),"")</f>
        <v/>
      </c>
      <c r="G64" s="15" t="str">
        <f>IFERROR(INDEX(計算用!$M$2:$M$186,MATCH("男白"&amp;$A64,計算用!$L$2:$L$186,0)),"")</f>
        <v/>
      </c>
      <c r="H64" s="16" t="str">
        <f>IFERROR(INDEX(計算用!$G$2:$G$186,MATCH("男白"&amp;$A64,計算用!$L$2:$L$186,0)),"")</f>
        <v/>
      </c>
      <c r="I64" s="15"/>
      <c r="J64" s="15" t="str">
        <f>IF(ROW()-3&lt;=MAX(計算用!$Q$4,計算用!$Q$5),ROW()-3,"")</f>
        <v/>
      </c>
      <c r="K64" s="15" t="str">
        <f>IFERROR(INDEX(計算用!$D$2:$D$186,MATCH("女赤"&amp;$J64,計算用!$L$2:$L$186,0)),"")</f>
        <v/>
      </c>
      <c r="L64" s="15" t="str">
        <f>IFERROR(INDEX(計算用!$M$2:$M$186,MATCH("女赤"&amp;$J64,計算用!$L$2:$L$186,0)),"")</f>
        <v/>
      </c>
      <c r="M64" s="16" t="str">
        <f>IFERROR(INDEX(計算用!$G$2:$G$186,MATCH("女赤"&amp;$J64,計算用!$L$2:$L$186,0)),"")</f>
        <v/>
      </c>
      <c r="N64" s="15"/>
      <c r="O64" s="15" t="str">
        <f>IFERROR(INDEX(計算用!$D$2:$D$186,MATCH("女白"&amp;$J64,計算用!$L$2:$L$186,0)),"")</f>
        <v/>
      </c>
      <c r="P64" s="15" t="str">
        <f>IFERROR(INDEX(計算用!$M$2:$M$186,MATCH("女白"&amp;$J64,計算用!$L$2:$L$186,0)),"")</f>
        <v/>
      </c>
      <c r="Q64" s="16" t="str">
        <f>IFERROR(INDEX(計算用!$G$2:$G$186,MATCH("女白"&amp;$J64,計算用!$L$2:$L$186,0)),"")</f>
        <v/>
      </c>
    </row>
    <row r="65" spans="1:17" x14ac:dyDescent="0.15">
      <c r="A65" s="15" t="str">
        <f>IF(ROW()-3&lt;=MAX(計算用!$Q$2,計算用!$Q$3),ROW()-3,"")</f>
        <v/>
      </c>
      <c r="B65" s="15" t="str">
        <f>IFERROR(INDEX(計算用!$D$2:$D$186,MATCH("男赤"&amp;$A65,計算用!$L$2:$L$186,0)),"")</f>
        <v/>
      </c>
      <c r="C65" s="15" t="str">
        <f>IFERROR(INDEX(計算用!$M$2:$M$186,MATCH("男赤"&amp;$A65,計算用!$L$2:$L$186,0)),"")</f>
        <v/>
      </c>
      <c r="D65" s="16" t="str">
        <f>IFERROR(INDEX(計算用!$G$2:$G$186,MATCH("男赤"&amp;$A65,計算用!$L$2:$L$186,0)),"")</f>
        <v/>
      </c>
      <c r="E65" s="15"/>
      <c r="F65" s="15" t="str">
        <f>IFERROR(INDEX(計算用!$D$2:$D$186,MATCH("男白"&amp;$A65,計算用!$L$2:$L$186,0)),"")</f>
        <v/>
      </c>
      <c r="G65" s="15" t="str">
        <f>IFERROR(INDEX(計算用!$M$2:$M$186,MATCH("男白"&amp;$A65,計算用!$L$2:$L$186,0)),"")</f>
        <v/>
      </c>
      <c r="H65" s="16" t="str">
        <f>IFERROR(INDEX(計算用!$G$2:$G$186,MATCH("男白"&amp;$A65,計算用!$L$2:$L$186,0)),"")</f>
        <v/>
      </c>
      <c r="I65" s="15"/>
      <c r="J65" s="15" t="str">
        <f>IF(ROW()-3&lt;=MAX(計算用!$Q$4,計算用!$Q$5),ROW()-3,"")</f>
        <v/>
      </c>
      <c r="K65" s="15" t="str">
        <f>IFERROR(INDEX(計算用!$D$2:$D$186,MATCH("女赤"&amp;$J65,計算用!$L$2:$L$186,0)),"")</f>
        <v/>
      </c>
      <c r="L65" s="15" t="str">
        <f>IFERROR(INDEX(計算用!$M$2:$M$186,MATCH("女赤"&amp;$J65,計算用!$L$2:$L$186,0)),"")</f>
        <v/>
      </c>
      <c r="M65" s="16" t="str">
        <f>IFERROR(INDEX(計算用!$G$2:$G$186,MATCH("女赤"&amp;$J65,計算用!$L$2:$L$186,0)),"")</f>
        <v/>
      </c>
      <c r="N65" s="15"/>
      <c r="O65" s="15" t="str">
        <f>IFERROR(INDEX(計算用!$D$2:$D$186,MATCH("女白"&amp;$J65,計算用!$L$2:$L$186,0)),"")</f>
        <v/>
      </c>
      <c r="P65" s="15" t="str">
        <f>IFERROR(INDEX(計算用!$M$2:$M$186,MATCH("女白"&amp;$J65,計算用!$L$2:$L$186,0)),"")</f>
        <v/>
      </c>
      <c r="Q65" s="16" t="str">
        <f>IFERROR(INDEX(計算用!$G$2:$G$186,MATCH("女白"&amp;$J65,計算用!$L$2:$L$186,0)),"")</f>
        <v/>
      </c>
    </row>
    <row r="66" spans="1:17" x14ac:dyDescent="0.15">
      <c r="A66" s="15" t="str">
        <f>IF(ROW()-3&lt;=MAX(計算用!$Q$2,計算用!$Q$3),ROW()-3,"")</f>
        <v/>
      </c>
      <c r="B66" s="15" t="str">
        <f>IFERROR(INDEX(計算用!$D$2:$D$186,MATCH("男赤"&amp;$A66,計算用!$L$2:$L$186,0)),"")</f>
        <v/>
      </c>
      <c r="C66" s="15" t="str">
        <f>IFERROR(INDEX(計算用!$M$2:$M$186,MATCH("男赤"&amp;$A66,計算用!$L$2:$L$186,0)),"")</f>
        <v/>
      </c>
      <c r="D66" s="16" t="str">
        <f>IFERROR(INDEX(計算用!$G$2:$G$186,MATCH("男赤"&amp;$A66,計算用!$L$2:$L$186,0)),"")</f>
        <v/>
      </c>
      <c r="E66" s="15"/>
      <c r="F66" s="15" t="str">
        <f>IFERROR(INDEX(計算用!$D$2:$D$186,MATCH("男白"&amp;$A66,計算用!$L$2:$L$186,0)),"")</f>
        <v/>
      </c>
      <c r="G66" s="15" t="str">
        <f>IFERROR(INDEX(計算用!$M$2:$M$186,MATCH("男白"&amp;$A66,計算用!$L$2:$L$186,0)),"")</f>
        <v/>
      </c>
      <c r="H66" s="16" t="str">
        <f>IFERROR(INDEX(計算用!$G$2:$G$186,MATCH("男白"&amp;$A66,計算用!$L$2:$L$186,0)),"")</f>
        <v/>
      </c>
      <c r="I66" s="15"/>
      <c r="J66" s="15" t="str">
        <f>IF(ROW()-3&lt;=MAX(計算用!$Q$4,計算用!$Q$5),ROW()-3,"")</f>
        <v/>
      </c>
      <c r="K66" s="15" t="str">
        <f>IFERROR(INDEX(計算用!$D$2:$D$186,MATCH("女赤"&amp;$J66,計算用!$L$2:$L$186,0)),"")</f>
        <v/>
      </c>
      <c r="L66" s="15" t="str">
        <f>IFERROR(INDEX(計算用!$M$2:$M$186,MATCH("女赤"&amp;$J66,計算用!$L$2:$L$186,0)),"")</f>
        <v/>
      </c>
      <c r="M66" s="16" t="str">
        <f>IFERROR(INDEX(計算用!$G$2:$G$186,MATCH("女赤"&amp;$J66,計算用!$L$2:$L$186,0)),"")</f>
        <v/>
      </c>
      <c r="N66" s="15"/>
      <c r="O66" s="15" t="str">
        <f>IFERROR(INDEX(計算用!$D$2:$D$186,MATCH("女白"&amp;$J66,計算用!$L$2:$L$186,0)),"")</f>
        <v/>
      </c>
      <c r="P66" s="15" t="str">
        <f>IFERROR(INDEX(計算用!$M$2:$M$186,MATCH("女白"&amp;$J66,計算用!$L$2:$L$186,0)),"")</f>
        <v/>
      </c>
      <c r="Q66" s="16" t="str">
        <f>IFERROR(INDEX(計算用!$G$2:$G$186,MATCH("女白"&amp;$J66,計算用!$L$2:$L$186,0)),"")</f>
        <v/>
      </c>
    </row>
    <row r="67" spans="1:17" x14ac:dyDescent="0.15">
      <c r="A67" s="15" t="str">
        <f>IF(ROW()-3&lt;=MAX(計算用!$Q$2,計算用!$Q$3),ROW()-3,"")</f>
        <v/>
      </c>
      <c r="B67" s="15" t="str">
        <f>IFERROR(INDEX(計算用!$D$2:$D$186,MATCH("男赤"&amp;$A67,計算用!$L$2:$L$186,0)),"")</f>
        <v/>
      </c>
      <c r="C67" s="15" t="str">
        <f>IFERROR(INDEX(計算用!$M$2:$M$186,MATCH("男赤"&amp;$A67,計算用!$L$2:$L$186,0)),"")</f>
        <v/>
      </c>
      <c r="D67" s="16" t="str">
        <f>IFERROR(INDEX(計算用!$G$2:$G$186,MATCH("男赤"&amp;$A67,計算用!$L$2:$L$186,0)),"")</f>
        <v/>
      </c>
      <c r="E67" s="15"/>
      <c r="F67" s="15" t="str">
        <f>IFERROR(INDEX(計算用!$D$2:$D$186,MATCH("男白"&amp;$A67,計算用!$L$2:$L$186,0)),"")</f>
        <v/>
      </c>
      <c r="G67" s="15" t="str">
        <f>IFERROR(INDEX(計算用!$M$2:$M$186,MATCH("男白"&amp;$A67,計算用!$L$2:$L$186,0)),"")</f>
        <v/>
      </c>
      <c r="H67" s="16" t="str">
        <f>IFERROR(INDEX(計算用!$G$2:$G$186,MATCH("男白"&amp;$A67,計算用!$L$2:$L$186,0)),"")</f>
        <v/>
      </c>
      <c r="I67" s="15"/>
      <c r="J67" s="15" t="str">
        <f>IF(ROW()-3&lt;=MAX(計算用!$Q$4,計算用!$Q$5),ROW()-3,"")</f>
        <v/>
      </c>
      <c r="K67" s="15" t="str">
        <f>IFERROR(INDEX(計算用!$D$2:$D$186,MATCH("女赤"&amp;$J67,計算用!$L$2:$L$186,0)),"")</f>
        <v/>
      </c>
      <c r="L67" s="15" t="str">
        <f>IFERROR(INDEX(計算用!$M$2:$M$186,MATCH("女赤"&amp;$J67,計算用!$L$2:$L$186,0)),"")</f>
        <v/>
      </c>
      <c r="M67" s="16" t="str">
        <f>IFERROR(INDEX(計算用!$G$2:$G$186,MATCH("女赤"&amp;$J67,計算用!$L$2:$L$186,0)),"")</f>
        <v/>
      </c>
      <c r="N67" s="15"/>
      <c r="O67" s="15" t="str">
        <f>IFERROR(INDEX(計算用!$D$2:$D$186,MATCH("女白"&amp;$J67,計算用!$L$2:$L$186,0)),"")</f>
        <v/>
      </c>
      <c r="P67" s="15" t="str">
        <f>IFERROR(INDEX(計算用!$M$2:$M$186,MATCH("女白"&amp;$J67,計算用!$L$2:$L$186,0)),"")</f>
        <v/>
      </c>
      <c r="Q67" s="16" t="str">
        <f>IFERROR(INDEX(計算用!$G$2:$G$186,MATCH("女白"&amp;$J67,計算用!$L$2:$L$186,0)),"")</f>
        <v/>
      </c>
    </row>
    <row r="68" spans="1:17" x14ac:dyDescent="0.15">
      <c r="A68" s="15" t="str">
        <f>IF(ROW()-3&lt;=MAX(計算用!$Q$2,計算用!$Q$3),ROW()-3,"")</f>
        <v/>
      </c>
      <c r="B68" s="15" t="str">
        <f>IFERROR(INDEX(計算用!$D$2:$D$186,MATCH("男赤"&amp;$A68,計算用!$L$2:$L$186,0)),"")</f>
        <v/>
      </c>
      <c r="C68" s="15" t="str">
        <f>IFERROR(INDEX(計算用!$M$2:$M$186,MATCH("男赤"&amp;$A68,計算用!$L$2:$L$186,0)),"")</f>
        <v/>
      </c>
      <c r="D68" s="16" t="str">
        <f>IFERROR(INDEX(計算用!$G$2:$G$186,MATCH("男赤"&amp;$A68,計算用!$L$2:$L$186,0)),"")</f>
        <v/>
      </c>
      <c r="E68" s="15"/>
      <c r="F68" s="15" t="str">
        <f>IFERROR(INDEX(計算用!$D$2:$D$186,MATCH("男白"&amp;$A68,計算用!$L$2:$L$186,0)),"")</f>
        <v/>
      </c>
      <c r="G68" s="15" t="str">
        <f>IFERROR(INDEX(計算用!$M$2:$M$186,MATCH("男白"&amp;$A68,計算用!$L$2:$L$186,0)),"")</f>
        <v/>
      </c>
      <c r="H68" s="16" t="str">
        <f>IFERROR(INDEX(計算用!$G$2:$G$186,MATCH("男白"&amp;$A68,計算用!$L$2:$L$186,0)),"")</f>
        <v/>
      </c>
      <c r="I68" s="15"/>
      <c r="J68" s="15" t="str">
        <f>IF(ROW()-3&lt;=MAX(計算用!$Q$4,計算用!$Q$5),ROW()-3,"")</f>
        <v/>
      </c>
      <c r="K68" s="15" t="str">
        <f>IFERROR(INDEX(計算用!$D$2:$D$186,MATCH("女赤"&amp;$J68,計算用!$L$2:$L$186,0)),"")</f>
        <v/>
      </c>
      <c r="L68" s="15" t="str">
        <f>IFERROR(INDEX(計算用!$M$2:$M$186,MATCH("女赤"&amp;$J68,計算用!$L$2:$L$186,0)),"")</f>
        <v/>
      </c>
      <c r="M68" s="16" t="str">
        <f>IFERROR(INDEX(計算用!$G$2:$G$186,MATCH("女赤"&amp;$J68,計算用!$L$2:$L$186,0)),"")</f>
        <v/>
      </c>
      <c r="N68" s="15"/>
      <c r="O68" s="15" t="str">
        <f>IFERROR(INDEX(計算用!$D$2:$D$186,MATCH("女白"&amp;$J68,計算用!$L$2:$L$186,0)),"")</f>
        <v/>
      </c>
      <c r="P68" s="15" t="str">
        <f>IFERROR(INDEX(計算用!$M$2:$M$186,MATCH("女白"&amp;$J68,計算用!$L$2:$L$186,0)),"")</f>
        <v/>
      </c>
      <c r="Q68" s="16" t="str">
        <f>IFERROR(INDEX(計算用!$G$2:$G$186,MATCH("女白"&amp;$J68,計算用!$L$2:$L$186,0)),"")</f>
        <v/>
      </c>
    </row>
    <row r="69" spans="1:17" x14ac:dyDescent="0.15">
      <c r="A69" s="15" t="str">
        <f>IF(ROW()-3&lt;=MAX(計算用!$Q$2,計算用!$Q$3),ROW()-3,"")</f>
        <v/>
      </c>
      <c r="B69" s="15" t="str">
        <f>IFERROR(INDEX(計算用!$D$2:$D$186,MATCH("男赤"&amp;$A69,計算用!$L$2:$L$186,0)),"")</f>
        <v/>
      </c>
      <c r="C69" s="15" t="str">
        <f>IFERROR(INDEX(計算用!$M$2:$M$186,MATCH("男赤"&amp;$A69,計算用!$L$2:$L$186,0)),"")</f>
        <v/>
      </c>
      <c r="D69" s="16" t="str">
        <f>IFERROR(INDEX(計算用!$G$2:$G$186,MATCH("男赤"&amp;$A69,計算用!$L$2:$L$186,0)),"")</f>
        <v/>
      </c>
      <c r="E69" s="15"/>
      <c r="F69" s="15" t="str">
        <f>IFERROR(INDEX(計算用!$D$2:$D$186,MATCH("男白"&amp;$A69,計算用!$L$2:$L$186,0)),"")</f>
        <v/>
      </c>
      <c r="G69" s="15" t="str">
        <f>IFERROR(INDEX(計算用!$M$2:$M$186,MATCH("男白"&amp;$A69,計算用!$L$2:$L$186,0)),"")</f>
        <v/>
      </c>
      <c r="H69" s="16" t="str">
        <f>IFERROR(INDEX(計算用!$G$2:$G$186,MATCH("男白"&amp;$A69,計算用!$L$2:$L$186,0)),"")</f>
        <v/>
      </c>
      <c r="I69" s="15"/>
      <c r="J69" s="15" t="str">
        <f>IF(ROW()-3&lt;=MAX(計算用!$Q$4,計算用!$Q$5),ROW()-3,"")</f>
        <v/>
      </c>
      <c r="K69" s="15" t="str">
        <f>IFERROR(INDEX(計算用!$D$2:$D$186,MATCH("女赤"&amp;$J69,計算用!$L$2:$L$186,0)),"")</f>
        <v/>
      </c>
      <c r="L69" s="15" t="str">
        <f>IFERROR(INDEX(計算用!$M$2:$M$186,MATCH("女赤"&amp;$J69,計算用!$L$2:$L$186,0)),"")</f>
        <v/>
      </c>
      <c r="M69" s="16" t="str">
        <f>IFERROR(INDEX(計算用!$G$2:$G$186,MATCH("女赤"&amp;$J69,計算用!$L$2:$L$186,0)),"")</f>
        <v/>
      </c>
      <c r="N69" s="15"/>
      <c r="O69" s="15" t="str">
        <f>IFERROR(INDEX(計算用!$D$2:$D$186,MATCH("女白"&amp;$J69,計算用!$L$2:$L$186,0)),"")</f>
        <v/>
      </c>
      <c r="P69" s="15" t="str">
        <f>IFERROR(INDEX(計算用!$M$2:$M$186,MATCH("女白"&amp;$J69,計算用!$L$2:$L$186,0)),"")</f>
        <v/>
      </c>
      <c r="Q69" s="16" t="str">
        <f>IFERROR(INDEX(計算用!$G$2:$G$186,MATCH("女白"&amp;$J69,計算用!$L$2:$L$186,0)),"")</f>
        <v/>
      </c>
    </row>
    <row r="70" spans="1:17" x14ac:dyDescent="0.15">
      <c r="A70" s="15" t="str">
        <f>IF(ROW()-3&lt;=MAX(計算用!$Q$2,計算用!$Q$3),ROW()-3,"")</f>
        <v/>
      </c>
      <c r="B70" s="15" t="str">
        <f>IFERROR(INDEX(計算用!$D$2:$D$186,MATCH("男赤"&amp;$A70,計算用!$L$2:$L$186,0)),"")</f>
        <v/>
      </c>
      <c r="C70" s="15" t="str">
        <f>IFERROR(INDEX(計算用!$M$2:$M$186,MATCH("男赤"&amp;$A70,計算用!$L$2:$L$186,0)),"")</f>
        <v/>
      </c>
      <c r="D70" s="16" t="str">
        <f>IFERROR(INDEX(計算用!$G$2:$G$186,MATCH("男赤"&amp;$A70,計算用!$L$2:$L$186,0)),"")</f>
        <v/>
      </c>
      <c r="E70" s="15"/>
      <c r="F70" s="15" t="str">
        <f>IFERROR(INDEX(計算用!$D$2:$D$186,MATCH("男白"&amp;$A70,計算用!$L$2:$L$186,0)),"")</f>
        <v/>
      </c>
      <c r="G70" s="15" t="str">
        <f>IFERROR(INDEX(計算用!$M$2:$M$186,MATCH("男白"&amp;$A70,計算用!$L$2:$L$186,0)),"")</f>
        <v/>
      </c>
      <c r="H70" s="16" t="str">
        <f>IFERROR(INDEX(計算用!$G$2:$G$186,MATCH("男白"&amp;$A70,計算用!$L$2:$L$186,0)),"")</f>
        <v/>
      </c>
      <c r="I70" s="15"/>
      <c r="J70" s="15" t="str">
        <f>IF(ROW()-3&lt;=MAX(計算用!$Q$4,計算用!$Q$5),ROW()-3,"")</f>
        <v/>
      </c>
      <c r="K70" s="15" t="str">
        <f>IFERROR(INDEX(計算用!$D$2:$D$186,MATCH("女赤"&amp;$J70,計算用!$L$2:$L$186,0)),"")</f>
        <v/>
      </c>
      <c r="L70" s="15" t="str">
        <f>IFERROR(INDEX(計算用!$M$2:$M$186,MATCH("女赤"&amp;$J70,計算用!$L$2:$L$186,0)),"")</f>
        <v/>
      </c>
      <c r="M70" s="16" t="str">
        <f>IFERROR(INDEX(計算用!$G$2:$G$186,MATCH("女赤"&amp;$J70,計算用!$L$2:$L$186,0)),"")</f>
        <v/>
      </c>
      <c r="N70" s="15"/>
      <c r="O70" s="15" t="str">
        <f>IFERROR(INDEX(計算用!$D$2:$D$186,MATCH("女白"&amp;$J70,計算用!$L$2:$L$186,0)),"")</f>
        <v/>
      </c>
      <c r="P70" s="15" t="str">
        <f>IFERROR(INDEX(計算用!$M$2:$M$186,MATCH("女白"&amp;$J70,計算用!$L$2:$L$186,0)),"")</f>
        <v/>
      </c>
      <c r="Q70" s="16" t="str">
        <f>IFERROR(INDEX(計算用!$G$2:$G$186,MATCH("女白"&amp;$J70,計算用!$L$2:$L$186,0)),"")</f>
        <v/>
      </c>
    </row>
    <row r="71" spans="1:17" x14ac:dyDescent="0.15">
      <c r="A71" s="15" t="str">
        <f>IF(ROW()-3&lt;=MAX(計算用!$Q$2,計算用!$Q$3),ROW()-3,"")</f>
        <v/>
      </c>
      <c r="B71" s="15" t="str">
        <f>IFERROR(INDEX(計算用!$D$2:$D$186,MATCH("男赤"&amp;$A71,計算用!$L$2:$L$186,0)),"")</f>
        <v/>
      </c>
      <c r="C71" s="15" t="str">
        <f>IFERROR(INDEX(計算用!$M$2:$M$186,MATCH("男赤"&amp;$A71,計算用!$L$2:$L$186,0)),"")</f>
        <v/>
      </c>
      <c r="D71" s="16" t="str">
        <f>IFERROR(INDEX(計算用!$G$2:$G$186,MATCH("男赤"&amp;$A71,計算用!$L$2:$L$186,0)),"")</f>
        <v/>
      </c>
      <c r="E71" s="15"/>
      <c r="F71" s="15" t="str">
        <f>IFERROR(INDEX(計算用!$D$2:$D$186,MATCH("男白"&amp;$A71,計算用!$L$2:$L$186,0)),"")</f>
        <v/>
      </c>
      <c r="G71" s="15" t="str">
        <f>IFERROR(INDEX(計算用!$M$2:$M$186,MATCH("男白"&amp;$A71,計算用!$L$2:$L$186,0)),"")</f>
        <v/>
      </c>
      <c r="H71" s="16" t="str">
        <f>IFERROR(INDEX(計算用!$G$2:$G$186,MATCH("男白"&amp;$A71,計算用!$L$2:$L$186,0)),"")</f>
        <v/>
      </c>
      <c r="I71" s="15"/>
      <c r="J71" s="15" t="str">
        <f>IF(ROW()-3&lt;=MAX(計算用!$Q$4,計算用!$Q$5),ROW()-3,"")</f>
        <v/>
      </c>
      <c r="K71" s="15" t="str">
        <f>IFERROR(INDEX(計算用!$D$2:$D$186,MATCH("女赤"&amp;$J71,計算用!$L$2:$L$186,0)),"")</f>
        <v/>
      </c>
      <c r="L71" s="15" t="str">
        <f>IFERROR(INDEX(計算用!$M$2:$M$186,MATCH("女赤"&amp;$J71,計算用!$L$2:$L$186,0)),"")</f>
        <v/>
      </c>
      <c r="M71" s="16" t="str">
        <f>IFERROR(INDEX(計算用!$G$2:$G$186,MATCH("女赤"&amp;$J71,計算用!$L$2:$L$186,0)),"")</f>
        <v/>
      </c>
      <c r="N71" s="15"/>
      <c r="O71" s="15" t="str">
        <f>IFERROR(INDEX(計算用!$D$2:$D$186,MATCH("女白"&amp;$J71,計算用!$L$2:$L$186,0)),"")</f>
        <v/>
      </c>
      <c r="P71" s="15" t="str">
        <f>IFERROR(INDEX(計算用!$M$2:$M$186,MATCH("女白"&amp;$J71,計算用!$L$2:$L$186,0)),"")</f>
        <v/>
      </c>
      <c r="Q71" s="16" t="str">
        <f>IFERROR(INDEX(計算用!$G$2:$G$186,MATCH("女白"&amp;$J71,計算用!$L$2:$L$186,0)),"")</f>
        <v/>
      </c>
    </row>
    <row r="72" spans="1:17" x14ac:dyDescent="0.15">
      <c r="A72" s="15" t="str">
        <f>IF(ROW()-3&lt;=MAX(計算用!$Q$2,計算用!$Q$3),ROW()-3,"")</f>
        <v/>
      </c>
      <c r="B72" s="15" t="str">
        <f>IFERROR(INDEX(計算用!$D$2:$D$186,MATCH("男赤"&amp;$A72,計算用!$L$2:$L$186,0)),"")</f>
        <v/>
      </c>
      <c r="C72" s="15" t="str">
        <f>IFERROR(INDEX(計算用!$M$2:$M$186,MATCH("男赤"&amp;$A72,計算用!$L$2:$L$186,0)),"")</f>
        <v/>
      </c>
      <c r="D72" s="16" t="str">
        <f>IFERROR(INDEX(計算用!$G$2:$G$186,MATCH("男赤"&amp;$A72,計算用!$L$2:$L$186,0)),"")</f>
        <v/>
      </c>
      <c r="E72" s="15"/>
      <c r="F72" s="15" t="str">
        <f>IFERROR(INDEX(計算用!$D$2:$D$186,MATCH("男白"&amp;$A72,計算用!$L$2:$L$186,0)),"")</f>
        <v/>
      </c>
      <c r="G72" s="15" t="str">
        <f>IFERROR(INDEX(計算用!$M$2:$M$186,MATCH("男白"&amp;$A72,計算用!$L$2:$L$186,0)),"")</f>
        <v/>
      </c>
      <c r="H72" s="16" t="str">
        <f>IFERROR(INDEX(計算用!$G$2:$G$186,MATCH("男白"&amp;$A72,計算用!$L$2:$L$186,0)),"")</f>
        <v/>
      </c>
      <c r="I72" s="15"/>
      <c r="J72" s="15" t="str">
        <f>IF(ROW()-3&lt;=MAX(計算用!$Q$4,計算用!$Q$5),ROW()-3,"")</f>
        <v/>
      </c>
      <c r="K72" s="15" t="str">
        <f>IFERROR(INDEX(計算用!$D$2:$D$186,MATCH("女赤"&amp;$J72,計算用!$L$2:$L$186,0)),"")</f>
        <v/>
      </c>
      <c r="L72" s="15" t="str">
        <f>IFERROR(INDEX(計算用!$M$2:$M$186,MATCH("女赤"&amp;$J72,計算用!$L$2:$L$186,0)),"")</f>
        <v/>
      </c>
      <c r="M72" s="16" t="str">
        <f>IFERROR(INDEX(計算用!$G$2:$G$186,MATCH("女赤"&amp;$J72,計算用!$L$2:$L$186,0)),"")</f>
        <v/>
      </c>
      <c r="N72" s="15"/>
      <c r="O72" s="15" t="str">
        <f>IFERROR(INDEX(計算用!$D$2:$D$186,MATCH("女白"&amp;$J72,計算用!$L$2:$L$186,0)),"")</f>
        <v/>
      </c>
      <c r="P72" s="15" t="str">
        <f>IFERROR(INDEX(計算用!$M$2:$M$186,MATCH("女白"&amp;$J72,計算用!$L$2:$L$186,0)),"")</f>
        <v/>
      </c>
      <c r="Q72" s="16" t="str">
        <f>IFERROR(INDEX(計算用!$G$2:$G$186,MATCH("女白"&amp;$J72,計算用!$L$2:$L$186,0)),"")</f>
        <v/>
      </c>
    </row>
    <row r="73" spans="1:17" x14ac:dyDescent="0.15">
      <c r="A73" s="15" t="str">
        <f>IF(ROW()-3&lt;=MAX(計算用!$Q$2,計算用!$Q$3),ROW()-3,"")</f>
        <v/>
      </c>
      <c r="B73" s="15" t="str">
        <f>IFERROR(INDEX(計算用!$D$2:$D$186,MATCH("男赤"&amp;$A73,計算用!$L$2:$L$186,0)),"")</f>
        <v/>
      </c>
      <c r="C73" s="15" t="str">
        <f>IFERROR(INDEX(計算用!$M$2:$M$186,MATCH("男赤"&amp;$A73,計算用!$L$2:$L$186,0)),"")</f>
        <v/>
      </c>
      <c r="D73" s="16" t="str">
        <f>IFERROR(INDEX(計算用!$G$2:$G$186,MATCH("男赤"&amp;$A73,計算用!$L$2:$L$186,0)),"")</f>
        <v/>
      </c>
      <c r="E73" s="15"/>
      <c r="F73" s="15" t="str">
        <f>IFERROR(INDEX(計算用!$D$2:$D$186,MATCH("男白"&amp;$A73,計算用!$L$2:$L$186,0)),"")</f>
        <v/>
      </c>
      <c r="G73" s="15" t="str">
        <f>IFERROR(INDEX(計算用!$M$2:$M$186,MATCH("男白"&amp;$A73,計算用!$L$2:$L$186,0)),"")</f>
        <v/>
      </c>
      <c r="H73" s="16" t="str">
        <f>IFERROR(INDEX(計算用!$G$2:$G$186,MATCH("男白"&amp;$A73,計算用!$L$2:$L$186,0)),"")</f>
        <v/>
      </c>
      <c r="I73" s="15"/>
      <c r="J73" s="15" t="str">
        <f>IF(ROW()-3&lt;=MAX(計算用!$Q$4,計算用!$Q$5),ROW()-3,"")</f>
        <v/>
      </c>
      <c r="K73" s="15" t="str">
        <f>IFERROR(INDEX(計算用!$D$2:$D$186,MATCH("女赤"&amp;$J73,計算用!$L$2:$L$186,0)),"")</f>
        <v/>
      </c>
      <c r="L73" s="15" t="str">
        <f>IFERROR(INDEX(計算用!$M$2:$M$186,MATCH("女赤"&amp;$J73,計算用!$L$2:$L$186,0)),"")</f>
        <v/>
      </c>
      <c r="M73" s="16" t="str">
        <f>IFERROR(INDEX(計算用!$G$2:$G$186,MATCH("女赤"&amp;$J73,計算用!$L$2:$L$186,0)),"")</f>
        <v/>
      </c>
      <c r="N73" s="15"/>
      <c r="O73" s="15" t="str">
        <f>IFERROR(INDEX(計算用!$D$2:$D$186,MATCH("女白"&amp;$J73,計算用!$L$2:$L$186,0)),"")</f>
        <v/>
      </c>
      <c r="P73" s="15" t="str">
        <f>IFERROR(INDEX(計算用!$M$2:$M$186,MATCH("女白"&amp;$J73,計算用!$L$2:$L$186,0)),"")</f>
        <v/>
      </c>
      <c r="Q73" s="16" t="str">
        <f>IFERROR(INDEX(計算用!$G$2:$G$186,MATCH("女白"&amp;$J73,計算用!$L$2:$L$186,0)),"")</f>
        <v/>
      </c>
    </row>
    <row r="74" spans="1:17" x14ac:dyDescent="0.15">
      <c r="A74" s="15" t="str">
        <f>IF(ROW()-3&lt;=MAX(計算用!$Q$2,計算用!$Q$3),ROW()-3,"")</f>
        <v/>
      </c>
      <c r="B74" s="15" t="str">
        <f>IFERROR(INDEX(計算用!$D$2:$D$186,MATCH("男赤"&amp;$A74,計算用!$L$2:$L$186,0)),"")</f>
        <v/>
      </c>
      <c r="C74" s="15" t="str">
        <f>IFERROR(INDEX(計算用!$M$2:$M$186,MATCH("男赤"&amp;$A74,計算用!$L$2:$L$186,0)),"")</f>
        <v/>
      </c>
      <c r="D74" s="16" t="str">
        <f>IFERROR(INDEX(計算用!$G$2:$G$186,MATCH("男赤"&amp;$A74,計算用!$L$2:$L$186,0)),"")</f>
        <v/>
      </c>
      <c r="E74" s="15"/>
      <c r="F74" s="15" t="str">
        <f>IFERROR(INDEX(計算用!$D$2:$D$186,MATCH("男白"&amp;$A74,計算用!$L$2:$L$186,0)),"")</f>
        <v/>
      </c>
      <c r="G74" s="15" t="str">
        <f>IFERROR(INDEX(計算用!$M$2:$M$186,MATCH("男白"&amp;$A74,計算用!$L$2:$L$186,0)),"")</f>
        <v/>
      </c>
      <c r="H74" s="16" t="str">
        <f>IFERROR(INDEX(計算用!$G$2:$G$186,MATCH("男白"&amp;$A74,計算用!$L$2:$L$186,0)),"")</f>
        <v/>
      </c>
      <c r="I74" s="15"/>
      <c r="J74" s="15" t="str">
        <f>IF(ROW()-3&lt;=MAX(計算用!$Q$4,計算用!$Q$5),ROW()-3,"")</f>
        <v/>
      </c>
      <c r="K74" s="15" t="str">
        <f>IFERROR(INDEX(計算用!$D$2:$D$186,MATCH("女赤"&amp;$J74,計算用!$L$2:$L$186,0)),"")</f>
        <v/>
      </c>
      <c r="L74" s="15" t="str">
        <f>IFERROR(INDEX(計算用!$M$2:$M$186,MATCH("女赤"&amp;$J74,計算用!$L$2:$L$186,0)),"")</f>
        <v/>
      </c>
      <c r="M74" s="16" t="str">
        <f>IFERROR(INDEX(計算用!$G$2:$G$186,MATCH("女赤"&amp;$J74,計算用!$L$2:$L$186,0)),"")</f>
        <v/>
      </c>
      <c r="N74" s="15"/>
      <c r="O74" s="15" t="str">
        <f>IFERROR(INDEX(計算用!$D$2:$D$186,MATCH("女白"&amp;$J74,計算用!$L$2:$L$186,0)),"")</f>
        <v/>
      </c>
      <c r="P74" s="15" t="str">
        <f>IFERROR(INDEX(計算用!$M$2:$M$186,MATCH("女白"&amp;$J74,計算用!$L$2:$L$186,0)),"")</f>
        <v/>
      </c>
      <c r="Q74" s="16" t="str">
        <f>IFERROR(INDEX(計算用!$G$2:$G$186,MATCH("女白"&amp;$J74,計算用!$L$2:$L$186,0)),"")</f>
        <v/>
      </c>
    </row>
    <row r="75" spans="1:17" x14ac:dyDescent="0.15">
      <c r="A75" s="15" t="str">
        <f>IF(ROW()-3&lt;=MAX(計算用!$Q$2,計算用!$Q$3),ROW()-3,"")</f>
        <v/>
      </c>
      <c r="B75" s="15" t="str">
        <f>IFERROR(INDEX(計算用!$D$2:$D$186,MATCH("男赤"&amp;$A75,計算用!$L$2:$L$186,0)),"")</f>
        <v/>
      </c>
      <c r="C75" s="15" t="str">
        <f>IFERROR(INDEX(計算用!$M$2:$M$186,MATCH("男赤"&amp;$A75,計算用!$L$2:$L$186,0)),"")</f>
        <v/>
      </c>
      <c r="D75" s="16" t="str">
        <f>IFERROR(INDEX(計算用!$G$2:$G$186,MATCH("男赤"&amp;$A75,計算用!$L$2:$L$186,0)),"")</f>
        <v/>
      </c>
      <c r="E75" s="15"/>
      <c r="F75" s="15" t="str">
        <f>IFERROR(INDEX(計算用!$D$2:$D$186,MATCH("男白"&amp;$A75,計算用!$L$2:$L$186,0)),"")</f>
        <v/>
      </c>
      <c r="G75" s="15" t="str">
        <f>IFERROR(INDEX(計算用!$M$2:$M$186,MATCH("男白"&amp;$A75,計算用!$L$2:$L$186,0)),"")</f>
        <v/>
      </c>
      <c r="H75" s="16" t="str">
        <f>IFERROR(INDEX(計算用!$G$2:$G$186,MATCH("男白"&amp;$A75,計算用!$L$2:$L$186,0)),"")</f>
        <v/>
      </c>
      <c r="I75" s="15"/>
      <c r="J75" s="15" t="str">
        <f>IF(ROW()-3&lt;=MAX(計算用!$Q$4,計算用!$Q$5),ROW()-3,"")</f>
        <v/>
      </c>
      <c r="K75" s="15" t="str">
        <f>IFERROR(INDEX(計算用!$D$2:$D$186,MATCH("女赤"&amp;$J75,計算用!$L$2:$L$186,0)),"")</f>
        <v/>
      </c>
      <c r="L75" s="15" t="str">
        <f>IFERROR(INDEX(計算用!$M$2:$M$186,MATCH("女赤"&amp;$J75,計算用!$L$2:$L$186,0)),"")</f>
        <v/>
      </c>
      <c r="M75" s="16" t="str">
        <f>IFERROR(INDEX(計算用!$G$2:$G$186,MATCH("女赤"&amp;$J75,計算用!$L$2:$L$186,0)),"")</f>
        <v/>
      </c>
      <c r="N75" s="15"/>
      <c r="O75" s="15" t="str">
        <f>IFERROR(INDEX(計算用!$D$2:$D$186,MATCH("女白"&amp;$J75,計算用!$L$2:$L$186,0)),"")</f>
        <v/>
      </c>
      <c r="P75" s="15" t="str">
        <f>IFERROR(INDEX(計算用!$M$2:$M$186,MATCH("女白"&amp;$J75,計算用!$L$2:$L$186,0)),"")</f>
        <v/>
      </c>
      <c r="Q75" s="16" t="str">
        <f>IFERROR(INDEX(計算用!$G$2:$G$186,MATCH("女白"&amp;$J75,計算用!$L$2:$L$186,0)),"")</f>
        <v/>
      </c>
    </row>
    <row r="76" spans="1:17" x14ac:dyDescent="0.15">
      <c r="A76" s="15" t="str">
        <f>IF(ROW()-3&lt;=MAX(計算用!$Q$2,計算用!$Q$3),ROW()-3,"")</f>
        <v/>
      </c>
      <c r="B76" s="15" t="str">
        <f>IFERROR(INDEX(計算用!$D$2:$D$186,MATCH("男赤"&amp;$A76,計算用!$L$2:$L$186,0)),"")</f>
        <v/>
      </c>
      <c r="C76" s="15" t="str">
        <f>IFERROR(INDEX(計算用!$M$2:$M$186,MATCH("男赤"&amp;$A76,計算用!$L$2:$L$186,0)),"")</f>
        <v/>
      </c>
      <c r="D76" s="16" t="str">
        <f>IFERROR(INDEX(計算用!$G$2:$G$186,MATCH("男赤"&amp;$A76,計算用!$L$2:$L$186,0)),"")</f>
        <v/>
      </c>
      <c r="E76" s="15"/>
      <c r="F76" s="15" t="str">
        <f>IFERROR(INDEX(計算用!$D$2:$D$186,MATCH("男白"&amp;$A76,計算用!$L$2:$L$186,0)),"")</f>
        <v/>
      </c>
      <c r="G76" s="15" t="str">
        <f>IFERROR(INDEX(計算用!$M$2:$M$186,MATCH("男白"&amp;$A76,計算用!$L$2:$L$186,0)),"")</f>
        <v/>
      </c>
      <c r="H76" s="16" t="str">
        <f>IFERROR(INDEX(計算用!$G$2:$G$186,MATCH("男白"&amp;$A76,計算用!$L$2:$L$186,0)),"")</f>
        <v/>
      </c>
      <c r="I76" s="15"/>
      <c r="J76" s="15" t="str">
        <f>IF(ROW()-3&lt;=MAX(計算用!$Q$4,計算用!$Q$5),ROW()-3,"")</f>
        <v/>
      </c>
      <c r="K76" s="15" t="str">
        <f>IFERROR(INDEX(計算用!$D$2:$D$186,MATCH("女赤"&amp;$J76,計算用!$L$2:$L$186,0)),"")</f>
        <v/>
      </c>
      <c r="L76" s="15" t="str">
        <f>IFERROR(INDEX(計算用!$M$2:$M$186,MATCH("女赤"&amp;$J76,計算用!$L$2:$L$186,0)),"")</f>
        <v/>
      </c>
      <c r="M76" s="16" t="str">
        <f>IFERROR(INDEX(計算用!$G$2:$G$186,MATCH("女赤"&amp;$J76,計算用!$L$2:$L$186,0)),"")</f>
        <v/>
      </c>
      <c r="N76" s="15"/>
      <c r="O76" s="15" t="str">
        <f>IFERROR(INDEX(計算用!$D$2:$D$186,MATCH("女白"&amp;$J76,計算用!$L$2:$L$186,0)),"")</f>
        <v/>
      </c>
      <c r="P76" s="15" t="str">
        <f>IFERROR(INDEX(計算用!$M$2:$M$186,MATCH("女白"&amp;$J76,計算用!$L$2:$L$186,0)),"")</f>
        <v/>
      </c>
      <c r="Q76" s="16" t="str">
        <f>IFERROR(INDEX(計算用!$G$2:$G$186,MATCH("女白"&amp;$J76,計算用!$L$2:$L$186,0)),"")</f>
        <v/>
      </c>
    </row>
    <row r="77" spans="1:17" x14ac:dyDescent="0.15">
      <c r="A77" s="15" t="str">
        <f>IF(ROW()-3&lt;=MAX(計算用!$Q$2,計算用!$Q$3),ROW()-3,"")</f>
        <v/>
      </c>
      <c r="B77" s="15" t="str">
        <f>IFERROR(INDEX(計算用!$D$2:$D$186,MATCH("男赤"&amp;$A77,計算用!$L$2:$L$186,0)),"")</f>
        <v/>
      </c>
      <c r="C77" s="15" t="str">
        <f>IFERROR(INDEX(計算用!$M$2:$M$186,MATCH("男赤"&amp;$A77,計算用!$L$2:$L$186,0)),"")</f>
        <v/>
      </c>
      <c r="D77" s="16" t="str">
        <f>IFERROR(INDEX(計算用!$G$2:$G$186,MATCH("男赤"&amp;$A77,計算用!$L$2:$L$186,0)),"")</f>
        <v/>
      </c>
      <c r="E77" s="15"/>
      <c r="F77" s="15" t="str">
        <f>IFERROR(INDEX(計算用!$D$2:$D$186,MATCH("男白"&amp;$A77,計算用!$L$2:$L$186,0)),"")</f>
        <v/>
      </c>
      <c r="G77" s="15" t="str">
        <f>IFERROR(INDEX(計算用!$M$2:$M$186,MATCH("男白"&amp;$A77,計算用!$L$2:$L$186,0)),"")</f>
        <v/>
      </c>
      <c r="H77" s="16" t="str">
        <f>IFERROR(INDEX(計算用!$G$2:$G$186,MATCH("男白"&amp;$A77,計算用!$L$2:$L$186,0)),"")</f>
        <v/>
      </c>
      <c r="I77" s="15"/>
      <c r="J77" s="15" t="str">
        <f>IF(ROW()-3&lt;=MAX(計算用!$Q$4,計算用!$Q$5),ROW()-3,"")</f>
        <v/>
      </c>
      <c r="K77" s="15" t="str">
        <f>IFERROR(INDEX(計算用!$D$2:$D$186,MATCH("女赤"&amp;$J77,計算用!$L$2:$L$186,0)),"")</f>
        <v/>
      </c>
      <c r="L77" s="15" t="str">
        <f>IFERROR(INDEX(計算用!$M$2:$M$186,MATCH("女赤"&amp;$J77,計算用!$L$2:$L$186,0)),"")</f>
        <v/>
      </c>
      <c r="M77" s="16" t="str">
        <f>IFERROR(INDEX(計算用!$G$2:$G$186,MATCH("女赤"&amp;$J77,計算用!$L$2:$L$186,0)),"")</f>
        <v/>
      </c>
      <c r="N77" s="15"/>
      <c r="O77" s="15" t="str">
        <f>IFERROR(INDEX(計算用!$D$2:$D$186,MATCH("女白"&amp;$J77,計算用!$L$2:$L$186,0)),"")</f>
        <v/>
      </c>
      <c r="P77" s="15" t="str">
        <f>IFERROR(INDEX(計算用!$M$2:$M$186,MATCH("女白"&amp;$J77,計算用!$L$2:$L$186,0)),"")</f>
        <v/>
      </c>
      <c r="Q77" s="16" t="str">
        <f>IFERROR(INDEX(計算用!$G$2:$G$186,MATCH("女白"&amp;$J77,計算用!$L$2:$L$186,0)),"")</f>
        <v/>
      </c>
    </row>
    <row r="78" spans="1:17" x14ac:dyDescent="0.15">
      <c r="A78" s="15" t="str">
        <f>IF(ROW()-3&lt;=MAX(計算用!$Q$2,計算用!$Q$3),ROW()-3,"")</f>
        <v/>
      </c>
      <c r="B78" s="15" t="str">
        <f>IFERROR(INDEX(計算用!$D$2:$D$186,MATCH("男赤"&amp;$A78,計算用!$L$2:$L$186,0)),"")</f>
        <v/>
      </c>
      <c r="C78" s="15" t="str">
        <f>IFERROR(INDEX(計算用!$M$2:$M$186,MATCH("男赤"&amp;$A78,計算用!$L$2:$L$186,0)),"")</f>
        <v/>
      </c>
      <c r="D78" s="16" t="str">
        <f>IFERROR(INDEX(計算用!$G$2:$G$186,MATCH("男赤"&amp;$A78,計算用!$L$2:$L$186,0)),"")</f>
        <v/>
      </c>
      <c r="E78" s="15"/>
      <c r="F78" s="15" t="str">
        <f>IFERROR(INDEX(計算用!$D$2:$D$186,MATCH("男白"&amp;$A78,計算用!$L$2:$L$186,0)),"")</f>
        <v/>
      </c>
      <c r="G78" s="15" t="str">
        <f>IFERROR(INDEX(計算用!$M$2:$M$186,MATCH("男白"&amp;$A78,計算用!$L$2:$L$186,0)),"")</f>
        <v/>
      </c>
      <c r="H78" s="16" t="str">
        <f>IFERROR(INDEX(計算用!$G$2:$G$186,MATCH("男白"&amp;$A78,計算用!$L$2:$L$186,0)),"")</f>
        <v/>
      </c>
      <c r="I78" s="15"/>
      <c r="J78" s="15" t="str">
        <f>IF(ROW()-3&lt;=MAX(計算用!$Q$4,計算用!$Q$5),ROW()-3,"")</f>
        <v/>
      </c>
      <c r="K78" s="15" t="str">
        <f>IFERROR(INDEX(計算用!$D$2:$D$186,MATCH("女赤"&amp;$J78,計算用!$L$2:$L$186,0)),"")</f>
        <v/>
      </c>
      <c r="L78" s="15" t="str">
        <f>IFERROR(INDEX(計算用!$M$2:$M$186,MATCH("女赤"&amp;$J78,計算用!$L$2:$L$186,0)),"")</f>
        <v/>
      </c>
      <c r="M78" s="16" t="str">
        <f>IFERROR(INDEX(計算用!$G$2:$G$186,MATCH("女赤"&amp;$J78,計算用!$L$2:$L$186,0)),"")</f>
        <v/>
      </c>
      <c r="N78" s="15"/>
      <c r="O78" s="15" t="str">
        <f>IFERROR(INDEX(計算用!$D$2:$D$186,MATCH("女白"&amp;$J78,計算用!$L$2:$L$186,0)),"")</f>
        <v/>
      </c>
      <c r="P78" s="15" t="str">
        <f>IFERROR(INDEX(計算用!$M$2:$M$186,MATCH("女白"&amp;$J78,計算用!$L$2:$L$186,0)),"")</f>
        <v/>
      </c>
      <c r="Q78" s="16" t="str">
        <f>IFERROR(INDEX(計算用!$G$2:$G$186,MATCH("女白"&amp;$J78,計算用!$L$2:$L$186,0)),"")</f>
        <v/>
      </c>
    </row>
    <row r="79" spans="1:17" x14ac:dyDescent="0.15">
      <c r="A79" s="15" t="str">
        <f>IF(ROW()-3&lt;=MAX(計算用!$Q$2,計算用!$Q$3),ROW()-3,"")</f>
        <v/>
      </c>
      <c r="B79" s="15" t="str">
        <f>IFERROR(INDEX(計算用!$D$2:$D$186,MATCH("男赤"&amp;$A79,計算用!$L$2:$L$186,0)),"")</f>
        <v/>
      </c>
      <c r="C79" s="15" t="str">
        <f>IFERROR(INDEX(計算用!$M$2:$M$186,MATCH("男赤"&amp;$A79,計算用!$L$2:$L$186,0)),"")</f>
        <v/>
      </c>
      <c r="D79" s="16" t="str">
        <f>IFERROR(INDEX(計算用!$G$2:$G$186,MATCH("男赤"&amp;$A79,計算用!$L$2:$L$186,0)),"")</f>
        <v/>
      </c>
      <c r="E79" s="15"/>
      <c r="F79" s="15" t="str">
        <f>IFERROR(INDEX(計算用!$D$2:$D$186,MATCH("男白"&amp;$A79,計算用!$L$2:$L$186,0)),"")</f>
        <v/>
      </c>
      <c r="G79" s="15" t="str">
        <f>IFERROR(INDEX(計算用!$M$2:$M$186,MATCH("男白"&amp;$A79,計算用!$L$2:$L$186,0)),"")</f>
        <v/>
      </c>
      <c r="H79" s="16" t="str">
        <f>IFERROR(INDEX(計算用!$G$2:$G$186,MATCH("男白"&amp;$A79,計算用!$L$2:$L$186,0)),"")</f>
        <v/>
      </c>
      <c r="I79" s="15"/>
      <c r="J79" s="15" t="str">
        <f>IF(ROW()-3&lt;=MAX(計算用!$Q$4,計算用!$Q$5),ROW()-3,"")</f>
        <v/>
      </c>
      <c r="K79" s="15" t="str">
        <f>IFERROR(INDEX(計算用!$D$2:$D$186,MATCH("女赤"&amp;$J79,計算用!$L$2:$L$186,0)),"")</f>
        <v/>
      </c>
      <c r="L79" s="15" t="str">
        <f>IFERROR(INDEX(計算用!$M$2:$M$186,MATCH("女赤"&amp;$J79,計算用!$L$2:$L$186,0)),"")</f>
        <v/>
      </c>
      <c r="M79" s="16" t="str">
        <f>IFERROR(INDEX(計算用!$G$2:$G$186,MATCH("女赤"&amp;$J79,計算用!$L$2:$L$186,0)),"")</f>
        <v/>
      </c>
      <c r="N79" s="15"/>
      <c r="O79" s="15" t="str">
        <f>IFERROR(INDEX(計算用!$D$2:$D$186,MATCH("女白"&amp;$J79,計算用!$L$2:$L$186,0)),"")</f>
        <v/>
      </c>
      <c r="P79" s="15" t="str">
        <f>IFERROR(INDEX(計算用!$M$2:$M$186,MATCH("女白"&amp;$J79,計算用!$L$2:$L$186,0)),"")</f>
        <v/>
      </c>
      <c r="Q79" s="16" t="str">
        <f>IFERROR(INDEX(計算用!$G$2:$G$186,MATCH("女白"&amp;$J79,計算用!$L$2:$L$186,0)),"")</f>
        <v/>
      </c>
    </row>
    <row r="80" spans="1:17" x14ac:dyDescent="0.15">
      <c r="A80" s="15" t="str">
        <f>IF(ROW()-3&lt;=MAX(計算用!$Q$2,計算用!$Q$3),ROW()-3,"")</f>
        <v/>
      </c>
      <c r="B80" s="15" t="str">
        <f>IFERROR(INDEX(計算用!$D$2:$D$186,MATCH("男赤"&amp;$A80,計算用!$L$2:$L$186,0)),"")</f>
        <v/>
      </c>
      <c r="C80" s="15" t="str">
        <f>IFERROR(INDEX(計算用!$M$2:$M$186,MATCH("男赤"&amp;$A80,計算用!$L$2:$L$186,0)),"")</f>
        <v/>
      </c>
      <c r="D80" s="16" t="str">
        <f>IFERROR(INDEX(計算用!$G$2:$G$186,MATCH("男赤"&amp;$A80,計算用!$L$2:$L$186,0)),"")</f>
        <v/>
      </c>
      <c r="E80" s="15"/>
      <c r="F80" s="15" t="str">
        <f>IFERROR(INDEX(計算用!$D$2:$D$186,MATCH("男白"&amp;$A80,計算用!$L$2:$L$186,0)),"")</f>
        <v/>
      </c>
      <c r="G80" s="15" t="str">
        <f>IFERROR(INDEX(計算用!$M$2:$M$186,MATCH("男白"&amp;$A80,計算用!$L$2:$L$186,0)),"")</f>
        <v/>
      </c>
      <c r="H80" s="16" t="str">
        <f>IFERROR(INDEX(計算用!$G$2:$G$186,MATCH("男白"&amp;$A80,計算用!$L$2:$L$186,0)),"")</f>
        <v/>
      </c>
      <c r="I80" s="15"/>
      <c r="J80" s="15" t="str">
        <f>IF(ROW()-3&lt;=MAX(計算用!$Q$4,計算用!$Q$5),ROW()-3,"")</f>
        <v/>
      </c>
      <c r="K80" s="15" t="str">
        <f>IFERROR(INDEX(計算用!$D$2:$D$186,MATCH("女赤"&amp;$J80,計算用!$L$2:$L$186,0)),"")</f>
        <v/>
      </c>
      <c r="L80" s="15" t="str">
        <f>IFERROR(INDEX(計算用!$M$2:$M$186,MATCH("女赤"&amp;$J80,計算用!$L$2:$L$186,0)),"")</f>
        <v/>
      </c>
      <c r="M80" s="16" t="str">
        <f>IFERROR(INDEX(計算用!$G$2:$G$186,MATCH("女赤"&amp;$J80,計算用!$L$2:$L$186,0)),"")</f>
        <v/>
      </c>
      <c r="N80" s="15"/>
      <c r="O80" s="15" t="str">
        <f>IFERROR(INDEX(計算用!$D$2:$D$186,MATCH("女白"&amp;$J80,計算用!$L$2:$L$186,0)),"")</f>
        <v/>
      </c>
      <c r="P80" s="15" t="str">
        <f>IFERROR(INDEX(計算用!$M$2:$M$186,MATCH("女白"&amp;$J80,計算用!$L$2:$L$186,0)),"")</f>
        <v/>
      </c>
      <c r="Q80" s="16" t="str">
        <f>IFERROR(INDEX(計算用!$G$2:$G$186,MATCH("女白"&amp;$J80,計算用!$L$2:$L$186,0)),"")</f>
        <v/>
      </c>
    </row>
    <row r="81" spans="1:17" x14ac:dyDescent="0.15">
      <c r="A81" s="15" t="str">
        <f>IF(ROW()-3&lt;=MAX(計算用!$Q$2,計算用!$Q$3),ROW()-3,"")</f>
        <v/>
      </c>
      <c r="B81" s="15" t="str">
        <f>IFERROR(INDEX(計算用!$D$2:$D$186,MATCH("男赤"&amp;$A81,計算用!$L$2:$L$186,0)),"")</f>
        <v/>
      </c>
      <c r="C81" s="15" t="str">
        <f>IFERROR(INDEX(計算用!$M$2:$M$186,MATCH("男赤"&amp;$A81,計算用!$L$2:$L$186,0)),"")</f>
        <v/>
      </c>
      <c r="D81" s="16" t="str">
        <f>IFERROR(INDEX(計算用!$G$2:$G$186,MATCH("男赤"&amp;$A81,計算用!$L$2:$L$186,0)),"")</f>
        <v/>
      </c>
      <c r="E81" s="15"/>
      <c r="F81" s="15" t="str">
        <f>IFERROR(INDEX(計算用!$D$2:$D$186,MATCH("男白"&amp;$A81,計算用!$L$2:$L$186,0)),"")</f>
        <v/>
      </c>
      <c r="G81" s="15" t="str">
        <f>IFERROR(INDEX(計算用!$M$2:$M$186,MATCH("男白"&amp;$A81,計算用!$L$2:$L$186,0)),"")</f>
        <v/>
      </c>
      <c r="H81" s="16" t="str">
        <f>IFERROR(INDEX(計算用!$G$2:$G$186,MATCH("男白"&amp;$A81,計算用!$L$2:$L$186,0)),"")</f>
        <v/>
      </c>
      <c r="I81" s="15"/>
      <c r="J81" s="15" t="str">
        <f>IF(ROW()-3&lt;=MAX(計算用!$Q$4,計算用!$Q$5),ROW()-3,"")</f>
        <v/>
      </c>
      <c r="K81" s="15" t="str">
        <f>IFERROR(INDEX(計算用!$D$2:$D$186,MATCH("女赤"&amp;$J81,計算用!$L$2:$L$186,0)),"")</f>
        <v/>
      </c>
      <c r="L81" s="15" t="str">
        <f>IFERROR(INDEX(計算用!$M$2:$M$186,MATCH("女赤"&amp;$J81,計算用!$L$2:$L$186,0)),"")</f>
        <v/>
      </c>
      <c r="M81" s="16" t="str">
        <f>IFERROR(INDEX(計算用!$G$2:$G$186,MATCH("女赤"&amp;$J81,計算用!$L$2:$L$186,0)),"")</f>
        <v/>
      </c>
      <c r="N81" s="15"/>
      <c r="O81" s="15" t="str">
        <f>IFERROR(INDEX(計算用!$D$2:$D$186,MATCH("女白"&amp;$J81,計算用!$L$2:$L$186,0)),"")</f>
        <v/>
      </c>
      <c r="P81" s="15" t="str">
        <f>IFERROR(INDEX(計算用!$M$2:$M$186,MATCH("女白"&amp;$J81,計算用!$L$2:$L$186,0)),"")</f>
        <v/>
      </c>
      <c r="Q81" s="16" t="str">
        <f>IFERROR(INDEX(計算用!$G$2:$G$186,MATCH("女白"&amp;$J81,計算用!$L$2:$L$186,0)),"")</f>
        <v/>
      </c>
    </row>
    <row r="82" spans="1:17" x14ac:dyDescent="0.15">
      <c r="A82" s="15" t="str">
        <f>IF(ROW()-3&lt;=MAX(計算用!$Q$2,計算用!$Q$3),ROW()-3,"")</f>
        <v/>
      </c>
      <c r="B82" s="15" t="str">
        <f>IFERROR(INDEX(計算用!$D$2:$D$186,MATCH("男赤"&amp;$A82,計算用!$L$2:$L$186,0)),"")</f>
        <v/>
      </c>
      <c r="C82" s="15" t="str">
        <f>IFERROR(INDEX(計算用!$M$2:$M$186,MATCH("男赤"&amp;$A82,計算用!$L$2:$L$186,0)),"")</f>
        <v/>
      </c>
      <c r="D82" s="16" t="str">
        <f>IFERROR(INDEX(計算用!$G$2:$G$186,MATCH("男赤"&amp;$A82,計算用!$L$2:$L$186,0)),"")</f>
        <v/>
      </c>
      <c r="E82" s="15"/>
      <c r="F82" s="15" t="str">
        <f>IFERROR(INDEX(計算用!$D$2:$D$186,MATCH("男白"&amp;$A82,計算用!$L$2:$L$186,0)),"")</f>
        <v/>
      </c>
      <c r="G82" s="15" t="str">
        <f>IFERROR(INDEX(計算用!$M$2:$M$186,MATCH("男白"&amp;$A82,計算用!$L$2:$L$186,0)),"")</f>
        <v/>
      </c>
      <c r="H82" s="16" t="str">
        <f>IFERROR(INDEX(計算用!$G$2:$G$186,MATCH("男白"&amp;$A82,計算用!$L$2:$L$186,0)),"")</f>
        <v/>
      </c>
      <c r="I82" s="15"/>
      <c r="J82" s="15" t="str">
        <f>IF(ROW()-3&lt;=MAX(計算用!$Q$4,計算用!$Q$5),ROW()-3,"")</f>
        <v/>
      </c>
      <c r="K82" s="15" t="str">
        <f>IFERROR(INDEX(計算用!$D$2:$D$186,MATCH("女赤"&amp;$J82,計算用!$L$2:$L$186,0)),"")</f>
        <v/>
      </c>
      <c r="L82" s="15" t="str">
        <f>IFERROR(INDEX(計算用!$M$2:$M$186,MATCH("女赤"&amp;$J82,計算用!$L$2:$L$186,0)),"")</f>
        <v/>
      </c>
      <c r="M82" s="16" t="str">
        <f>IFERROR(INDEX(計算用!$G$2:$G$186,MATCH("女赤"&amp;$J82,計算用!$L$2:$L$186,0)),"")</f>
        <v/>
      </c>
      <c r="N82" s="15"/>
      <c r="O82" s="15" t="str">
        <f>IFERROR(INDEX(計算用!$D$2:$D$186,MATCH("女白"&amp;$J82,計算用!$L$2:$L$186,0)),"")</f>
        <v/>
      </c>
      <c r="P82" s="15" t="str">
        <f>IFERROR(INDEX(計算用!$M$2:$M$186,MATCH("女白"&amp;$J82,計算用!$L$2:$L$186,0)),"")</f>
        <v/>
      </c>
      <c r="Q82" s="16" t="str">
        <f>IFERROR(INDEX(計算用!$G$2:$G$186,MATCH("女白"&amp;$J82,計算用!$L$2:$L$186,0)),"")</f>
        <v/>
      </c>
    </row>
    <row r="83" spans="1:17" x14ac:dyDescent="0.15">
      <c r="A83" s="15" t="str">
        <f>IF(ROW()-3&lt;=MAX(計算用!$Q$2,計算用!$Q$3),ROW()-3,"")</f>
        <v/>
      </c>
      <c r="B83" s="15" t="str">
        <f>IFERROR(INDEX(計算用!$D$2:$D$186,MATCH("男赤"&amp;$A83,計算用!$L$2:$L$186,0)),"")</f>
        <v/>
      </c>
      <c r="C83" s="15" t="str">
        <f>IFERROR(INDEX(計算用!$M$2:$M$186,MATCH("男赤"&amp;$A83,計算用!$L$2:$L$186,0)),"")</f>
        <v/>
      </c>
      <c r="D83" s="16" t="str">
        <f>IFERROR(INDEX(計算用!$G$2:$G$186,MATCH("男赤"&amp;$A83,計算用!$L$2:$L$186,0)),"")</f>
        <v/>
      </c>
      <c r="E83" s="15"/>
      <c r="F83" s="15" t="str">
        <f>IFERROR(INDEX(計算用!$D$2:$D$186,MATCH("男白"&amp;$A83,計算用!$L$2:$L$186,0)),"")</f>
        <v/>
      </c>
      <c r="G83" s="15" t="str">
        <f>IFERROR(INDEX(計算用!$M$2:$M$186,MATCH("男白"&amp;$A83,計算用!$L$2:$L$186,0)),"")</f>
        <v/>
      </c>
      <c r="H83" s="16" t="str">
        <f>IFERROR(INDEX(計算用!$G$2:$G$186,MATCH("男白"&amp;$A83,計算用!$L$2:$L$186,0)),"")</f>
        <v/>
      </c>
      <c r="I83" s="15"/>
      <c r="J83" s="15" t="str">
        <f>IF(ROW()-3&lt;=MAX(計算用!$Q$4,計算用!$Q$5),ROW()-3,"")</f>
        <v/>
      </c>
      <c r="K83" s="15" t="str">
        <f>IFERROR(INDEX(計算用!$D$2:$D$186,MATCH("女赤"&amp;$J83,計算用!$L$2:$L$186,0)),"")</f>
        <v/>
      </c>
      <c r="L83" s="15" t="str">
        <f>IFERROR(INDEX(計算用!$M$2:$M$186,MATCH("女赤"&amp;$J83,計算用!$L$2:$L$186,0)),"")</f>
        <v/>
      </c>
      <c r="M83" s="16" t="str">
        <f>IFERROR(INDEX(計算用!$G$2:$G$186,MATCH("女赤"&amp;$J83,計算用!$L$2:$L$186,0)),"")</f>
        <v/>
      </c>
      <c r="N83" s="15"/>
      <c r="O83" s="15" t="str">
        <f>IFERROR(INDEX(計算用!$D$2:$D$186,MATCH("女白"&amp;$J83,計算用!$L$2:$L$186,0)),"")</f>
        <v/>
      </c>
      <c r="P83" s="15" t="str">
        <f>IFERROR(INDEX(計算用!$M$2:$M$186,MATCH("女白"&amp;$J83,計算用!$L$2:$L$186,0)),"")</f>
        <v/>
      </c>
      <c r="Q83" s="16" t="str">
        <f>IFERROR(INDEX(計算用!$G$2:$G$186,MATCH("女白"&amp;$J83,計算用!$L$2:$L$186,0)),"")</f>
        <v/>
      </c>
    </row>
    <row r="84" spans="1:17" x14ac:dyDescent="0.15">
      <c r="A84" s="15" t="str">
        <f>IF(ROW()-3&lt;=MAX(計算用!$Q$2,計算用!$Q$3),ROW()-3,"")</f>
        <v/>
      </c>
      <c r="B84" s="15" t="str">
        <f>IFERROR(INDEX(計算用!$D$2:$D$186,MATCH("男赤"&amp;$A84,計算用!$L$2:$L$186,0)),"")</f>
        <v/>
      </c>
      <c r="C84" s="15" t="str">
        <f>IFERROR(INDEX(計算用!$M$2:$M$186,MATCH("男赤"&amp;$A84,計算用!$L$2:$L$186,0)),"")</f>
        <v/>
      </c>
      <c r="D84" s="16" t="str">
        <f>IFERROR(INDEX(計算用!$G$2:$G$186,MATCH("男赤"&amp;$A84,計算用!$L$2:$L$186,0)),"")</f>
        <v/>
      </c>
      <c r="E84" s="15"/>
      <c r="F84" s="15" t="str">
        <f>IFERROR(INDEX(計算用!$D$2:$D$186,MATCH("男白"&amp;$A84,計算用!$L$2:$L$186,0)),"")</f>
        <v/>
      </c>
      <c r="G84" s="15" t="str">
        <f>IFERROR(INDEX(計算用!$M$2:$M$186,MATCH("男白"&amp;$A84,計算用!$L$2:$L$186,0)),"")</f>
        <v/>
      </c>
      <c r="H84" s="16" t="str">
        <f>IFERROR(INDEX(計算用!$G$2:$G$186,MATCH("男白"&amp;$A84,計算用!$L$2:$L$186,0)),"")</f>
        <v/>
      </c>
      <c r="I84" s="15"/>
      <c r="J84" s="15" t="str">
        <f>IF(ROW()-3&lt;=MAX(計算用!$Q$4,計算用!$Q$5),ROW()-3,"")</f>
        <v/>
      </c>
      <c r="K84" s="15" t="str">
        <f>IFERROR(INDEX(計算用!$D$2:$D$186,MATCH("女赤"&amp;$J84,計算用!$L$2:$L$186,0)),"")</f>
        <v/>
      </c>
      <c r="L84" s="15" t="str">
        <f>IFERROR(INDEX(計算用!$M$2:$M$186,MATCH("女赤"&amp;$J84,計算用!$L$2:$L$186,0)),"")</f>
        <v/>
      </c>
      <c r="M84" s="16" t="str">
        <f>IFERROR(INDEX(計算用!$G$2:$G$186,MATCH("女赤"&amp;$J84,計算用!$L$2:$L$186,0)),"")</f>
        <v/>
      </c>
      <c r="N84" s="15"/>
      <c r="O84" s="15" t="str">
        <f>IFERROR(INDEX(計算用!$D$2:$D$186,MATCH("女白"&amp;$J84,計算用!$L$2:$L$186,0)),"")</f>
        <v/>
      </c>
      <c r="P84" s="15" t="str">
        <f>IFERROR(INDEX(計算用!$M$2:$M$186,MATCH("女白"&amp;$J84,計算用!$L$2:$L$186,0)),"")</f>
        <v/>
      </c>
      <c r="Q84" s="16" t="str">
        <f>IFERROR(INDEX(計算用!$G$2:$G$186,MATCH("女白"&amp;$J84,計算用!$L$2:$L$186,0)),"")</f>
        <v/>
      </c>
    </row>
    <row r="85" spans="1:17" x14ac:dyDescent="0.15">
      <c r="A85" s="15" t="str">
        <f>IF(ROW()-3&lt;=MAX(計算用!$Q$2,計算用!$Q$3),ROW()-3,"")</f>
        <v/>
      </c>
      <c r="B85" s="15" t="str">
        <f>IFERROR(INDEX(計算用!$D$2:$D$186,MATCH("男赤"&amp;$A85,計算用!$L$2:$L$186,0)),"")</f>
        <v/>
      </c>
      <c r="C85" s="15" t="str">
        <f>IFERROR(INDEX(計算用!$M$2:$M$186,MATCH("男赤"&amp;$A85,計算用!$L$2:$L$186,0)),"")</f>
        <v/>
      </c>
      <c r="D85" s="16" t="str">
        <f>IFERROR(INDEX(計算用!$G$2:$G$186,MATCH("男赤"&amp;$A85,計算用!$L$2:$L$186,0)),"")</f>
        <v/>
      </c>
      <c r="E85" s="15"/>
      <c r="F85" s="15" t="str">
        <f>IFERROR(INDEX(計算用!$D$2:$D$186,MATCH("男白"&amp;$A85,計算用!$L$2:$L$186,0)),"")</f>
        <v/>
      </c>
      <c r="G85" s="15" t="str">
        <f>IFERROR(INDEX(計算用!$M$2:$M$186,MATCH("男白"&amp;$A85,計算用!$L$2:$L$186,0)),"")</f>
        <v/>
      </c>
      <c r="H85" s="16" t="str">
        <f>IFERROR(INDEX(計算用!$G$2:$G$186,MATCH("男白"&amp;$A85,計算用!$L$2:$L$186,0)),"")</f>
        <v/>
      </c>
      <c r="I85" s="15"/>
      <c r="J85" s="15" t="str">
        <f>IF(ROW()-3&lt;=MAX(計算用!$Q$4,計算用!$Q$5),ROW()-3,"")</f>
        <v/>
      </c>
      <c r="K85" s="15" t="str">
        <f>IFERROR(INDEX(計算用!$D$2:$D$186,MATCH("女赤"&amp;$J85,計算用!$L$2:$L$186,0)),"")</f>
        <v/>
      </c>
      <c r="L85" s="15" t="str">
        <f>IFERROR(INDEX(計算用!$M$2:$M$186,MATCH("女赤"&amp;$J85,計算用!$L$2:$L$186,0)),"")</f>
        <v/>
      </c>
      <c r="M85" s="16" t="str">
        <f>IFERROR(INDEX(計算用!$G$2:$G$186,MATCH("女赤"&amp;$J85,計算用!$L$2:$L$186,0)),"")</f>
        <v/>
      </c>
      <c r="N85" s="15"/>
      <c r="O85" s="15" t="str">
        <f>IFERROR(INDEX(計算用!$D$2:$D$186,MATCH("女白"&amp;$J85,計算用!$L$2:$L$186,0)),"")</f>
        <v/>
      </c>
      <c r="P85" s="15" t="str">
        <f>IFERROR(INDEX(計算用!$M$2:$M$186,MATCH("女白"&amp;$J85,計算用!$L$2:$L$186,0)),"")</f>
        <v/>
      </c>
      <c r="Q85" s="16" t="str">
        <f>IFERROR(INDEX(計算用!$G$2:$G$186,MATCH("女白"&amp;$J85,計算用!$L$2:$L$186,0)),"")</f>
        <v/>
      </c>
    </row>
    <row r="86" spans="1:17" x14ac:dyDescent="0.15">
      <c r="A86" s="15" t="str">
        <f>IF(ROW()-3&lt;=MAX(計算用!$Q$2,計算用!$Q$3),ROW()-3,"")</f>
        <v/>
      </c>
      <c r="B86" s="15" t="str">
        <f>IFERROR(INDEX(計算用!$D$2:$D$186,MATCH("男赤"&amp;$A86,計算用!$L$2:$L$186,0)),"")</f>
        <v/>
      </c>
      <c r="C86" s="15" t="str">
        <f>IFERROR(INDEX(計算用!$M$2:$M$186,MATCH("男赤"&amp;$A86,計算用!$L$2:$L$186,0)),"")</f>
        <v/>
      </c>
      <c r="D86" s="16" t="str">
        <f>IFERROR(INDEX(計算用!$G$2:$G$186,MATCH("男赤"&amp;$A86,計算用!$L$2:$L$186,0)),"")</f>
        <v/>
      </c>
      <c r="E86" s="15"/>
      <c r="F86" s="15" t="str">
        <f>IFERROR(INDEX(計算用!$D$2:$D$186,MATCH("男白"&amp;$A86,計算用!$L$2:$L$186,0)),"")</f>
        <v/>
      </c>
      <c r="G86" s="15" t="str">
        <f>IFERROR(INDEX(計算用!$M$2:$M$186,MATCH("男白"&amp;$A86,計算用!$L$2:$L$186,0)),"")</f>
        <v/>
      </c>
      <c r="H86" s="16" t="str">
        <f>IFERROR(INDEX(計算用!$G$2:$G$186,MATCH("男白"&amp;$A86,計算用!$L$2:$L$186,0)),"")</f>
        <v/>
      </c>
      <c r="I86" s="15"/>
      <c r="J86" s="15" t="str">
        <f>IF(ROW()-3&lt;=MAX(計算用!$Q$4,計算用!$Q$5),ROW()-3,"")</f>
        <v/>
      </c>
      <c r="K86" s="15" t="str">
        <f>IFERROR(INDEX(計算用!$D$2:$D$186,MATCH("女赤"&amp;$J86,計算用!$L$2:$L$186,0)),"")</f>
        <v/>
      </c>
      <c r="L86" s="15" t="str">
        <f>IFERROR(INDEX(計算用!$M$2:$M$186,MATCH("女赤"&amp;$J86,計算用!$L$2:$L$186,0)),"")</f>
        <v/>
      </c>
      <c r="M86" s="16" t="str">
        <f>IFERROR(INDEX(計算用!$G$2:$G$186,MATCH("女赤"&amp;$J86,計算用!$L$2:$L$186,0)),"")</f>
        <v/>
      </c>
      <c r="N86" s="15"/>
      <c r="O86" s="15" t="str">
        <f>IFERROR(INDEX(計算用!$D$2:$D$186,MATCH("女白"&amp;$J86,計算用!$L$2:$L$186,0)),"")</f>
        <v/>
      </c>
      <c r="P86" s="15" t="str">
        <f>IFERROR(INDEX(計算用!$M$2:$M$186,MATCH("女白"&amp;$J86,計算用!$L$2:$L$186,0)),"")</f>
        <v/>
      </c>
      <c r="Q86" s="16" t="str">
        <f>IFERROR(INDEX(計算用!$G$2:$G$186,MATCH("女白"&amp;$J86,計算用!$L$2:$L$186,0)),"")</f>
        <v/>
      </c>
    </row>
    <row r="87" spans="1:17" x14ac:dyDescent="0.15">
      <c r="A87" s="15" t="str">
        <f>IF(ROW()-3&lt;=MAX(計算用!$Q$2,計算用!$Q$3),ROW()-3,"")</f>
        <v/>
      </c>
      <c r="B87" s="15" t="str">
        <f>IFERROR(INDEX(計算用!$D$2:$D$186,MATCH("男赤"&amp;$A87,計算用!$L$2:$L$186,0)),"")</f>
        <v/>
      </c>
      <c r="C87" s="15" t="str">
        <f>IFERROR(INDEX(計算用!$M$2:$M$186,MATCH("男赤"&amp;$A87,計算用!$L$2:$L$186,0)),"")</f>
        <v/>
      </c>
      <c r="D87" s="16" t="str">
        <f>IFERROR(INDEX(計算用!$G$2:$G$186,MATCH("男赤"&amp;$A87,計算用!$L$2:$L$186,0)),"")</f>
        <v/>
      </c>
      <c r="E87" s="15"/>
      <c r="F87" s="15" t="str">
        <f>IFERROR(INDEX(計算用!$D$2:$D$186,MATCH("男白"&amp;$A87,計算用!$L$2:$L$186,0)),"")</f>
        <v/>
      </c>
      <c r="G87" s="15" t="str">
        <f>IFERROR(INDEX(計算用!$M$2:$M$186,MATCH("男白"&amp;$A87,計算用!$L$2:$L$186,0)),"")</f>
        <v/>
      </c>
      <c r="H87" s="16" t="str">
        <f>IFERROR(INDEX(計算用!$G$2:$G$186,MATCH("男白"&amp;$A87,計算用!$L$2:$L$186,0)),"")</f>
        <v/>
      </c>
      <c r="I87" s="15"/>
      <c r="J87" s="15" t="str">
        <f>IF(ROW()-3&lt;=MAX(計算用!$Q$4,計算用!$Q$5),ROW()-3,"")</f>
        <v/>
      </c>
      <c r="K87" s="15" t="str">
        <f>IFERROR(INDEX(計算用!$D$2:$D$186,MATCH("女赤"&amp;$J87,計算用!$L$2:$L$186,0)),"")</f>
        <v/>
      </c>
      <c r="L87" s="15" t="str">
        <f>IFERROR(INDEX(計算用!$M$2:$M$186,MATCH("女赤"&amp;$J87,計算用!$L$2:$L$186,0)),"")</f>
        <v/>
      </c>
      <c r="M87" s="16" t="str">
        <f>IFERROR(INDEX(計算用!$G$2:$G$186,MATCH("女赤"&amp;$J87,計算用!$L$2:$L$186,0)),"")</f>
        <v/>
      </c>
      <c r="N87" s="15"/>
      <c r="O87" s="15" t="str">
        <f>IFERROR(INDEX(計算用!$D$2:$D$186,MATCH("女白"&amp;$J87,計算用!$L$2:$L$186,0)),"")</f>
        <v/>
      </c>
      <c r="P87" s="15" t="str">
        <f>IFERROR(INDEX(計算用!$M$2:$M$186,MATCH("女白"&amp;$J87,計算用!$L$2:$L$186,0)),"")</f>
        <v/>
      </c>
      <c r="Q87" s="16" t="str">
        <f>IFERROR(INDEX(計算用!$G$2:$G$186,MATCH("女白"&amp;$J87,計算用!$L$2:$L$186,0)),"")</f>
        <v/>
      </c>
    </row>
    <row r="88" spans="1:17" x14ac:dyDescent="0.15">
      <c r="A88" s="15" t="str">
        <f>IF(ROW()-3&lt;=MAX(計算用!$Q$2,計算用!$Q$3),ROW()-3,"")</f>
        <v/>
      </c>
      <c r="B88" s="15" t="str">
        <f>IFERROR(INDEX(計算用!$D$2:$D$186,MATCH("男赤"&amp;$A88,計算用!$L$2:$L$186,0)),"")</f>
        <v/>
      </c>
      <c r="C88" s="15" t="str">
        <f>IFERROR(INDEX(計算用!$M$2:$M$186,MATCH("男赤"&amp;$A88,計算用!$L$2:$L$186,0)),"")</f>
        <v/>
      </c>
      <c r="D88" s="16" t="str">
        <f>IFERROR(INDEX(計算用!$G$2:$G$186,MATCH("男赤"&amp;$A88,計算用!$L$2:$L$186,0)),"")</f>
        <v/>
      </c>
      <c r="E88" s="15"/>
      <c r="F88" s="15" t="str">
        <f>IFERROR(INDEX(計算用!$D$2:$D$186,MATCH("男白"&amp;$A88,計算用!$L$2:$L$186,0)),"")</f>
        <v/>
      </c>
      <c r="G88" s="15" t="str">
        <f>IFERROR(INDEX(計算用!$M$2:$M$186,MATCH("男白"&amp;$A88,計算用!$L$2:$L$186,0)),"")</f>
        <v/>
      </c>
      <c r="H88" s="16" t="str">
        <f>IFERROR(INDEX(計算用!$G$2:$G$186,MATCH("男白"&amp;$A88,計算用!$L$2:$L$186,0)),"")</f>
        <v/>
      </c>
      <c r="I88" s="15"/>
      <c r="J88" s="15" t="str">
        <f>IF(ROW()-3&lt;=MAX(計算用!$Q$4,計算用!$Q$5),ROW()-3,"")</f>
        <v/>
      </c>
      <c r="K88" s="15" t="str">
        <f>IFERROR(INDEX(計算用!$D$2:$D$186,MATCH("女赤"&amp;$J88,計算用!$L$2:$L$186,0)),"")</f>
        <v/>
      </c>
      <c r="L88" s="15" t="str">
        <f>IFERROR(INDEX(計算用!$M$2:$M$186,MATCH("女赤"&amp;$J88,計算用!$L$2:$L$186,0)),"")</f>
        <v/>
      </c>
      <c r="M88" s="16" t="str">
        <f>IFERROR(INDEX(計算用!$G$2:$G$186,MATCH("女赤"&amp;$J88,計算用!$L$2:$L$186,0)),"")</f>
        <v/>
      </c>
      <c r="N88" s="15"/>
      <c r="O88" s="15" t="str">
        <f>IFERROR(INDEX(計算用!$D$2:$D$186,MATCH("女白"&amp;$J88,計算用!$L$2:$L$186,0)),"")</f>
        <v/>
      </c>
      <c r="P88" s="15" t="str">
        <f>IFERROR(INDEX(計算用!$M$2:$M$186,MATCH("女白"&amp;$J88,計算用!$L$2:$L$186,0)),"")</f>
        <v/>
      </c>
      <c r="Q88" s="16" t="str">
        <f>IFERROR(INDEX(計算用!$G$2:$G$186,MATCH("女白"&amp;$J88,計算用!$L$2:$L$186,0)),"")</f>
        <v/>
      </c>
    </row>
    <row r="89" spans="1:17" x14ac:dyDescent="0.15">
      <c r="A89" s="15" t="str">
        <f>IF(ROW()-3&lt;=MAX(計算用!$Q$2,計算用!$Q$3),ROW()-3,"")</f>
        <v/>
      </c>
      <c r="B89" s="15" t="str">
        <f>IFERROR(INDEX(計算用!$D$2:$D$186,MATCH("男赤"&amp;$A89,計算用!$L$2:$L$186,0)),"")</f>
        <v/>
      </c>
      <c r="C89" s="15" t="str">
        <f>IFERROR(INDEX(計算用!$M$2:$M$186,MATCH("男赤"&amp;$A89,計算用!$L$2:$L$186,0)),"")</f>
        <v/>
      </c>
      <c r="D89" s="16" t="str">
        <f>IFERROR(INDEX(計算用!$G$2:$G$186,MATCH("男赤"&amp;$A89,計算用!$L$2:$L$186,0)),"")</f>
        <v/>
      </c>
      <c r="E89" s="15"/>
      <c r="F89" s="15" t="str">
        <f>IFERROR(INDEX(計算用!$D$2:$D$186,MATCH("男白"&amp;$A89,計算用!$L$2:$L$186,0)),"")</f>
        <v/>
      </c>
      <c r="G89" s="15" t="str">
        <f>IFERROR(INDEX(計算用!$M$2:$M$186,MATCH("男白"&amp;$A89,計算用!$L$2:$L$186,0)),"")</f>
        <v/>
      </c>
      <c r="H89" s="16" t="str">
        <f>IFERROR(INDEX(計算用!$G$2:$G$186,MATCH("男白"&amp;$A89,計算用!$L$2:$L$186,0)),"")</f>
        <v/>
      </c>
      <c r="I89" s="15"/>
      <c r="J89" s="15" t="str">
        <f>IF(ROW()-3&lt;=MAX(計算用!$Q$4,計算用!$Q$5),ROW()-3,"")</f>
        <v/>
      </c>
      <c r="K89" s="15" t="str">
        <f>IFERROR(INDEX(計算用!$D$2:$D$186,MATCH("女赤"&amp;$J89,計算用!$L$2:$L$186,0)),"")</f>
        <v/>
      </c>
      <c r="L89" s="15" t="str">
        <f>IFERROR(INDEX(計算用!$M$2:$M$186,MATCH("女赤"&amp;$J89,計算用!$L$2:$L$186,0)),"")</f>
        <v/>
      </c>
      <c r="M89" s="16" t="str">
        <f>IFERROR(INDEX(計算用!$G$2:$G$186,MATCH("女赤"&amp;$J89,計算用!$L$2:$L$186,0)),"")</f>
        <v/>
      </c>
      <c r="N89" s="15"/>
      <c r="O89" s="15" t="str">
        <f>IFERROR(INDEX(計算用!$D$2:$D$186,MATCH("女白"&amp;$J89,計算用!$L$2:$L$186,0)),"")</f>
        <v/>
      </c>
      <c r="P89" s="15" t="str">
        <f>IFERROR(INDEX(計算用!$M$2:$M$186,MATCH("女白"&amp;$J89,計算用!$L$2:$L$186,0)),"")</f>
        <v/>
      </c>
      <c r="Q89" s="16" t="str">
        <f>IFERROR(INDEX(計算用!$G$2:$G$186,MATCH("女白"&amp;$J89,計算用!$L$2:$L$186,0)),"")</f>
        <v/>
      </c>
    </row>
    <row r="90" spans="1:17" x14ac:dyDescent="0.15">
      <c r="A90" s="15" t="str">
        <f>IF(ROW()-3&lt;=MAX(計算用!$Q$2,計算用!$Q$3),ROW()-3,"")</f>
        <v/>
      </c>
      <c r="B90" s="15" t="str">
        <f>IFERROR(INDEX(計算用!$D$2:$D$186,MATCH("男赤"&amp;$A90,計算用!$L$2:$L$186,0)),"")</f>
        <v/>
      </c>
      <c r="C90" s="15" t="str">
        <f>IFERROR(INDEX(計算用!$M$2:$M$186,MATCH("男赤"&amp;$A90,計算用!$L$2:$L$186,0)),"")</f>
        <v/>
      </c>
      <c r="D90" s="16" t="str">
        <f>IFERROR(INDEX(計算用!$G$2:$G$186,MATCH("男赤"&amp;$A90,計算用!$L$2:$L$186,0)),"")</f>
        <v/>
      </c>
      <c r="E90" s="15"/>
      <c r="F90" s="15" t="str">
        <f>IFERROR(INDEX(計算用!$D$2:$D$186,MATCH("男白"&amp;$A90,計算用!$L$2:$L$186,0)),"")</f>
        <v/>
      </c>
      <c r="G90" s="15" t="str">
        <f>IFERROR(INDEX(計算用!$M$2:$M$186,MATCH("男白"&amp;$A90,計算用!$L$2:$L$186,0)),"")</f>
        <v/>
      </c>
      <c r="H90" s="16" t="str">
        <f>IFERROR(INDEX(計算用!$G$2:$G$186,MATCH("男白"&amp;$A90,計算用!$L$2:$L$186,0)),"")</f>
        <v/>
      </c>
      <c r="I90" s="15"/>
      <c r="J90" s="15" t="str">
        <f>IF(ROW()-3&lt;=MAX(計算用!$Q$4,計算用!$Q$5),ROW()-3,"")</f>
        <v/>
      </c>
      <c r="K90" s="15" t="str">
        <f>IFERROR(INDEX(計算用!$D$2:$D$186,MATCH("女赤"&amp;$J90,計算用!$L$2:$L$186,0)),"")</f>
        <v/>
      </c>
      <c r="L90" s="15" t="str">
        <f>IFERROR(INDEX(計算用!$M$2:$M$186,MATCH("女赤"&amp;$J90,計算用!$L$2:$L$186,0)),"")</f>
        <v/>
      </c>
      <c r="M90" s="16" t="str">
        <f>IFERROR(INDEX(計算用!$G$2:$G$186,MATCH("女赤"&amp;$J90,計算用!$L$2:$L$186,0)),"")</f>
        <v/>
      </c>
      <c r="N90" s="15"/>
      <c r="O90" s="15" t="str">
        <f>IFERROR(INDEX(計算用!$D$2:$D$186,MATCH("女白"&amp;$J90,計算用!$L$2:$L$186,0)),"")</f>
        <v/>
      </c>
      <c r="P90" s="15" t="str">
        <f>IFERROR(INDEX(計算用!$M$2:$M$186,MATCH("女白"&amp;$J90,計算用!$L$2:$L$186,0)),"")</f>
        <v/>
      </c>
      <c r="Q90" s="16" t="str">
        <f>IFERROR(INDEX(計算用!$G$2:$G$186,MATCH("女白"&amp;$J90,計算用!$L$2:$L$186,0)),"")</f>
        <v/>
      </c>
    </row>
    <row r="91" spans="1:17" x14ac:dyDescent="0.15">
      <c r="A91" s="15" t="str">
        <f>IF(ROW()-3&lt;=MAX(計算用!$Q$2,計算用!$Q$3),ROW()-3,"")</f>
        <v/>
      </c>
      <c r="B91" s="15" t="str">
        <f>IFERROR(INDEX(計算用!$D$2:$D$186,MATCH("男赤"&amp;$A91,計算用!$L$2:$L$186,0)),"")</f>
        <v/>
      </c>
      <c r="C91" s="15" t="str">
        <f>IFERROR(INDEX(計算用!$M$2:$M$186,MATCH("男赤"&amp;$A91,計算用!$L$2:$L$186,0)),"")</f>
        <v/>
      </c>
      <c r="D91" s="16" t="str">
        <f>IFERROR(INDEX(計算用!$G$2:$G$186,MATCH("男赤"&amp;$A91,計算用!$L$2:$L$186,0)),"")</f>
        <v/>
      </c>
      <c r="E91" s="15"/>
      <c r="F91" s="15" t="str">
        <f>IFERROR(INDEX(計算用!$D$2:$D$186,MATCH("男白"&amp;$A91,計算用!$L$2:$L$186,0)),"")</f>
        <v/>
      </c>
      <c r="G91" s="15" t="str">
        <f>IFERROR(INDEX(計算用!$M$2:$M$186,MATCH("男白"&amp;$A91,計算用!$L$2:$L$186,0)),"")</f>
        <v/>
      </c>
      <c r="H91" s="16" t="str">
        <f>IFERROR(INDEX(計算用!$G$2:$G$186,MATCH("男白"&amp;$A91,計算用!$L$2:$L$186,0)),"")</f>
        <v/>
      </c>
      <c r="I91" s="15"/>
      <c r="J91" s="15" t="str">
        <f>IF(ROW()-3&lt;=MAX(計算用!$Q$4,計算用!$Q$5),ROW()-3,"")</f>
        <v/>
      </c>
      <c r="K91" s="15" t="str">
        <f>IFERROR(INDEX(計算用!$D$2:$D$186,MATCH("女赤"&amp;$J91,計算用!$L$2:$L$186,0)),"")</f>
        <v/>
      </c>
      <c r="L91" s="15" t="str">
        <f>IFERROR(INDEX(計算用!$M$2:$M$186,MATCH("女赤"&amp;$J91,計算用!$L$2:$L$186,0)),"")</f>
        <v/>
      </c>
      <c r="M91" s="16" t="str">
        <f>IFERROR(INDEX(計算用!$G$2:$G$186,MATCH("女赤"&amp;$J91,計算用!$L$2:$L$186,0)),"")</f>
        <v/>
      </c>
      <c r="N91" s="15"/>
      <c r="O91" s="15" t="str">
        <f>IFERROR(INDEX(計算用!$D$2:$D$186,MATCH("女白"&amp;$J91,計算用!$L$2:$L$186,0)),"")</f>
        <v/>
      </c>
      <c r="P91" s="15" t="str">
        <f>IFERROR(INDEX(計算用!$M$2:$M$186,MATCH("女白"&amp;$J91,計算用!$L$2:$L$186,0)),"")</f>
        <v/>
      </c>
      <c r="Q91" s="16" t="str">
        <f>IFERROR(INDEX(計算用!$G$2:$G$186,MATCH("女白"&amp;$J91,計算用!$L$2:$L$186,0)),"")</f>
        <v/>
      </c>
    </row>
    <row r="92" spans="1:17" x14ac:dyDescent="0.15">
      <c r="A92" s="15" t="str">
        <f>IF(ROW()-3&lt;=MAX(計算用!$Q$2,計算用!$Q$3),ROW()-3,"")</f>
        <v/>
      </c>
      <c r="B92" s="15" t="str">
        <f>IFERROR(INDEX(計算用!$D$2:$D$186,MATCH("男赤"&amp;$A92,計算用!$L$2:$L$186,0)),"")</f>
        <v/>
      </c>
      <c r="C92" s="15" t="str">
        <f>IFERROR(INDEX(計算用!$M$2:$M$186,MATCH("男赤"&amp;$A92,計算用!$L$2:$L$186,0)),"")</f>
        <v/>
      </c>
      <c r="D92" s="16" t="str">
        <f>IFERROR(INDEX(計算用!$G$2:$G$186,MATCH("男赤"&amp;$A92,計算用!$L$2:$L$186,0)),"")</f>
        <v/>
      </c>
      <c r="E92" s="15"/>
      <c r="F92" s="15" t="str">
        <f>IFERROR(INDEX(計算用!$D$2:$D$186,MATCH("男白"&amp;$A92,計算用!$L$2:$L$186,0)),"")</f>
        <v/>
      </c>
      <c r="G92" s="15" t="str">
        <f>IFERROR(INDEX(計算用!$M$2:$M$186,MATCH("男白"&amp;$A92,計算用!$L$2:$L$186,0)),"")</f>
        <v/>
      </c>
      <c r="H92" s="16" t="str">
        <f>IFERROR(INDEX(計算用!$G$2:$G$186,MATCH("男白"&amp;$A92,計算用!$L$2:$L$186,0)),"")</f>
        <v/>
      </c>
      <c r="I92" s="15"/>
      <c r="J92" s="15" t="str">
        <f>IF(ROW()-3&lt;=MAX(計算用!$Q$4,計算用!$Q$5),ROW()-3,"")</f>
        <v/>
      </c>
      <c r="K92" s="15" t="str">
        <f>IFERROR(INDEX(計算用!$D$2:$D$186,MATCH("女赤"&amp;$J92,計算用!$L$2:$L$186,0)),"")</f>
        <v/>
      </c>
      <c r="L92" s="15" t="str">
        <f>IFERROR(INDEX(計算用!$M$2:$M$186,MATCH("女赤"&amp;$J92,計算用!$L$2:$L$186,0)),"")</f>
        <v/>
      </c>
      <c r="M92" s="16" t="str">
        <f>IFERROR(INDEX(計算用!$G$2:$G$186,MATCH("女赤"&amp;$J92,計算用!$L$2:$L$186,0)),"")</f>
        <v/>
      </c>
      <c r="N92" s="15"/>
      <c r="O92" s="15" t="str">
        <f>IFERROR(INDEX(計算用!$D$2:$D$186,MATCH("女白"&amp;$J92,計算用!$L$2:$L$186,0)),"")</f>
        <v/>
      </c>
      <c r="P92" s="15" t="str">
        <f>IFERROR(INDEX(計算用!$M$2:$M$186,MATCH("女白"&amp;$J92,計算用!$L$2:$L$186,0)),"")</f>
        <v/>
      </c>
      <c r="Q92" s="16" t="str">
        <f>IFERROR(INDEX(計算用!$G$2:$G$186,MATCH("女白"&amp;$J92,計算用!$L$2:$L$186,0)),"")</f>
        <v/>
      </c>
    </row>
    <row r="93" spans="1:17" x14ac:dyDescent="0.15">
      <c r="A93" s="15" t="str">
        <f>IF(ROW()-3&lt;=MAX(計算用!$Q$2,計算用!$Q$3),ROW()-3,"")</f>
        <v/>
      </c>
      <c r="B93" s="15" t="str">
        <f>IFERROR(INDEX(計算用!$D$2:$D$186,MATCH("男赤"&amp;$A93,計算用!$L$2:$L$186,0)),"")</f>
        <v/>
      </c>
      <c r="C93" s="15" t="str">
        <f>IFERROR(INDEX(計算用!$M$2:$M$186,MATCH("男赤"&amp;$A93,計算用!$L$2:$L$186,0)),"")</f>
        <v/>
      </c>
      <c r="D93" s="16" t="str">
        <f>IFERROR(INDEX(計算用!$G$2:$G$186,MATCH("男赤"&amp;$A93,計算用!$L$2:$L$186,0)),"")</f>
        <v/>
      </c>
      <c r="E93" s="15"/>
      <c r="F93" s="15" t="str">
        <f>IFERROR(INDEX(計算用!$D$2:$D$186,MATCH("男白"&amp;$A93,計算用!$L$2:$L$186,0)),"")</f>
        <v/>
      </c>
      <c r="G93" s="15" t="str">
        <f>IFERROR(INDEX(計算用!$M$2:$M$186,MATCH("男白"&amp;$A93,計算用!$L$2:$L$186,0)),"")</f>
        <v/>
      </c>
      <c r="H93" s="16" t="str">
        <f>IFERROR(INDEX(計算用!$G$2:$G$186,MATCH("男白"&amp;$A93,計算用!$L$2:$L$186,0)),"")</f>
        <v/>
      </c>
      <c r="I93" s="15"/>
      <c r="J93" s="15" t="str">
        <f>IF(ROW()-3&lt;=MAX(計算用!$Q$4,計算用!$Q$5),ROW()-3,"")</f>
        <v/>
      </c>
      <c r="K93" s="15" t="str">
        <f>IFERROR(INDEX(計算用!$D$2:$D$186,MATCH("女赤"&amp;$J93,計算用!$L$2:$L$186,0)),"")</f>
        <v/>
      </c>
      <c r="L93" s="15" t="str">
        <f>IFERROR(INDEX(計算用!$M$2:$M$186,MATCH("女赤"&amp;$J93,計算用!$L$2:$L$186,0)),"")</f>
        <v/>
      </c>
      <c r="M93" s="16" t="str">
        <f>IFERROR(INDEX(計算用!$G$2:$G$186,MATCH("女赤"&amp;$J93,計算用!$L$2:$L$186,0)),"")</f>
        <v/>
      </c>
      <c r="N93" s="15"/>
      <c r="O93" s="15" t="str">
        <f>IFERROR(INDEX(計算用!$D$2:$D$186,MATCH("女白"&amp;$J93,計算用!$L$2:$L$186,0)),"")</f>
        <v/>
      </c>
      <c r="P93" s="15" t="str">
        <f>IFERROR(INDEX(計算用!$M$2:$M$186,MATCH("女白"&amp;$J93,計算用!$L$2:$L$186,0)),"")</f>
        <v/>
      </c>
      <c r="Q93" s="16" t="str">
        <f>IFERROR(INDEX(計算用!$G$2:$G$186,MATCH("女白"&amp;$J93,計算用!$L$2:$L$186,0)),"")</f>
        <v/>
      </c>
    </row>
    <row r="94" spans="1:17" x14ac:dyDescent="0.15">
      <c r="A94" s="15" t="str">
        <f>IF(ROW()-3&lt;=MAX(計算用!$Q$2,計算用!$Q$3),ROW()-3,"")</f>
        <v/>
      </c>
      <c r="B94" s="15" t="str">
        <f>IFERROR(INDEX(計算用!$D$2:$D$186,MATCH("男赤"&amp;$A94,計算用!$L$2:$L$186,0)),"")</f>
        <v/>
      </c>
      <c r="C94" s="15" t="str">
        <f>IFERROR(INDEX(計算用!$M$2:$M$186,MATCH("男赤"&amp;$A94,計算用!$L$2:$L$186,0)),"")</f>
        <v/>
      </c>
      <c r="D94" s="16" t="str">
        <f>IFERROR(INDEX(計算用!$G$2:$G$186,MATCH("男赤"&amp;$A94,計算用!$L$2:$L$186,0)),"")</f>
        <v/>
      </c>
      <c r="E94" s="15"/>
      <c r="F94" s="15" t="str">
        <f>IFERROR(INDEX(計算用!$D$2:$D$186,MATCH("男白"&amp;$A94,計算用!$L$2:$L$186,0)),"")</f>
        <v/>
      </c>
      <c r="G94" s="15" t="str">
        <f>IFERROR(INDEX(計算用!$M$2:$M$186,MATCH("男白"&amp;$A94,計算用!$L$2:$L$186,0)),"")</f>
        <v/>
      </c>
      <c r="H94" s="16" t="str">
        <f>IFERROR(INDEX(計算用!$G$2:$G$186,MATCH("男白"&amp;$A94,計算用!$L$2:$L$186,0)),"")</f>
        <v/>
      </c>
      <c r="I94" s="15"/>
      <c r="J94" s="15" t="str">
        <f>IF(ROW()-3&lt;=MAX(計算用!$Q$4,計算用!$Q$5),ROW()-3,"")</f>
        <v/>
      </c>
      <c r="K94" s="15" t="str">
        <f>IFERROR(INDEX(計算用!$D$2:$D$186,MATCH("女赤"&amp;$J94,計算用!$L$2:$L$186,0)),"")</f>
        <v/>
      </c>
      <c r="L94" s="15" t="str">
        <f>IFERROR(INDEX(計算用!$M$2:$M$186,MATCH("女赤"&amp;$J94,計算用!$L$2:$L$186,0)),"")</f>
        <v/>
      </c>
      <c r="M94" s="16" t="str">
        <f>IFERROR(INDEX(計算用!$G$2:$G$186,MATCH("女赤"&amp;$J94,計算用!$L$2:$L$186,0)),"")</f>
        <v/>
      </c>
      <c r="N94" s="15"/>
      <c r="O94" s="15" t="str">
        <f>IFERROR(INDEX(計算用!$D$2:$D$186,MATCH("女白"&amp;$J94,計算用!$L$2:$L$186,0)),"")</f>
        <v/>
      </c>
      <c r="P94" s="15" t="str">
        <f>IFERROR(INDEX(計算用!$M$2:$M$186,MATCH("女白"&amp;$J94,計算用!$L$2:$L$186,0)),"")</f>
        <v/>
      </c>
      <c r="Q94" s="16" t="str">
        <f>IFERROR(INDEX(計算用!$G$2:$G$186,MATCH("女白"&amp;$J94,計算用!$L$2:$L$186,0)),"")</f>
        <v/>
      </c>
    </row>
    <row r="95" spans="1:17" x14ac:dyDescent="0.15">
      <c r="A95" s="15" t="str">
        <f>IF(ROW()-3&lt;=MAX(計算用!$Q$2,計算用!$Q$3),ROW()-3,"")</f>
        <v/>
      </c>
      <c r="B95" s="15" t="str">
        <f>IFERROR(INDEX(計算用!$D$2:$D$186,MATCH("男赤"&amp;$A95,計算用!$L$2:$L$186,0)),"")</f>
        <v/>
      </c>
      <c r="C95" s="15" t="str">
        <f>IFERROR(INDEX(計算用!$M$2:$M$186,MATCH("男赤"&amp;$A95,計算用!$L$2:$L$186,0)),"")</f>
        <v/>
      </c>
      <c r="D95" s="16" t="str">
        <f>IFERROR(INDEX(計算用!$G$2:$G$186,MATCH("男赤"&amp;$A95,計算用!$L$2:$L$186,0)),"")</f>
        <v/>
      </c>
      <c r="E95" s="15"/>
      <c r="F95" s="15" t="str">
        <f>IFERROR(INDEX(計算用!$D$2:$D$186,MATCH("男白"&amp;$A95,計算用!$L$2:$L$186,0)),"")</f>
        <v/>
      </c>
      <c r="G95" s="15" t="str">
        <f>IFERROR(INDEX(計算用!$M$2:$M$186,MATCH("男白"&amp;$A95,計算用!$L$2:$L$186,0)),"")</f>
        <v/>
      </c>
      <c r="H95" s="16" t="str">
        <f>IFERROR(INDEX(計算用!$G$2:$G$186,MATCH("男白"&amp;$A95,計算用!$L$2:$L$186,0)),"")</f>
        <v/>
      </c>
      <c r="I95" s="15"/>
      <c r="J95" s="15" t="str">
        <f>IF(ROW()-3&lt;=MAX(計算用!$Q$4,計算用!$Q$5),ROW()-3,"")</f>
        <v/>
      </c>
      <c r="K95" s="15" t="str">
        <f>IFERROR(INDEX(計算用!$D$2:$D$186,MATCH("女赤"&amp;$J95,計算用!$L$2:$L$186,0)),"")</f>
        <v/>
      </c>
      <c r="L95" s="15" t="str">
        <f>IFERROR(INDEX(計算用!$M$2:$M$186,MATCH("女赤"&amp;$J95,計算用!$L$2:$L$186,0)),"")</f>
        <v/>
      </c>
      <c r="M95" s="16" t="str">
        <f>IFERROR(INDEX(計算用!$G$2:$G$186,MATCH("女赤"&amp;$J95,計算用!$L$2:$L$186,0)),"")</f>
        <v/>
      </c>
      <c r="N95" s="15"/>
      <c r="O95" s="15" t="str">
        <f>IFERROR(INDEX(計算用!$D$2:$D$186,MATCH("女白"&amp;$J95,計算用!$L$2:$L$186,0)),"")</f>
        <v/>
      </c>
      <c r="P95" s="15" t="str">
        <f>IFERROR(INDEX(計算用!$M$2:$M$186,MATCH("女白"&amp;$J95,計算用!$L$2:$L$186,0)),"")</f>
        <v/>
      </c>
      <c r="Q95" s="16" t="str">
        <f>IFERROR(INDEX(計算用!$G$2:$G$186,MATCH("女白"&amp;$J95,計算用!$L$2:$L$186,0)),"")</f>
        <v/>
      </c>
    </row>
    <row r="96" spans="1:17" x14ac:dyDescent="0.15">
      <c r="A96" s="15" t="str">
        <f>IF(ROW()-3&lt;=MAX(計算用!$Q$2,計算用!$Q$3),ROW()-3,"")</f>
        <v/>
      </c>
      <c r="B96" s="15" t="str">
        <f>IFERROR(INDEX(計算用!$D$2:$D$186,MATCH("男赤"&amp;$A96,計算用!$L$2:$L$186,0)),"")</f>
        <v/>
      </c>
      <c r="C96" s="15" t="str">
        <f>IFERROR(INDEX(計算用!$M$2:$M$186,MATCH("男赤"&amp;$A96,計算用!$L$2:$L$186,0)),"")</f>
        <v/>
      </c>
      <c r="D96" s="16" t="str">
        <f>IFERROR(INDEX(計算用!$G$2:$G$186,MATCH("男赤"&amp;$A96,計算用!$L$2:$L$186,0)),"")</f>
        <v/>
      </c>
      <c r="E96" s="15"/>
      <c r="F96" s="15" t="str">
        <f>IFERROR(INDEX(計算用!$D$2:$D$186,MATCH("男白"&amp;$A96,計算用!$L$2:$L$186,0)),"")</f>
        <v/>
      </c>
      <c r="G96" s="15" t="str">
        <f>IFERROR(INDEX(計算用!$M$2:$M$186,MATCH("男白"&amp;$A96,計算用!$L$2:$L$186,0)),"")</f>
        <v/>
      </c>
      <c r="H96" s="16" t="str">
        <f>IFERROR(INDEX(計算用!$G$2:$G$186,MATCH("男白"&amp;$A96,計算用!$L$2:$L$186,0)),"")</f>
        <v/>
      </c>
      <c r="I96" s="15"/>
      <c r="J96" s="15" t="str">
        <f>IF(ROW()-3&lt;=MAX(計算用!$Q$4,計算用!$Q$5),ROW()-3,"")</f>
        <v/>
      </c>
      <c r="K96" s="15" t="str">
        <f>IFERROR(INDEX(計算用!$D$2:$D$186,MATCH("女赤"&amp;$J96,計算用!$L$2:$L$186,0)),"")</f>
        <v/>
      </c>
      <c r="L96" s="15" t="str">
        <f>IFERROR(INDEX(計算用!$M$2:$M$186,MATCH("女赤"&amp;$J96,計算用!$L$2:$L$186,0)),"")</f>
        <v/>
      </c>
      <c r="M96" s="16" t="str">
        <f>IFERROR(INDEX(計算用!$G$2:$G$186,MATCH("女赤"&amp;$J96,計算用!$L$2:$L$186,0)),"")</f>
        <v/>
      </c>
      <c r="N96" s="15"/>
      <c r="O96" s="15" t="str">
        <f>IFERROR(INDEX(計算用!$D$2:$D$186,MATCH("女白"&amp;$J96,計算用!$L$2:$L$186,0)),"")</f>
        <v/>
      </c>
      <c r="P96" s="15" t="str">
        <f>IFERROR(INDEX(計算用!$M$2:$M$186,MATCH("女白"&amp;$J96,計算用!$L$2:$L$186,0)),"")</f>
        <v/>
      </c>
      <c r="Q96" s="16" t="str">
        <f>IFERROR(INDEX(計算用!$G$2:$G$186,MATCH("女白"&amp;$J96,計算用!$L$2:$L$186,0)),"")</f>
        <v/>
      </c>
    </row>
    <row r="97" spans="1:17" x14ac:dyDescent="0.15">
      <c r="A97" s="15" t="str">
        <f>IF(ROW()-3&lt;=MAX(計算用!$Q$2,計算用!$Q$3),ROW()-3,"")</f>
        <v/>
      </c>
      <c r="B97" s="15" t="str">
        <f>IFERROR(INDEX(計算用!$D$2:$D$186,MATCH("男赤"&amp;$A97,計算用!$L$2:$L$186,0)),"")</f>
        <v/>
      </c>
      <c r="C97" s="15" t="str">
        <f>IFERROR(INDEX(計算用!$M$2:$M$186,MATCH("男赤"&amp;$A97,計算用!$L$2:$L$186,0)),"")</f>
        <v/>
      </c>
      <c r="D97" s="16" t="str">
        <f>IFERROR(INDEX(計算用!$G$2:$G$186,MATCH("男赤"&amp;$A97,計算用!$L$2:$L$186,0)),"")</f>
        <v/>
      </c>
      <c r="E97" s="15"/>
      <c r="F97" s="15" t="str">
        <f>IFERROR(INDEX(計算用!$D$2:$D$186,MATCH("男白"&amp;$A97,計算用!$L$2:$L$186,0)),"")</f>
        <v/>
      </c>
      <c r="G97" s="15" t="str">
        <f>IFERROR(INDEX(計算用!$M$2:$M$186,MATCH("男白"&amp;$A97,計算用!$L$2:$L$186,0)),"")</f>
        <v/>
      </c>
      <c r="H97" s="16" t="str">
        <f>IFERROR(INDEX(計算用!$G$2:$G$186,MATCH("男白"&amp;$A97,計算用!$L$2:$L$186,0)),"")</f>
        <v/>
      </c>
      <c r="I97" s="15"/>
      <c r="J97" s="15" t="str">
        <f>IF(ROW()-3&lt;=MAX(計算用!$Q$4,計算用!$Q$5),ROW()-3,"")</f>
        <v/>
      </c>
      <c r="K97" s="15" t="str">
        <f>IFERROR(INDEX(計算用!$D$2:$D$186,MATCH("女赤"&amp;$J97,計算用!$L$2:$L$186,0)),"")</f>
        <v/>
      </c>
      <c r="L97" s="15" t="str">
        <f>IFERROR(INDEX(計算用!$M$2:$M$186,MATCH("女赤"&amp;$J97,計算用!$L$2:$L$186,0)),"")</f>
        <v/>
      </c>
      <c r="M97" s="16" t="str">
        <f>IFERROR(INDEX(計算用!$G$2:$G$186,MATCH("女赤"&amp;$J97,計算用!$L$2:$L$186,0)),"")</f>
        <v/>
      </c>
      <c r="N97" s="15"/>
      <c r="O97" s="15" t="str">
        <f>IFERROR(INDEX(計算用!$D$2:$D$186,MATCH("女白"&amp;$J97,計算用!$L$2:$L$186,0)),"")</f>
        <v/>
      </c>
      <c r="P97" s="15" t="str">
        <f>IFERROR(INDEX(計算用!$M$2:$M$186,MATCH("女白"&amp;$J97,計算用!$L$2:$L$186,0)),"")</f>
        <v/>
      </c>
      <c r="Q97" s="16" t="str">
        <f>IFERROR(INDEX(計算用!$G$2:$G$186,MATCH("女白"&amp;$J97,計算用!$L$2:$L$186,0)),"")</f>
        <v/>
      </c>
    </row>
    <row r="98" spans="1:17" x14ac:dyDescent="0.15">
      <c r="A98" s="15" t="str">
        <f>IF(ROW()-3&lt;=MAX(計算用!$Q$2,計算用!$Q$3),ROW()-3,"")</f>
        <v/>
      </c>
      <c r="B98" s="15" t="str">
        <f>IFERROR(INDEX(計算用!$D$2:$D$186,MATCH("男赤"&amp;$A98,計算用!$L$2:$L$186,0)),"")</f>
        <v/>
      </c>
      <c r="C98" s="15" t="str">
        <f>IFERROR(INDEX(計算用!$M$2:$M$186,MATCH("男赤"&amp;$A98,計算用!$L$2:$L$186,0)),"")</f>
        <v/>
      </c>
      <c r="D98" s="16" t="str">
        <f>IFERROR(INDEX(計算用!$G$2:$G$186,MATCH("男赤"&amp;$A98,計算用!$L$2:$L$186,0)),"")</f>
        <v/>
      </c>
      <c r="E98" s="15"/>
      <c r="F98" s="15" t="str">
        <f>IFERROR(INDEX(計算用!$D$2:$D$186,MATCH("男白"&amp;$A98,計算用!$L$2:$L$186,0)),"")</f>
        <v/>
      </c>
      <c r="G98" s="15" t="str">
        <f>IFERROR(INDEX(計算用!$M$2:$M$186,MATCH("男白"&amp;$A98,計算用!$L$2:$L$186,0)),"")</f>
        <v/>
      </c>
      <c r="H98" s="16" t="str">
        <f>IFERROR(INDEX(計算用!$G$2:$G$186,MATCH("男白"&amp;$A98,計算用!$L$2:$L$186,0)),"")</f>
        <v/>
      </c>
      <c r="I98" s="15"/>
      <c r="J98" s="15" t="str">
        <f>IF(ROW()-3&lt;=MAX(計算用!$Q$4,計算用!$Q$5),ROW()-3,"")</f>
        <v/>
      </c>
      <c r="K98" s="15" t="str">
        <f>IFERROR(INDEX(計算用!$D$2:$D$186,MATCH("女赤"&amp;$J98,計算用!$L$2:$L$186,0)),"")</f>
        <v/>
      </c>
      <c r="L98" s="15" t="str">
        <f>IFERROR(INDEX(計算用!$M$2:$M$186,MATCH("女赤"&amp;$J98,計算用!$L$2:$L$186,0)),"")</f>
        <v/>
      </c>
      <c r="M98" s="16" t="str">
        <f>IFERROR(INDEX(計算用!$G$2:$G$186,MATCH("女赤"&amp;$J98,計算用!$L$2:$L$186,0)),"")</f>
        <v/>
      </c>
      <c r="N98" s="15"/>
      <c r="O98" s="15" t="str">
        <f>IFERROR(INDEX(計算用!$D$2:$D$186,MATCH("女白"&amp;$J98,計算用!$L$2:$L$186,0)),"")</f>
        <v/>
      </c>
      <c r="P98" s="15" t="str">
        <f>IFERROR(INDEX(計算用!$M$2:$M$186,MATCH("女白"&amp;$J98,計算用!$L$2:$L$186,0)),"")</f>
        <v/>
      </c>
      <c r="Q98" s="16" t="str">
        <f>IFERROR(INDEX(計算用!$G$2:$G$186,MATCH("女白"&amp;$J98,計算用!$L$2:$L$186,0)),"")</f>
        <v/>
      </c>
    </row>
    <row r="99" spans="1:17" x14ac:dyDescent="0.15">
      <c r="A99" s="15" t="str">
        <f>IF(ROW()-3&lt;=MAX(計算用!$Q$2,計算用!$Q$3),ROW()-3,"")</f>
        <v/>
      </c>
      <c r="B99" s="15" t="str">
        <f>IFERROR(INDEX(計算用!$D$2:$D$186,MATCH("男赤"&amp;$A99,計算用!$L$2:$L$186,0)),"")</f>
        <v/>
      </c>
      <c r="C99" s="15" t="str">
        <f>IFERROR(INDEX(計算用!$M$2:$M$186,MATCH("男赤"&amp;$A99,計算用!$L$2:$L$186,0)),"")</f>
        <v/>
      </c>
      <c r="D99" s="16" t="str">
        <f>IFERROR(INDEX(計算用!$G$2:$G$186,MATCH("男赤"&amp;$A99,計算用!$L$2:$L$186,0)),"")</f>
        <v/>
      </c>
      <c r="E99" s="15"/>
      <c r="F99" s="15" t="str">
        <f>IFERROR(INDEX(計算用!$D$2:$D$186,MATCH("男白"&amp;$A99,計算用!$L$2:$L$186,0)),"")</f>
        <v/>
      </c>
      <c r="G99" s="15" t="str">
        <f>IFERROR(INDEX(計算用!$M$2:$M$186,MATCH("男白"&amp;$A99,計算用!$L$2:$L$186,0)),"")</f>
        <v/>
      </c>
      <c r="H99" s="16" t="str">
        <f>IFERROR(INDEX(計算用!$G$2:$G$186,MATCH("男白"&amp;$A99,計算用!$L$2:$L$186,0)),"")</f>
        <v/>
      </c>
      <c r="I99" s="15"/>
      <c r="J99" s="15" t="str">
        <f>IF(ROW()-3&lt;=MAX(計算用!$Q$4,計算用!$Q$5),ROW()-3,"")</f>
        <v/>
      </c>
      <c r="K99" s="15" t="str">
        <f>IFERROR(INDEX(計算用!$D$2:$D$186,MATCH("女赤"&amp;$J99,計算用!$L$2:$L$186,0)),"")</f>
        <v/>
      </c>
      <c r="L99" s="15" t="str">
        <f>IFERROR(INDEX(計算用!$M$2:$M$186,MATCH("女赤"&amp;$J99,計算用!$L$2:$L$186,0)),"")</f>
        <v/>
      </c>
      <c r="M99" s="16" t="str">
        <f>IFERROR(INDEX(計算用!$G$2:$G$186,MATCH("女赤"&amp;$J99,計算用!$L$2:$L$186,0)),"")</f>
        <v/>
      </c>
      <c r="N99" s="15"/>
      <c r="O99" s="15" t="str">
        <f>IFERROR(INDEX(計算用!$D$2:$D$186,MATCH("女白"&amp;$J99,計算用!$L$2:$L$186,0)),"")</f>
        <v/>
      </c>
      <c r="P99" s="15" t="str">
        <f>IFERROR(INDEX(計算用!$M$2:$M$186,MATCH("女白"&amp;$J99,計算用!$L$2:$L$186,0)),"")</f>
        <v/>
      </c>
      <c r="Q99" s="16" t="str">
        <f>IFERROR(INDEX(計算用!$G$2:$G$186,MATCH("女白"&amp;$J99,計算用!$L$2:$L$186,0)),"")</f>
        <v/>
      </c>
    </row>
    <row r="100" spans="1:17" x14ac:dyDescent="0.15">
      <c r="A100" s="15" t="str">
        <f>IF(ROW()-3&lt;=MAX(計算用!$Q$2,計算用!$Q$3),ROW()-3,"")</f>
        <v/>
      </c>
      <c r="B100" s="15" t="str">
        <f>IFERROR(INDEX(計算用!$D$2:$D$186,MATCH("男赤"&amp;$A100,計算用!$L$2:$L$186,0)),"")</f>
        <v/>
      </c>
      <c r="C100" s="15" t="str">
        <f>IFERROR(INDEX(計算用!$M$2:$M$186,MATCH("男赤"&amp;$A100,計算用!$L$2:$L$186,0)),"")</f>
        <v/>
      </c>
      <c r="D100" s="16" t="str">
        <f>IFERROR(INDEX(計算用!$G$2:$G$186,MATCH("男赤"&amp;$A100,計算用!$L$2:$L$186,0)),"")</f>
        <v/>
      </c>
      <c r="E100" s="15"/>
      <c r="F100" s="15" t="str">
        <f>IFERROR(INDEX(計算用!$D$2:$D$186,MATCH("男白"&amp;$A100,計算用!$L$2:$L$186,0)),"")</f>
        <v/>
      </c>
      <c r="G100" s="15" t="str">
        <f>IFERROR(INDEX(計算用!$M$2:$M$186,MATCH("男白"&amp;$A100,計算用!$L$2:$L$186,0)),"")</f>
        <v/>
      </c>
      <c r="H100" s="16" t="str">
        <f>IFERROR(INDEX(計算用!$G$2:$G$186,MATCH("男白"&amp;$A100,計算用!$L$2:$L$186,0)),"")</f>
        <v/>
      </c>
      <c r="I100" s="15"/>
      <c r="J100" s="15" t="str">
        <f>IF(ROW()-3&lt;=MAX(計算用!$Q$4,計算用!$Q$5),ROW()-3,"")</f>
        <v/>
      </c>
      <c r="K100" s="15" t="str">
        <f>IFERROR(INDEX(計算用!$D$2:$D$186,MATCH("女赤"&amp;$J100,計算用!$L$2:$L$186,0)),"")</f>
        <v/>
      </c>
      <c r="L100" s="15" t="str">
        <f>IFERROR(INDEX(計算用!$M$2:$M$186,MATCH("女赤"&amp;$J100,計算用!$L$2:$L$186,0)),"")</f>
        <v/>
      </c>
      <c r="M100" s="16" t="str">
        <f>IFERROR(INDEX(計算用!$G$2:$G$186,MATCH("女赤"&amp;$J100,計算用!$L$2:$L$186,0)),"")</f>
        <v/>
      </c>
      <c r="N100" s="15"/>
      <c r="O100" s="15" t="str">
        <f>IFERROR(INDEX(計算用!$D$2:$D$186,MATCH("女白"&amp;$J100,計算用!$L$2:$L$186,0)),"")</f>
        <v/>
      </c>
      <c r="P100" s="15" t="str">
        <f>IFERROR(INDEX(計算用!$M$2:$M$186,MATCH("女白"&amp;$J100,計算用!$L$2:$L$186,0)),"")</f>
        <v/>
      </c>
      <c r="Q100" s="16" t="str">
        <f>IFERROR(INDEX(計算用!$G$2:$G$186,MATCH("女白"&amp;$J100,計算用!$L$2:$L$186,0)),"")</f>
        <v/>
      </c>
    </row>
    <row r="101" spans="1:17" x14ac:dyDescent="0.15">
      <c r="A101" s="15" t="str">
        <f>IF(ROW()-3&lt;=MAX(計算用!$Q$2,計算用!$Q$3),ROW()-3,"")</f>
        <v/>
      </c>
      <c r="B101" s="15" t="str">
        <f>IFERROR(INDEX(計算用!$D$2:$D$186,MATCH("男赤"&amp;$A101,計算用!$L$2:$L$186,0)),"")</f>
        <v/>
      </c>
      <c r="C101" s="15" t="str">
        <f>IFERROR(INDEX(計算用!$M$2:$M$186,MATCH("男赤"&amp;$A101,計算用!$L$2:$L$186,0)),"")</f>
        <v/>
      </c>
      <c r="D101" s="16" t="str">
        <f>IFERROR(INDEX(計算用!$G$2:$G$186,MATCH("男赤"&amp;$A101,計算用!$L$2:$L$186,0)),"")</f>
        <v/>
      </c>
      <c r="E101" s="15"/>
      <c r="F101" s="15" t="str">
        <f>IFERROR(INDEX(計算用!$D$2:$D$186,MATCH("男白"&amp;$A101,計算用!$L$2:$L$186,0)),"")</f>
        <v/>
      </c>
      <c r="G101" s="15" t="str">
        <f>IFERROR(INDEX(計算用!$M$2:$M$186,MATCH("男白"&amp;$A101,計算用!$L$2:$L$186,0)),"")</f>
        <v/>
      </c>
      <c r="H101" s="16" t="str">
        <f>IFERROR(INDEX(計算用!$G$2:$G$186,MATCH("男白"&amp;$A101,計算用!$L$2:$L$186,0)),"")</f>
        <v/>
      </c>
      <c r="I101" s="15"/>
      <c r="J101" s="15" t="str">
        <f>IF(ROW()-3&lt;=MAX(計算用!$Q$4,計算用!$Q$5),ROW()-3,"")</f>
        <v/>
      </c>
      <c r="K101" s="15" t="str">
        <f>IFERROR(INDEX(計算用!$D$2:$D$186,MATCH("女赤"&amp;$J101,計算用!$L$2:$L$186,0)),"")</f>
        <v/>
      </c>
      <c r="L101" s="15" t="str">
        <f>IFERROR(INDEX(計算用!$M$2:$M$186,MATCH("女赤"&amp;$J101,計算用!$L$2:$L$186,0)),"")</f>
        <v/>
      </c>
      <c r="M101" s="16" t="str">
        <f>IFERROR(INDEX(計算用!$G$2:$G$186,MATCH("女赤"&amp;$J101,計算用!$L$2:$L$186,0)),"")</f>
        <v/>
      </c>
      <c r="N101" s="15"/>
      <c r="O101" s="15" t="str">
        <f>IFERROR(INDEX(計算用!$D$2:$D$186,MATCH("女白"&amp;$J101,計算用!$L$2:$L$186,0)),"")</f>
        <v/>
      </c>
      <c r="P101" s="15" t="str">
        <f>IFERROR(INDEX(計算用!$M$2:$M$186,MATCH("女白"&amp;$J101,計算用!$L$2:$L$186,0)),"")</f>
        <v/>
      </c>
      <c r="Q101" s="16" t="str">
        <f>IFERROR(INDEX(計算用!$G$2:$G$186,MATCH("女白"&amp;$J101,計算用!$L$2:$L$186,0)),"")</f>
        <v/>
      </c>
    </row>
    <row r="102" spans="1:17" x14ac:dyDescent="0.15">
      <c r="A102" s="15" t="str">
        <f>IF(ROW()-3&lt;=MAX(計算用!$Q$2,計算用!$Q$3),ROW()-3,"")</f>
        <v/>
      </c>
      <c r="B102" s="15" t="str">
        <f>IFERROR(INDEX(計算用!$D$2:$D$186,MATCH("男赤"&amp;$A102,計算用!$L$2:$L$186,0)),"")</f>
        <v/>
      </c>
      <c r="C102" s="15" t="str">
        <f>IFERROR(INDEX(計算用!$M$2:$M$186,MATCH("男赤"&amp;$A102,計算用!$L$2:$L$186,0)),"")</f>
        <v/>
      </c>
      <c r="D102" s="16" t="str">
        <f>IFERROR(INDEX(計算用!$G$2:$G$186,MATCH("男赤"&amp;$A102,計算用!$L$2:$L$186,0)),"")</f>
        <v/>
      </c>
      <c r="E102" s="15"/>
      <c r="F102" s="15" t="str">
        <f>IFERROR(INDEX(計算用!$D$2:$D$186,MATCH("男白"&amp;$A102,計算用!$L$2:$L$186,0)),"")</f>
        <v/>
      </c>
      <c r="G102" s="15" t="str">
        <f>IFERROR(INDEX(計算用!$M$2:$M$186,MATCH("男白"&amp;$A102,計算用!$L$2:$L$186,0)),"")</f>
        <v/>
      </c>
      <c r="H102" s="16" t="str">
        <f>IFERROR(INDEX(計算用!$G$2:$G$186,MATCH("男白"&amp;$A102,計算用!$L$2:$L$186,0)),"")</f>
        <v/>
      </c>
      <c r="I102" s="15"/>
      <c r="J102" s="15" t="str">
        <f>IF(ROW()-3&lt;=MAX(計算用!$Q$4,計算用!$Q$5),ROW()-3,"")</f>
        <v/>
      </c>
      <c r="K102" s="15" t="str">
        <f>IFERROR(INDEX(計算用!$D$2:$D$186,MATCH("女赤"&amp;$J102,計算用!$L$2:$L$186,0)),"")</f>
        <v/>
      </c>
      <c r="L102" s="15" t="str">
        <f>IFERROR(INDEX(計算用!$M$2:$M$186,MATCH("女赤"&amp;$J102,計算用!$L$2:$L$186,0)),"")</f>
        <v/>
      </c>
      <c r="M102" s="16" t="str">
        <f>IFERROR(INDEX(計算用!$G$2:$G$186,MATCH("女赤"&amp;$J102,計算用!$L$2:$L$186,0)),"")</f>
        <v/>
      </c>
      <c r="N102" s="15"/>
      <c r="O102" s="15" t="str">
        <f>IFERROR(INDEX(計算用!$D$2:$D$186,MATCH("女白"&amp;$J102,計算用!$L$2:$L$186,0)),"")</f>
        <v/>
      </c>
      <c r="P102" s="15" t="str">
        <f>IFERROR(INDEX(計算用!$M$2:$M$186,MATCH("女白"&amp;$J102,計算用!$L$2:$L$186,0)),"")</f>
        <v/>
      </c>
      <c r="Q102" s="16" t="str">
        <f>IFERROR(INDEX(計算用!$G$2:$G$186,MATCH("女白"&amp;$J102,計算用!$L$2:$L$186,0)),"")</f>
        <v/>
      </c>
    </row>
    <row r="103" spans="1:17" x14ac:dyDescent="0.15">
      <c r="A103" s="15" t="str">
        <f>IF(ROW()-3&lt;=MAX(計算用!$Q$2,計算用!$Q$3),ROW()-3,"")</f>
        <v/>
      </c>
      <c r="B103" s="15" t="str">
        <f>IFERROR(INDEX(計算用!$D$2:$D$186,MATCH("男赤"&amp;$A103,計算用!$L$2:$L$186,0)),"")</f>
        <v/>
      </c>
      <c r="C103" s="15" t="str">
        <f>IFERROR(INDEX(計算用!$M$2:$M$186,MATCH("男赤"&amp;$A103,計算用!$L$2:$L$186,0)),"")</f>
        <v/>
      </c>
      <c r="D103" s="16" t="str">
        <f>IFERROR(INDEX(計算用!$G$2:$G$186,MATCH("男赤"&amp;$A103,計算用!$L$2:$L$186,0)),"")</f>
        <v/>
      </c>
      <c r="E103" s="15"/>
      <c r="F103" s="15" t="str">
        <f>IFERROR(INDEX(計算用!$D$2:$D$186,MATCH("男白"&amp;$A103,計算用!$L$2:$L$186,0)),"")</f>
        <v/>
      </c>
      <c r="G103" s="15" t="str">
        <f>IFERROR(INDEX(計算用!$M$2:$M$186,MATCH("男白"&amp;$A103,計算用!$L$2:$L$186,0)),"")</f>
        <v/>
      </c>
      <c r="H103" s="16" t="str">
        <f>IFERROR(INDEX(計算用!$G$2:$G$186,MATCH("男白"&amp;$A103,計算用!$L$2:$L$186,0)),"")</f>
        <v/>
      </c>
      <c r="I103" s="15"/>
      <c r="J103" s="15" t="str">
        <f>IF(ROW()-3&lt;=MAX(計算用!$Q$4,計算用!$Q$5),ROW()-3,"")</f>
        <v/>
      </c>
      <c r="K103" s="15" t="str">
        <f>IFERROR(INDEX(計算用!$D$2:$D$186,MATCH("女赤"&amp;$J103,計算用!$L$2:$L$186,0)),"")</f>
        <v/>
      </c>
      <c r="L103" s="15" t="str">
        <f>IFERROR(INDEX(計算用!$M$2:$M$186,MATCH("女赤"&amp;$J103,計算用!$L$2:$L$186,0)),"")</f>
        <v/>
      </c>
      <c r="M103" s="16" t="str">
        <f>IFERROR(INDEX(計算用!$G$2:$G$186,MATCH("女赤"&amp;$J103,計算用!$L$2:$L$186,0)),"")</f>
        <v/>
      </c>
      <c r="N103" s="15"/>
      <c r="O103" s="15" t="str">
        <f>IFERROR(INDEX(計算用!$D$2:$D$186,MATCH("女白"&amp;$J103,計算用!$L$2:$L$186,0)),"")</f>
        <v/>
      </c>
      <c r="P103" s="15" t="str">
        <f>IFERROR(INDEX(計算用!$M$2:$M$186,MATCH("女白"&amp;$J103,計算用!$L$2:$L$186,0)),"")</f>
        <v/>
      </c>
      <c r="Q103" s="16" t="str">
        <f>IFERROR(INDEX(計算用!$G$2:$G$186,MATCH("女白"&amp;$J103,計算用!$L$2:$L$186,0)),"")</f>
        <v/>
      </c>
    </row>
    <row r="104" spans="1:17" x14ac:dyDescent="0.15">
      <c r="A104" s="15" t="str">
        <f>IF(ROW()-3&lt;=MAX(計算用!$Q$2,計算用!$Q$3),ROW()-3,"")</f>
        <v/>
      </c>
      <c r="B104" s="15" t="str">
        <f>IFERROR(INDEX(計算用!$D$2:$D$186,MATCH("男赤"&amp;$A104,計算用!$L$2:$L$186,0)),"")</f>
        <v/>
      </c>
      <c r="C104" s="15" t="str">
        <f>IFERROR(INDEX(計算用!$M$2:$M$186,MATCH("男赤"&amp;$A104,計算用!$L$2:$L$186,0)),"")</f>
        <v/>
      </c>
      <c r="D104" s="16" t="str">
        <f>IFERROR(INDEX(計算用!$G$2:$G$186,MATCH("男赤"&amp;$A104,計算用!$L$2:$L$186,0)),"")</f>
        <v/>
      </c>
      <c r="E104" s="15"/>
      <c r="F104" s="15" t="str">
        <f>IFERROR(INDEX(計算用!$D$2:$D$186,MATCH("男白"&amp;$A104,計算用!$L$2:$L$186,0)),"")</f>
        <v/>
      </c>
      <c r="G104" s="15" t="str">
        <f>IFERROR(INDEX(計算用!$M$2:$M$186,MATCH("男白"&amp;$A104,計算用!$L$2:$L$186,0)),"")</f>
        <v/>
      </c>
      <c r="H104" s="16" t="str">
        <f>IFERROR(INDEX(計算用!$G$2:$G$186,MATCH("男白"&amp;$A104,計算用!$L$2:$L$186,0)),"")</f>
        <v/>
      </c>
      <c r="I104" s="15"/>
      <c r="J104" s="15" t="str">
        <f>IF(ROW()-3&lt;=MAX(計算用!$Q$4,計算用!$Q$5),ROW()-3,"")</f>
        <v/>
      </c>
      <c r="K104" s="15" t="str">
        <f>IFERROR(INDEX(計算用!$D$2:$D$186,MATCH("女赤"&amp;$J104,計算用!$L$2:$L$186,0)),"")</f>
        <v/>
      </c>
      <c r="L104" s="15" t="str">
        <f>IFERROR(INDEX(計算用!$M$2:$M$186,MATCH("女赤"&amp;$J104,計算用!$L$2:$L$186,0)),"")</f>
        <v/>
      </c>
      <c r="M104" s="16" t="str">
        <f>IFERROR(INDEX(計算用!$G$2:$G$186,MATCH("女赤"&amp;$J104,計算用!$L$2:$L$186,0)),"")</f>
        <v/>
      </c>
      <c r="N104" s="15"/>
      <c r="O104" s="15" t="str">
        <f>IFERROR(INDEX(計算用!$D$2:$D$186,MATCH("女白"&amp;$J104,計算用!$L$2:$L$186,0)),"")</f>
        <v/>
      </c>
      <c r="P104" s="15" t="str">
        <f>IFERROR(INDEX(計算用!$M$2:$M$186,MATCH("女白"&amp;$J104,計算用!$L$2:$L$186,0)),"")</f>
        <v/>
      </c>
      <c r="Q104" s="16" t="str">
        <f>IFERROR(INDEX(計算用!$G$2:$G$186,MATCH("女白"&amp;$J104,計算用!$L$2:$L$186,0)),"")</f>
        <v/>
      </c>
    </row>
    <row r="105" spans="1:17" x14ac:dyDescent="0.15">
      <c r="A105" s="15" t="str">
        <f>IF(ROW()-3&lt;=MAX(計算用!$Q$2,計算用!$Q$3),ROW()-3,"")</f>
        <v/>
      </c>
      <c r="B105" s="15" t="str">
        <f>IFERROR(INDEX(計算用!$D$2:$D$186,MATCH("男赤"&amp;$A105,計算用!$L$2:$L$186,0)),"")</f>
        <v/>
      </c>
      <c r="C105" s="15" t="str">
        <f>IFERROR(INDEX(計算用!$M$2:$M$186,MATCH("男赤"&amp;$A105,計算用!$L$2:$L$186,0)),"")</f>
        <v/>
      </c>
      <c r="D105" s="16" t="str">
        <f>IFERROR(INDEX(計算用!$G$2:$G$186,MATCH("男赤"&amp;$A105,計算用!$L$2:$L$186,0)),"")</f>
        <v/>
      </c>
      <c r="E105" s="15"/>
      <c r="F105" s="15" t="str">
        <f>IFERROR(INDEX(計算用!$D$2:$D$186,MATCH("男白"&amp;$A105,計算用!$L$2:$L$186,0)),"")</f>
        <v/>
      </c>
      <c r="G105" s="15" t="str">
        <f>IFERROR(INDEX(計算用!$M$2:$M$186,MATCH("男白"&amp;$A105,計算用!$L$2:$L$186,0)),"")</f>
        <v/>
      </c>
      <c r="H105" s="16" t="str">
        <f>IFERROR(INDEX(計算用!$G$2:$G$186,MATCH("男白"&amp;$A105,計算用!$L$2:$L$186,0)),"")</f>
        <v/>
      </c>
      <c r="I105" s="15"/>
      <c r="J105" s="15" t="str">
        <f>IF(ROW()-3&lt;=MAX(計算用!$Q$4,計算用!$Q$5),ROW()-3,"")</f>
        <v/>
      </c>
      <c r="K105" s="15" t="str">
        <f>IFERROR(INDEX(計算用!$D$2:$D$186,MATCH("女赤"&amp;$J105,計算用!$L$2:$L$186,0)),"")</f>
        <v/>
      </c>
      <c r="L105" s="15" t="str">
        <f>IFERROR(INDEX(計算用!$M$2:$M$186,MATCH("女赤"&amp;$J105,計算用!$L$2:$L$186,0)),"")</f>
        <v/>
      </c>
      <c r="M105" s="16" t="str">
        <f>IFERROR(INDEX(計算用!$G$2:$G$186,MATCH("女赤"&amp;$J105,計算用!$L$2:$L$186,0)),"")</f>
        <v/>
      </c>
      <c r="N105" s="15"/>
      <c r="O105" s="15" t="str">
        <f>IFERROR(INDEX(計算用!$D$2:$D$186,MATCH("女白"&amp;$J105,計算用!$L$2:$L$186,0)),"")</f>
        <v/>
      </c>
      <c r="P105" s="15" t="str">
        <f>IFERROR(INDEX(計算用!$M$2:$M$186,MATCH("女白"&amp;$J105,計算用!$L$2:$L$186,0)),"")</f>
        <v/>
      </c>
      <c r="Q105" s="16" t="str">
        <f>IFERROR(INDEX(計算用!$G$2:$G$186,MATCH("女白"&amp;$J105,計算用!$L$2:$L$186,0)),"")</f>
        <v/>
      </c>
    </row>
    <row r="106" spans="1:17" x14ac:dyDescent="0.15">
      <c r="A106" s="15" t="str">
        <f>IF(ROW()-3&lt;=MAX(計算用!$Q$2,計算用!$Q$3),ROW()-3,"")</f>
        <v/>
      </c>
      <c r="B106" s="15" t="str">
        <f>IFERROR(INDEX(計算用!$D$2:$D$186,MATCH("男赤"&amp;$A106,計算用!$L$2:$L$186,0)),"")</f>
        <v/>
      </c>
      <c r="C106" s="15" t="str">
        <f>IFERROR(INDEX(計算用!$M$2:$M$186,MATCH("男赤"&amp;$A106,計算用!$L$2:$L$186,0)),"")</f>
        <v/>
      </c>
      <c r="D106" s="16" t="str">
        <f>IFERROR(INDEX(計算用!$G$2:$G$186,MATCH("男赤"&amp;$A106,計算用!$L$2:$L$186,0)),"")</f>
        <v/>
      </c>
      <c r="E106" s="15"/>
      <c r="F106" s="15" t="str">
        <f>IFERROR(INDEX(計算用!$D$2:$D$186,MATCH("男白"&amp;$A106,計算用!$L$2:$L$186,0)),"")</f>
        <v/>
      </c>
      <c r="G106" s="15" t="str">
        <f>IFERROR(INDEX(計算用!$M$2:$M$186,MATCH("男白"&amp;$A106,計算用!$L$2:$L$186,0)),"")</f>
        <v/>
      </c>
      <c r="H106" s="16" t="str">
        <f>IFERROR(INDEX(計算用!$G$2:$G$186,MATCH("男白"&amp;$A106,計算用!$L$2:$L$186,0)),"")</f>
        <v/>
      </c>
      <c r="I106" s="15"/>
      <c r="J106" s="15" t="str">
        <f>IF(ROW()-3&lt;=MAX(計算用!$Q$4,計算用!$Q$5),ROW()-3,"")</f>
        <v/>
      </c>
      <c r="K106" s="15" t="str">
        <f>IFERROR(INDEX(計算用!$D$2:$D$186,MATCH("女赤"&amp;$J106,計算用!$L$2:$L$186,0)),"")</f>
        <v/>
      </c>
      <c r="L106" s="15" t="str">
        <f>IFERROR(INDEX(計算用!$M$2:$M$186,MATCH("女赤"&amp;$J106,計算用!$L$2:$L$186,0)),"")</f>
        <v/>
      </c>
      <c r="M106" s="16" t="str">
        <f>IFERROR(INDEX(計算用!$G$2:$G$186,MATCH("女赤"&amp;$J106,計算用!$L$2:$L$186,0)),"")</f>
        <v/>
      </c>
      <c r="N106" s="15"/>
      <c r="O106" s="15" t="str">
        <f>IFERROR(INDEX(計算用!$D$2:$D$186,MATCH("女白"&amp;$J106,計算用!$L$2:$L$186,0)),"")</f>
        <v/>
      </c>
      <c r="P106" s="15" t="str">
        <f>IFERROR(INDEX(計算用!$M$2:$M$186,MATCH("女白"&amp;$J106,計算用!$L$2:$L$186,0)),"")</f>
        <v/>
      </c>
      <c r="Q106" s="16" t="str">
        <f>IFERROR(INDEX(計算用!$G$2:$G$186,MATCH("女白"&amp;$J106,計算用!$L$2:$L$186,0)),"")</f>
        <v/>
      </c>
    </row>
    <row r="107" spans="1:17" x14ac:dyDescent="0.15">
      <c r="A107" s="15" t="str">
        <f>IF(ROW()-3&lt;=MAX(計算用!$Q$2,計算用!$Q$3),ROW()-3,"")</f>
        <v/>
      </c>
      <c r="B107" s="15" t="str">
        <f>IFERROR(INDEX(計算用!$D$2:$D$186,MATCH("男赤"&amp;$A107,計算用!$L$2:$L$186,0)),"")</f>
        <v/>
      </c>
      <c r="C107" s="15" t="str">
        <f>IFERROR(INDEX(計算用!$M$2:$M$186,MATCH("男赤"&amp;$A107,計算用!$L$2:$L$186,0)),"")</f>
        <v/>
      </c>
      <c r="D107" s="16" t="str">
        <f>IFERROR(INDEX(計算用!$G$2:$G$186,MATCH("男赤"&amp;$A107,計算用!$L$2:$L$186,0)),"")</f>
        <v/>
      </c>
      <c r="E107" s="15"/>
      <c r="F107" s="15" t="str">
        <f>IFERROR(INDEX(計算用!$D$2:$D$186,MATCH("男白"&amp;$A107,計算用!$L$2:$L$186,0)),"")</f>
        <v/>
      </c>
      <c r="G107" s="15" t="str">
        <f>IFERROR(INDEX(計算用!$M$2:$M$186,MATCH("男白"&amp;$A107,計算用!$L$2:$L$186,0)),"")</f>
        <v/>
      </c>
      <c r="H107" s="16" t="str">
        <f>IFERROR(INDEX(計算用!$G$2:$G$186,MATCH("男白"&amp;$A107,計算用!$L$2:$L$186,0)),"")</f>
        <v/>
      </c>
      <c r="I107" s="15"/>
      <c r="J107" s="15" t="str">
        <f>IF(ROW()-3&lt;=MAX(計算用!$Q$4,計算用!$Q$5),ROW()-3,"")</f>
        <v/>
      </c>
      <c r="K107" s="15" t="str">
        <f>IFERROR(INDEX(計算用!$D$2:$D$186,MATCH("女赤"&amp;$J107,計算用!$L$2:$L$186,0)),"")</f>
        <v/>
      </c>
      <c r="L107" s="15" t="str">
        <f>IFERROR(INDEX(計算用!$M$2:$M$186,MATCH("女赤"&amp;$J107,計算用!$L$2:$L$186,0)),"")</f>
        <v/>
      </c>
      <c r="M107" s="16" t="str">
        <f>IFERROR(INDEX(計算用!$G$2:$G$186,MATCH("女赤"&amp;$J107,計算用!$L$2:$L$186,0)),"")</f>
        <v/>
      </c>
      <c r="N107" s="15"/>
      <c r="O107" s="15" t="str">
        <f>IFERROR(INDEX(計算用!$D$2:$D$186,MATCH("女白"&amp;$J107,計算用!$L$2:$L$186,0)),"")</f>
        <v/>
      </c>
      <c r="P107" s="15" t="str">
        <f>IFERROR(INDEX(計算用!$M$2:$M$186,MATCH("女白"&amp;$J107,計算用!$L$2:$L$186,0)),"")</f>
        <v/>
      </c>
      <c r="Q107" s="16" t="str">
        <f>IFERROR(INDEX(計算用!$G$2:$G$186,MATCH("女白"&amp;$J107,計算用!$L$2:$L$186,0)),"")</f>
        <v/>
      </c>
    </row>
    <row r="108" spans="1:17" x14ac:dyDescent="0.15">
      <c r="A108" s="15" t="str">
        <f>IF(ROW()-3&lt;=MAX(計算用!$Q$2,計算用!$Q$3),ROW()-3,"")</f>
        <v/>
      </c>
      <c r="B108" s="15" t="str">
        <f>IFERROR(INDEX(計算用!$D$2:$D$186,MATCH("男赤"&amp;$A108,計算用!$L$2:$L$186,0)),"")</f>
        <v/>
      </c>
      <c r="C108" s="15" t="str">
        <f>IFERROR(INDEX(計算用!$M$2:$M$186,MATCH("男赤"&amp;$A108,計算用!$L$2:$L$186,0)),"")</f>
        <v/>
      </c>
      <c r="D108" s="16" t="str">
        <f>IFERROR(INDEX(計算用!$G$2:$G$186,MATCH("男赤"&amp;$A108,計算用!$L$2:$L$186,0)),"")</f>
        <v/>
      </c>
      <c r="E108" s="15"/>
      <c r="F108" s="15" t="str">
        <f>IFERROR(INDEX(計算用!$D$2:$D$186,MATCH("男白"&amp;$A108,計算用!$L$2:$L$186,0)),"")</f>
        <v/>
      </c>
      <c r="G108" s="15" t="str">
        <f>IFERROR(INDEX(計算用!$M$2:$M$186,MATCH("男白"&amp;$A108,計算用!$L$2:$L$186,0)),"")</f>
        <v/>
      </c>
      <c r="H108" s="16" t="str">
        <f>IFERROR(INDEX(計算用!$G$2:$G$186,MATCH("男白"&amp;$A108,計算用!$L$2:$L$186,0)),"")</f>
        <v/>
      </c>
      <c r="I108" s="15"/>
      <c r="J108" s="15" t="str">
        <f>IF(ROW()-3&lt;=MAX(計算用!$Q$4,計算用!$Q$5),ROW()-3,"")</f>
        <v/>
      </c>
      <c r="K108" s="15" t="str">
        <f>IFERROR(INDEX(計算用!$D$2:$D$186,MATCH("女赤"&amp;$J108,計算用!$L$2:$L$186,0)),"")</f>
        <v/>
      </c>
      <c r="L108" s="15" t="str">
        <f>IFERROR(INDEX(計算用!$M$2:$M$186,MATCH("女赤"&amp;$J108,計算用!$L$2:$L$186,0)),"")</f>
        <v/>
      </c>
      <c r="M108" s="16" t="str">
        <f>IFERROR(INDEX(計算用!$G$2:$G$186,MATCH("女赤"&amp;$J108,計算用!$L$2:$L$186,0)),"")</f>
        <v/>
      </c>
      <c r="N108" s="15"/>
      <c r="O108" s="15" t="str">
        <f>IFERROR(INDEX(計算用!$D$2:$D$186,MATCH("女白"&amp;$J108,計算用!$L$2:$L$186,0)),"")</f>
        <v/>
      </c>
      <c r="P108" s="15" t="str">
        <f>IFERROR(INDEX(計算用!$M$2:$M$186,MATCH("女白"&amp;$J108,計算用!$L$2:$L$186,0)),"")</f>
        <v/>
      </c>
      <c r="Q108" s="16" t="str">
        <f>IFERROR(INDEX(計算用!$G$2:$G$186,MATCH("女白"&amp;$J108,計算用!$L$2:$L$186,0)),"")</f>
        <v/>
      </c>
    </row>
    <row r="109" spans="1:17" x14ac:dyDescent="0.15">
      <c r="A109" s="15" t="str">
        <f>IF(ROW()-3&lt;=MAX(計算用!$Q$2,計算用!$Q$3),ROW()-3,"")</f>
        <v/>
      </c>
      <c r="B109" s="15" t="str">
        <f>IFERROR(INDEX(計算用!$D$2:$D$186,MATCH("男赤"&amp;$A109,計算用!$L$2:$L$186,0)),"")</f>
        <v/>
      </c>
      <c r="C109" s="15" t="str">
        <f>IFERROR(INDEX(計算用!$M$2:$M$186,MATCH("男赤"&amp;$A109,計算用!$L$2:$L$186,0)),"")</f>
        <v/>
      </c>
      <c r="D109" s="16" t="str">
        <f>IFERROR(INDEX(計算用!$G$2:$G$186,MATCH("男赤"&amp;$A109,計算用!$L$2:$L$186,0)),"")</f>
        <v/>
      </c>
      <c r="E109" s="15"/>
      <c r="F109" s="15" t="str">
        <f>IFERROR(INDEX(計算用!$D$2:$D$186,MATCH("男白"&amp;$A109,計算用!$L$2:$L$186,0)),"")</f>
        <v/>
      </c>
      <c r="G109" s="15" t="str">
        <f>IFERROR(INDEX(計算用!$M$2:$M$186,MATCH("男白"&amp;$A109,計算用!$L$2:$L$186,0)),"")</f>
        <v/>
      </c>
      <c r="H109" s="16" t="str">
        <f>IFERROR(INDEX(計算用!$G$2:$G$186,MATCH("男白"&amp;$A109,計算用!$L$2:$L$186,0)),"")</f>
        <v/>
      </c>
      <c r="I109" s="15"/>
      <c r="J109" s="15" t="str">
        <f>IF(ROW()-3&lt;=MAX(計算用!$Q$4,計算用!$Q$5),ROW()-3,"")</f>
        <v/>
      </c>
      <c r="K109" s="15" t="str">
        <f>IFERROR(INDEX(計算用!$D$2:$D$186,MATCH("女赤"&amp;$J109,計算用!$L$2:$L$186,0)),"")</f>
        <v/>
      </c>
      <c r="L109" s="15" t="str">
        <f>IFERROR(INDEX(計算用!$M$2:$M$186,MATCH("女赤"&amp;$J109,計算用!$L$2:$L$186,0)),"")</f>
        <v/>
      </c>
      <c r="M109" s="16" t="str">
        <f>IFERROR(INDEX(計算用!$G$2:$G$186,MATCH("女赤"&amp;$J109,計算用!$L$2:$L$186,0)),"")</f>
        <v/>
      </c>
      <c r="N109" s="15"/>
      <c r="O109" s="15" t="str">
        <f>IFERROR(INDEX(計算用!$D$2:$D$186,MATCH("女白"&amp;$J109,計算用!$L$2:$L$186,0)),"")</f>
        <v/>
      </c>
      <c r="P109" s="15" t="str">
        <f>IFERROR(INDEX(計算用!$M$2:$M$186,MATCH("女白"&amp;$J109,計算用!$L$2:$L$186,0)),"")</f>
        <v/>
      </c>
      <c r="Q109" s="16" t="str">
        <f>IFERROR(INDEX(計算用!$G$2:$G$186,MATCH("女白"&amp;$J109,計算用!$L$2:$L$186,0)),"")</f>
        <v/>
      </c>
    </row>
    <row r="110" spans="1:17" x14ac:dyDescent="0.15">
      <c r="A110" s="15" t="str">
        <f>IF(ROW()-3&lt;=MAX(計算用!$Q$2,計算用!$Q$3),ROW()-3,"")</f>
        <v/>
      </c>
      <c r="B110" s="15" t="str">
        <f>IFERROR(INDEX(計算用!$D$2:$D$186,MATCH("男赤"&amp;$A110,計算用!$L$2:$L$186,0)),"")</f>
        <v/>
      </c>
      <c r="C110" s="15" t="str">
        <f>IFERROR(INDEX(計算用!$M$2:$M$186,MATCH("男赤"&amp;$A110,計算用!$L$2:$L$186,0)),"")</f>
        <v/>
      </c>
      <c r="D110" s="16" t="str">
        <f>IFERROR(INDEX(計算用!$G$2:$G$186,MATCH("男赤"&amp;$A110,計算用!$L$2:$L$186,0)),"")</f>
        <v/>
      </c>
      <c r="E110" s="15"/>
      <c r="F110" s="15" t="str">
        <f>IFERROR(INDEX(計算用!$D$2:$D$186,MATCH("男白"&amp;$A110,計算用!$L$2:$L$186,0)),"")</f>
        <v/>
      </c>
      <c r="G110" s="15" t="str">
        <f>IFERROR(INDEX(計算用!$M$2:$M$186,MATCH("男白"&amp;$A110,計算用!$L$2:$L$186,0)),"")</f>
        <v/>
      </c>
      <c r="H110" s="16" t="str">
        <f>IFERROR(INDEX(計算用!$G$2:$G$186,MATCH("男白"&amp;$A110,計算用!$L$2:$L$186,0)),"")</f>
        <v/>
      </c>
      <c r="I110" s="15"/>
      <c r="J110" s="15" t="str">
        <f>IF(ROW()-3&lt;=MAX(計算用!$Q$4,計算用!$Q$5),ROW()-3,"")</f>
        <v/>
      </c>
      <c r="K110" s="15" t="str">
        <f>IFERROR(INDEX(計算用!$D$2:$D$186,MATCH("女赤"&amp;$J110,計算用!$L$2:$L$186,0)),"")</f>
        <v/>
      </c>
      <c r="L110" s="15" t="str">
        <f>IFERROR(INDEX(計算用!$M$2:$M$186,MATCH("女赤"&amp;$J110,計算用!$L$2:$L$186,0)),"")</f>
        <v/>
      </c>
      <c r="M110" s="16" t="str">
        <f>IFERROR(INDEX(計算用!$G$2:$G$186,MATCH("女赤"&amp;$J110,計算用!$L$2:$L$186,0)),"")</f>
        <v/>
      </c>
      <c r="N110" s="15"/>
      <c r="O110" s="15" t="str">
        <f>IFERROR(INDEX(計算用!$D$2:$D$186,MATCH("女白"&amp;$J110,計算用!$L$2:$L$186,0)),"")</f>
        <v/>
      </c>
      <c r="P110" s="15" t="str">
        <f>IFERROR(INDEX(計算用!$M$2:$M$186,MATCH("女白"&amp;$J110,計算用!$L$2:$L$186,0)),"")</f>
        <v/>
      </c>
      <c r="Q110" s="16" t="str">
        <f>IFERROR(INDEX(計算用!$G$2:$G$186,MATCH("女白"&amp;$J110,計算用!$L$2:$L$186,0)),"")</f>
        <v/>
      </c>
    </row>
    <row r="111" spans="1:17" x14ac:dyDescent="0.15">
      <c r="A111" s="15" t="str">
        <f>IF(ROW()-3&lt;=MAX(計算用!$Q$2,計算用!$Q$3),ROW()-3,"")</f>
        <v/>
      </c>
      <c r="B111" s="15" t="str">
        <f>IFERROR(INDEX(計算用!$D$2:$D$186,MATCH("男赤"&amp;$A111,計算用!$L$2:$L$186,0)),"")</f>
        <v/>
      </c>
      <c r="C111" s="15" t="str">
        <f>IFERROR(INDEX(計算用!$M$2:$M$186,MATCH("男赤"&amp;$A111,計算用!$L$2:$L$186,0)),"")</f>
        <v/>
      </c>
      <c r="D111" s="16" t="str">
        <f>IFERROR(INDEX(計算用!$G$2:$G$186,MATCH("男赤"&amp;$A111,計算用!$L$2:$L$186,0)),"")</f>
        <v/>
      </c>
      <c r="E111" s="15"/>
      <c r="F111" s="15" t="str">
        <f>IFERROR(INDEX(計算用!$D$2:$D$186,MATCH("男白"&amp;$A111,計算用!$L$2:$L$186,0)),"")</f>
        <v/>
      </c>
      <c r="G111" s="15" t="str">
        <f>IFERROR(INDEX(計算用!$M$2:$M$186,MATCH("男白"&amp;$A111,計算用!$L$2:$L$186,0)),"")</f>
        <v/>
      </c>
      <c r="H111" s="16" t="str">
        <f>IFERROR(INDEX(計算用!$G$2:$G$186,MATCH("男白"&amp;$A111,計算用!$L$2:$L$186,0)),"")</f>
        <v/>
      </c>
      <c r="I111" s="15"/>
      <c r="J111" s="15" t="str">
        <f>IF(ROW()-3&lt;=MAX(計算用!$Q$4,計算用!$Q$5),ROW()-3,"")</f>
        <v/>
      </c>
      <c r="K111" s="15" t="str">
        <f>IFERROR(INDEX(計算用!$D$2:$D$186,MATCH("女赤"&amp;$J111,計算用!$L$2:$L$186,0)),"")</f>
        <v/>
      </c>
      <c r="L111" s="15" t="str">
        <f>IFERROR(INDEX(計算用!$M$2:$M$186,MATCH("女赤"&amp;$J111,計算用!$L$2:$L$186,0)),"")</f>
        <v/>
      </c>
      <c r="M111" s="16" t="str">
        <f>IFERROR(INDEX(計算用!$G$2:$G$186,MATCH("女赤"&amp;$J111,計算用!$L$2:$L$186,0)),"")</f>
        <v/>
      </c>
      <c r="N111" s="15"/>
      <c r="O111" s="15" t="str">
        <f>IFERROR(INDEX(計算用!$D$2:$D$186,MATCH("女白"&amp;$J111,計算用!$L$2:$L$186,0)),"")</f>
        <v/>
      </c>
      <c r="P111" s="15" t="str">
        <f>IFERROR(INDEX(計算用!$M$2:$M$186,MATCH("女白"&amp;$J111,計算用!$L$2:$L$186,0)),"")</f>
        <v/>
      </c>
      <c r="Q111" s="16" t="str">
        <f>IFERROR(INDEX(計算用!$G$2:$G$186,MATCH("女白"&amp;$J111,計算用!$L$2:$L$186,0)),"")</f>
        <v/>
      </c>
    </row>
    <row r="112" spans="1:17" x14ac:dyDescent="0.15">
      <c r="A112" s="15" t="str">
        <f>IF(ROW()-3&lt;=MAX(計算用!$Q$2,計算用!$Q$3),ROW()-3,"")</f>
        <v/>
      </c>
      <c r="B112" s="15" t="str">
        <f>IFERROR(INDEX(計算用!$D$2:$D$186,MATCH("男赤"&amp;$A112,計算用!$L$2:$L$186,0)),"")</f>
        <v/>
      </c>
      <c r="C112" s="15" t="str">
        <f>IFERROR(INDEX(計算用!$M$2:$M$186,MATCH("男赤"&amp;$A112,計算用!$L$2:$L$186,0)),"")</f>
        <v/>
      </c>
      <c r="D112" s="16" t="str">
        <f>IFERROR(INDEX(計算用!$G$2:$G$186,MATCH("男赤"&amp;$A112,計算用!$L$2:$L$186,0)),"")</f>
        <v/>
      </c>
      <c r="E112" s="15"/>
      <c r="F112" s="15" t="str">
        <f>IFERROR(INDEX(計算用!$D$2:$D$186,MATCH("男白"&amp;$A112,計算用!$L$2:$L$186,0)),"")</f>
        <v/>
      </c>
      <c r="G112" s="15" t="str">
        <f>IFERROR(INDEX(計算用!$M$2:$M$186,MATCH("男白"&amp;$A112,計算用!$L$2:$L$186,0)),"")</f>
        <v/>
      </c>
      <c r="H112" s="16" t="str">
        <f>IFERROR(INDEX(計算用!$G$2:$G$186,MATCH("男白"&amp;$A112,計算用!$L$2:$L$186,0)),"")</f>
        <v/>
      </c>
      <c r="I112" s="15"/>
      <c r="J112" s="15" t="str">
        <f>IF(ROW()-3&lt;=MAX(計算用!$Q$4,計算用!$Q$5),ROW()-3,"")</f>
        <v/>
      </c>
      <c r="K112" s="15" t="str">
        <f>IFERROR(INDEX(計算用!$D$2:$D$186,MATCH("女赤"&amp;$J112,計算用!$L$2:$L$186,0)),"")</f>
        <v/>
      </c>
      <c r="L112" s="15" t="str">
        <f>IFERROR(INDEX(計算用!$M$2:$M$186,MATCH("女赤"&amp;$J112,計算用!$L$2:$L$186,0)),"")</f>
        <v/>
      </c>
      <c r="M112" s="16" t="str">
        <f>IFERROR(INDEX(計算用!$G$2:$G$186,MATCH("女赤"&amp;$J112,計算用!$L$2:$L$186,0)),"")</f>
        <v/>
      </c>
      <c r="N112" s="15"/>
      <c r="O112" s="15" t="str">
        <f>IFERROR(INDEX(計算用!$D$2:$D$186,MATCH("女白"&amp;$J112,計算用!$L$2:$L$186,0)),"")</f>
        <v/>
      </c>
      <c r="P112" s="15" t="str">
        <f>IFERROR(INDEX(計算用!$M$2:$M$186,MATCH("女白"&amp;$J112,計算用!$L$2:$L$186,0)),"")</f>
        <v/>
      </c>
      <c r="Q112" s="16" t="str">
        <f>IFERROR(INDEX(計算用!$G$2:$G$186,MATCH("女白"&amp;$J112,計算用!$L$2:$L$186,0)),"")</f>
        <v/>
      </c>
    </row>
    <row r="113" spans="1:17" x14ac:dyDescent="0.15">
      <c r="A113" s="15" t="str">
        <f>IF(ROW()-3&lt;=MAX(計算用!$Q$2,計算用!$Q$3),ROW()-3,"")</f>
        <v/>
      </c>
      <c r="B113" s="15" t="str">
        <f>IFERROR(INDEX(計算用!$D$2:$D$186,MATCH("男赤"&amp;$A113,計算用!$L$2:$L$186,0)),"")</f>
        <v/>
      </c>
      <c r="C113" s="15" t="str">
        <f>IFERROR(INDEX(計算用!$M$2:$M$186,MATCH("男赤"&amp;$A113,計算用!$L$2:$L$186,0)),"")</f>
        <v/>
      </c>
      <c r="D113" s="16" t="str">
        <f>IFERROR(INDEX(計算用!$G$2:$G$186,MATCH("男赤"&amp;$A113,計算用!$L$2:$L$186,0)),"")</f>
        <v/>
      </c>
      <c r="E113" s="15"/>
      <c r="F113" s="15" t="str">
        <f>IFERROR(INDEX(計算用!$D$2:$D$186,MATCH("男白"&amp;$A113,計算用!$L$2:$L$186,0)),"")</f>
        <v/>
      </c>
      <c r="G113" s="15" t="str">
        <f>IFERROR(INDEX(計算用!$M$2:$M$186,MATCH("男白"&amp;$A113,計算用!$L$2:$L$186,0)),"")</f>
        <v/>
      </c>
      <c r="H113" s="16" t="str">
        <f>IFERROR(INDEX(計算用!$G$2:$G$186,MATCH("男白"&amp;$A113,計算用!$L$2:$L$186,0)),"")</f>
        <v/>
      </c>
      <c r="I113" s="15"/>
      <c r="J113" s="15" t="str">
        <f>IF(ROW()-3&lt;=MAX(計算用!$Q$4,計算用!$Q$5),ROW()-3,"")</f>
        <v/>
      </c>
      <c r="K113" s="15" t="str">
        <f>IFERROR(INDEX(計算用!$D$2:$D$186,MATCH("女赤"&amp;$J113,計算用!$L$2:$L$186,0)),"")</f>
        <v/>
      </c>
      <c r="L113" s="15" t="str">
        <f>IFERROR(INDEX(計算用!$M$2:$M$186,MATCH("女赤"&amp;$J113,計算用!$L$2:$L$186,0)),"")</f>
        <v/>
      </c>
      <c r="M113" s="16" t="str">
        <f>IFERROR(INDEX(計算用!$G$2:$G$186,MATCH("女赤"&amp;$J113,計算用!$L$2:$L$186,0)),"")</f>
        <v/>
      </c>
      <c r="N113" s="15"/>
      <c r="O113" s="15" t="str">
        <f>IFERROR(INDEX(計算用!$D$2:$D$186,MATCH("女白"&amp;$J113,計算用!$L$2:$L$186,0)),"")</f>
        <v/>
      </c>
      <c r="P113" s="15" t="str">
        <f>IFERROR(INDEX(計算用!$M$2:$M$186,MATCH("女白"&amp;$J113,計算用!$L$2:$L$186,0)),"")</f>
        <v/>
      </c>
      <c r="Q113" s="16" t="str">
        <f>IFERROR(INDEX(計算用!$G$2:$G$186,MATCH("女白"&amp;$J113,計算用!$L$2:$L$186,0)),"")</f>
        <v/>
      </c>
    </row>
    <row r="114" spans="1:17" x14ac:dyDescent="0.15">
      <c r="A114" s="15" t="str">
        <f>IF(ROW()-3&lt;=MAX(計算用!$Q$2,計算用!$Q$3),ROW()-3,"")</f>
        <v/>
      </c>
      <c r="B114" s="15" t="str">
        <f>IFERROR(INDEX(計算用!$D$2:$D$186,MATCH("男赤"&amp;$A114,計算用!$L$2:$L$186,0)),"")</f>
        <v/>
      </c>
      <c r="C114" s="15" t="str">
        <f>IFERROR(INDEX(計算用!$M$2:$M$186,MATCH("男赤"&amp;$A114,計算用!$L$2:$L$186,0)),"")</f>
        <v/>
      </c>
      <c r="D114" s="16" t="str">
        <f>IFERROR(INDEX(計算用!$G$2:$G$186,MATCH("男赤"&amp;$A114,計算用!$L$2:$L$186,0)),"")</f>
        <v/>
      </c>
      <c r="E114" s="15"/>
      <c r="F114" s="15" t="str">
        <f>IFERROR(INDEX(計算用!$D$2:$D$186,MATCH("男白"&amp;$A114,計算用!$L$2:$L$186,0)),"")</f>
        <v/>
      </c>
      <c r="G114" s="15" t="str">
        <f>IFERROR(INDEX(計算用!$M$2:$M$186,MATCH("男白"&amp;$A114,計算用!$L$2:$L$186,0)),"")</f>
        <v/>
      </c>
      <c r="H114" s="16" t="str">
        <f>IFERROR(INDEX(計算用!$G$2:$G$186,MATCH("男白"&amp;$A114,計算用!$L$2:$L$186,0)),"")</f>
        <v/>
      </c>
      <c r="I114" s="15"/>
      <c r="J114" s="15" t="str">
        <f>IF(ROW()-3&lt;=MAX(計算用!$Q$4,計算用!$Q$5),ROW()-3,"")</f>
        <v/>
      </c>
      <c r="K114" s="15" t="str">
        <f>IFERROR(INDEX(計算用!$D$2:$D$186,MATCH("女赤"&amp;$J114,計算用!$L$2:$L$186,0)),"")</f>
        <v/>
      </c>
      <c r="L114" s="15" t="str">
        <f>IFERROR(INDEX(計算用!$M$2:$M$186,MATCH("女赤"&amp;$J114,計算用!$L$2:$L$186,0)),"")</f>
        <v/>
      </c>
      <c r="M114" s="16" t="str">
        <f>IFERROR(INDEX(計算用!$G$2:$G$186,MATCH("女赤"&amp;$J114,計算用!$L$2:$L$186,0)),"")</f>
        <v/>
      </c>
      <c r="N114" s="15"/>
      <c r="O114" s="15" t="str">
        <f>IFERROR(INDEX(計算用!$D$2:$D$186,MATCH("女白"&amp;$J114,計算用!$L$2:$L$186,0)),"")</f>
        <v/>
      </c>
      <c r="P114" s="15" t="str">
        <f>IFERROR(INDEX(計算用!$M$2:$M$186,MATCH("女白"&amp;$J114,計算用!$L$2:$L$186,0)),"")</f>
        <v/>
      </c>
      <c r="Q114" s="16" t="str">
        <f>IFERROR(INDEX(計算用!$G$2:$G$186,MATCH("女白"&amp;$J114,計算用!$L$2:$L$186,0)),"")</f>
        <v/>
      </c>
    </row>
    <row r="115" spans="1:17" x14ac:dyDescent="0.15">
      <c r="A115" s="15" t="str">
        <f>IF(ROW()-3&lt;=MAX(計算用!$Q$2,計算用!$Q$3),ROW()-3,"")</f>
        <v/>
      </c>
      <c r="B115" s="15" t="str">
        <f>IFERROR(INDEX(計算用!$D$2:$D$186,MATCH("男赤"&amp;$A115,計算用!$L$2:$L$186,0)),"")</f>
        <v/>
      </c>
      <c r="C115" s="15" t="str">
        <f>IFERROR(INDEX(計算用!$M$2:$M$186,MATCH("男赤"&amp;$A115,計算用!$L$2:$L$186,0)),"")</f>
        <v/>
      </c>
      <c r="D115" s="16" t="str">
        <f>IFERROR(INDEX(計算用!$G$2:$G$186,MATCH("男赤"&amp;$A115,計算用!$L$2:$L$186,0)),"")</f>
        <v/>
      </c>
      <c r="E115" s="15"/>
      <c r="F115" s="15" t="str">
        <f>IFERROR(INDEX(計算用!$D$2:$D$186,MATCH("男白"&amp;$A115,計算用!$L$2:$L$186,0)),"")</f>
        <v/>
      </c>
      <c r="G115" s="15" t="str">
        <f>IFERROR(INDEX(計算用!$M$2:$M$186,MATCH("男白"&amp;$A115,計算用!$L$2:$L$186,0)),"")</f>
        <v/>
      </c>
      <c r="H115" s="16" t="str">
        <f>IFERROR(INDEX(計算用!$G$2:$G$186,MATCH("男白"&amp;$A115,計算用!$L$2:$L$186,0)),"")</f>
        <v/>
      </c>
      <c r="I115" s="15"/>
      <c r="J115" s="15" t="str">
        <f>IF(ROW()-3&lt;=MAX(計算用!$Q$4,計算用!$Q$5),ROW()-3,"")</f>
        <v/>
      </c>
      <c r="K115" s="15" t="str">
        <f>IFERROR(INDEX(計算用!$D$2:$D$186,MATCH("女赤"&amp;$J115,計算用!$L$2:$L$186,0)),"")</f>
        <v/>
      </c>
      <c r="L115" s="15" t="str">
        <f>IFERROR(INDEX(計算用!$M$2:$M$186,MATCH("女赤"&amp;$J115,計算用!$L$2:$L$186,0)),"")</f>
        <v/>
      </c>
      <c r="M115" s="16" t="str">
        <f>IFERROR(INDEX(計算用!$G$2:$G$186,MATCH("女赤"&amp;$J115,計算用!$L$2:$L$186,0)),"")</f>
        <v/>
      </c>
      <c r="N115" s="15"/>
      <c r="O115" s="15" t="str">
        <f>IFERROR(INDEX(計算用!$D$2:$D$186,MATCH("女白"&amp;$J115,計算用!$L$2:$L$186,0)),"")</f>
        <v/>
      </c>
      <c r="P115" s="15" t="str">
        <f>IFERROR(INDEX(計算用!$M$2:$M$186,MATCH("女白"&amp;$J115,計算用!$L$2:$L$186,0)),"")</f>
        <v/>
      </c>
      <c r="Q115" s="16" t="str">
        <f>IFERROR(INDEX(計算用!$G$2:$G$186,MATCH("女白"&amp;$J115,計算用!$L$2:$L$186,0)),"")</f>
        <v/>
      </c>
    </row>
    <row r="116" spans="1:17" x14ac:dyDescent="0.15">
      <c r="A116" s="15" t="str">
        <f>IF(ROW()-3&lt;=MAX(計算用!$Q$2,計算用!$Q$3),ROW()-3,"")</f>
        <v/>
      </c>
      <c r="B116" s="15" t="str">
        <f>IFERROR(INDEX(計算用!$D$2:$D$186,MATCH("男赤"&amp;$A116,計算用!$L$2:$L$186,0)),"")</f>
        <v/>
      </c>
      <c r="C116" s="15" t="str">
        <f>IFERROR(INDEX(計算用!$M$2:$M$186,MATCH("男赤"&amp;$A116,計算用!$L$2:$L$186,0)),"")</f>
        <v/>
      </c>
      <c r="D116" s="16" t="str">
        <f>IFERROR(INDEX(計算用!$G$2:$G$186,MATCH("男赤"&amp;$A116,計算用!$L$2:$L$186,0)),"")</f>
        <v/>
      </c>
      <c r="E116" s="15"/>
      <c r="F116" s="15" t="str">
        <f>IFERROR(INDEX(計算用!$D$2:$D$186,MATCH("男白"&amp;$A116,計算用!$L$2:$L$186,0)),"")</f>
        <v/>
      </c>
      <c r="G116" s="15" t="str">
        <f>IFERROR(INDEX(計算用!$M$2:$M$186,MATCH("男白"&amp;$A116,計算用!$L$2:$L$186,0)),"")</f>
        <v/>
      </c>
      <c r="H116" s="16" t="str">
        <f>IFERROR(INDEX(計算用!$G$2:$G$186,MATCH("男白"&amp;$A116,計算用!$L$2:$L$186,0)),"")</f>
        <v/>
      </c>
      <c r="I116" s="15"/>
      <c r="J116" s="15" t="str">
        <f>IF(ROW()-3&lt;=MAX(計算用!$Q$4,計算用!$Q$5),ROW()-3,"")</f>
        <v/>
      </c>
      <c r="K116" s="15" t="str">
        <f>IFERROR(INDEX(計算用!$D$2:$D$186,MATCH("女赤"&amp;$J116,計算用!$L$2:$L$186,0)),"")</f>
        <v/>
      </c>
      <c r="L116" s="15" t="str">
        <f>IFERROR(INDEX(計算用!$M$2:$M$186,MATCH("女赤"&amp;$J116,計算用!$L$2:$L$186,0)),"")</f>
        <v/>
      </c>
      <c r="M116" s="16" t="str">
        <f>IFERROR(INDEX(計算用!$G$2:$G$186,MATCH("女赤"&amp;$J116,計算用!$L$2:$L$186,0)),"")</f>
        <v/>
      </c>
      <c r="N116" s="15"/>
      <c r="O116" s="15" t="str">
        <f>IFERROR(INDEX(計算用!$D$2:$D$186,MATCH("女白"&amp;$J116,計算用!$L$2:$L$186,0)),"")</f>
        <v/>
      </c>
      <c r="P116" s="15" t="str">
        <f>IFERROR(INDEX(計算用!$M$2:$M$186,MATCH("女白"&amp;$J116,計算用!$L$2:$L$186,0)),"")</f>
        <v/>
      </c>
      <c r="Q116" s="16" t="str">
        <f>IFERROR(INDEX(計算用!$G$2:$G$186,MATCH("女白"&amp;$J116,計算用!$L$2:$L$186,0)),"")</f>
        <v/>
      </c>
    </row>
    <row r="117" spans="1:17" x14ac:dyDescent="0.15">
      <c r="A117" s="15" t="str">
        <f>IF(ROW()-3&lt;=MAX(計算用!$Q$2,計算用!$Q$3),ROW()-3,"")</f>
        <v/>
      </c>
      <c r="B117" s="15" t="str">
        <f>IFERROR(INDEX(計算用!$D$2:$D$186,MATCH("男赤"&amp;$A117,計算用!$L$2:$L$186,0)),"")</f>
        <v/>
      </c>
      <c r="C117" s="15" t="str">
        <f>IFERROR(INDEX(計算用!$M$2:$M$186,MATCH("男赤"&amp;$A117,計算用!$L$2:$L$186,0)),"")</f>
        <v/>
      </c>
      <c r="D117" s="16" t="str">
        <f>IFERROR(INDEX(計算用!$G$2:$G$186,MATCH("男赤"&amp;$A117,計算用!$L$2:$L$186,0)),"")</f>
        <v/>
      </c>
      <c r="E117" s="15"/>
      <c r="F117" s="15" t="str">
        <f>IFERROR(INDEX(計算用!$D$2:$D$186,MATCH("男白"&amp;$A117,計算用!$L$2:$L$186,0)),"")</f>
        <v/>
      </c>
      <c r="G117" s="15" t="str">
        <f>IFERROR(INDEX(計算用!$M$2:$M$186,MATCH("男白"&amp;$A117,計算用!$L$2:$L$186,0)),"")</f>
        <v/>
      </c>
      <c r="H117" s="16" t="str">
        <f>IFERROR(INDEX(計算用!$G$2:$G$186,MATCH("男白"&amp;$A117,計算用!$L$2:$L$186,0)),"")</f>
        <v/>
      </c>
      <c r="I117" s="15"/>
      <c r="J117" s="15" t="str">
        <f>IF(ROW()-3&lt;=MAX(計算用!$Q$4,計算用!$Q$5),ROW()-3,"")</f>
        <v/>
      </c>
      <c r="K117" s="15" t="str">
        <f>IFERROR(INDEX(計算用!$D$2:$D$186,MATCH("女赤"&amp;$J117,計算用!$L$2:$L$186,0)),"")</f>
        <v/>
      </c>
      <c r="L117" s="15" t="str">
        <f>IFERROR(INDEX(計算用!$M$2:$M$186,MATCH("女赤"&amp;$J117,計算用!$L$2:$L$186,0)),"")</f>
        <v/>
      </c>
      <c r="M117" s="16" t="str">
        <f>IFERROR(INDEX(計算用!$G$2:$G$186,MATCH("女赤"&amp;$J117,計算用!$L$2:$L$186,0)),"")</f>
        <v/>
      </c>
      <c r="N117" s="15"/>
      <c r="O117" s="15" t="str">
        <f>IFERROR(INDEX(計算用!$D$2:$D$186,MATCH("女白"&amp;$J117,計算用!$L$2:$L$186,0)),"")</f>
        <v/>
      </c>
      <c r="P117" s="15" t="str">
        <f>IFERROR(INDEX(計算用!$M$2:$M$186,MATCH("女白"&amp;$J117,計算用!$L$2:$L$186,0)),"")</f>
        <v/>
      </c>
      <c r="Q117" s="16" t="str">
        <f>IFERROR(INDEX(計算用!$G$2:$G$186,MATCH("女白"&amp;$J117,計算用!$L$2:$L$186,0)),"")</f>
        <v/>
      </c>
    </row>
    <row r="118" spans="1:17" x14ac:dyDescent="0.15">
      <c r="A118" s="15" t="str">
        <f>IF(ROW()-3&lt;=MAX(計算用!$Q$2,計算用!$Q$3),ROW()-3,"")</f>
        <v/>
      </c>
      <c r="B118" s="15" t="str">
        <f>IFERROR(INDEX(計算用!$D$2:$D$186,MATCH("男赤"&amp;$A118,計算用!$L$2:$L$186,0)),"")</f>
        <v/>
      </c>
      <c r="C118" s="15" t="str">
        <f>IFERROR(INDEX(計算用!$M$2:$M$186,MATCH("男赤"&amp;$A118,計算用!$L$2:$L$186,0)),"")</f>
        <v/>
      </c>
      <c r="D118" s="16" t="str">
        <f>IFERROR(INDEX(計算用!$G$2:$G$186,MATCH("男赤"&amp;$A118,計算用!$L$2:$L$186,0)),"")</f>
        <v/>
      </c>
      <c r="E118" s="15"/>
      <c r="F118" s="15" t="str">
        <f>IFERROR(INDEX(計算用!$D$2:$D$186,MATCH("男白"&amp;$A118,計算用!$L$2:$L$186,0)),"")</f>
        <v/>
      </c>
      <c r="G118" s="15" t="str">
        <f>IFERROR(INDEX(計算用!$M$2:$M$186,MATCH("男白"&amp;$A118,計算用!$L$2:$L$186,0)),"")</f>
        <v/>
      </c>
      <c r="H118" s="16" t="str">
        <f>IFERROR(INDEX(計算用!$G$2:$G$186,MATCH("男白"&amp;$A118,計算用!$L$2:$L$186,0)),"")</f>
        <v/>
      </c>
      <c r="I118" s="15"/>
      <c r="J118" s="15" t="str">
        <f>IF(ROW()-3&lt;=MAX(計算用!$Q$4,計算用!$Q$5),ROW()-3,"")</f>
        <v/>
      </c>
      <c r="K118" s="15" t="str">
        <f>IFERROR(INDEX(計算用!$D$2:$D$186,MATCH("女赤"&amp;$J118,計算用!$L$2:$L$186,0)),"")</f>
        <v/>
      </c>
      <c r="L118" s="15" t="str">
        <f>IFERROR(INDEX(計算用!$M$2:$M$186,MATCH("女赤"&amp;$J118,計算用!$L$2:$L$186,0)),"")</f>
        <v/>
      </c>
      <c r="M118" s="16" t="str">
        <f>IFERROR(INDEX(計算用!$G$2:$G$186,MATCH("女赤"&amp;$J118,計算用!$L$2:$L$186,0)),"")</f>
        <v/>
      </c>
      <c r="N118" s="15"/>
      <c r="O118" s="15" t="str">
        <f>IFERROR(INDEX(計算用!$D$2:$D$186,MATCH("女白"&amp;$J118,計算用!$L$2:$L$186,0)),"")</f>
        <v/>
      </c>
      <c r="P118" s="15" t="str">
        <f>IFERROR(INDEX(計算用!$M$2:$M$186,MATCH("女白"&amp;$J118,計算用!$L$2:$L$186,0)),"")</f>
        <v/>
      </c>
      <c r="Q118" s="16" t="str">
        <f>IFERROR(INDEX(計算用!$G$2:$G$186,MATCH("女白"&amp;$J118,計算用!$L$2:$L$186,0)),"")</f>
        <v/>
      </c>
    </row>
    <row r="119" spans="1:17" x14ac:dyDescent="0.15">
      <c r="A119" s="15" t="str">
        <f>IF(ROW()-3&lt;=MAX(計算用!$Q$2,計算用!$Q$3),ROW()-3,"")</f>
        <v/>
      </c>
      <c r="B119" s="15" t="str">
        <f>IFERROR(INDEX(計算用!$D$2:$D$186,MATCH("男赤"&amp;$A119,計算用!$L$2:$L$186,0)),"")</f>
        <v/>
      </c>
      <c r="C119" s="15" t="str">
        <f>IFERROR(INDEX(計算用!$M$2:$M$186,MATCH("男赤"&amp;$A119,計算用!$L$2:$L$186,0)),"")</f>
        <v/>
      </c>
      <c r="D119" s="16" t="str">
        <f>IFERROR(INDEX(計算用!$G$2:$G$186,MATCH("男赤"&amp;$A119,計算用!$L$2:$L$186,0)),"")</f>
        <v/>
      </c>
      <c r="E119" s="15"/>
      <c r="F119" s="15" t="str">
        <f>IFERROR(INDEX(計算用!$D$2:$D$186,MATCH("男白"&amp;$A119,計算用!$L$2:$L$186,0)),"")</f>
        <v/>
      </c>
      <c r="G119" s="15" t="str">
        <f>IFERROR(INDEX(計算用!$M$2:$M$186,MATCH("男白"&amp;$A119,計算用!$L$2:$L$186,0)),"")</f>
        <v/>
      </c>
      <c r="H119" s="16" t="str">
        <f>IFERROR(INDEX(計算用!$G$2:$G$186,MATCH("男白"&amp;$A119,計算用!$L$2:$L$186,0)),"")</f>
        <v/>
      </c>
      <c r="I119" s="15"/>
      <c r="J119" s="15" t="str">
        <f>IF(ROW()-3&lt;=MAX(計算用!$Q$4,計算用!$Q$5),ROW()-3,"")</f>
        <v/>
      </c>
      <c r="K119" s="15" t="str">
        <f>IFERROR(INDEX(計算用!$D$2:$D$186,MATCH("女赤"&amp;$J119,計算用!$L$2:$L$186,0)),"")</f>
        <v/>
      </c>
      <c r="L119" s="15" t="str">
        <f>IFERROR(INDEX(計算用!$M$2:$M$186,MATCH("女赤"&amp;$J119,計算用!$L$2:$L$186,0)),"")</f>
        <v/>
      </c>
      <c r="M119" s="16" t="str">
        <f>IFERROR(INDEX(計算用!$G$2:$G$186,MATCH("女赤"&amp;$J119,計算用!$L$2:$L$186,0)),"")</f>
        <v/>
      </c>
      <c r="N119" s="15"/>
      <c r="O119" s="15" t="str">
        <f>IFERROR(INDEX(計算用!$D$2:$D$186,MATCH("女白"&amp;$J119,計算用!$L$2:$L$186,0)),"")</f>
        <v/>
      </c>
      <c r="P119" s="15" t="str">
        <f>IFERROR(INDEX(計算用!$M$2:$M$186,MATCH("女白"&amp;$J119,計算用!$L$2:$L$186,0)),"")</f>
        <v/>
      </c>
      <c r="Q119" s="16" t="str">
        <f>IFERROR(INDEX(計算用!$G$2:$G$186,MATCH("女白"&amp;$J119,計算用!$L$2:$L$186,0)),"")</f>
        <v/>
      </c>
    </row>
    <row r="120" spans="1:17" x14ac:dyDescent="0.15">
      <c r="A120" s="15" t="str">
        <f>IF(ROW()-3&lt;=MAX(計算用!$Q$2,計算用!$Q$3),ROW()-3,"")</f>
        <v/>
      </c>
      <c r="B120" s="15" t="str">
        <f>IFERROR(INDEX(計算用!$D$2:$D$186,MATCH("男赤"&amp;$A120,計算用!$L$2:$L$186,0)),"")</f>
        <v/>
      </c>
      <c r="C120" s="15" t="str">
        <f>IFERROR(INDEX(計算用!$M$2:$M$186,MATCH("男赤"&amp;$A120,計算用!$L$2:$L$186,0)),"")</f>
        <v/>
      </c>
      <c r="D120" s="16" t="str">
        <f>IFERROR(INDEX(計算用!$G$2:$G$186,MATCH("男赤"&amp;$A120,計算用!$L$2:$L$186,0)),"")</f>
        <v/>
      </c>
      <c r="E120" s="15"/>
      <c r="F120" s="15" t="str">
        <f>IFERROR(INDEX(計算用!$D$2:$D$186,MATCH("男白"&amp;$A120,計算用!$L$2:$L$186,0)),"")</f>
        <v/>
      </c>
      <c r="G120" s="15" t="str">
        <f>IFERROR(INDEX(計算用!$M$2:$M$186,MATCH("男白"&amp;$A120,計算用!$L$2:$L$186,0)),"")</f>
        <v/>
      </c>
      <c r="H120" s="16" t="str">
        <f>IFERROR(INDEX(計算用!$G$2:$G$186,MATCH("男白"&amp;$A120,計算用!$L$2:$L$186,0)),"")</f>
        <v/>
      </c>
      <c r="I120" s="15"/>
      <c r="J120" s="15" t="str">
        <f>IF(ROW()-3&lt;=MAX(計算用!$Q$4,計算用!$Q$5),ROW()-3,"")</f>
        <v/>
      </c>
      <c r="K120" s="15" t="str">
        <f>IFERROR(INDEX(計算用!$D$2:$D$186,MATCH("女赤"&amp;$J120,計算用!$L$2:$L$186,0)),"")</f>
        <v/>
      </c>
      <c r="L120" s="15" t="str">
        <f>IFERROR(INDEX(計算用!$M$2:$M$186,MATCH("女赤"&amp;$J120,計算用!$L$2:$L$186,0)),"")</f>
        <v/>
      </c>
      <c r="M120" s="16" t="str">
        <f>IFERROR(INDEX(計算用!$G$2:$G$186,MATCH("女赤"&amp;$J120,計算用!$L$2:$L$186,0)),"")</f>
        <v/>
      </c>
      <c r="N120" s="15"/>
      <c r="O120" s="15" t="str">
        <f>IFERROR(INDEX(計算用!$D$2:$D$186,MATCH("女白"&amp;$J120,計算用!$L$2:$L$186,0)),"")</f>
        <v/>
      </c>
      <c r="P120" s="15" t="str">
        <f>IFERROR(INDEX(計算用!$M$2:$M$186,MATCH("女白"&amp;$J120,計算用!$L$2:$L$186,0)),"")</f>
        <v/>
      </c>
      <c r="Q120" s="16" t="str">
        <f>IFERROR(INDEX(計算用!$G$2:$G$186,MATCH("女白"&amp;$J120,計算用!$L$2:$L$186,0)),"")</f>
        <v/>
      </c>
    </row>
    <row r="121" spans="1:17" x14ac:dyDescent="0.15">
      <c r="A121" s="15" t="str">
        <f>IF(ROW()-3&lt;=MAX(計算用!$Q$2,計算用!$Q$3),ROW()-3,"")</f>
        <v/>
      </c>
      <c r="B121" s="15" t="str">
        <f>IFERROR(INDEX(計算用!$D$2:$D$186,MATCH("男赤"&amp;$A121,計算用!$L$2:$L$186,0)),"")</f>
        <v/>
      </c>
      <c r="C121" s="15" t="str">
        <f>IFERROR(INDEX(計算用!$M$2:$M$186,MATCH("男赤"&amp;$A121,計算用!$L$2:$L$186,0)),"")</f>
        <v/>
      </c>
      <c r="D121" s="16" t="str">
        <f>IFERROR(INDEX(計算用!$G$2:$G$186,MATCH("男赤"&amp;$A121,計算用!$L$2:$L$186,0)),"")</f>
        <v/>
      </c>
      <c r="E121" s="15"/>
      <c r="F121" s="15" t="str">
        <f>IFERROR(INDEX(計算用!$D$2:$D$186,MATCH("男白"&amp;$A121,計算用!$L$2:$L$186,0)),"")</f>
        <v/>
      </c>
      <c r="G121" s="15" t="str">
        <f>IFERROR(INDEX(計算用!$M$2:$M$186,MATCH("男白"&amp;$A121,計算用!$L$2:$L$186,0)),"")</f>
        <v/>
      </c>
      <c r="H121" s="16" t="str">
        <f>IFERROR(INDEX(計算用!$G$2:$G$186,MATCH("男白"&amp;$A121,計算用!$L$2:$L$186,0)),"")</f>
        <v/>
      </c>
      <c r="I121" s="15"/>
      <c r="J121" s="15" t="str">
        <f>IF(ROW()-3&lt;=MAX(計算用!$Q$4,計算用!$Q$5),ROW()-3,"")</f>
        <v/>
      </c>
      <c r="K121" s="15" t="str">
        <f>IFERROR(INDEX(計算用!$D$2:$D$186,MATCH("女赤"&amp;$J121,計算用!$L$2:$L$186,0)),"")</f>
        <v/>
      </c>
      <c r="L121" s="15" t="str">
        <f>IFERROR(INDEX(計算用!$M$2:$M$186,MATCH("女赤"&amp;$J121,計算用!$L$2:$L$186,0)),"")</f>
        <v/>
      </c>
      <c r="M121" s="16" t="str">
        <f>IFERROR(INDEX(計算用!$G$2:$G$186,MATCH("女赤"&amp;$J121,計算用!$L$2:$L$186,0)),"")</f>
        <v/>
      </c>
      <c r="N121" s="15"/>
      <c r="O121" s="15" t="str">
        <f>IFERROR(INDEX(計算用!$D$2:$D$186,MATCH("女白"&amp;$J121,計算用!$L$2:$L$186,0)),"")</f>
        <v/>
      </c>
      <c r="P121" s="15" t="str">
        <f>IFERROR(INDEX(計算用!$M$2:$M$186,MATCH("女白"&amp;$J121,計算用!$L$2:$L$186,0)),"")</f>
        <v/>
      </c>
      <c r="Q121" s="16" t="str">
        <f>IFERROR(INDEX(計算用!$G$2:$G$186,MATCH("女白"&amp;$J121,計算用!$L$2:$L$186,0)),"")</f>
        <v/>
      </c>
    </row>
    <row r="122" spans="1:17" x14ac:dyDescent="0.15">
      <c r="A122" s="15" t="str">
        <f>IF(ROW()-3&lt;=MAX(計算用!$Q$2,計算用!$Q$3),ROW()-3,"")</f>
        <v/>
      </c>
      <c r="B122" s="15" t="str">
        <f>IFERROR(INDEX(計算用!$D$2:$D$186,MATCH("男赤"&amp;$A122,計算用!$L$2:$L$186,0)),"")</f>
        <v/>
      </c>
      <c r="C122" s="15" t="str">
        <f>IFERROR(INDEX(計算用!$M$2:$M$186,MATCH("男赤"&amp;$A122,計算用!$L$2:$L$186,0)),"")</f>
        <v/>
      </c>
      <c r="D122" s="16" t="str">
        <f>IFERROR(INDEX(計算用!$G$2:$G$186,MATCH("男赤"&amp;$A122,計算用!$L$2:$L$186,0)),"")</f>
        <v/>
      </c>
      <c r="E122" s="15"/>
      <c r="F122" s="15" t="str">
        <f>IFERROR(INDEX(計算用!$D$2:$D$186,MATCH("男白"&amp;$A122,計算用!$L$2:$L$186,0)),"")</f>
        <v/>
      </c>
      <c r="G122" s="15" t="str">
        <f>IFERROR(INDEX(計算用!$M$2:$M$186,MATCH("男白"&amp;$A122,計算用!$L$2:$L$186,0)),"")</f>
        <v/>
      </c>
      <c r="H122" s="16" t="str">
        <f>IFERROR(INDEX(計算用!$G$2:$G$186,MATCH("男白"&amp;$A122,計算用!$L$2:$L$186,0)),"")</f>
        <v/>
      </c>
      <c r="I122" s="15"/>
      <c r="J122" s="15" t="str">
        <f>IF(ROW()-3&lt;=MAX(計算用!$Q$4,計算用!$Q$5),ROW()-3,"")</f>
        <v/>
      </c>
      <c r="K122" s="15" t="str">
        <f>IFERROR(INDEX(計算用!$D$2:$D$186,MATCH("女赤"&amp;$J122,計算用!$L$2:$L$186,0)),"")</f>
        <v/>
      </c>
      <c r="L122" s="15" t="str">
        <f>IFERROR(INDEX(計算用!$M$2:$M$186,MATCH("女赤"&amp;$J122,計算用!$L$2:$L$186,0)),"")</f>
        <v/>
      </c>
      <c r="M122" s="16" t="str">
        <f>IFERROR(INDEX(計算用!$G$2:$G$186,MATCH("女赤"&amp;$J122,計算用!$L$2:$L$186,0)),"")</f>
        <v/>
      </c>
      <c r="N122" s="15"/>
      <c r="O122" s="15" t="str">
        <f>IFERROR(INDEX(計算用!$D$2:$D$186,MATCH("女白"&amp;$J122,計算用!$L$2:$L$186,0)),"")</f>
        <v/>
      </c>
      <c r="P122" s="15" t="str">
        <f>IFERROR(INDEX(計算用!$M$2:$M$186,MATCH("女白"&amp;$J122,計算用!$L$2:$L$186,0)),"")</f>
        <v/>
      </c>
      <c r="Q122" s="16" t="str">
        <f>IFERROR(INDEX(計算用!$G$2:$G$186,MATCH("女白"&amp;$J122,計算用!$L$2:$L$186,0)),"")</f>
        <v/>
      </c>
    </row>
    <row r="123" spans="1:17" x14ac:dyDescent="0.15">
      <c r="A123" s="15" t="str">
        <f>IF(ROW()-3&lt;=MAX(計算用!$Q$2,計算用!$Q$3),ROW()-3,"")</f>
        <v/>
      </c>
      <c r="B123" s="15" t="str">
        <f>IFERROR(INDEX(計算用!$D$2:$D$186,MATCH("男赤"&amp;$A123,計算用!$L$2:$L$186,0)),"")</f>
        <v/>
      </c>
      <c r="C123" s="15" t="str">
        <f>IFERROR(INDEX(計算用!$M$2:$M$186,MATCH("男赤"&amp;$A123,計算用!$L$2:$L$186,0)),"")</f>
        <v/>
      </c>
      <c r="D123" s="16" t="str">
        <f>IFERROR(INDEX(計算用!$G$2:$G$186,MATCH("男赤"&amp;$A123,計算用!$L$2:$L$186,0)),"")</f>
        <v/>
      </c>
      <c r="E123" s="15"/>
      <c r="F123" s="15" t="str">
        <f>IFERROR(INDEX(計算用!$D$2:$D$186,MATCH("男白"&amp;$A123,計算用!$L$2:$L$186,0)),"")</f>
        <v/>
      </c>
      <c r="G123" s="15" t="str">
        <f>IFERROR(INDEX(計算用!$M$2:$M$186,MATCH("男白"&amp;$A123,計算用!$L$2:$L$186,0)),"")</f>
        <v/>
      </c>
      <c r="H123" s="16" t="str">
        <f>IFERROR(INDEX(計算用!$G$2:$G$186,MATCH("男白"&amp;$A123,計算用!$L$2:$L$186,0)),"")</f>
        <v/>
      </c>
      <c r="I123" s="15"/>
      <c r="J123" s="15" t="str">
        <f>IF(ROW()-3&lt;=MAX(計算用!$Q$4,計算用!$Q$5),ROW()-3,"")</f>
        <v/>
      </c>
      <c r="K123" s="15" t="str">
        <f>IFERROR(INDEX(計算用!$D$2:$D$186,MATCH("女赤"&amp;$J123,計算用!$L$2:$L$186,0)),"")</f>
        <v/>
      </c>
      <c r="L123" s="15" t="str">
        <f>IFERROR(INDEX(計算用!$M$2:$M$186,MATCH("女赤"&amp;$J123,計算用!$L$2:$L$186,0)),"")</f>
        <v/>
      </c>
      <c r="M123" s="16" t="str">
        <f>IFERROR(INDEX(計算用!$G$2:$G$186,MATCH("女赤"&amp;$J123,計算用!$L$2:$L$186,0)),"")</f>
        <v/>
      </c>
      <c r="N123" s="15"/>
      <c r="O123" s="15" t="str">
        <f>IFERROR(INDEX(計算用!$D$2:$D$186,MATCH("女白"&amp;$J123,計算用!$L$2:$L$186,0)),"")</f>
        <v/>
      </c>
      <c r="P123" s="15" t="str">
        <f>IFERROR(INDEX(計算用!$M$2:$M$186,MATCH("女白"&amp;$J123,計算用!$L$2:$L$186,0)),"")</f>
        <v/>
      </c>
      <c r="Q123" s="16" t="str">
        <f>IFERROR(INDEX(計算用!$G$2:$G$186,MATCH("女白"&amp;$J123,計算用!$L$2:$L$186,0)),"")</f>
        <v/>
      </c>
    </row>
    <row r="124" spans="1:17" x14ac:dyDescent="0.15">
      <c r="A124" s="15" t="str">
        <f>IF(ROW()-3&lt;=MAX(計算用!$Q$2,計算用!$Q$3),ROW()-3,"")</f>
        <v/>
      </c>
      <c r="B124" s="15" t="str">
        <f>IFERROR(INDEX(計算用!$D$2:$D$186,MATCH("男赤"&amp;$A124,計算用!$L$2:$L$186,0)),"")</f>
        <v/>
      </c>
      <c r="C124" s="15" t="str">
        <f>IFERROR(INDEX(計算用!$M$2:$M$186,MATCH("男赤"&amp;$A124,計算用!$L$2:$L$186,0)),"")</f>
        <v/>
      </c>
      <c r="D124" s="16" t="str">
        <f>IFERROR(INDEX(計算用!$G$2:$G$186,MATCH("男赤"&amp;$A124,計算用!$L$2:$L$186,0)),"")</f>
        <v/>
      </c>
      <c r="E124" s="15"/>
      <c r="F124" s="15" t="str">
        <f>IFERROR(INDEX(計算用!$D$2:$D$186,MATCH("男白"&amp;$A124,計算用!$L$2:$L$186,0)),"")</f>
        <v/>
      </c>
      <c r="G124" s="15" t="str">
        <f>IFERROR(INDEX(計算用!$M$2:$M$186,MATCH("男白"&amp;$A124,計算用!$L$2:$L$186,0)),"")</f>
        <v/>
      </c>
      <c r="H124" s="16" t="str">
        <f>IFERROR(INDEX(計算用!$G$2:$G$186,MATCH("男白"&amp;$A124,計算用!$L$2:$L$186,0)),"")</f>
        <v/>
      </c>
      <c r="I124" s="15"/>
      <c r="J124" s="15" t="str">
        <f>IF(ROW()-3&lt;=MAX(計算用!$Q$4,計算用!$Q$5),ROW()-3,"")</f>
        <v/>
      </c>
      <c r="K124" s="15" t="str">
        <f>IFERROR(INDEX(計算用!$D$2:$D$186,MATCH("女赤"&amp;$J124,計算用!$L$2:$L$186,0)),"")</f>
        <v/>
      </c>
      <c r="L124" s="15" t="str">
        <f>IFERROR(INDEX(計算用!$M$2:$M$186,MATCH("女赤"&amp;$J124,計算用!$L$2:$L$186,0)),"")</f>
        <v/>
      </c>
      <c r="M124" s="16" t="str">
        <f>IFERROR(INDEX(計算用!$G$2:$G$186,MATCH("女赤"&amp;$J124,計算用!$L$2:$L$186,0)),"")</f>
        <v/>
      </c>
      <c r="N124" s="15"/>
      <c r="O124" s="15" t="str">
        <f>IFERROR(INDEX(計算用!$D$2:$D$186,MATCH("女白"&amp;$J124,計算用!$L$2:$L$186,0)),"")</f>
        <v/>
      </c>
      <c r="P124" s="15" t="str">
        <f>IFERROR(INDEX(計算用!$M$2:$M$186,MATCH("女白"&amp;$J124,計算用!$L$2:$L$186,0)),"")</f>
        <v/>
      </c>
      <c r="Q124" s="16" t="str">
        <f>IFERROR(INDEX(計算用!$G$2:$G$186,MATCH("女白"&amp;$J124,計算用!$L$2:$L$186,0)),"")</f>
        <v/>
      </c>
    </row>
    <row r="125" spans="1:17" x14ac:dyDescent="0.15">
      <c r="A125" s="15" t="str">
        <f>IF(ROW()-3&lt;=MAX(計算用!$Q$2,計算用!$Q$3),ROW()-3,"")</f>
        <v/>
      </c>
      <c r="B125" s="15" t="str">
        <f>IFERROR(INDEX(計算用!$D$2:$D$186,MATCH("男赤"&amp;$A125,計算用!$L$2:$L$186,0)),"")</f>
        <v/>
      </c>
      <c r="C125" s="15" t="str">
        <f>IFERROR(INDEX(計算用!$M$2:$M$186,MATCH("男赤"&amp;$A125,計算用!$L$2:$L$186,0)),"")</f>
        <v/>
      </c>
      <c r="D125" s="16" t="str">
        <f>IFERROR(INDEX(計算用!$G$2:$G$186,MATCH("男赤"&amp;$A125,計算用!$L$2:$L$186,0)),"")</f>
        <v/>
      </c>
      <c r="E125" s="15"/>
      <c r="F125" s="15" t="str">
        <f>IFERROR(INDEX(計算用!$D$2:$D$186,MATCH("男白"&amp;$A125,計算用!$L$2:$L$186,0)),"")</f>
        <v/>
      </c>
      <c r="G125" s="15" t="str">
        <f>IFERROR(INDEX(計算用!$M$2:$M$186,MATCH("男白"&amp;$A125,計算用!$L$2:$L$186,0)),"")</f>
        <v/>
      </c>
      <c r="H125" s="16" t="str">
        <f>IFERROR(INDEX(計算用!$G$2:$G$186,MATCH("男白"&amp;$A125,計算用!$L$2:$L$186,0)),"")</f>
        <v/>
      </c>
      <c r="I125" s="15"/>
      <c r="J125" s="15" t="str">
        <f>IF(ROW()-3&lt;=MAX(計算用!$Q$4,計算用!$Q$5),ROW()-3,"")</f>
        <v/>
      </c>
      <c r="K125" s="15" t="str">
        <f>IFERROR(INDEX(計算用!$D$2:$D$186,MATCH("女赤"&amp;$J125,計算用!$L$2:$L$186,0)),"")</f>
        <v/>
      </c>
      <c r="L125" s="15" t="str">
        <f>IFERROR(INDEX(計算用!$M$2:$M$186,MATCH("女赤"&amp;$J125,計算用!$L$2:$L$186,0)),"")</f>
        <v/>
      </c>
      <c r="M125" s="16" t="str">
        <f>IFERROR(INDEX(計算用!$G$2:$G$186,MATCH("女赤"&amp;$J125,計算用!$L$2:$L$186,0)),"")</f>
        <v/>
      </c>
      <c r="N125" s="15"/>
      <c r="O125" s="15" t="str">
        <f>IFERROR(INDEX(計算用!$D$2:$D$186,MATCH("女白"&amp;$J125,計算用!$L$2:$L$186,0)),"")</f>
        <v/>
      </c>
      <c r="P125" s="15" t="str">
        <f>IFERROR(INDEX(計算用!$M$2:$M$186,MATCH("女白"&amp;$J125,計算用!$L$2:$L$186,0)),"")</f>
        <v/>
      </c>
      <c r="Q125" s="16" t="str">
        <f>IFERROR(INDEX(計算用!$G$2:$G$186,MATCH("女白"&amp;$J125,計算用!$L$2:$L$186,0)),"")</f>
        <v/>
      </c>
    </row>
    <row r="126" spans="1:17" x14ac:dyDescent="0.15">
      <c r="A126" s="15" t="str">
        <f>IF(ROW()-3&lt;=MAX(計算用!$Q$2,計算用!$Q$3),ROW()-3,"")</f>
        <v/>
      </c>
      <c r="B126" s="15" t="str">
        <f>IFERROR(INDEX(計算用!$D$2:$D$186,MATCH("男赤"&amp;$A126,計算用!$L$2:$L$186,0)),"")</f>
        <v/>
      </c>
      <c r="C126" s="15" t="str">
        <f>IFERROR(INDEX(計算用!$M$2:$M$186,MATCH("男赤"&amp;$A126,計算用!$L$2:$L$186,0)),"")</f>
        <v/>
      </c>
      <c r="D126" s="16" t="str">
        <f>IFERROR(INDEX(計算用!$G$2:$G$186,MATCH("男赤"&amp;$A126,計算用!$L$2:$L$186,0)),"")</f>
        <v/>
      </c>
      <c r="E126" s="15"/>
      <c r="F126" s="15" t="str">
        <f>IFERROR(INDEX(計算用!$D$2:$D$186,MATCH("男白"&amp;$A126,計算用!$L$2:$L$186,0)),"")</f>
        <v/>
      </c>
      <c r="G126" s="15" t="str">
        <f>IFERROR(INDEX(計算用!$M$2:$M$186,MATCH("男白"&amp;$A126,計算用!$L$2:$L$186,0)),"")</f>
        <v/>
      </c>
      <c r="H126" s="16" t="str">
        <f>IFERROR(INDEX(計算用!$G$2:$G$186,MATCH("男白"&amp;$A126,計算用!$L$2:$L$186,0)),"")</f>
        <v/>
      </c>
      <c r="I126" s="15"/>
      <c r="J126" s="15" t="str">
        <f>IF(ROW()-3&lt;=MAX(計算用!$Q$4,計算用!$Q$5),ROW()-3,"")</f>
        <v/>
      </c>
      <c r="K126" s="15" t="str">
        <f>IFERROR(INDEX(計算用!$D$2:$D$186,MATCH("女赤"&amp;$J126,計算用!$L$2:$L$186,0)),"")</f>
        <v/>
      </c>
      <c r="L126" s="15" t="str">
        <f>IFERROR(INDEX(計算用!$M$2:$M$186,MATCH("女赤"&amp;$J126,計算用!$L$2:$L$186,0)),"")</f>
        <v/>
      </c>
      <c r="M126" s="16" t="str">
        <f>IFERROR(INDEX(計算用!$G$2:$G$186,MATCH("女赤"&amp;$J126,計算用!$L$2:$L$186,0)),"")</f>
        <v/>
      </c>
      <c r="N126" s="15"/>
      <c r="O126" s="15" t="str">
        <f>IFERROR(INDEX(計算用!$D$2:$D$186,MATCH("女白"&amp;$J126,計算用!$L$2:$L$186,0)),"")</f>
        <v/>
      </c>
      <c r="P126" s="15" t="str">
        <f>IFERROR(INDEX(計算用!$M$2:$M$186,MATCH("女白"&amp;$J126,計算用!$L$2:$L$186,0)),"")</f>
        <v/>
      </c>
      <c r="Q126" s="16" t="str">
        <f>IFERROR(INDEX(計算用!$G$2:$G$186,MATCH("女白"&amp;$J126,計算用!$L$2:$L$186,0)),"")</f>
        <v/>
      </c>
    </row>
    <row r="127" spans="1:17" x14ac:dyDescent="0.15">
      <c r="A127" s="15" t="str">
        <f>IF(ROW()-3&lt;=MAX(計算用!$Q$2,計算用!$Q$3),ROW()-3,"")</f>
        <v/>
      </c>
      <c r="B127" s="15" t="str">
        <f>IFERROR(INDEX(計算用!$D$2:$D$186,MATCH("男赤"&amp;$A127,計算用!$L$2:$L$186,0)),"")</f>
        <v/>
      </c>
      <c r="C127" s="15" t="str">
        <f>IFERROR(INDEX(計算用!$M$2:$M$186,MATCH("男赤"&amp;$A127,計算用!$L$2:$L$186,0)),"")</f>
        <v/>
      </c>
      <c r="D127" s="16" t="str">
        <f>IFERROR(INDEX(計算用!$G$2:$G$186,MATCH("男赤"&amp;$A127,計算用!$L$2:$L$186,0)),"")</f>
        <v/>
      </c>
      <c r="E127" s="15"/>
      <c r="F127" s="15" t="str">
        <f>IFERROR(INDEX(計算用!$D$2:$D$186,MATCH("男白"&amp;$A127,計算用!$L$2:$L$186,0)),"")</f>
        <v/>
      </c>
      <c r="G127" s="15" t="str">
        <f>IFERROR(INDEX(計算用!$M$2:$M$186,MATCH("男白"&amp;$A127,計算用!$L$2:$L$186,0)),"")</f>
        <v/>
      </c>
      <c r="H127" s="16" t="str">
        <f>IFERROR(INDEX(計算用!$G$2:$G$186,MATCH("男白"&amp;$A127,計算用!$L$2:$L$186,0)),"")</f>
        <v/>
      </c>
      <c r="I127" s="15"/>
      <c r="J127" s="15" t="str">
        <f>IF(ROW()-3&lt;=MAX(計算用!$Q$4,計算用!$Q$5),ROW()-3,"")</f>
        <v/>
      </c>
      <c r="K127" s="15" t="str">
        <f>IFERROR(INDEX(計算用!$D$2:$D$186,MATCH("女赤"&amp;$J127,計算用!$L$2:$L$186,0)),"")</f>
        <v/>
      </c>
      <c r="L127" s="15" t="str">
        <f>IFERROR(INDEX(計算用!$M$2:$M$186,MATCH("女赤"&amp;$J127,計算用!$L$2:$L$186,0)),"")</f>
        <v/>
      </c>
      <c r="M127" s="16" t="str">
        <f>IFERROR(INDEX(計算用!$G$2:$G$186,MATCH("女赤"&amp;$J127,計算用!$L$2:$L$186,0)),"")</f>
        <v/>
      </c>
      <c r="N127" s="15"/>
      <c r="O127" s="15" t="str">
        <f>IFERROR(INDEX(計算用!$D$2:$D$186,MATCH("女白"&amp;$J127,計算用!$L$2:$L$186,0)),"")</f>
        <v/>
      </c>
      <c r="P127" s="15" t="str">
        <f>IFERROR(INDEX(計算用!$M$2:$M$186,MATCH("女白"&amp;$J127,計算用!$L$2:$L$186,0)),"")</f>
        <v/>
      </c>
      <c r="Q127" s="16" t="str">
        <f>IFERROR(INDEX(計算用!$G$2:$G$186,MATCH("女白"&amp;$J127,計算用!$L$2:$L$186,0)),"")</f>
        <v/>
      </c>
    </row>
    <row r="128" spans="1:17" x14ac:dyDescent="0.15">
      <c r="A128" s="15" t="str">
        <f>IF(ROW()-3&lt;=MAX(計算用!$Q$2,計算用!$Q$3),ROW()-3,"")</f>
        <v/>
      </c>
      <c r="B128" s="15" t="str">
        <f>IFERROR(INDEX(計算用!$D$2:$D$186,MATCH("男赤"&amp;$A128,計算用!$L$2:$L$186,0)),"")</f>
        <v/>
      </c>
      <c r="C128" s="15" t="str">
        <f>IFERROR(INDEX(計算用!$M$2:$M$186,MATCH("男赤"&amp;$A128,計算用!$L$2:$L$186,0)),"")</f>
        <v/>
      </c>
      <c r="D128" s="16" t="str">
        <f>IFERROR(INDEX(計算用!$G$2:$G$186,MATCH("男赤"&amp;$A128,計算用!$L$2:$L$186,0)),"")</f>
        <v/>
      </c>
      <c r="E128" s="15"/>
      <c r="F128" s="15" t="str">
        <f>IFERROR(INDEX(計算用!$D$2:$D$186,MATCH("男白"&amp;$A128,計算用!$L$2:$L$186,0)),"")</f>
        <v/>
      </c>
      <c r="G128" s="15" t="str">
        <f>IFERROR(INDEX(計算用!$M$2:$M$186,MATCH("男白"&amp;$A128,計算用!$L$2:$L$186,0)),"")</f>
        <v/>
      </c>
      <c r="H128" s="16" t="str">
        <f>IFERROR(INDEX(計算用!$G$2:$G$186,MATCH("男白"&amp;$A128,計算用!$L$2:$L$186,0)),"")</f>
        <v/>
      </c>
      <c r="I128" s="15"/>
      <c r="J128" s="15" t="str">
        <f>IF(ROW()-3&lt;=MAX(計算用!$Q$4,計算用!$Q$5),ROW()-3,"")</f>
        <v/>
      </c>
      <c r="K128" s="15" t="str">
        <f>IFERROR(INDEX(計算用!$D$2:$D$186,MATCH("女赤"&amp;$J128,計算用!$L$2:$L$186,0)),"")</f>
        <v/>
      </c>
      <c r="L128" s="15" t="str">
        <f>IFERROR(INDEX(計算用!$M$2:$M$186,MATCH("女赤"&amp;$J128,計算用!$L$2:$L$186,0)),"")</f>
        <v/>
      </c>
      <c r="M128" s="16" t="str">
        <f>IFERROR(INDEX(計算用!$G$2:$G$186,MATCH("女赤"&amp;$J128,計算用!$L$2:$L$186,0)),"")</f>
        <v/>
      </c>
      <c r="N128" s="15"/>
      <c r="O128" s="15" t="str">
        <f>IFERROR(INDEX(計算用!$D$2:$D$186,MATCH("女白"&amp;$J128,計算用!$L$2:$L$186,0)),"")</f>
        <v/>
      </c>
      <c r="P128" s="15" t="str">
        <f>IFERROR(INDEX(計算用!$M$2:$M$186,MATCH("女白"&amp;$J128,計算用!$L$2:$L$186,0)),"")</f>
        <v/>
      </c>
      <c r="Q128" s="16" t="str">
        <f>IFERROR(INDEX(計算用!$G$2:$G$186,MATCH("女白"&amp;$J128,計算用!$L$2:$L$186,0)),"")</f>
        <v/>
      </c>
    </row>
    <row r="129" spans="1:17" x14ac:dyDescent="0.15">
      <c r="A129" s="15" t="str">
        <f>IF(ROW()-3&lt;=MAX(計算用!$Q$2,計算用!$Q$3),ROW()-3,"")</f>
        <v/>
      </c>
      <c r="B129" s="15" t="str">
        <f>IFERROR(INDEX(計算用!$D$2:$D$186,MATCH("男赤"&amp;$A129,計算用!$L$2:$L$186,0)),"")</f>
        <v/>
      </c>
      <c r="C129" s="15" t="str">
        <f>IFERROR(INDEX(計算用!$M$2:$M$186,MATCH("男赤"&amp;$A129,計算用!$L$2:$L$186,0)),"")</f>
        <v/>
      </c>
      <c r="D129" s="16" t="str">
        <f>IFERROR(INDEX(計算用!$G$2:$G$186,MATCH("男赤"&amp;$A129,計算用!$L$2:$L$186,0)),"")</f>
        <v/>
      </c>
      <c r="E129" s="15"/>
      <c r="F129" s="15" t="str">
        <f>IFERROR(INDEX(計算用!$D$2:$D$186,MATCH("男白"&amp;$A129,計算用!$L$2:$L$186,0)),"")</f>
        <v/>
      </c>
      <c r="G129" s="15" t="str">
        <f>IFERROR(INDEX(計算用!$M$2:$M$186,MATCH("男白"&amp;$A129,計算用!$L$2:$L$186,0)),"")</f>
        <v/>
      </c>
      <c r="H129" s="16" t="str">
        <f>IFERROR(INDEX(計算用!$G$2:$G$186,MATCH("男白"&amp;$A129,計算用!$L$2:$L$186,0)),"")</f>
        <v/>
      </c>
      <c r="I129" s="15"/>
      <c r="J129" s="15" t="str">
        <f>IF(ROW()-3&lt;=MAX(計算用!$Q$4,計算用!$Q$5),ROW()-3,"")</f>
        <v/>
      </c>
      <c r="K129" s="15" t="str">
        <f>IFERROR(INDEX(計算用!$D$2:$D$186,MATCH("女赤"&amp;$J129,計算用!$L$2:$L$186,0)),"")</f>
        <v/>
      </c>
      <c r="L129" s="15" t="str">
        <f>IFERROR(INDEX(計算用!$M$2:$M$186,MATCH("女赤"&amp;$J129,計算用!$L$2:$L$186,0)),"")</f>
        <v/>
      </c>
      <c r="M129" s="16" t="str">
        <f>IFERROR(INDEX(計算用!$G$2:$G$186,MATCH("女赤"&amp;$J129,計算用!$L$2:$L$186,0)),"")</f>
        <v/>
      </c>
      <c r="N129" s="15"/>
      <c r="O129" s="15" t="str">
        <f>IFERROR(INDEX(計算用!$D$2:$D$186,MATCH("女白"&amp;$J129,計算用!$L$2:$L$186,0)),"")</f>
        <v/>
      </c>
      <c r="P129" s="15" t="str">
        <f>IFERROR(INDEX(計算用!$M$2:$M$186,MATCH("女白"&amp;$J129,計算用!$L$2:$L$186,0)),"")</f>
        <v/>
      </c>
      <c r="Q129" s="16" t="str">
        <f>IFERROR(INDEX(計算用!$G$2:$G$186,MATCH("女白"&amp;$J129,計算用!$L$2:$L$186,0)),"")</f>
        <v/>
      </c>
    </row>
    <row r="130" spans="1:17" x14ac:dyDescent="0.15">
      <c r="A130" s="15" t="str">
        <f>IF(ROW()-3&lt;=MAX(計算用!$Q$2,計算用!$Q$3),ROW()-3,"")</f>
        <v/>
      </c>
      <c r="B130" s="15" t="str">
        <f>IFERROR(INDEX(計算用!$D$2:$D$186,MATCH("男赤"&amp;$A130,計算用!$L$2:$L$186,0)),"")</f>
        <v/>
      </c>
      <c r="C130" s="15" t="str">
        <f>IFERROR(INDEX(計算用!$M$2:$M$186,MATCH("男赤"&amp;$A130,計算用!$L$2:$L$186,0)),"")</f>
        <v/>
      </c>
      <c r="D130" s="16" t="str">
        <f>IFERROR(INDEX(計算用!$G$2:$G$186,MATCH("男赤"&amp;$A130,計算用!$L$2:$L$186,0)),"")</f>
        <v/>
      </c>
      <c r="E130" s="15"/>
      <c r="F130" s="15" t="str">
        <f>IFERROR(INDEX(計算用!$D$2:$D$186,MATCH("男白"&amp;$A130,計算用!$L$2:$L$186,0)),"")</f>
        <v/>
      </c>
      <c r="G130" s="15" t="str">
        <f>IFERROR(INDEX(計算用!$M$2:$M$186,MATCH("男白"&amp;$A130,計算用!$L$2:$L$186,0)),"")</f>
        <v/>
      </c>
      <c r="H130" s="16" t="str">
        <f>IFERROR(INDEX(計算用!$G$2:$G$186,MATCH("男白"&amp;$A130,計算用!$L$2:$L$186,0)),"")</f>
        <v/>
      </c>
      <c r="I130" s="15"/>
      <c r="J130" s="15" t="str">
        <f>IF(ROW()-3&lt;=MAX(計算用!$Q$4,計算用!$Q$5),ROW()-3,"")</f>
        <v/>
      </c>
      <c r="K130" s="15" t="str">
        <f>IFERROR(INDEX(計算用!$D$2:$D$186,MATCH("女赤"&amp;$J130,計算用!$L$2:$L$186,0)),"")</f>
        <v/>
      </c>
      <c r="L130" s="15" t="str">
        <f>IFERROR(INDEX(計算用!$M$2:$M$186,MATCH("女赤"&amp;$J130,計算用!$L$2:$L$186,0)),"")</f>
        <v/>
      </c>
      <c r="M130" s="16" t="str">
        <f>IFERROR(INDEX(計算用!$G$2:$G$186,MATCH("女赤"&amp;$J130,計算用!$L$2:$L$186,0)),"")</f>
        <v/>
      </c>
      <c r="N130" s="15"/>
      <c r="O130" s="15" t="str">
        <f>IFERROR(INDEX(計算用!$D$2:$D$186,MATCH("女白"&amp;$J130,計算用!$L$2:$L$186,0)),"")</f>
        <v/>
      </c>
      <c r="P130" s="15" t="str">
        <f>IFERROR(INDEX(計算用!$M$2:$M$186,MATCH("女白"&amp;$J130,計算用!$L$2:$L$186,0)),"")</f>
        <v/>
      </c>
      <c r="Q130" s="16" t="str">
        <f>IFERROR(INDEX(計算用!$G$2:$G$186,MATCH("女白"&amp;$J130,計算用!$L$2:$L$186,0)),"")</f>
        <v/>
      </c>
    </row>
    <row r="131" spans="1:17" x14ac:dyDescent="0.15">
      <c r="A131" s="15" t="str">
        <f>IF(ROW()-3&lt;=MAX(計算用!$Q$2,計算用!$Q$3),ROW()-3,"")</f>
        <v/>
      </c>
      <c r="B131" s="15" t="str">
        <f>IFERROR(INDEX(計算用!$D$2:$D$186,MATCH("男赤"&amp;$A131,計算用!$L$2:$L$186,0)),"")</f>
        <v/>
      </c>
      <c r="C131" s="15" t="str">
        <f>IFERROR(INDEX(計算用!$M$2:$M$186,MATCH("男赤"&amp;$A131,計算用!$L$2:$L$186,0)),"")</f>
        <v/>
      </c>
      <c r="D131" s="16" t="str">
        <f>IFERROR(INDEX(計算用!$G$2:$G$186,MATCH("男赤"&amp;$A131,計算用!$L$2:$L$186,0)),"")</f>
        <v/>
      </c>
      <c r="E131" s="15"/>
      <c r="F131" s="15" t="str">
        <f>IFERROR(INDEX(計算用!$D$2:$D$186,MATCH("男白"&amp;$A131,計算用!$L$2:$L$186,0)),"")</f>
        <v/>
      </c>
      <c r="G131" s="15" t="str">
        <f>IFERROR(INDEX(計算用!$M$2:$M$186,MATCH("男白"&amp;$A131,計算用!$L$2:$L$186,0)),"")</f>
        <v/>
      </c>
      <c r="H131" s="16" t="str">
        <f>IFERROR(INDEX(計算用!$G$2:$G$186,MATCH("男白"&amp;$A131,計算用!$L$2:$L$186,0)),"")</f>
        <v/>
      </c>
      <c r="I131" s="15"/>
      <c r="J131" s="15" t="str">
        <f>IF(ROW()-3&lt;=MAX(計算用!$Q$4,計算用!$Q$5),ROW()-3,"")</f>
        <v/>
      </c>
      <c r="K131" s="15" t="str">
        <f>IFERROR(INDEX(計算用!$D$2:$D$186,MATCH("女赤"&amp;$J131,計算用!$L$2:$L$186,0)),"")</f>
        <v/>
      </c>
      <c r="L131" s="15" t="str">
        <f>IFERROR(INDEX(計算用!$M$2:$M$186,MATCH("女赤"&amp;$J131,計算用!$L$2:$L$186,0)),"")</f>
        <v/>
      </c>
      <c r="M131" s="16" t="str">
        <f>IFERROR(INDEX(計算用!$G$2:$G$186,MATCH("女赤"&amp;$J131,計算用!$L$2:$L$186,0)),"")</f>
        <v/>
      </c>
      <c r="N131" s="15"/>
      <c r="O131" s="15" t="str">
        <f>IFERROR(INDEX(計算用!$D$2:$D$186,MATCH("女白"&amp;$J131,計算用!$L$2:$L$186,0)),"")</f>
        <v/>
      </c>
      <c r="P131" s="15" t="str">
        <f>IFERROR(INDEX(計算用!$M$2:$M$186,MATCH("女白"&amp;$J131,計算用!$L$2:$L$186,0)),"")</f>
        <v/>
      </c>
      <c r="Q131" s="16" t="str">
        <f>IFERROR(INDEX(計算用!$G$2:$G$186,MATCH("女白"&amp;$J131,計算用!$L$2:$L$186,0)),"")</f>
        <v/>
      </c>
    </row>
    <row r="132" spans="1:17" x14ac:dyDescent="0.15">
      <c r="A132" s="15" t="str">
        <f>IF(ROW()-3&lt;=MAX(計算用!$Q$2,計算用!$Q$3),ROW()-3,"")</f>
        <v/>
      </c>
      <c r="B132" s="15" t="str">
        <f>IFERROR(INDEX(計算用!$D$2:$D$186,MATCH("男赤"&amp;$A132,計算用!$L$2:$L$186,0)),"")</f>
        <v/>
      </c>
      <c r="C132" s="15" t="str">
        <f>IFERROR(INDEX(計算用!$M$2:$M$186,MATCH("男赤"&amp;$A132,計算用!$L$2:$L$186,0)),"")</f>
        <v/>
      </c>
      <c r="D132" s="16" t="str">
        <f>IFERROR(INDEX(計算用!$G$2:$G$186,MATCH("男赤"&amp;$A132,計算用!$L$2:$L$186,0)),"")</f>
        <v/>
      </c>
      <c r="E132" s="15"/>
      <c r="F132" s="15" t="str">
        <f>IFERROR(INDEX(計算用!$D$2:$D$186,MATCH("男白"&amp;$A132,計算用!$L$2:$L$186,0)),"")</f>
        <v/>
      </c>
      <c r="G132" s="15" t="str">
        <f>IFERROR(INDEX(計算用!$M$2:$M$186,MATCH("男白"&amp;$A132,計算用!$L$2:$L$186,0)),"")</f>
        <v/>
      </c>
      <c r="H132" s="16" t="str">
        <f>IFERROR(INDEX(計算用!$G$2:$G$186,MATCH("男白"&amp;$A132,計算用!$L$2:$L$186,0)),"")</f>
        <v/>
      </c>
      <c r="I132" s="15"/>
      <c r="J132" s="15" t="str">
        <f>IF(ROW()-3&lt;=MAX(計算用!$Q$4,計算用!$Q$5),ROW()-3,"")</f>
        <v/>
      </c>
      <c r="K132" s="15" t="str">
        <f>IFERROR(INDEX(計算用!$D$2:$D$186,MATCH("女赤"&amp;$J132,計算用!$L$2:$L$186,0)),"")</f>
        <v/>
      </c>
      <c r="L132" s="15" t="str">
        <f>IFERROR(INDEX(計算用!$M$2:$M$186,MATCH("女赤"&amp;$J132,計算用!$L$2:$L$186,0)),"")</f>
        <v/>
      </c>
      <c r="M132" s="16" t="str">
        <f>IFERROR(INDEX(計算用!$G$2:$G$186,MATCH("女赤"&amp;$J132,計算用!$L$2:$L$186,0)),"")</f>
        <v/>
      </c>
      <c r="N132" s="15"/>
      <c r="O132" s="15" t="str">
        <f>IFERROR(INDEX(計算用!$D$2:$D$186,MATCH("女白"&amp;$J132,計算用!$L$2:$L$186,0)),"")</f>
        <v/>
      </c>
      <c r="P132" s="15" t="str">
        <f>IFERROR(INDEX(計算用!$M$2:$M$186,MATCH("女白"&amp;$J132,計算用!$L$2:$L$186,0)),"")</f>
        <v/>
      </c>
      <c r="Q132" s="16" t="str">
        <f>IFERROR(INDEX(計算用!$G$2:$G$186,MATCH("女白"&amp;$J132,計算用!$L$2:$L$186,0)),"")</f>
        <v/>
      </c>
    </row>
    <row r="133" spans="1:17" x14ac:dyDescent="0.15">
      <c r="A133" s="15" t="str">
        <f>IF(ROW()-3&lt;=MAX(計算用!$Q$2,計算用!$Q$3),ROW()-3,"")</f>
        <v/>
      </c>
      <c r="B133" s="15" t="str">
        <f>IFERROR(INDEX(計算用!$D$2:$D$186,MATCH("男赤"&amp;$A133,計算用!$L$2:$L$186,0)),"")</f>
        <v/>
      </c>
      <c r="C133" s="15" t="str">
        <f>IFERROR(INDEX(計算用!$M$2:$M$186,MATCH("男赤"&amp;$A133,計算用!$L$2:$L$186,0)),"")</f>
        <v/>
      </c>
      <c r="D133" s="16" t="str">
        <f>IFERROR(INDEX(計算用!$G$2:$G$186,MATCH("男赤"&amp;$A133,計算用!$L$2:$L$186,0)),"")</f>
        <v/>
      </c>
      <c r="E133" s="15"/>
      <c r="F133" s="15" t="str">
        <f>IFERROR(INDEX(計算用!$D$2:$D$186,MATCH("男白"&amp;$A133,計算用!$L$2:$L$186,0)),"")</f>
        <v/>
      </c>
      <c r="G133" s="15" t="str">
        <f>IFERROR(INDEX(計算用!$M$2:$M$186,MATCH("男白"&amp;$A133,計算用!$L$2:$L$186,0)),"")</f>
        <v/>
      </c>
      <c r="H133" s="16" t="str">
        <f>IFERROR(INDEX(計算用!$G$2:$G$186,MATCH("男白"&amp;$A133,計算用!$L$2:$L$186,0)),"")</f>
        <v/>
      </c>
      <c r="I133" s="15"/>
      <c r="J133" s="15" t="str">
        <f>IF(ROW()-3&lt;=MAX(計算用!$Q$4,計算用!$Q$5),ROW()-3,"")</f>
        <v/>
      </c>
      <c r="K133" s="15" t="str">
        <f>IFERROR(INDEX(計算用!$D$2:$D$186,MATCH("女赤"&amp;$J133,計算用!$L$2:$L$186,0)),"")</f>
        <v/>
      </c>
      <c r="L133" s="15" t="str">
        <f>IFERROR(INDEX(計算用!$M$2:$M$186,MATCH("女赤"&amp;$J133,計算用!$L$2:$L$186,0)),"")</f>
        <v/>
      </c>
      <c r="M133" s="16" t="str">
        <f>IFERROR(INDEX(計算用!$G$2:$G$186,MATCH("女赤"&amp;$J133,計算用!$L$2:$L$186,0)),"")</f>
        <v/>
      </c>
      <c r="N133" s="15"/>
      <c r="O133" s="15" t="str">
        <f>IFERROR(INDEX(計算用!$D$2:$D$186,MATCH("女白"&amp;$J133,計算用!$L$2:$L$186,0)),"")</f>
        <v/>
      </c>
      <c r="P133" s="15" t="str">
        <f>IFERROR(INDEX(計算用!$M$2:$M$186,MATCH("女白"&amp;$J133,計算用!$L$2:$L$186,0)),"")</f>
        <v/>
      </c>
      <c r="Q133" s="16" t="str">
        <f>IFERROR(INDEX(計算用!$G$2:$G$186,MATCH("女白"&amp;$J133,計算用!$L$2:$L$186,0)),"")</f>
        <v/>
      </c>
    </row>
    <row r="134" spans="1:17" x14ac:dyDescent="0.15">
      <c r="A134" s="15" t="str">
        <f>IF(ROW()-3&lt;=MAX(計算用!$Q$2,計算用!$Q$3),ROW()-3,"")</f>
        <v/>
      </c>
      <c r="B134" s="15" t="str">
        <f>IFERROR(INDEX(計算用!$D$2:$D$186,MATCH("男赤"&amp;$A134,計算用!$L$2:$L$186,0)),"")</f>
        <v/>
      </c>
      <c r="C134" s="15" t="str">
        <f>IFERROR(INDEX(計算用!$M$2:$M$186,MATCH("男赤"&amp;$A134,計算用!$L$2:$L$186,0)),"")</f>
        <v/>
      </c>
      <c r="D134" s="16" t="str">
        <f>IFERROR(INDEX(計算用!$G$2:$G$186,MATCH("男赤"&amp;$A134,計算用!$L$2:$L$186,0)),"")</f>
        <v/>
      </c>
      <c r="E134" s="15"/>
      <c r="F134" s="15" t="str">
        <f>IFERROR(INDEX(計算用!$D$2:$D$186,MATCH("男白"&amp;$A134,計算用!$L$2:$L$186,0)),"")</f>
        <v/>
      </c>
      <c r="G134" s="15" t="str">
        <f>IFERROR(INDEX(計算用!$M$2:$M$186,MATCH("男白"&amp;$A134,計算用!$L$2:$L$186,0)),"")</f>
        <v/>
      </c>
      <c r="H134" s="16" t="str">
        <f>IFERROR(INDEX(計算用!$G$2:$G$186,MATCH("男白"&amp;$A134,計算用!$L$2:$L$186,0)),"")</f>
        <v/>
      </c>
      <c r="I134" s="15"/>
      <c r="J134" s="15" t="str">
        <f>IF(ROW()-3&lt;=MAX(計算用!$Q$4,計算用!$Q$5),ROW()-3,"")</f>
        <v/>
      </c>
      <c r="K134" s="15" t="str">
        <f>IFERROR(INDEX(計算用!$D$2:$D$186,MATCH("女赤"&amp;$J134,計算用!$L$2:$L$186,0)),"")</f>
        <v/>
      </c>
      <c r="L134" s="15" t="str">
        <f>IFERROR(INDEX(計算用!$M$2:$M$186,MATCH("女赤"&amp;$J134,計算用!$L$2:$L$186,0)),"")</f>
        <v/>
      </c>
      <c r="M134" s="16" t="str">
        <f>IFERROR(INDEX(計算用!$G$2:$G$186,MATCH("女赤"&amp;$J134,計算用!$L$2:$L$186,0)),"")</f>
        <v/>
      </c>
      <c r="N134" s="15"/>
      <c r="O134" s="15" t="str">
        <f>IFERROR(INDEX(計算用!$D$2:$D$186,MATCH("女白"&amp;$J134,計算用!$L$2:$L$186,0)),"")</f>
        <v/>
      </c>
      <c r="P134" s="15" t="str">
        <f>IFERROR(INDEX(計算用!$M$2:$M$186,MATCH("女白"&amp;$J134,計算用!$L$2:$L$186,0)),"")</f>
        <v/>
      </c>
      <c r="Q134" s="16" t="str">
        <f>IFERROR(INDEX(計算用!$G$2:$G$186,MATCH("女白"&amp;$J134,計算用!$L$2:$L$186,0)),"")</f>
        <v/>
      </c>
    </row>
    <row r="135" spans="1:17" x14ac:dyDescent="0.15">
      <c r="A135" s="15" t="str">
        <f>IF(ROW()-3&lt;=MAX(計算用!$Q$2,計算用!$Q$3),ROW()-3,"")</f>
        <v/>
      </c>
      <c r="B135" s="15" t="str">
        <f>IFERROR(INDEX(計算用!$D$2:$D$186,MATCH("男赤"&amp;$A135,計算用!$L$2:$L$186,0)),"")</f>
        <v/>
      </c>
      <c r="C135" s="15" t="str">
        <f>IFERROR(INDEX(計算用!$M$2:$M$186,MATCH("男赤"&amp;$A135,計算用!$L$2:$L$186,0)),"")</f>
        <v/>
      </c>
      <c r="D135" s="16" t="str">
        <f>IFERROR(INDEX(計算用!$G$2:$G$186,MATCH("男赤"&amp;$A135,計算用!$L$2:$L$186,0)),"")</f>
        <v/>
      </c>
      <c r="E135" s="15"/>
      <c r="F135" s="15" t="str">
        <f>IFERROR(INDEX(計算用!$D$2:$D$186,MATCH("男白"&amp;$A135,計算用!$L$2:$L$186,0)),"")</f>
        <v/>
      </c>
      <c r="G135" s="15" t="str">
        <f>IFERROR(INDEX(計算用!$M$2:$M$186,MATCH("男白"&amp;$A135,計算用!$L$2:$L$186,0)),"")</f>
        <v/>
      </c>
      <c r="H135" s="16" t="str">
        <f>IFERROR(INDEX(計算用!$G$2:$G$186,MATCH("男白"&amp;$A135,計算用!$L$2:$L$186,0)),"")</f>
        <v/>
      </c>
      <c r="I135" s="15"/>
      <c r="J135" s="15" t="str">
        <f>IF(ROW()-3&lt;=MAX(計算用!$Q$4,計算用!$Q$5),ROW()-3,"")</f>
        <v/>
      </c>
      <c r="K135" s="15" t="str">
        <f>IFERROR(INDEX(計算用!$D$2:$D$186,MATCH("女赤"&amp;$J135,計算用!$L$2:$L$186,0)),"")</f>
        <v/>
      </c>
      <c r="L135" s="15" t="str">
        <f>IFERROR(INDEX(計算用!$M$2:$M$186,MATCH("女赤"&amp;$J135,計算用!$L$2:$L$186,0)),"")</f>
        <v/>
      </c>
      <c r="M135" s="16" t="str">
        <f>IFERROR(INDEX(計算用!$G$2:$G$186,MATCH("女赤"&amp;$J135,計算用!$L$2:$L$186,0)),"")</f>
        <v/>
      </c>
      <c r="N135" s="15"/>
      <c r="O135" s="15" t="str">
        <f>IFERROR(INDEX(計算用!$D$2:$D$186,MATCH("女白"&amp;$J135,計算用!$L$2:$L$186,0)),"")</f>
        <v/>
      </c>
      <c r="P135" s="15" t="str">
        <f>IFERROR(INDEX(計算用!$M$2:$M$186,MATCH("女白"&amp;$J135,計算用!$L$2:$L$186,0)),"")</f>
        <v/>
      </c>
      <c r="Q135" s="16" t="str">
        <f>IFERROR(INDEX(計算用!$G$2:$G$186,MATCH("女白"&amp;$J135,計算用!$L$2:$L$186,0)),"")</f>
        <v/>
      </c>
    </row>
    <row r="136" spans="1:17" x14ac:dyDescent="0.15">
      <c r="A136" s="15" t="str">
        <f>IF(ROW()-3&lt;=MAX(計算用!$Q$2,計算用!$Q$3),ROW()-3,"")</f>
        <v/>
      </c>
      <c r="B136" s="15" t="str">
        <f>IFERROR(INDEX(計算用!$D$2:$D$186,MATCH("男赤"&amp;$A136,計算用!$L$2:$L$186,0)),"")</f>
        <v/>
      </c>
      <c r="C136" s="15" t="str">
        <f>IFERROR(INDEX(計算用!$M$2:$M$186,MATCH("男赤"&amp;$A136,計算用!$L$2:$L$186,0)),"")</f>
        <v/>
      </c>
      <c r="D136" s="16" t="str">
        <f>IFERROR(INDEX(計算用!$G$2:$G$186,MATCH("男赤"&amp;$A136,計算用!$L$2:$L$186,0)),"")</f>
        <v/>
      </c>
      <c r="E136" s="15"/>
      <c r="F136" s="15" t="str">
        <f>IFERROR(INDEX(計算用!$D$2:$D$186,MATCH("男白"&amp;$A136,計算用!$L$2:$L$186,0)),"")</f>
        <v/>
      </c>
      <c r="G136" s="15" t="str">
        <f>IFERROR(INDEX(計算用!$M$2:$M$186,MATCH("男白"&amp;$A136,計算用!$L$2:$L$186,0)),"")</f>
        <v/>
      </c>
      <c r="H136" s="16" t="str">
        <f>IFERROR(INDEX(計算用!$G$2:$G$186,MATCH("男白"&amp;$A136,計算用!$L$2:$L$186,0)),"")</f>
        <v/>
      </c>
      <c r="I136" s="15"/>
      <c r="J136" s="15" t="str">
        <f>IF(ROW()-3&lt;=MAX(計算用!$Q$4,計算用!$Q$5),ROW()-3,"")</f>
        <v/>
      </c>
      <c r="K136" s="15" t="str">
        <f>IFERROR(INDEX(計算用!$D$2:$D$186,MATCH("女赤"&amp;$J136,計算用!$L$2:$L$186,0)),"")</f>
        <v/>
      </c>
      <c r="L136" s="15" t="str">
        <f>IFERROR(INDEX(計算用!$M$2:$M$186,MATCH("女赤"&amp;$J136,計算用!$L$2:$L$186,0)),"")</f>
        <v/>
      </c>
      <c r="M136" s="16" t="str">
        <f>IFERROR(INDEX(計算用!$G$2:$G$186,MATCH("女赤"&amp;$J136,計算用!$L$2:$L$186,0)),"")</f>
        <v/>
      </c>
      <c r="N136" s="15"/>
      <c r="O136" s="15" t="str">
        <f>IFERROR(INDEX(計算用!$D$2:$D$186,MATCH("女白"&amp;$J136,計算用!$L$2:$L$186,0)),"")</f>
        <v/>
      </c>
      <c r="P136" s="15" t="str">
        <f>IFERROR(INDEX(計算用!$M$2:$M$186,MATCH("女白"&amp;$J136,計算用!$L$2:$L$186,0)),"")</f>
        <v/>
      </c>
      <c r="Q136" s="16" t="str">
        <f>IFERROR(INDEX(計算用!$G$2:$G$186,MATCH("女白"&amp;$J136,計算用!$L$2:$L$186,0)),"")</f>
        <v/>
      </c>
    </row>
    <row r="137" spans="1:17" x14ac:dyDescent="0.15">
      <c r="A137" s="15" t="str">
        <f>IF(ROW()-3&lt;=MAX(計算用!$Q$2,計算用!$Q$3),ROW()-3,"")</f>
        <v/>
      </c>
      <c r="B137" s="15" t="str">
        <f>IFERROR(INDEX(計算用!$D$2:$D$186,MATCH("男赤"&amp;$A137,計算用!$L$2:$L$186,0)),"")</f>
        <v/>
      </c>
      <c r="C137" s="15" t="str">
        <f>IFERROR(INDEX(計算用!$M$2:$M$186,MATCH("男赤"&amp;$A137,計算用!$L$2:$L$186,0)),"")</f>
        <v/>
      </c>
      <c r="D137" s="16" t="str">
        <f>IFERROR(INDEX(計算用!$G$2:$G$186,MATCH("男赤"&amp;$A137,計算用!$L$2:$L$186,0)),"")</f>
        <v/>
      </c>
      <c r="E137" s="15"/>
      <c r="F137" s="15" t="str">
        <f>IFERROR(INDEX(計算用!$D$2:$D$186,MATCH("男白"&amp;$A137,計算用!$L$2:$L$186,0)),"")</f>
        <v/>
      </c>
      <c r="G137" s="15" t="str">
        <f>IFERROR(INDEX(計算用!$M$2:$M$186,MATCH("男白"&amp;$A137,計算用!$L$2:$L$186,0)),"")</f>
        <v/>
      </c>
      <c r="H137" s="16" t="str">
        <f>IFERROR(INDEX(計算用!$G$2:$G$186,MATCH("男白"&amp;$A137,計算用!$L$2:$L$186,0)),"")</f>
        <v/>
      </c>
      <c r="I137" s="15"/>
      <c r="J137" s="15" t="str">
        <f>IF(ROW()-3&lt;=MAX(計算用!$Q$4,計算用!$Q$5),ROW()-3,"")</f>
        <v/>
      </c>
      <c r="K137" s="15" t="str">
        <f>IFERROR(INDEX(計算用!$D$2:$D$186,MATCH("女赤"&amp;$J137,計算用!$L$2:$L$186,0)),"")</f>
        <v/>
      </c>
      <c r="L137" s="15" t="str">
        <f>IFERROR(INDEX(計算用!$M$2:$M$186,MATCH("女赤"&amp;$J137,計算用!$L$2:$L$186,0)),"")</f>
        <v/>
      </c>
      <c r="M137" s="16" t="str">
        <f>IFERROR(INDEX(計算用!$G$2:$G$186,MATCH("女赤"&amp;$J137,計算用!$L$2:$L$186,0)),"")</f>
        <v/>
      </c>
      <c r="N137" s="15"/>
      <c r="O137" s="15" t="str">
        <f>IFERROR(INDEX(計算用!$D$2:$D$186,MATCH("女白"&amp;$J137,計算用!$L$2:$L$186,0)),"")</f>
        <v/>
      </c>
      <c r="P137" s="15" t="str">
        <f>IFERROR(INDEX(計算用!$M$2:$M$186,MATCH("女白"&amp;$J137,計算用!$L$2:$L$186,0)),"")</f>
        <v/>
      </c>
      <c r="Q137" s="16" t="str">
        <f>IFERROR(INDEX(計算用!$G$2:$G$186,MATCH("女白"&amp;$J137,計算用!$L$2:$L$186,0)),"")</f>
        <v/>
      </c>
    </row>
    <row r="138" spans="1:17" x14ac:dyDescent="0.15">
      <c r="A138" s="15" t="str">
        <f>IF(ROW()-3&lt;=MAX(計算用!$Q$2,計算用!$Q$3),ROW()-3,"")</f>
        <v/>
      </c>
      <c r="B138" s="15" t="str">
        <f>IFERROR(INDEX(計算用!$D$2:$D$186,MATCH("男赤"&amp;$A138,計算用!$L$2:$L$186,0)),"")</f>
        <v/>
      </c>
      <c r="C138" s="15" t="str">
        <f>IFERROR(INDEX(計算用!$M$2:$M$186,MATCH("男赤"&amp;$A138,計算用!$L$2:$L$186,0)),"")</f>
        <v/>
      </c>
      <c r="D138" s="16" t="str">
        <f>IFERROR(INDEX(計算用!$G$2:$G$186,MATCH("男赤"&amp;$A138,計算用!$L$2:$L$186,0)),"")</f>
        <v/>
      </c>
      <c r="E138" s="15"/>
      <c r="F138" s="15" t="str">
        <f>IFERROR(INDEX(計算用!$D$2:$D$186,MATCH("男白"&amp;$A138,計算用!$L$2:$L$186,0)),"")</f>
        <v/>
      </c>
      <c r="G138" s="15" t="str">
        <f>IFERROR(INDEX(計算用!$M$2:$M$186,MATCH("男白"&amp;$A138,計算用!$L$2:$L$186,0)),"")</f>
        <v/>
      </c>
      <c r="H138" s="16" t="str">
        <f>IFERROR(INDEX(計算用!$G$2:$G$186,MATCH("男白"&amp;$A138,計算用!$L$2:$L$186,0)),"")</f>
        <v/>
      </c>
      <c r="I138" s="15"/>
      <c r="J138" s="15" t="str">
        <f>IF(ROW()-3&lt;=MAX(計算用!$Q$4,計算用!$Q$5),ROW()-3,"")</f>
        <v/>
      </c>
      <c r="K138" s="15" t="str">
        <f>IFERROR(INDEX(計算用!$D$2:$D$186,MATCH("女赤"&amp;$J138,計算用!$L$2:$L$186,0)),"")</f>
        <v/>
      </c>
      <c r="L138" s="15" t="str">
        <f>IFERROR(INDEX(計算用!$M$2:$M$186,MATCH("女赤"&amp;$J138,計算用!$L$2:$L$186,0)),"")</f>
        <v/>
      </c>
      <c r="M138" s="16" t="str">
        <f>IFERROR(INDEX(計算用!$G$2:$G$186,MATCH("女赤"&amp;$J138,計算用!$L$2:$L$186,0)),"")</f>
        <v/>
      </c>
      <c r="N138" s="15"/>
      <c r="O138" s="15" t="str">
        <f>IFERROR(INDEX(計算用!$D$2:$D$186,MATCH("女白"&amp;$J138,計算用!$L$2:$L$186,0)),"")</f>
        <v/>
      </c>
      <c r="P138" s="15" t="str">
        <f>IFERROR(INDEX(計算用!$M$2:$M$186,MATCH("女白"&amp;$J138,計算用!$L$2:$L$186,0)),"")</f>
        <v/>
      </c>
      <c r="Q138" s="16" t="str">
        <f>IFERROR(INDEX(計算用!$G$2:$G$186,MATCH("女白"&amp;$J138,計算用!$L$2:$L$186,0)),"")</f>
        <v/>
      </c>
    </row>
    <row r="139" spans="1:17" x14ac:dyDescent="0.15">
      <c r="A139" s="15" t="str">
        <f>IF(ROW()-3&lt;=MAX(計算用!$Q$2,計算用!$Q$3),ROW()-3,"")</f>
        <v/>
      </c>
      <c r="B139" s="15" t="str">
        <f>IFERROR(INDEX(計算用!$D$2:$D$186,MATCH("男赤"&amp;$A139,計算用!$L$2:$L$186,0)),"")</f>
        <v/>
      </c>
      <c r="C139" s="15" t="str">
        <f>IFERROR(INDEX(計算用!$M$2:$M$186,MATCH("男赤"&amp;$A139,計算用!$L$2:$L$186,0)),"")</f>
        <v/>
      </c>
      <c r="D139" s="16" t="str">
        <f>IFERROR(INDEX(計算用!$G$2:$G$186,MATCH("男赤"&amp;$A139,計算用!$L$2:$L$186,0)),"")</f>
        <v/>
      </c>
      <c r="E139" s="15"/>
      <c r="F139" s="15" t="str">
        <f>IFERROR(INDEX(計算用!$D$2:$D$186,MATCH("男白"&amp;$A139,計算用!$L$2:$L$186,0)),"")</f>
        <v/>
      </c>
      <c r="G139" s="15" t="str">
        <f>IFERROR(INDEX(計算用!$M$2:$M$186,MATCH("男白"&amp;$A139,計算用!$L$2:$L$186,0)),"")</f>
        <v/>
      </c>
      <c r="H139" s="16" t="str">
        <f>IFERROR(INDEX(計算用!$G$2:$G$186,MATCH("男白"&amp;$A139,計算用!$L$2:$L$186,0)),"")</f>
        <v/>
      </c>
      <c r="I139" s="15"/>
      <c r="J139" s="15" t="str">
        <f>IF(ROW()-3&lt;=MAX(計算用!$Q$4,計算用!$Q$5),ROW()-3,"")</f>
        <v/>
      </c>
      <c r="K139" s="15" t="str">
        <f>IFERROR(INDEX(計算用!$D$2:$D$186,MATCH("女赤"&amp;$J139,計算用!$L$2:$L$186,0)),"")</f>
        <v/>
      </c>
      <c r="L139" s="15" t="str">
        <f>IFERROR(INDEX(計算用!$M$2:$M$186,MATCH("女赤"&amp;$J139,計算用!$L$2:$L$186,0)),"")</f>
        <v/>
      </c>
      <c r="M139" s="16" t="str">
        <f>IFERROR(INDEX(計算用!$G$2:$G$186,MATCH("女赤"&amp;$J139,計算用!$L$2:$L$186,0)),"")</f>
        <v/>
      </c>
      <c r="N139" s="15"/>
      <c r="O139" s="15" t="str">
        <f>IFERROR(INDEX(計算用!$D$2:$D$186,MATCH("女白"&amp;$J139,計算用!$L$2:$L$186,0)),"")</f>
        <v/>
      </c>
      <c r="P139" s="15" t="str">
        <f>IFERROR(INDEX(計算用!$M$2:$M$186,MATCH("女白"&amp;$J139,計算用!$L$2:$L$186,0)),"")</f>
        <v/>
      </c>
      <c r="Q139" s="16" t="str">
        <f>IFERROR(INDEX(計算用!$G$2:$G$186,MATCH("女白"&amp;$J139,計算用!$L$2:$L$186,0)),"")</f>
        <v/>
      </c>
    </row>
    <row r="140" spans="1:17" x14ac:dyDescent="0.15">
      <c r="A140" s="15" t="str">
        <f>IF(ROW()-3&lt;=MAX(計算用!$Q$2,計算用!$Q$3),ROW()-3,"")</f>
        <v/>
      </c>
      <c r="B140" s="15" t="str">
        <f>IFERROR(INDEX(計算用!$D$2:$D$186,MATCH("男赤"&amp;$A140,計算用!$L$2:$L$186,0)),"")</f>
        <v/>
      </c>
      <c r="C140" s="15" t="str">
        <f>IFERROR(INDEX(計算用!$M$2:$M$186,MATCH("男赤"&amp;$A140,計算用!$L$2:$L$186,0)),"")</f>
        <v/>
      </c>
      <c r="D140" s="16" t="str">
        <f>IFERROR(INDEX(計算用!$G$2:$G$186,MATCH("男赤"&amp;$A140,計算用!$L$2:$L$186,0)),"")</f>
        <v/>
      </c>
      <c r="E140" s="15"/>
      <c r="F140" s="15" t="str">
        <f>IFERROR(INDEX(計算用!$D$2:$D$186,MATCH("男白"&amp;$A140,計算用!$L$2:$L$186,0)),"")</f>
        <v/>
      </c>
      <c r="G140" s="15" t="str">
        <f>IFERROR(INDEX(計算用!$M$2:$M$186,MATCH("男白"&amp;$A140,計算用!$L$2:$L$186,0)),"")</f>
        <v/>
      </c>
      <c r="H140" s="16" t="str">
        <f>IFERROR(INDEX(計算用!$G$2:$G$186,MATCH("男白"&amp;$A140,計算用!$L$2:$L$186,0)),"")</f>
        <v/>
      </c>
      <c r="I140" s="15"/>
      <c r="J140" s="15" t="str">
        <f>IF(ROW()-3&lt;=MAX(計算用!$Q$4,計算用!$Q$5),ROW()-3,"")</f>
        <v/>
      </c>
      <c r="K140" s="15" t="str">
        <f>IFERROR(INDEX(計算用!$D$2:$D$186,MATCH("女赤"&amp;$J140,計算用!$L$2:$L$186,0)),"")</f>
        <v/>
      </c>
      <c r="L140" s="15" t="str">
        <f>IFERROR(INDEX(計算用!$M$2:$M$186,MATCH("女赤"&amp;$J140,計算用!$L$2:$L$186,0)),"")</f>
        <v/>
      </c>
      <c r="M140" s="16" t="str">
        <f>IFERROR(INDEX(計算用!$G$2:$G$186,MATCH("女赤"&amp;$J140,計算用!$L$2:$L$186,0)),"")</f>
        <v/>
      </c>
      <c r="N140" s="15"/>
      <c r="O140" s="15" t="str">
        <f>IFERROR(INDEX(計算用!$D$2:$D$186,MATCH("女白"&amp;$J140,計算用!$L$2:$L$186,0)),"")</f>
        <v/>
      </c>
      <c r="P140" s="15" t="str">
        <f>IFERROR(INDEX(計算用!$M$2:$M$186,MATCH("女白"&amp;$J140,計算用!$L$2:$L$186,0)),"")</f>
        <v/>
      </c>
      <c r="Q140" s="16" t="str">
        <f>IFERROR(INDEX(計算用!$G$2:$G$186,MATCH("女白"&amp;$J140,計算用!$L$2:$L$186,0)),"")</f>
        <v/>
      </c>
    </row>
    <row r="141" spans="1:17" x14ac:dyDescent="0.15">
      <c r="A141" s="15" t="str">
        <f>IF(ROW()-3&lt;=MAX(計算用!$Q$2,計算用!$Q$3),ROW()-3,"")</f>
        <v/>
      </c>
      <c r="B141" s="15" t="str">
        <f>IFERROR(INDEX(計算用!$D$2:$D$186,MATCH("男赤"&amp;$A141,計算用!$L$2:$L$186,0)),"")</f>
        <v/>
      </c>
      <c r="C141" s="15" t="str">
        <f>IFERROR(INDEX(計算用!$M$2:$M$186,MATCH("男赤"&amp;$A141,計算用!$L$2:$L$186,0)),"")</f>
        <v/>
      </c>
      <c r="D141" s="16" t="str">
        <f>IFERROR(INDEX(計算用!$G$2:$G$186,MATCH("男赤"&amp;$A141,計算用!$L$2:$L$186,0)),"")</f>
        <v/>
      </c>
      <c r="E141" s="15"/>
      <c r="F141" s="15" t="str">
        <f>IFERROR(INDEX(計算用!$D$2:$D$186,MATCH("男白"&amp;$A141,計算用!$L$2:$L$186,0)),"")</f>
        <v/>
      </c>
      <c r="G141" s="15" t="str">
        <f>IFERROR(INDEX(計算用!$M$2:$M$186,MATCH("男白"&amp;$A141,計算用!$L$2:$L$186,0)),"")</f>
        <v/>
      </c>
      <c r="H141" s="16" t="str">
        <f>IFERROR(INDEX(計算用!$G$2:$G$186,MATCH("男白"&amp;$A141,計算用!$L$2:$L$186,0)),"")</f>
        <v/>
      </c>
      <c r="I141" s="15"/>
      <c r="J141" s="15" t="str">
        <f>IF(ROW()-3&lt;=MAX(計算用!$Q$4,計算用!$Q$5),ROW()-3,"")</f>
        <v/>
      </c>
      <c r="K141" s="15" t="str">
        <f>IFERROR(INDEX(計算用!$D$2:$D$186,MATCH("女赤"&amp;$J141,計算用!$L$2:$L$186,0)),"")</f>
        <v/>
      </c>
      <c r="L141" s="15" t="str">
        <f>IFERROR(INDEX(計算用!$M$2:$M$186,MATCH("女赤"&amp;$J141,計算用!$L$2:$L$186,0)),"")</f>
        <v/>
      </c>
      <c r="M141" s="16" t="str">
        <f>IFERROR(INDEX(計算用!$G$2:$G$186,MATCH("女赤"&amp;$J141,計算用!$L$2:$L$186,0)),"")</f>
        <v/>
      </c>
      <c r="N141" s="15"/>
      <c r="O141" s="15" t="str">
        <f>IFERROR(INDEX(計算用!$D$2:$D$186,MATCH("女白"&amp;$J141,計算用!$L$2:$L$186,0)),"")</f>
        <v/>
      </c>
      <c r="P141" s="15" t="str">
        <f>IFERROR(INDEX(計算用!$M$2:$M$186,MATCH("女白"&amp;$J141,計算用!$L$2:$L$186,0)),"")</f>
        <v/>
      </c>
      <c r="Q141" s="16" t="str">
        <f>IFERROR(INDEX(計算用!$G$2:$G$186,MATCH("女白"&amp;$J141,計算用!$L$2:$L$186,0)),"")</f>
        <v/>
      </c>
    </row>
    <row r="142" spans="1:17" x14ac:dyDescent="0.15">
      <c r="A142" s="15" t="str">
        <f>IF(ROW()-3&lt;=MAX(計算用!$Q$2,計算用!$Q$3),ROW()-3,"")</f>
        <v/>
      </c>
      <c r="B142" s="15" t="str">
        <f>IFERROR(INDEX(計算用!$D$2:$D$186,MATCH("男赤"&amp;$A142,計算用!$L$2:$L$186,0)),"")</f>
        <v/>
      </c>
      <c r="C142" s="15" t="str">
        <f>IFERROR(INDEX(計算用!$M$2:$M$186,MATCH("男赤"&amp;$A142,計算用!$L$2:$L$186,0)),"")</f>
        <v/>
      </c>
      <c r="D142" s="16" t="str">
        <f>IFERROR(INDEX(計算用!$G$2:$G$186,MATCH("男赤"&amp;$A142,計算用!$L$2:$L$186,0)),"")</f>
        <v/>
      </c>
      <c r="E142" s="15"/>
      <c r="F142" s="15" t="str">
        <f>IFERROR(INDEX(計算用!$D$2:$D$186,MATCH("男白"&amp;$A142,計算用!$L$2:$L$186,0)),"")</f>
        <v/>
      </c>
      <c r="G142" s="15" t="str">
        <f>IFERROR(INDEX(計算用!$M$2:$M$186,MATCH("男白"&amp;$A142,計算用!$L$2:$L$186,0)),"")</f>
        <v/>
      </c>
      <c r="H142" s="16" t="str">
        <f>IFERROR(INDEX(計算用!$G$2:$G$186,MATCH("男白"&amp;$A142,計算用!$L$2:$L$186,0)),"")</f>
        <v/>
      </c>
      <c r="I142" s="15"/>
      <c r="J142" s="15" t="str">
        <f>IF(ROW()-3&lt;=MAX(計算用!$Q$4,計算用!$Q$5),ROW()-3,"")</f>
        <v/>
      </c>
      <c r="K142" s="15" t="str">
        <f>IFERROR(INDEX(計算用!$D$2:$D$186,MATCH("女赤"&amp;$J142,計算用!$L$2:$L$186,0)),"")</f>
        <v/>
      </c>
      <c r="L142" s="15" t="str">
        <f>IFERROR(INDEX(計算用!$M$2:$M$186,MATCH("女赤"&amp;$J142,計算用!$L$2:$L$186,0)),"")</f>
        <v/>
      </c>
      <c r="M142" s="16" t="str">
        <f>IFERROR(INDEX(計算用!$G$2:$G$186,MATCH("女赤"&amp;$J142,計算用!$L$2:$L$186,0)),"")</f>
        <v/>
      </c>
      <c r="N142" s="15"/>
      <c r="O142" s="15" t="str">
        <f>IFERROR(INDEX(計算用!$D$2:$D$186,MATCH("女白"&amp;$J142,計算用!$L$2:$L$186,0)),"")</f>
        <v/>
      </c>
      <c r="P142" s="15" t="str">
        <f>IFERROR(INDEX(計算用!$M$2:$M$186,MATCH("女白"&amp;$J142,計算用!$L$2:$L$186,0)),"")</f>
        <v/>
      </c>
      <c r="Q142" s="16" t="str">
        <f>IFERROR(INDEX(計算用!$G$2:$G$186,MATCH("女白"&amp;$J142,計算用!$L$2:$L$186,0)),"")</f>
        <v/>
      </c>
    </row>
    <row r="143" spans="1:17" x14ac:dyDescent="0.15">
      <c r="A143" s="15" t="str">
        <f>IF(ROW()-3&lt;=MAX(計算用!$Q$2,計算用!$Q$3),ROW()-3,"")</f>
        <v/>
      </c>
      <c r="B143" s="15" t="str">
        <f>IFERROR(INDEX(計算用!$D$2:$D$186,MATCH("男赤"&amp;$A143,計算用!$L$2:$L$186,0)),"")</f>
        <v/>
      </c>
      <c r="C143" s="15" t="str">
        <f>IFERROR(INDEX(計算用!$M$2:$M$186,MATCH("男赤"&amp;$A143,計算用!$L$2:$L$186,0)),"")</f>
        <v/>
      </c>
      <c r="D143" s="16" t="str">
        <f>IFERROR(INDEX(計算用!$G$2:$G$186,MATCH("男赤"&amp;$A143,計算用!$L$2:$L$186,0)),"")</f>
        <v/>
      </c>
      <c r="E143" s="15"/>
      <c r="F143" s="15" t="str">
        <f>IFERROR(INDEX(計算用!$D$2:$D$186,MATCH("男白"&amp;$A143,計算用!$L$2:$L$186,0)),"")</f>
        <v/>
      </c>
      <c r="G143" s="15" t="str">
        <f>IFERROR(INDEX(計算用!$M$2:$M$186,MATCH("男白"&amp;$A143,計算用!$L$2:$L$186,0)),"")</f>
        <v/>
      </c>
      <c r="H143" s="16" t="str">
        <f>IFERROR(INDEX(計算用!$G$2:$G$186,MATCH("男白"&amp;$A143,計算用!$L$2:$L$186,0)),"")</f>
        <v/>
      </c>
      <c r="I143" s="15"/>
      <c r="J143" s="15" t="str">
        <f>IF(ROW()-3&lt;=MAX(計算用!$Q$4,計算用!$Q$5),ROW()-3,"")</f>
        <v/>
      </c>
      <c r="K143" s="15" t="str">
        <f>IFERROR(INDEX(計算用!$D$2:$D$186,MATCH("女赤"&amp;$J143,計算用!$L$2:$L$186,0)),"")</f>
        <v/>
      </c>
      <c r="L143" s="15" t="str">
        <f>IFERROR(INDEX(計算用!$M$2:$M$186,MATCH("女赤"&amp;$J143,計算用!$L$2:$L$186,0)),"")</f>
        <v/>
      </c>
      <c r="M143" s="16" t="str">
        <f>IFERROR(INDEX(計算用!$G$2:$G$186,MATCH("女赤"&amp;$J143,計算用!$L$2:$L$186,0)),"")</f>
        <v/>
      </c>
      <c r="N143" s="15"/>
      <c r="O143" s="15" t="str">
        <f>IFERROR(INDEX(計算用!$D$2:$D$186,MATCH("女白"&amp;$J143,計算用!$L$2:$L$186,0)),"")</f>
        <v/>
      </c>
      <c r="P143" s="15" t="str">
        <f>IFERROR(INDEX(計算用!$M$2:$M$186,MATCH("女白"&amp;$J143,計算用!$L$2:$L$186,0)),"")</f>
        <v/>
      </c>
      <c r="Q143" s="16" t="str">
        <f>IFERROR(INDEX(計算用!$G$2:$G$186,MATCH("女白"&amp;$J143,計算用!$L$2:$L$186,0)),"")</f>
        <v/>
      </c>
    </row>
    <row r="144" spans="1:17" x14ac:dyDescent="0.15">
      <c r="A144" s="15" t="str">
        <f>IF(ROW()-3&lt;=MAX(計算用!$Q$2,計算用!$Q$3),ROW()-3,"")</f>
        <v/>
      </c>
      <c r="B144" s="15" t="str">
        <f>IFERROR(INDEX(計算用!$D$2:$D$186,MATCH("男赤"&amp;$A144,計算用!$L$2:$L$186,0)),"")</f>
        <v/>
      </c>
      <c r="C144" s="15" t="str">
        <f>IFERROR(INDEX(計算用!$M$2:$M$186,MATCH("男赤"&amp;$A144,計算用!$L$2:$L$186,0)),"")</f>
        <v/>
      </c>
      <c r="D144" s="16" t="str">
        <f>IFERROR(INDEX(計算用!$G$2:$G$186,MATCH("男赤"&amp;$A144,計算用!$L$2:$L$186,0)),"")</f>
        <v/>
      </c>
      <c r="E144" s="15"/>
      <c r="F144" s="15" t="str">
        <f>IFERROR(INDEX(計算用!$D$2:$D$186,MATCH("男白"&amp;$A144,計算用!$L$2:$L$186,0)),"")</f>
        <v/>
      </c>
      <c r="G144" s="15" t="str">
        <f>IFERROR(INDEX(計算用!$M$2:$M$186,MATCH("男白"&amp;$A144,計算用!$L$2:$L$186,0)),"")</f>
        <v/>
      </c>
      <c r="H144" s="16" t="str">
        <f>IFERROR(INDEX(計算用!$G$2:$G$186,MATCH("男白"&amp;$A144,計算用!$L$2:$L$186,0)),"")</f>
        <v/>
      </c>
      <c r="I144" s="15"/>
      <c r="J144" s="15" t="str">
        <f>IF(ROW()-3&lt;=MAX(計算用!$Q$4,計算用!$Q$5),ROW()-3,"")</f>
        <v/>
      </c>
      <c r="K144" s="15" t="str">
        <f>IFERROR(INDEX(計算用!$D$2:$D$186,MATCH("女赤"&amp;$J144,計算用!$L$2:$L$186,0)),"")</f>
        <v/>
      </c>
      <c r="L144" s="15" t="str">
        <f>IFERROR(INDEX(計算用!$M$2:$M$186,MATCH("女赤"&amp;$J144,計算用!$L$2:$L$186,0)),"")</f>
        <v/>
      </c>
      <c r="M144" s="16" t="str">
        <f>IFERROR(INDEX(計算用!$G$2:$G$186,MATCH("女赤"&amp;$J144,計算用!$L$2:$L$186,0)),"")</f>
        <v/>
      </c>
      <c r="N144" s="15"/>
      <c r="O144" s="15" t="str">
        <f>IFERROR(INDEX(計算用!$D$2:$D$186,MATCH("女白"&amp;$J144,計算用!$L$2:$L$186,0)),"")</f>
        <v/>
      </c>
      <c r="P144" s="15" t="str">
        <f>IFERROR(INDEX(計算用!$M$2:$M$186,MATCH("女白"&amp;$J144,計算用!$L$2:$L$186,0)),"")</f>
        <v/>
      </c>
      <c r="Q144" s="16" t="str">
        <f>IFERROR(INDEX(計算用!$G$2:$G$186,MATCH("女白"&amp;$J144,計算用!$L$2:$L$186,0)),"")</f>
        <v/>
      </c>
    </row>
    <row r="145" spans="1:17" x14ac:dyDescent="0.15">
      <c r="A145" s="15" t="str">
        <f>IF(ROW()-3&lt;=MAX(計算用!$Q$2,計算用!$Q$3),ROW()-3,"")</f>
        <v/>
      </c>
      <c r="B145" s="15" t="str">
        <f>IFERROR(INDEX(計算用!$D$2:$D$186,MATCH("男赤"&amp;$A145,計算用!$L$2:$L$186,0)),"")</f>
        <v/>
      </c>
      <c r="C145" s="15" t="str">
        <f>IFERROR(INDEX(計算用!$M$2:$M$186,MATCH("男赤"&amp;$A145,計算用!$L$2:$L$186,0)),"")</f>
        <v/>
      </c>
      <c r="D145" s="16" t="str">
        <f>IFERROR(INDEX(計算用!$G$2:$G$186,MATCH("男赤"&amp;$A145,計算用!$L$2:$L$186,0)),"")</f>
        <v/>
      </c>
      <c r="E145" s="15"/>
      <c r="F145" s="15" t="str">
        <f>IFERROR(INDEX(計算用!$D$2:$D$186,MATCH("男白"&amp;$A145,計算用!$L$2:$L$186,0)),"")</f>
        <v/>
      </c>
      <c r="G145" s="15" t="str">
        <f>IFERROR(INDEX(計算用!$M$2:$M$186,MATCH("男白"&amp;$A145,計算用!$L$2:$L$186,0)),"")</f>
        <v/>
      </c>
      <c r="H145" s="16" t="str">
        <f>IFERROR(INDEX(計算用!$G$2:$G$186,MATCH("男白"&amp;$A145,計算用!$L$2:$L$186,0)),"")</f>
        <v/>
      </c>
      <c r="I145" s="15"/>
      <c r="J145" s="15" t="str">
        <f>IF(ROW()-3&lt;=MAX(計算用!$Q$4,計算用!$Q$5),ROW()-3,"")</f>
        <v/>
      </c>
      <c r="K145" s="15" t="str">
        <f>IFERROR(INDEX(計算用!$D$2:$D$186,MATCH("女赤"&amp;$J145,計算用!$L$2:$L$186,0)),"")</f>
        <v/>
      </c>
      <c r="L145" s="15" t="str">
        <f>IFERROR(INDEX(計算用!$M$2:$M$186,MATCH("女赤"&amp;$J145,計算用!$L$2:$L$186,0)),"")</f>
        <v/>
      </c>
      <c r="M145" s="16" t="str">
        <f>IFERROR(INDEX(計算用!$G$2:$G$186,MATCH("女赤"&amp;$J145,計算用!$L$2:$L$186,0)),"")</f>
        <v/>
      </c>
      <c r="N145" s="15"/>
      <c r="O145" s="15" t="str">
        <f>IFERROR(INDEX(計算用!$D$2:$D$186,MATCH("女白"&amp;$J145,計算用!$L$2:$L$186,0)),"")</f>
        <v/>
      </c>
      <c r="P145" s="15" t="str">
        <f>IFERROR(INDEX(計算用!$M$2:$M$186,MATCH("女白"&amp;$J145,計算用!$L$2:$L$186,0)),"")</f>
        <v/>
      </c>
      <c r="Q145" s="16" t="str">
        <f>IFERROR(INDEX(計算用!$G$2:$G$186,MATCH("女白"&amp;$J145,計算用!$L$2:$L$186,0)),"")</f>
        <v/>
      </c>
    </row>
    <row r="146" spans="1:17" x14ac:dyDescent="0.15">
      <c r="A146" s="15" t="str">
        <f>IF(ROW()-3&lt;=MAX(計算用!$Q$2,計算用!$Q$3),ROW()-3,"")</f>
        <v/>
      </c>
      <c r="B146" s="15" t="str">
        <f>IFERROR(INDEX(計算用!$D$2:$D$186,MATCH("男赤"&amp;$A146,計算用!$L$2:$L$186,0)),"")</f>
        <v/>
      </c>
      <c r="C146" s="15" t="str">
        <f>IFERROR(INDEX(計算用!$M$2:$M$186,MATCH("男赤"&amp;$A146,計算用!$L$2:$L$186,0)),"")</f>
        <v/>
      </c>
      <c r="D146" s="16" t="str">
        <f>IFERROR(INDEX(計算用!$G$2:$G$186,MATCH("男赤"&amp;$A146,計算用!$L$2:$L$186,0)),"")</f>
        <v/>
      </c>
      <c r="E146" s="15"/>
      <c r="F146" s="15" t="str">
        <f>IFERROR(INDEX(計算用!$D$2:$D$186,MATCH("男白"&amp;$A146,計算用!$L$2:$L$186,0)),"")</f>
        <v/>
      </c>
      <c r="G146" s="15" t="str">
        <f>IFERROR(INDEX(計算用!$M$2:$M$186,MATCH("男白"&amp;$A146,計算用!$L$2:$L$186,0)),"")</f>
        <v/>
      </c>
      <c r="H146" s="16" t="str">
        <f>IFERROR(INDEX(計算用!$G$2:$G$186,MATCH("男白"&amp;$A146,計算用!$L$2:$L$186,0)),"")</f>
        <v/>
      </c>
      <c r="I146" s="15"/>
      <c r="J146" s="15" t="str">
        <f>IF(ROW()-3&lt;=MAX(計算用!$Q$4,計算用!$Q$5),ROW()-3,"")</f>
        <v/>
      </c>
      <c r="K146" s="15" t="str">
        <f>IFERROR(INDEX(計算用!$D$2:$D$186,MATCH("女赤"&amp;$J146,計算用!$L$2:$L$186,0)),"")</f>
        <v/>
      </c>
      <c r="L146" s="15" t="str">
        <f>IFERROR(INDEX(計算用!$M$2:$M$186,MATCH("女赤"&amp;$J146,計算用!$L$2:$L$186,0)),"")</f>
        <v/>
      </c>
      <c r="M146" s="16" t="str">
        <f>IFERROR(INDEX(計算用!$G$2:$G$186,MATCH("女赤"&amp;$J146,計算用!$L$2:$L$186,0)),"")</f>
        <v/>
      </c>
      <c r="N146" s="15"/>
      <c r="O146" s="15" t="str">
        <f>IFERROR(INDEX(計算用!$D$2:$D$186,MATCH("女白"&amp;$J146,計算用!$L$2:$L$186,0)),"")</f>
        <v/>
      </c>
      <c r="P146" s="15" t="str">
        <f>IFERROR(INDEX(計算用!$M$2:$M$186,MATCH("女白"&amp;$J146,計算用!$L$2:$L$186,0)),"")</f>
        <v/>
      </c>
      <c r="Q146" s="16" t="str">
        <f>IFERROR(INDEX(計算用!$G$2:$G$186,MATCH("女白"&amp;$J146,計算用!$L$2:$L$186,0)),"")</f>
        <v/>
      </c>
    </row>
    <row r="147" spans="1:17" x14ac:dyDescent="0.15">
      <c r="A147" s="15" t="str">
        <f>IF(ROW()-3&lt;=MAX(計算用!$Q$2,計算用!$Q$3),ROW()-3,"")</f>
        <v/>
      </c>
      <c r="B147" s="15" t="str">
        <f>IFERROR(INDEX(計算用!$D$2:$D$186,MATCH("男赤"&amp;$A147,計算用!$L$2:$L$186,0)),"")</f>
        <v/>
      </c>
      <c r="C147" s="15" t="str">
        <f>IFERROR(INDEX(計算用!$M$2:$M$186,MATCH("男赤"&amp;$A147,計算用!$L$2:$L$186,0)),"")</f>
        <v/>
      </c>
      <c r="D147" s="16" t="str">
        <f>IFERROR(INDEX(計算用!$G$2:$G$186,MATCH("男赤"&amp;$A147,計算用!$L$2:$L$186,0)),"")</f>
        <v/>
      </c>
      <c r="E147" s="15"/>
      <c r="F147" s="15" t="str">
        <f>IFERROR(INDEX(計算用!$D$2:$D$186,MATCH("男白"&amp;$A147,計算用!$L$2:$L$186,0)),"")</f>
        <v/>
      </c>
      <c r="G147" s="15" t="str">
        <f>IFERROR(INDEX(計算用!$M$2:$M$186,MATCH("男白"&amp;$A147,計算用!$L$2:$L$186,0)),"")</f>
        <v/>
      </c>
      <c r="H147" s="16" t="str">
        <f>IFERROR(INDEX(計算用!$G$2:$G$186,MATCH("男白"&amp;$A147,計算用!$L$2:$L$186,0)),"")</f>
        <v/>
      </c>
      <c r="I147" s="15"/>
      <c r="J147" s="15" t="str">
        <f>IF(ROW()-3&lt;=MAX(計算用!$Q$4,計算用!$Q$5),ROW()-3,"")</f>
        <v/>
      </c>
      <c r="K147" s="15" t="str">
        <f>IFERROR(INDEX(計算用!$D$2:$D$186,MATCH("女赤"&amp;$J147,計算用!$L$2:$L$186,0)),"")</f>
        <v/>
      </c>
      <c r="L147" s="15" t="str">
        <f>IFERROR(INDEX(計算用!$M$2:$M$186,MATCH("女赤"&amp;$J147,計算用!$L$2:$L$186,0)),"")</f>
        <v/>
      </c>
      <c r="M147" s="16" t="str">
        <f>IFERROR(INDEX(計算用!$G$2:$G$186,MATCH("女赤"&amp;$J147,計算用!$L$2:$L$186,0)),"")</f>
        <v/>
      </c>
      <c r="N147" s="15"/>
      <c r="O147" s="15" t="str">
        <f>IFERROR(INDEX(計算用!$D$2:$D$186,MATCH("女白"&amp;$J147,計算用!$L$2:$L$186,0)),"")</f>
        <v/>
      </c>
      <c r="P147" s="15" t="str">
        <f>IFERROR(INDEX(計算用!$M$2:$M$186,MATCH("女白"&amp;$J147,計算用!$L$2:$L$186,0)),"")</f>
        <v/>
      </c>
      <c r="Q147" s="16" t="str">
        <f>IFERROR(INDEX(計算用!$G$2:$G$186,MATCH("女白"&amp;$J147,計算用!$L$2:$L$186,0)),"")</f>
        <v/>
      </c>
    </row>
    <row r="148" spans="1:17" x14ac:dyDescent="0.15">
      <c r="A148" s="15" t="str">
        <f>IF(ROW()-3&lt;=MAX(計算用!$Q$2,計算用!$Q$3),ROW()-3,"")</f>
        <v/>
      </c>
      <c r="B148" s="15" t="str">
        <f>IFERROR(INDEX(計算用!$D$2:$D$186,MATCH("男赤"&amp;$A148,計算用!$L$2:$L$186,0)),"")</f>
        <v/>
      </c>
      <c r="C148" s="15" t="str">
        <f>IFERROR(INDEX(計算用!$M$2:$M$186,MATCH("男赤"&amp;$A148,計算用!$L$2:$L$186,0)),"")</f>
        <v/>
      </c>
      <c r="D148" s="16" t="str">
        <f>IFERROR(INDEX(計算用!$G$2:$G$186,MATCH("男赤"&amp;$A148,計算用!$L$2:$L$186,0)),"")</f>
        <v/>
      </c>
      <c r="E148" s="15"/>
      <c r="F148" s="15" t="str">
        <f>IFERROR(INDEX(計算用!$D$2:$D$186,MATCH("男白"&amp;$A148,計算用!$L$2:$L$186,0)),"")</f>
        <v/>
      </c>
      <c r="G148" s="15" t="str">
        <f>IFERROR(INDEX(計算用!$M$2:$M$186,MATCH("男白"&amp;$A148,計算用!$L$2:$L$186,0)),"")</f>
        <v/>
      </c>
      <c r="H148" s="16" t="str">
        <f>IFERROR(INDEX(計算用!$G$2:$G$186,MATCH("男白"&amp;$A148,計算用!$L$2:$L$186,0)),"")</f>
        <v/>
      </c>
      <c r="I148" s="15"/>
      <c r="J148" s="15" t="str">
        <f>IF(ROW()-3&lt;=MAX(計算用!$Q$4,計算用!$Q$5),ROW()-3,"")</f>
        <v/>
      </c>
      <c r="K148" s="15" t="str">
        <f>IFERROR(INDEX(計算用!$D$2:$D$186,MATCH("女赤"&amp;$J148,計算用!$L$2:$L$186,0)),"")</f>
        <v/>
      </c>
      <c r="L148" s="15" t="str">
        <f>IFERROR(INDEX(計算用!$M$2:$M$186,MATCH("女赤"&amp;$J148,計算用!$L$2:$L$186,0)),"")</f>
        <v/>
      </c>
      <c r="M148" s="16" t="str">
        <f>IFERROR(INDEX(計算用!$G$2:$G$186,MATCH("女赤"&amp;$J148,計算用!$L$2:$L$186,0)),"")</f>
        <v/>
      </c>
      <c r="N148" s="15"/>
      <c r="O148" s="15" t="str">
        <f>IFERROR(INDEX(計算用!$D$2:$D$186,MATCH("女白"&amp;$J148,計算用!$L$2:$L$186,0)),"")</f>
        <v/>
      </c>
      <c r="P148" s="15" t="str">
        <f>IFERROR(INDEX(計算用!$M$2:$M$186,MATCH("女白"&amp;$J148,計算用!$L$2:$L$186,0)),"")</f>
        <v/>
      </c>
      <c r="Q148" s="16" t="str">
        <f>IFERROR(INDEX(計算用!$G$2:$G$186,MATCH("女白"&amp;$J148,計算用!$L$2:$L$186,0)),"")</f>
        <v/>
      </c>
    </row>
    <row r="149" spans="1:17" x14ac:dyDescent="0.15">
      <c r="A149" s="15" t="str">
        <f>IF(ROW()-3&lt;=MAX(計算用!$Q$2,計算用!$Q$3),ROW()-3,"")</f>
        <v/>
      </c>
      <c r="B149" s="15" t="str">
        <f>IFERROR(INDEX(計算用!$D$2:$D$186,MATCH("男赤"&amp;$A149,計算用!$L$2:$L$186,0)),"")</f>
        <v/>
      </c>
      <c r="C149" s="15" t="str">
        <f>IFERROR(INDEX(計算用!$M$2:$M$186,MATCH("男赤"&amp;$A149,計算用!$L$2:$L$186,0)),"")</f>
        <v/>
      </c>
      <c r="D149" s="16" t="str">
        <f>IFERROR(INDEX(計算用!$G$2:$G$186,MATCH("男赤"&amp;$A149,計算用!$L$2:$L$186,0)),"")</f>
        <v/>
      </c>
      <c r="E149" s="15"/>
      <c r="F149" s="15" t="str">
        <f>IFERROR(INDEX(計算用!$D$2:$D$186,MATCH("男白"&amp;$A149,計算用!$L$2:$L$186,0)),"")</f>
        <v/>
      </c>
      <c r="G149" s="15" t="str">
        <f>IFERROR(INDEX(計算用!$M$2:$M$186,MATCH("男白"&amp;$A149,計算用!$L$2:$L$186,0)),"")</f>
        <v/>
      </c>
      <c r="H149" s="16" t="str">
        <f>IFERROR(INDEX(計算用!$G$2:$G$186,MATCH("男白"&amp;$A149,計算用!$L$2:$L$186,0)),"")</f>
        <v/>
      </c>
      <c r="I149" s="15"/>
      <c r="J149" s="15" t="str">
        <f>IF(ROW()-3&lt;=MAX(計算用!$Q$4,計算用!$Q$5),ROW()-3,"")</f>
        <v/>
      </c>
      <c r="K149" s="15" t="str">
        <f>IFERROR(INDEX(計算用!$D$2:$D$186,MATCH("女赤"&amp;$J149,計算用!$L$2:$L$186,0)),"")</f>
        <v/>
      </c>
      <c r="L149" s="15" t="str">
        <f>IFERROR(INDEX(計算用!$M$2:$M$186,MATCH("女赤"&amp;$J149,計算用!$L$2:$L$186,0)),"")</f>
        <v/>
      </c>
      <c r="M149" s="16" t="str">
        <f>IFERROR(INDEX(計算用!$G$2:$G$186,MATCH("女赤"&amp;$J149,計算用!$L$2:$L$186,0)),"")</f>
        <v/>
      </c>
      <c r="N149" s="15"/>
      <c r="O149" s="15" t="str">
        <f>IFERROR(INDEX(計算用!$D$2:$D$186,MATCH("女白"&amp;$J149,計算用!$L$2:$L$186,0)),"")</f>
        <v/>
      </c>
      <c r="P149" s="15" t="str">
        <f>IFERROR(INDEX(計算用!$M$2:$M$186,MATCH("女白"&amp;$J149,計算用!$L$2:$L$186,0)),"")</f>
        <v/>
      </c>
      <c r="Q149" s="16" t="str">
        <f>IFERROR(INDEX(計算用!$G$2:$G$186,MATCH("女白"&amp;$J149,計算用!$L$2:$L$186,0)),"")</f>
        <v/>
      </c>
    </row>
    <row r="150" spans="1:17" x14ac:dyDescent="0.15">
      <c r="A150" s="15" t="str">
        <f>IF(ROW()-3&lt;=MAX(計算用!$Q$2,計算用!$Q$3),ROW()-3,"")</f>
        <v/>
      </c>
      <c r="B150" s="15" t="str">
        <f>IFERROR(INDEX(計算用!$D$2:$D$186,MATCH("男赤"&amp;$A150,計算用!$L$2:$L$186,0)),"")</f>
        <v/>
      </c>
      <c r="C150" s="15" t="str">
        <f>IFERROR(INDEX(計算用!$M$2:$M$186,MATCH("男赤"&amp;$A150,計算用!$L$2:$L$186,0)),"")</f>
        <v/>
      </c>
      <c r="D150" s="16" t="str">
        <f>IFERROR(INDEX(計算用!$G$2:$G$186,MATCH("男赤"&amp;$A150,計算用!$L$2:$L$186,0)),"")</f>
        <v/>
      </c>
      <c r="E150" s="15"/>
      <c r="F150" s="15" t="str">
        <f>IFERROR(INDEX(計算用!$D$2:$D$186,MATCH("男白"&amp;$A150,計算用!$L$2:$L$186,0)),"")</f>
        <v/>
      </c>
      <c r="G150" s="15" t="str">
        <f>IFERROR(INDEX(計算用!$M$2:$M$186,MATCH("男白"&amp;$A150,計算用!$L$2:$L$186,0)),"")</f>
        <v/>
      </c>
      <c r="H150" s="16" t="str">
        <f>IFERROR(INDEX(計算用!$G$2:$G$186,MATCH("男白"&amp;$A150,計算用!$L$2:$L$186,0)),"")</f>
        <v/>
      </c>
      <c r="I150" s="15"/>
      <c r="J150" s="15" t="str">
        <f>IF(ROW()-3&lt;=MAX(計算用!$Q$4,計算用!$Q$5),ROW()-3,"")</f>
        <v/>
      </c>
      <c r="K150" s="15" t="str">
        <f>IFERROR(INDEX(計算用!$D$2:$D$186,MATCH("女赤"&amp;$J150,計算用!$L$2:$L$186,0)),"")</f>
        <v/>
      </c>
      <c r="L150" s="15" t="str">
        <f>IFERROR(INDEX(計算用!$M$2:$M$186,MATCH("女赤"&amp;$J150,計算用!$L$2:$L$186,0)),"")</f>
        <v/>
      </c>
      <c r="M150" s="16" t="str">
        <f>IFERROR(INDEX(計算用!$G$2:$G$186,MATCH("女赤"&amp;$J150,計算用!$L$2:$L$186,0)),"")</f>
        <v/>
      </c>
      <c r="N150" s="15"/>
      <c r="O150" s="15" t="str">
        <f>IFERROR(INDEX(計算用!$D$2:$D$186,MATCH("女白"&amp;$J150,計算用!$L$2:$L$186,0)),"")</f>
        <v/>
      </c>
      <c r="P150" s="15" t="str">
        <f>IFERROR(INDEX(計算用!$M$2:$M$186,MATCH("女白"&amp;$J150,計算用!$L$2:$L$186,0)),"")</f>
        <v/>
      </c>
      <c r="Q150" s="16" t="str">
        <f>IFERROR(INDEX(計算用!$G$2:$G$186,MATCH("女白"&amp;$J150,計算用!$L$2:$L$186,0)),"")</f>
        <v/>
      </c>
    </row>
    <row r="151" spans="1:17" x14ac:dyDescent="0.15">
      <c r="A151" s="15" t="str">
        <f>IF(ROW()-3&lt;=MAX(計算用!$Q$2,計算用!$Q$3),ROW()-3,"")</f>
        <v/>
      </c>
      <c r="B151" s="15" t="str">
        <f>IFERROR(INDEX(計算用!$D$2:$D$186,MATCH("男赤"&amp;$A151,計算用!$L$2:$L$186,0)),"")</f>
        <v/>
      </c>
      <c r="C151" s="15" t="str">
        <f>IFERROR(INDEX(計算用!$M$2:$M$186,MATCH("男赤"&amp;$A151,計算用!$L$2:$L$186,0)),"")</f>
        <v/>
      </c>
      <c r="D151" s="16" t="str">
        <f>IFERROR(INDEX(計算用!$G$2:$G$186,MATCH("男赤"&amp;$A151,計算用!$L$2:$L$186,0)),"")</f>
        <v/>
      </c>
      <c r="E151" s="15"/>
      <c r="F151" s="15" t="str">
        <f>IFERROR(INDEX(計算用!$D$2:$D$186,MATCH("男白"&amp;$A151,計算用!$L$2:$L$186,0)),"")</f>
        <v/>
      </c>
      <c r="G151" s="15" t="str">
        <f>IFERROR(INDEX(計算用!$M$2:$M$186,MATCH("男白"&amp;$A151,計算用!$L$2:$L$186,0)),"")</f>
        <v/>
      </c>
      <c r="H151" s="16" t="str">
        <f>IFERROR(INDEX(計算用!$G$2:$G$186,MATCH("男白"&amp;$A151,計算用!$L$2:$L$186,0)),"")</f>
        <v/>
      </c>
      <c r="I151" s="15"/>
      <c r="J151" s="15" t="str">
        <f>IF(ROW()-3&lt;=MAX(計算用!$Q$4,計算用!$Q$5),ROW()-3,"")</f>
        <v/>
      </c>
      <c r="K151" s="15" t="str">
        <f>IFERROR(INDEX(計算用!$D$2:$D$186,MATCH("女赤"&amp;$J151,計算用!$L$2:$L$186,0)),"")</f>
        <v/>
      </c>
      <c r="L151" s="15" t="str">
        <f>IFERROR(INDEX(計算用!$M$2:$M$186,MATCH("女赤"&amp;$J151,計算用!$L$2:$L$186,0)),"")</f>
        <v/>
      </c>
      <c r="M151" s="16" t="str">
        <f>IFERROR(INDEX(計算用!$G$2:$G$186,MATCH("女赤"&amp;$J151,計算用!$L$2:$L$186,0)),"")</f>
        <v/>
      </c>
      <c r="N151" s="15"/>
      <c r="O151" s="15" t="str">
        <f>IFERROR(INDEX(計算用!$D$2:$D$186,MATCH("女白"&amp;$J151,計算用!$L$2:$L$186,0)),"")</f>
        <v/>
      </c>
      <c r="P151" s="15" t="str">
        <f>IFERROR(INDEX(計算用!$M$2:$M$186,MATCH("女白"&amp;$J151,計算用!$L$2:$L$186,0)),"")</f>
        <v/>
      </c>
      <c r="Q151" s="16" t="str">
        <f>IFERROR(INDEX(計算用!$G$2:$G$186,MATCH("女白"&amp;$J151,計算用!$L$2:$L$186,0)),"")</f>
        <v/>
      </c>
    </row>
    <row r="152" spans="1:17" x14ac:dyDescent="0.15">
      <c r="A152" s="15" t="str">
        <f>IF(ROW()-3&lt;=MAX(計算用!$Q$2,計算用!$Q$3),ROW()-3,"")</f>
        <v/>
      </c>
      <c r="B152" s="15" t="str">
        <f>IFERROR(INDEX(計算用!$D$2:$D$186,MATCH("男赤"&amp;$A152,計算用!$L$2:$L$186,0)),"")</f>
        <v/>
      </c>
      <c r="C152" s="15" t="str">
        <f>IFERROR(INDEX(計算用!$M$2:$M$186,MATCH("男赤"&amp;$A152,計算用!$L$2:$L$186,0)),"")</f>
        <v/>
      </c>
      <c r="D152" s="16" t="str">
        <f>IFERROR(INDEX(計算用!$G$2:$G$186,MATCH("男赤"&amp;$A152,計算用!$L$2:$L$186,0)),"")</f>
        <v/>
      </c>
      <c r="E152" s="15"/>
      <c r="F152" s="15" t="str">
        <f>IFERROR(INDEX(計算用!$D$2:$D$186,MATCH("男白"&amp;$A152,計算用!$L$2:$L$186,0)),"")</f>
        <v/>
      </c>
      <c r="G152" s="15" t="str">
        <f>IFERROR(INDEX(計算用!$M$2:$M$186,MATCH("男白"&amp;$A152,計算用!$L$2:$L$186,0)),"")</f>
        <v/>
      </c>
      <c r="H152" s="16" t="str">
        <f>IFERROR(INDEX(計算用!$G$2:$G$186,MATCH("男白"&amp;$A152,計算用!$L$2:$L$186,0)),"")</f>
        <v/>
      </c>
      <c r="I152" s="15"/>
      <c r="J152" s="15" t="str">
        <f>IF(ROW()-3&lt;=MAX(計算用!$Q$4,計算用!$Q$5),ROW()-3,"")</f>
        <v/>
      </c>
      <c r="K152" s="15" t="str">
        <f>IFERROR(INDEX(計算用!$D$2:$D$186,MATCH("女赤"&amp;$J152,計算用!$L$2:$L$186,0)),"")</f>
        <v/>
      </c>
      <c r="L152" s="15" t="str">
        <f>IFERROR(INDEX(計算用!$M$2:$M$186,MATCH("女赤"&amp;$J152,計算用!$L$2:$L$186,0)),"")</f>
        <v/>
      </c>
      <c r="M152" s="16" t="str">
        <f>IFERROR(INDEX(計算用!$G$2:$G$186,MATCH("女赤"&amp;$J152,計算用!$L$2:$L$186,0)),"")</f>
        <v/>
      </c>
      <c r="N152" s="15"/>
      <c r="O152" s="15" t="str">
        <f>IFERROR(INDEX(計算用!$D$2:$D$186,MATCH("女白"&amp;$J152,計算用!$L$2:$L$186,0)),"")</f>
        <v/>
      </c>
      <c r="P152" s="15" t="str">
        <f>IFERROR(INDEX(計算用!$M$2:$M$186,MATCH("女白"&amp;$J152,計算用!$L$2:$L$186,0)),"")</f>
        <v/>
      </c>
      <c r="Q152" s="16" t="str">
        <f>IFERROR(INDEX(計算用!$G$2:$G$186,MATCH("女白"&amp;$J152,計算用!$L$2:$L$186,0)),"")</f>
        <v/>
      </c>
    </row>
    <row r="153" spans="1:17" x14ac:dyDescent="0.15">
      <c r="A153" s="15" t="str">
        <f>IF(ROW()-3&lt;=MAX(計算用!$Q$2,計算用!$Q$3),ROW()-3,"")</f>
        <v/>
      </c>
      <c r="B153" s="15" t="str">
        <f>IFERROR(INDEX(計算用!$D$2:$D$186,MATCH("男赤"&amp;$A153,計算用!$L$2:$L$186,0)),"")</f>
        <v/>
      </c>
      <c r="C153" s="15" t="str">
        <f>IFERROR(INDEX(計算用!$M$2:$M$186,MATCH("男赤"&amp;$A153,計算用!$L$2:$L$186,0)),"")</f>
        <v/>
      </c>
      <c r="D153" s="16" t="str">
        <f>IFERROR(INDEX(計算用!$G$2:$G$186,MATCH("男赤"&amp;$A153,計算用!$L$2:$L$186,0)),"")</f>
        <v/>
      </c>
      <c r="E153" s="15"/>
      <c r="F153" s="15" t="str">
        <f>IFERROR(INDEX(計算用!$D$2:$D$186,MATCH("男白"&amp;$A153,計算用!$L$2:$L$186,0)),"")</f>
        <v/>
      </c>
      <c r="G153" s="15" t="str">
        <f>IFERROR(INDEX(計算用!$M$2:$M$186,MATCH("男白"&amp;$A153,計算用!$L$2:$L$186,0)),"")</f>
        <v/>
      </c>
      <c r="H153" s="16" t="str">
        <f>IFERROR(INDEX(計算用!$G$2:$G$186,MATCH("男白"&amp;$A153,計算用!$L$2:$L$186,0)),"")</f>
        <v/>
      </c>
      <c r="I153" s="15"/>
      <c r="J153" s="15" t="str">
        <f>IF(ROW()-3&lt;=MAX(計算用!$Q$4,計算用!$Q$5),ROW()-3,"")</f>
        <v/>
      </c>
      <c r="K153" s="15" t="str">
        <f>IFERROR(INDEX(計算用!$D$2:$D$186,MATCH("女赤"&amp;$J153,計算用!$L$2:$L$186,0)),"")</f>
        <v/>
      </c>
      <c r="L153" s="15" t="str">
        <f>IFERROR(INDEX(計算用!$M$2:$M$186,MATCH("女赤"&amp;$J153,計算用!$L$2:$L$186,0)),"")</f>
        <v/>
      </c>
      <c r="M153" s="16" t="str">
        <f>IFERROR(INDEX(計算用!$G$2:$G$186,MATCH("女赤"&amp;$J153,計算用!$L$2:$L$186,0)),"")</f>
        <v/>
      </c>
      <c r="N153" s="15"/>
      <c r="O153" s="15" t="str">
        <f>IFERROR(INDEX(計算用!$D$2:$D$186,MATCH("女白"&amp;$J153,計算用!$L$2:$L$186,0)),"")</f>
        <v/>
      </c>
      <c r="P153" s="15" t="str">
        <f>IFERROR(INDEX(計算用!$M$2:$M$186,MATCH("女白"&amp;$J153,計算用!$L$2:$L$186,0)),"")</f>
        <v/>
      </c>
      <c r="Q153" s="16" t="str">
        <f>IFERROR(INDEX(計算用!$G$2:$G$186,MATCH("女白"&amp;$J153,計算用!$L$2:$L$186,0)),"")</f>
        <v/>
      </c>
    </row>
    <row r="154" spans="1:17" x14ac:dyDescent="0.15">
      <c r="A154" s="15" t="str">
        <f>IF(ROW()-3&lt;=MAX(計算用!$Q$2,計算用!$Q$3),ROW()-3,"")</f>
        <v/>
      </c>
      <c r="B154" s="15" t="str">
        <f>IFERROR(INDEX(計算用!$D$2:$D$186,MATCH("男赤"&amp;$A154,計算用!$L$2:$L$186,0)),"")</f>
        <v/>
      </c>
      <c r="C154" s="15" t="str">
        <f>IFERROR(INDEX(計算用!$M$2:$M$186,MATCH("男赤"&amp;$A154,計算用!$L$2:$L$186,0)),"")</f>
        <v/>
      </c>
      <c r="D154" s="16" t="str">
        <f>IFERROR(INDEX(計算用!$G$2:$G$186,MATCH("男赤"&amp;$A154,計算用!$L$2:$L$186,0)),"")</f>
        <v/>
      </c>
      <c r="E154" s="15"/>
      <c r="F154" s="15" t="str">
        <f>IFERROR(INDEX(計算用!$D$2:$D$186,MATCH("男白"&amp;$A154,計算用!$L$2:$L$186,0)),"")</f>
        <v/>
      </c>
      <c r="G154" s="15" t="str">
        <f>IFERROR(INDEX(計算用!$M$2:$M$186,MATCH("男白"&amp;$A154,計算用!$L$2:$L$186,0)),"")</f>
        <v/>
      </c>
      <c r="H154" s="16" t="str">
        <f>IFERROR(INDEX(計算用!$G$2:$G$186,MATCH("男白"&amp;$A154,計算用!$L$2:$L$186,0)),"")</f>
        <v/>
      </c>
      <c r="I154" s="15"/>
      <c r="J154" s="15" t="str">
        <f>IF(ROW()-3&lt;=MAX(計算用!$Q$4,計算用!$Q$5),ROW()-3,"")</f>
        <v/>
      </c>
      <c r="K154" s="15" t="str">
        <f>IFERROR(INDEX(計算用!$D$2:$D$186,MATCH("女赤"&amp;$J154,計算用!$L$2:$L$186,0)),"")</f>
        <v/>
      </c>
      <c r="L154" s="15" t="str">
        <f>IFERROR(INDEX(計算用!$M$2:$M$186,MATCH("女赤"&amp;$J154,計算用!$L$2:$L$186,0)),"")</f>
        <v/>
      </c>
      <c r="M154" s="16" t="str">
        <f>IFERROR(INDEX(計算用!$G$2:$G$186,MATCH("女赤"&amp;$J154,計算用!$L$2:$L$186,0)),"")</f>
        <v/>
      </c>
      <c r="N154" s="15"/>
      <c r="O154" s="15" t="str">
        <f>IFERROR(INDEX(計算用!$D$2:$D$186,MATCH("女白"&amp;$J154,計算用!$L$2:$L$186,0)),"")</f>
        <v/>
      </c>
      <c r="P154" s="15" t="str">
        <f>IFERROR(INDEX(計算用!$M$2:$M$186,MATCH("女白"&amp;$J154,計算用!$L$2:$L$186,0)),"")</f>
        <v/>
      </c>
      <c r="Q154" s="16" t="str">
        <f>IFERROR(INDEX(計算用!$G$2:$G$186,MATCH("女白"&amp;$J154,計算用!$L$2:$L$186,0)),"")</f>
        <v/>
      </c>
    </row>
    <row r="155" spans="1:17" x14ac:dyDescent="0.15">
      <c r="A155" s="15" t="str">
        <f>IF(ROW()-3&lt;=MAX(計算用!$Q$2,計算用!$Q$3),ROW()-3,"")</f>
        <v/>
      </c>
      <c r="B155" s="15" t="str">
        <f>IFERROR(INDEX(計算用!$D$2:$D$186,MATCH("男赤"&amp;$A155,計算用!$L$2:$L$186,0)),"")</f>
        <v/>
      </c>
      <c r="C155" s="15" t="str">
        <f>IFERROR(INDEX(計算用!$M$2:$M$186,MATCH("男赤"&amp;$A155,計算用!$L$2:$L$186,0)),"")</f>
        <v/>
      </c>
      <c r="D155" s="16" t="str">
        <f>IFERROR(INDEX(計算用!$G$2:$G$186,MATCH("男赤"&amp;$A155,計算用!$L$2:$L$186,0)),"")</f>
        <v/>
      </c>
      <c r="E155" s="15"/>
      <c r="F155" s="15" t="str">
        <f>IFERROR(INDEX(計算用!$D$2:$D$186,MATCH("男白"&amp;$A155,計算用!$L$2:$L$186,0)),"")</f>
        <v/>
      </c>
      <c r="G155" s="15" t="str">
        <f>IFERROR(INDEX(計算用!$M$2:$M$186,MATCH("男白"&amp;$A155,計算用!$L$2:$L$186,0)),"")</f>
        <v/>
      </c>
      <c r="H155" s="16" t="str">
        <f>IFERROR(INDEX(計算用!$G$2:$G$186,MATCH("男白"&amp;$A155,計算用!$L$2:$L$186,0)),"")</f>
        <v/>
      </c>
      <c r="I155" s="15"/>
      <c r="J155" s="15" t="str">
        <f>IF(ROW()-3&lt;=MAX(計算用!$Q$4,計算用!$Q$5),ROW()-3,"")</f>
        <v/>
      </c>
      <c r="K155" s="15" t="str">
        <f>IFERROR(INDEX(計算用!$D$2:$D$186,MATCH("女赤"&amp;$J155,計算用!$L$2:$L$186,0)),"")</f>
        <v/>
      </c>
      <c r="L155" s="15" t="str">
        <f>IFERROR(INDEX(計算用!$M$2:$M$186,MATCH("女赤"&amp;$J155,計算用!$L$2:$L$186,0)),"")</f>
        <v/>
      </c>
      <c r="M155" s="16" t="str">
        <f>IFERROR(INDEX(計算用!$G$2:$G$186,MATCH("女赤"&amp;$J155,計算用!$L$2:$L$186,0)),"")</f>
        <v/>
      </c>
      <c r="N155" s="15"/>
      <c r="O155" s="15" t="str">
        <f>IFERROR(INDEX(計算用!$D$2:$D$186,MATCH("女白"&amp;$J155,計算用!$L$2:$L$186,0)),"")</f>
        <v/>
      </c>
      <c r="P155" s="15" t="str">
        <f>IFERROR(INDEX(計算用!$M$2:$M$186,MATCH("女白"&amp;$J155,計算用!$L$2:$L$186,0)),"")</f>
        <v/>
      </c>
      <c r="Q155" s="16" t="str">
        <f>IFERROR(INDEX(計算用!$G$2:$G$186,MATCH("女白"&amp;$J155,計算用!$L$2:$L$186,0)),"")</f>
        <v/>
      </c>
    </row>
    <row r="156" spans="1:17" x14ac:dyDescent="0.15">
      <c r="A156" s="15" t="str">
        <f>IF(ROW()-3&lt;=MAX(計算用!$Q$2,計算用!$Q$3),ROW()-3,"")</f>
        <v/>
      </c>
      <c r="B156" s="15" t="str">
        <f>IFERROR(INDEX(計算用!$D$2:$D$186,MATCH("男赤"&amp;$A156,計算用!$L$2:$L$186,0)),"")</f>
        <v/>
      </c>
      <c r="C156" s="15" t="str">
        <f>IFERROR(INDEX(計算用!$M$2:$M$186,MATCH("男赤"&amp;$A156,計算用!$L$2:$L$186,0)),"")</f>
        <v/>
      </c>
      <c r="D156" s="16" t="str">
        <f>IFERROR(INDEX(計算用!$G$2:$G$186,MATCH("男赤"&amp;$A156,計算用!$L$2:$L$186,0)),"")</f>
        <v/>
      </c>
      <c r="E156" s="15"/>
      <c r="F156" s="15" t="str">
        <f>IFERROR(INDEX(計算用!$D$2:$D$186,MATCH("男白"&amp;$A156,計算用!$L$2:$L$186,0)),"")</f>
        <v/>
      </c>
      <c r="G156" s="15" t="str">
        <f>IFERROR(INDEX(計算用!$M$2:$M$186,MATCH("男白"&amp;$A156,計算用!$L$2:$L$186,0)),"")</f>
        <v/>
      </c>
      <c r="H156" s="16" t="str">
        <f>IFERROR(INDEX(計算用!$G$2:$G$186,MATCH("男白"&amp;$A156,計算用!$L$2:$L$186,0)),"")</f>
        <v/>
      </c>
      <c r="I156" s="15"/>
      <c r="J156" s="15" t="str">
        <f>IF(ROW()-3&lt;=MAX(計算用!$Q$4,計算用!$Q$5),ROW()-3,"")</f>
        <v/>
      </c>
      <c r="K156" s="15" t="str">
        <f>IFERROR(INDEX(計算用!$D$2:$D$186,MATCH("女赤"&amp;$J156,計算用!$L$2:$L$186,0)),"")</f>
        <v/>
      </c>
      <c r="L156" s="15" t="str">
        <f>IFERROR(INDEX(計算用!$M$2:$M$186,MATCH("女赤"&amp;$J156,計算用!$L$2:$L$186,0)),"")</f>
        <v/>
      </c>
      <c r="M156" s="16" t="str">
        <f>IFERROR(INDEX(計算用!$G$2:$G$186,MATCH("女赤"&amp;$J156,計算用!$L$2:$L$186,0)),"")</f>
        <v/>
      </c>
      <c r="N156" s="15"/>
      <c r="O156" s="15" t="str">
        <f>IFERROR(INDEX(計算用!$D$2:$D$186,MATCH("女白"&amp;$J156,計算用!$L$2:$L$186,0)),"")</f>
        <v/>
      </c>
      <c r="P156" s="15" t="str">
        <f>IFERROR(INDEX(計算用!$M$2:$M$186,MATCH("女白"&amp;$J156,計算用!$L$2:$L$186,0)),"")</f>
        <v/>
      </c>
      <c r="Q156" s="16" t="str">
        <f>IFERROR(INDEX(計算用!$G$2:$G$186,MATCH("女白"&amp;$J156,計算用!$L$2:$L$186,0)),"")</f>
        <v/>
      </c>
    </row>
    <row r="157" spans="1:17" x14ac:dyDescent="0.15">
      <c r="A157" s="15" t="str">
        <f>IF(ROW()-3&lt;=MAX(計算用!$Q$2,計算用!$Q$3),ROW()-3,"")</f>
        <v/>
      </c>
      <c r="B157" s="15" t="str">
        <f>IFERROR(INDEX(計算用!$D$2:$D$186,MATCH("男赤"&amp;$A157,計算用!$L$2:$L$186,0)),"")</f>
        <v/>
      </c>
      <c r="C157" s="15" t="str">
        <f>IFERROR(INDEX(計算用!$M$2:$M$186,MATCH("男赤"&amp;$A157,計算用!$L$2:$L$186,0)),"")</f>
        <v/>
      </c>
      <c r="D157" s="16" t="str">
        <f>IFERROR(INDEX(計算用!$G$2:$G$186,MATCH("男赤"&amp;$A157,計算用!$L$2:$L$186,0)),"")</f>
        <v/>
      </c>
      <c r="E157" s="15"/>
      <c r="F157" s="15" t="str">
        <f>IFERROR(INDEX(計算用!$D$2:$D$186,MATCH("男白"&amp;$A157,計算用!$L$2:$L$186,0)),"")</f>
        <v/>
      </c>
      <c r="G157" s="15" t="str">
        <f>IFERROR(INDEX(計算用!$M$2:$M$186,MATCH("男白"&amp;$A157,計算用!$L$2:$L$186,0)),"")</f>
        <v/>
      </c>
      <c r="H157" s="16" t="str">
        <f>IFERROR(INDEX(計算用!$G$2:$G$186,MATCH("男白"&amp;$A157,計算用!$L$2:$L$186,0)),"")</f>
        <v/>
      </c>
      <c r="I157" s="15"/>
      <c r="J157" s="15" t="str">
        <f>IF(ROW()-3&lt;=MAX(計算用!$Q$4,計算用!$Q$5),ROW()-3,"")</f>
        <v/>
      </c>
      <c r="K157" s="15" t="str">
        <f>IFERROR(INDEX(計算用!$D$2:$D$186,MATCH("女赤"&amp;$J157,計算用!$L$2:$L$186,0)),"")</f>
        <v/>
      </c>
      <c r="L157" s="15" t="str">
        <f>IFERROR(INDEX(計算用!$M$2:$M$186,MATCH("女赤"&amp;$J157,計算用!$L$2:$L$186,0)),"")</f>
        <v/>
      </c>
      <c r="M157" s="16" t="str">
        <f>IFERROR(INDEX(計算用!$G$2:$G$186,MATCH("女赤"&amp;$J157,計算用!$L$2:$L$186,0)),"")</f>
        <v/>
      </c>
      <c r="N157" s="15"/>
      <c r="O157" s="15" t="str">
        <f>IFERROR(INDEX(計算用!$D$2:$D$186,MATCH("女白"&amp;$J157,計算用!$L$2:$L$186,0)),"")</f>
        <v/>
      </c>
      <c r="P157" s="15" t="str">
        <f>IFERROR(INDEX(計算用!$M$2:$M$186,MATCH("女白"&amp;$J157,計算用!$L$2:$L$186,0)),"")</f>
        <v/>
      </c>
      <c r="Q157" s="16" t="str">
        <f>IFERROR(INDEX(計算用!$G$2:$G$186,MATCH("女白"&amp;$J157,計算用!$L$2:$L$186,0)),"")</f>
        <v/>
      </c>
    </row>
    <row r="158" spans="1:17" x14ac:dyDescent="0.15">
      <c r="A158" s="15" t="str">
        <f>IF(ROW()-3&lt;=MAX(計算用!$Q$2,計算用!$Q$3),ROW()-3,"")</f>
        <v/>
      </c>
      <c r="B158" s="15" t="str">
        <f>IFERROR(INDEX(計算用!$D$2:$D$186,MATCH("男赤"&amp;$A158,計算用!$L$2:$L$186,0)),"")</f>
        <v/>
      </c>
      <c r="C158" s="15" t="str">
        <f>IFERROR(INDEX(計算用!$M$2:$M$186,MATCH("男赤"&amp;$A158,計算用!$L$2:$L$186,0)),"")</f>
        <v/>
      </c>
      <c r="D158" s="16" t="str">
        <f>IFERROR(INDEX(計算用!$G$2:$G$186,MATCH("男赤"&amp;$A158,計算用!$L$2:$L$186,0)),"")</f>
        <v/>
      </c>
      <c r="E158" s="15"/>
      <c r="F158" s="15" t="str">
        <f>IFERROR(INDEX(計算用!$D$2:$D$186,MATCH("男白"&amp;$A158,計算用!$L$2:$L$186,0)),"")</f>
        <v/>
      </c>
      <c r="G158" s="15" t="str">
        <f>IFERROR(INDEX(計算用!$M$2:$M$186,MATCH("男白"&amp;$A158,計算用!$L$2:$L$186,0)),"")</f>
        <v/>
      </c>
      <c r="H158" s="16" t="str">
        <f>IFERROR(INDEX(計算用!$G$2:$G$186,MATCH("男白"&amp;$A158,計算用!$L$2:$L$186,0)),"")</f>
        <v/>
      </c>
      <c r="I158" s="15"/>
      <c r="J158" s="15" t="str">
        <f>IF(ROW()-3&lt;=MAX(計算用!$Q$4,計算用!$Q$5),ROW()-3,"")</f>
        <v/>
      </c>
      <c r="K158" s="15" t="str">
        <f>IFERROR(INDEX(計算用!$D$2:$D$186,MATCH("女赤"&amp;$J158,計算用!$L$2:$L$186,0)),"")</f>
        <v/>
      </c>
      <c r="L158" s="15" t="str">
        <f>IFERROR(INDEX(計算用!$M$2:$M$186,MATCH("女赤"&amp;$J158,計算用!$L$2:$L$186,0)),"")</f>
        <v/>
      </c>
      <c r="M158" s="16" t="str">
        <f>IFERROR(INDEX(計算用!$G$2:$G$186,MATCH("女赤"&amp;$J158,計算用!$L$2:$L$186,0)),"")</f>
        <v/>
      </c>
      <c r="N158" s="15"/>
      <c r="O158" s="15" t="str">
        <f>IFERROR(INDEX(計算用!$D$2:$D$186,MATCH("女白"&amp;$J158,計算用!$L$2:$L$186,0)),"")</f>
        <v/>
      </c>
      <c r="P158" s="15" t="str">
        <f>IFERROR(INDEX(計算用!$M$2:$M$186,MATCH("女白"&amp;$J158,計算用!$L$2:$L$186,0)),"")</f>
        <v/>
      </c>
      <c r="Q158" s="16" t="str">
        <f>IFERROR(INDEX(計算用!$G$2:$G$186,MATCH("女白"&amp;$J158,計算用!$L$2:$L$186,0)),"")</f>
        <v/>
      </c>
    </row>
    <row r="159" spans="1:17" x14ac:dyDescent="0.15">
      <c r="A159" s="15" t="str">
        <f>IF(ROW()-3&lt;=MAX(計算用!$Q$2,計算用!$Q$3),ROW()-3,"")</f>
        <v/>
      </c>
      <c r="B159" s="15" t="str">
        <f>IFERROR(INDEX(計算用!$D$2:$D$186,MATCH("男赤"&amp;$A159,計算用!$L$2:$L$186,0)),"")</f>
        <v/>
      </c>
      <c r="C159" s="15" t="str">
        <f>IFERROR(INDEX(計算用!$M$2:$M$186,MATCH("男赤"&amp;$A159,計算用!$L$2:$L$186,0)),"")</f>
        <v/>
      </c>
      <c r="D159" s="16" t="str">
        <f>IFERROR(INDEX(計算用!$G$2:$G$186,MATCH("男赤"&amp;$A159,計算用!$L$2:$L$186,0)),"")</f>
        <v/>
      </c>
      <c r="E159" s="15"/>
      <c r="F159" s="15" t="str">
        <f>IFERROR(INDEX(計算用!$D$2:$D$186,MATCH("男白"&amp;$A159,計算用!$L$2:$L$186,0)),"")</f>
        <v/>
      </c>
      <c r="G159" s="15" t="str">
        <f>IFERROR(INDEX(計算用!$M$2:$M$186,MATCH("男白"&amp;$A159,計算用!$L$2:$L$186,0)),"")</f>
        <v/>
      </c>
      <c r="H159" s="16" t="str">
        <f>IFERROR(INDEX(計算用!$G$2:$G$186,MATCH("男白"&amp;$A159,計算用!$L$2:$L$186,0)),"")</f>
        <v/>
      </c>
      <c r="I159" s="15"/>
      <c r="J159" s="15" t="str">
        <f>IF(ROW()-3&lt;=MAX(計算用!$Q$4,計算用!$Q$5),ROW()-3,"")</f>
        <v/>
      </c>
      <c r="K159" s="15" t="str">
        <f>IFERROR(INDEX(計算用!$D$2:$D$186,MATCH("女赤"&amp;$J159,計算用!$L$2:$L$186,0)),"")</f>
        <v/>
      </c>
      <c r="L159" s="15" t="str">
        <f>IFERROR(INDEX(計算用!$M$2:$M$186,MATCH("女赤"&amp;$J159,計算用!$L$2:$L$186,0)),"")</f>
        <v/>
      </c>
      <c r="M159" s="16" t="str">
        <f>IFERROR(INDEX(計算用!$G$2:$G$186,MATCH("女赤"&amp;$J159,計算用!$L$2:$L$186,0)),"")</f>
        <v/>
      </c>
      <c r="N159" s="15"/>
      <c r="O159" s="15" t="str">
        <f>IFERROR(INDEX(計算用!$D$2:$D$186,MATCH("女白"&amp;$J159,計算用!$L$2:$L$186,0)),"")</f>
        <v/>
      </c>
      <c r="P159" s="15" t="str">
        <f>IFERROR(INDEX(計算用!$M$2:$M$186,MATCH("女白"&amp;$J159,計算用!$L$2:$L$186,0)),"")</f>
        <v/>
      </c>
      <c r="Q159" s="16" t="str">
        <f>IFERROR(INDEX(計算用!$G$2:$G$186,MATCH("女白"&amp;$J159,計算用!$L$2:$L$186,0)),"")</f>
        <v/>
      </c>
    </row>
    <row r="160" spans="1:17" x14ac:dyDescent="0.15">
      <c r="A160" s="15" t="str">
        <f>IF(ROW()-3&lt;=MAX(計算用!$Q$2,計算用!$Q$3),ROW()-3,"")</f>
        <v/>
      </c>
      <c r="B160" s="15" t="str">
        <f>IFERROR(INDEX(計算用!$D$2:$D$186,MATCH("男赤"&amp;$A160,計算用!$L$2:$L$186,0)),"")</f>
        <v/>
      </c>
      <c r="C160" s="15" t="str">
        <f>IFERROR(INDEX(計算用!$M$2:$M$186,MATCH("男赤"&amp;$A160,計算用!$L$2:$L$186,0)),"")</f>
        <v/>
      </c>
      <c r="D160" s="16" t="str">
        <f>IFERROR(INDEX(計算用!$G$2:$G$186,MATCH("男赤"&amp;$A160,計算用!$L$2:$L$186,0)),"")</f>
        <v/>
      </c>
      <c r="E160" s="15"/>
      <c r="F160" s="15" t="str">
        <f>IFERROR(INDEX(計算用!$D$2:$D$186,MATCH("男白"&amp;$A160,計算用!$L$2:$L$186,0)),"")</f>
        <v/>
      </c>
      <c r="G160" s="15" t="str">
        <f>IFERROR(INDEX(計算用!$M$2:$M$186,MATCH("男白"&amp;$A160,計算用!$L$2:$L$186,0)),"")</f>
        <v/>
      </c>
      <c r="H160" s="16" t="str">
        <f>IFERROR(INDEX(計算用!$G$2:$G$186,MATCH("男白"&amp;$A160,計算用!$L$2:$L$186,0)),"")</f>
        <v/>
      </c>
      <c r="I160" s="15"/>
      <c r="J160" s="15" t="str">
        <f>IF(ROW()-3&lt;=MAX(計算用!$Q$4,計算用!$Q$5),ROW()-3,"")</f>
        <v/>
      </c>
      <c r="K160" s="15" t="str">
        <f>IFERROR(INDEX(計算用!$D$2:$D$186,MATCH("女赤"&amp;$J160,計算用!$L$2:$L$186,0)),"")</f>
        <v/>
      </c>
      <c r="L160" s="15" t="str">
        <f>IFERROR(INDEX(計算用!$M$2:$M$186,MATCH("女赤"&amp;$J160,計算用!$L$2:$L$186,0)),"")</f>
        <v/>
      </c>
      <c r="M160" s="16" t="str">
        <f>IFERROR(INDEX(計算用!$G$2:$G$186,MATCH("女赤"&amp;$J160,計算用!$L$2:$L$186,0)),"")</f>
        <v/>
      </c>
      <c r="N160" s="15"/>
      <c r="O160" s="15" t="str">
        <f>IFERROR(INDEX(計算用!$D$2:$D$186,MATCH("女白"&amp;$J160,計算用!$L$2:$L$186,0)),"")</f>
        <v/>
      </c>
      <c r="P160" s="15" t="str">
        <f>IFERROR(INDEX(計算用!$M$2:$M$186,MATCH("女白"&amp;$J160,計算用!$L$2:$L$186,0)),"")</f>
        <v/>
      </c>
      <c r="Q160" s="16" t="str">
        <f>IFERROR(INDEX(計算用!$G$2:$G$186,MATCH("女白"&amp;$J160,計算用!$L$2:$L$186,0)),"")</f>
        <v/>
      </c>
    </row>
    <row r="161" spans="1:17" x14ac:dyDescent="0.15">
      <c r="A161" s="15" t="str">
        <f>IF(ROW()-3&lt;=MAX(計算用!$Q$2,計算用!$Q$3),ROW()-3,"")</f>
        <v/>
      </c>
      <c r="B161" s="15" t="str">
        <f>IFERROR(INDEX(計算用!$D$2:$D$186,MATCH("男赤"&amp;$A161,計算用!$L$2:$L$186,0)),"")</f>
        <v/>
      </c>
      <c r="C161" s="15" t="str">
        <f>IFERROR(INDEX(計算用!$M$2:$M$186,MATCH("男赤"&amp;$A161,計算用!$L$2:$L$186,0)),"")</f>
        <v/>
      </c>
      <c r="D161" s="16" t="str">
        <f>IFERROR(INDEX(計算用!$G$2:$G$186,MATCH("男赤"&amp;$A161,計算用!$L$2:$L$186,0)),"")</f>
        <v/>
      </c>
      <c r="E161" s="15"/>
      <c r="F161" s="15" t="str">
        <f>IFERROR(INDEX(計算用!$D$2:$D$186,MATCH("男白"&amp;$A161,計算用!$L$2:$L$186,0)),"")</f>
        <v/>
      </c>
      <c r="G161" s="15" t="str">
        <f>IFERROR(INDEX(計算用!$M$2:$M$186,MATCH("男白"&amp;$A161,計算用!$L$2:$L$186,0)),"")</f>
        <v/>
      </c>
      <c r="H161" s="16" t="str">
        <f>IFERROR(INDEX(計算用!$G$2:$G$186,MATCH("男白"&amp;$A161,計算用!$L$2:$L$186,0)),"")</f>
        <v/>
      </c>
      <c r="I161" s="15"/>
      <c r="J161" s="15" t="str">
        <f>IF(ROW()-3&lt;=MAX(計算用!$Q$4,計算用!$Q$5),ROW()-3,"")</f>
        <v/>
      </c>
      <c r="K161" s="15" t="str">
        <f>IFERROR(INDEX(計算用!$D$2:$D$186,MATCH("女赤"&amp;$J161,計算用!$L$2:$L$186,0)),"")</f>
        <v/>
      </c>
      <c r="L161" s="15" t="str">
        <f>IFERROR(INDEX(計算用!$M$2:$M$186,MATCH("女赤"&amp;$J161,計算用!$L$2:$L$186,0)),"")</f>
        <v/>
      </c>
      <c r="M161" s="16" t="str">
        <f>IFERROR(INDEX(計算用!$G$2:$G$186,MATCH("女赤"&amp;$J161,計算用!$L$2:$L$186,0)),"")</f>
        <v/>
      </c>
      <c r="N161" s="15"/>
      <c r="O161" s="15" t="str">
        <f>IFERROR(INDEX(計算用!$D$2:$D$186,MATCH("女白"&amp;$J161,計算用!$L$2:$L$186,0)),"")</f>
        <v/>
      </c>
      <c r="P161" s="15" t="str">
        <f>IFERROR(INDEX(計算用!$M$2:$M$186,MATCH("女白"&amp;$J161,計算用!$L$2:$L$186,0)),"")</f>
        <v/>
      </c>
      <c r="Q161" s="16" t="str">
        <f>IFERROR(INDEX(計算用!$G$2:$G$186,MATCH("女白"&amp;$J161,計算用!$L$2:$L$186,0)),"")</f>
        <v/>
      </c>
    </row>
    <row r="162" spans="1:17" x14ac:dyDescent="0.15">
      <c r="A162" s="15" t="str">
        <f>IF(ROW()-3&lt;=MAX(計算用!$Q$2,計算用!$Q$3),ROW()-3,"")</f>
        <v/>
      </c>
      <c r="B162" s="15" t="str">
        <f>IFERROR(INDEX(計算用!$D$2:$D$186,MATCH("男赤"&amp;$A162,計算用!$L$2:$L$186,0)),"")</f>
        <v/>
      </c>
      <c r="C162" s="15" t="str">
        <f>IFERROR(INDEX(計算用!$M$2:$M$186,MATCH("男赤"&amp;$A162,計算用!$L$2:$L$186,0)),"")</f>
        <v/>
      </c>
      <c r="D162" s="16" t="str">
        <f>IFERROR(INDEX(計算用!$G$2:$G$186,MATCH("男赤"&amp;$A162,計算用!$L$2:$L$186,0)),"")</f>
        <v/>
      </c>
      <c r="E162" s="15"/>
      <c r="F162" s="15" t="str">
        <f>IFERROR(INDEX(計算用!$D$2:$D$186,MATCH("男白"&amp;$A162,計算用!$L$2:$L$186,0)),"")</f>
        <v/>
      </c>
      <c r="G162" s="15" t="str">
        <f>IFERROR(INDEX(計算用!$M$2:$M$186,MATCH("男白"&amp;$A162,計算用!$L$2:$L$186,0)),"")</f>
        <v/>
      </c>
      <c r="H162" s="16" t="str">
        <f>IFERROR(INDEX(計算用!$G$2:$G$186,MATCH("男白"&amp;$A162,計算用!$L$2:$L$186,0)),"")</f>
        <v/>
      </c>
      <c r="I162" s="15"/>
      <c r="J162" s="15" t="str">
        <f>IF(ROW()-3&lt;=MAX(計算用!$Q$4,計算用!$Q$5),ROW()-3,"")</f>
        <v/>
      </c>
      <c r="K162" s="15" t="str">
        <f>IFERROR(INDEX(計算用!$D$2:$D$186,MATCH("女赤"&amp;$J162,計算用!$L$2:$L$186,0)),"")</f>
        <v/>
      </c>
      <c r="L162" s="15" t="str">
        <f>IFERROR(INDEX(計算用!$M$2:$M$186,MATCH("女赤"&amp;$J162,計算用!$L$2:$L$186,0)),"")</f>
        <v/>
      </c>
      <c r="M162" s="16" t="str">
        <f>IFERROR(INDEX(計算用!$G$2:$G$186,MATCH("女赤"&amp;$J162,計算用!$L$2:$L$186,0)),"")</f>
        <v/>
      </c>
      <c r="N162" s="15"/>
      <c r="O162" s="15" t="str">
        <f>IFERROR(INDEX(計算用!$D$2:$D$186,MATCH("女白"&amp;$J162,計算用!$L$2:$L$186,0)),"")</f>
        <v/>
      </c>
      <c r="P162" s="15" t="str">
        <f>IFERROR(INDEX(計算用!$M$2:$M$186,MATCH("女白"&amp;$J162,計算用!$L$2:$L$186,0)),"")</f>
        <v/>
      </c>
      <c r="Q162" s="16" t="str">
        <f>IFERROR(INDEX(計算用!$G$2:$G$186,MATCH("女白"&amp;$J162,計算用!$L$2:$L$186,0)),"")</f>
        <v/>
      </c>
    </row>
    <row r="163" spans="1:17" x14ac:dyDescent="0.15">
      <c r="A163" s="15" t="str">
        <f>IF(ROW()-3&lt;=MAX(計算用!$Q$2,計算用!$Q$3),ROW()-3,"")</f>
        <v/>
      </c>
      <c r="B163" s="15" t="str">
        <f>IFERROR(INDEX(計算用!$D$2:$D$186,MATCH("男赤"&amp;$A163,計算用!$L$2:$L$186,0)),"")</f>
        <v/>
      </c>
      <c r="C163" s="15" t="str">
        <f>IFERROR(INDEX(計算用!$M$2:$M$186,MATCH("男赤"&amp;$A163,計算用!$L$2:$L$186,0)),"")</f>
        <v/>
      </c>
      <c r="D163" s="16" t="str">
        <f>IFERROR(INDEX(計算用!$G$2:$G$186,MATCH("男赤"&amp;$A163,計算用!$L$2:$L$186,0)),"")</f>
        <v/>
      </c>
      <c r="E163" s="15"/>
      <c r="F163" s="15" t="str">
        <f>IFERROR(INDEX(計算用!$D$2:$D$186,MATCH("男白"&amp;$A163,計算用!$L$2:$L$186,0)),"")</f>
        <v/>
      </c>
      <c r="G163" s="15" t="str">
        <f>IFERROR(INDEX(計算用!$M$2:$M$186,MATCH("男白"&amp;$A163,計算用!$L$2:$L$186,0)),"")</f>
        <v/>
      </c>
      <c r="H163" s="16" t="str">
        <f>IFERROR(INDEX(計算用!$G$2:$G$186,MATCH("男白"&amp;$A163,計算用!$L$2:$L$186,0)),"")</f>
        <v/>
      </c>
      <c r="I163" s="15"/>
      <c r="J163" s="15" t="str">
        <f>IF(ROW()-3&lt;=MAX(計算用!$Q$4,計算用!$Q$5),ROW()-3,"")</f>
        <v/>
      </c>
      <c r="K163" s="15" t="str">
        <f>IFERROR(INDEX(計算用!$D$2:$D$186,MATCH("女赤"&amp;$J163,計算用!$L$2:$L$186,0)),"")</f>
        <v/>
      </c>
      <c r="L163" s="15" t="str">
        <f>IFERROR(INDEX(計算用!$M$2:$M$186,MATCH("女赤"&amp;$J163,計算用!$L$2:$L$186,0)),"")</f>
        <v/>
      </c>
      <c r="M163" s="16" t="str">
        <f>IFERROR(INDEX(計算用!$G$2:$G$186,MATCH("女赤"&amp;$J163,計算用!$L$2:$L$186,0)),"")</f>
        <v/>
      </c>
      <c r="N163" s="15"/>
      <c r="O163" s="15" t="str">
        <f>IFERROR(INDEX(計算用!$D$2:$D$186,MATCH("女白"&amp;$J163,計算用!$L$2:$L$186,0)),"")</f>
        <v/>
      </c>
      <c r="P163" s="15" t="str">
        <f>IFERROR(INDEX(計算用!$M$2:$M$186,MATCH("女白"&amp;$J163,計算用!$L$2:$L$186,0)),"")</f>
        <v/>
      </c>
      <c r="Q163" s="16" t="str">
        <f>IFERROR(INDEX(計算用!$G$2:$G$186,MATCH("女白"&amp;$J163,計算用!$L$2:$L$186,0)),"")</f>
        <v/>
      </c>
    </row>
    <row r="164" spans="1:17" x14ac:dyDescent="0.15">
      <c r="A164" s="15" t="str">
        <f>IF(ROW()-3&lt;=MAX(計算用!$Q$2,計算用!$Q$3),ROW()-3,"")</f>
        <v/>
      </c>
      <c r="B164" s="15" t="str">
        <f>IFERROR(INDEX(計算用!$D$2:$D$186,MATCH("男赤"&amp;$A164,計算用!$L$2:$L$186,0)),"")</f>
        <v/>
      </c>
      <c r="C164" s="15" t="str">
        <f>IFERROR(INDEX(計算用!$M$2:$M$186,MATCH("男赤"&amp;$A164,計算用!$L$2:$L$186,0)),"")</f>
        <v/>
      </c>
      <c r="D164" s="16" t="str">
        <f>IFERROR(INDEX(計算用!$G$2:$G$186,MATCH("男赤"&amp;$A164,計算用!$L$2:$L$186,0)),"")</f>
        <v/>
      </c>
      <c r="E164" s="15"/>
      <c r="F164" s="15" t="str">
        <f>IFERROR(INDEX(計算用!$D$2:$D$186,MATCH("男白"&amp;$A164,計算用!$L$2:$L$186,0)),"")</f>
        <v/>
      </c>
      <c r="G164" s="15" t="str">
        <f>IFERROR(INDEX(計算用!$M$2:$M$186,MATCH("男白"&amp;$A164,計算用!$L$2:$L$186,0)),"")</f>
        <v/>
      </c>
      <c r="H164" s="16" t="str">
        <f>IFERROR(INDEX(計算用!$G$2:$G$186,MATCH("男白"&amp;$A164,計算用!$L$2:$L$186,0)),"")</f>
        <v/>
      </c>
      <c r="I164" s="15"/>
      <c r="J164" s="15" t="str">
        <f>IF(ROW()-3&lt;=MAX(計算用!$Q$4,計算用!$Q$5),ROW()-3,"")</f>
        <v/>
      </c>
      <c r="K164" s="15" t="str">
        <f>IFERROR(INDEX(計算用!$D$2:$D$186,MATCH("女赤"&amp;$J164,計算用!$L$2:$L$186,0)),"")</f>
        <v/>
      </c>
      <c r="L164" s="15" t="str">
        <f>IFERROR(INDEX(計算用!$M$2:$M$186,MATCH("女赤"&amp;$J164,計算用!$L$2:$L$186,0)),"")</f>
        <v/>
      </c>
      <c r="M164" s="16" t="str">
        <f>IFERROR(INDEX(計算用!$G$2:$G$186,MATCH("女赤"&amp;$J164,計算用!$L$2:$L$186,0)),"")</f>
        <v/>
      </c>
      <c r="N164" s="15"/>
      <c r="O164" s="15" t="str">
        <f>IFERROR(INDEX(計算用!$D$2:$D$186,MATCH("女白"&amp;$J164,計算用!$L$2:$L$186,0)),"")</f>
        <v/>
      </c>
      <c r="P164" s="15" t="str">
        <f>IFERROR(INDEX(計算用!$M$2:$M$186,MATCH("女白"&amp;$J164,計算用!$L$2:$L$186,0)),"")</f>
        <v/>
      </c>
      <c r="Q164" s="16" t="str">
        <f>IFERROR(INDEX(計算用!$G$2:$G$186,MATCH("女白"&amp;$J164,計算用!$L$2:$L$186,0)),"")</f>
        <v/>
      </c>
    </row>
    <row r="165" spans="1:17" x14ac:dyDescent="0.15">
      <c r="A165" s="15" t="str">
        <f>IF(ROW()-3&lt;=MAX(計算用!$Q$2,計算用!$Q$3),ROW()-3,"")</f>
        <v/>
      </c>
      <c r="B165" s="15" t="str">
        <f>IFERROR(INDEX(計算用!$D$2:$D$186,MATCH("男赤"&amp;$A165,計算用!$L$2:$L$186,0)),"")</f>
        <v/>
      </c>
      <c r="C165" s="15" t="str">
        <f>IFERROR(INDEX(計算用!$M$2:$M$186,MATCH("男赤"&amp;$A165,計算用!$L$2:$L$186,0)),"")</f>
        <v/>
      </c>
      <c r="D165" s="16" t="str">
        <f>IFERROR(INDEX(計算用!$G$2:$G$186,MATCH("男赤"&amp;$A165,計算用!$L$2:$L$186,0)),"")</f>
        <v/>
      </c>
      <c r="E165" s="15"/>
      <c r="F165" s="15" t="str">
        <f>IFERROR(INDEX(計算用!$D$2:$D$186,MATCH("男白"&amp;$A165,計算用!$L$2:$L$186,0)),"")</f>
        <v/>
      </c>
      <c r="G165" s="15" t="str">
        <f>IFERROR(INDEX(計算用!$M$2:$M$186,MATCH("男白"&amp;$A165,計算用!$L$2:$L$186,0)),"")</f>
        <v/>
      </c>
      <c r="H165" s="16" t="str">
        <f>IFERROR(INDEX(計算用!$G$2:$G$186,MATCH("男白"&amp;$A165,計算用!$L$2:$L$186,0)),"")</f>
        <v/>
      </c>
      <c r="I165" s="15"/>
      <c r="J165" s="15" t="str">
        <f>IF(ROW()-3&lt;=MAX(計算用!$Q$4,計算用!$Q$5),ROW()-3,"")</f>
        <v/>
      </c>
      <c r="K165" s="15" t="str">
        <f>IFERROR(INDEX(計算用!$D$2:$D$186,MATCH("女赤"&amp;$J165,計算用!$L$2:$L$186,0)),"")</f>
        <v/>
      </c>
      <c r="L165" s="15" t="str">
        <f>IFERROR(INDEX(計算用!$M$2:$M$186,MATCH("女赤"&amp;$J165,計算用!$L$2:$L$186,0)),"")</f>
        <v/>
      </c>
      <c r="M165" s="16" t="str">
        <f>IFERROR(INDEX(計算用!$G$2:$G$186,MATCH("女赤"&amp;$J165,計算用!$L$2:$L$186,0)),"")</f>
        <v/>
      </c>
      <c r="N165" s="15"/>
      <c r="O165" s="15" t="str">
        <f>IFERROR(INDEX(計算用!$D$2:$D$186,MATCH("女白"&amp;$J165,計算用!$L$2:$L$186,0)),"")</f>
        <v/>
      </c>
      <c r="P165" s="15" t="str">
        <f>IFERROR(INDEX(計算用!$M$2:$M$186,MATCH("女白"&amp;$J165,計算用!$L$2:$L$186,0)),"")</f>
        <v/>
      </c>
      <c r="Q165" s="16" t="str">
        <f>IFERROR(INDEX(計算用!$G$2:$G$186,MATCH("女白"&amp;$J165,計算用!$L$2:$L$186,0)),"")</f>
        <v/>
      </c>
    </row>
    <row r="166" spans="1:17" x14ac:dyDescent="0.15">
      <c r="A166" s="15" t="str">
        <f>IF(ROW()-3&lt;=MAX(計算用!$Q$2,計算用!$Q$3),ROW()-3,"")</f>
        <v/>
      </c>
      <c r="B166" s="15" t="str">
        <f>IFERROR(INDEX(計算用!$D$2:$D$186,MATCH("男赤"&amp;$A166,計算用!$L$2:$L$186,0)),"")</f>
        <v/>
      </c>
      <c r="C166" s="15" t="str">
        <f>IFERROR(INDEX(計算用!$M$2:$M$186,MATCH("男赤"&amp;$A166,計算用!$L$2:$L$186,0)),"")</f>
        <v/>
      </c>
      <c r="D166" s="16" t="str">
        <f>IFERROR(INDEX(計算用!$G$2:$G$186,MATCH("男赤"&amp;$A166,計算用!$L$2:$L$186,0)),"")</f>
        <v/>
      </c>
      <c r="E166" s="15"/>
      <c r="F166" s="15" t="str">
        <f>IFERROR(INDEX(計算用!$D$2:$D$186,MATCH("男白"&amp;$A166,計算用!$L$2:$L$186,0)),"")</f>
        <v/>
      </c>
      <c r="G166" s="15" t="str">
        <f>IFERROR(INDEX(計算用!$M$2:$M$186,MATCH("男白"&amp;$A166,計算用!$L$2:$L$186,0)),"")</f>
        <v/>
      </c>
      <c r="H166" s="16" t="str">
        <f>IFERROR(INDEX(計算用!$G$2:$G$186,MATCH("男白"&amp;$A166,計算用!$L$2:$L$186,0)),"")</f>
        <v/>
      </c>
      <c r="I166" s="15"/>
      <c r="J166" s="15" t="str">
        <f>IF(ROW()-3&lt;=MAX(計算用!$Q$4,計算用!$Q$5),ROW()-3,"")</f>
        <v/>
      </c>
      <c r="K166" s="15" t="str">
        <f>IFERROR(INDEX(計算用!$D$2:$D$186,MATCH("女赤"&amp;$J166,計算用!$L$2:$L$186,0)),"")</f>
        <v/>
      </c>
      <c r="L166" s="15" t="str">
        <f>IFERROR(INDEX(計算用!$M$2:$M$186,MATCH("女赤"&amp;$J166,計算用!$L$2:$L$186,0)),"")</f>
        <v/>
      </c>
      <c r="M166" s="16" t="str">
        <f>IFERROR(INDEX(計算用!$G$2:$G$186,MATCH("女赤"&amp;$J166,計算用!$L$2:$L$186,0)),"")</f>
        <v/>
      </c>
      <c r="N166" s="15"/>
      <c r="O166" s="15" t="str">
        <f>IFERROR(INDEX(計算用!$D$2:$D$186,MATCH("女白"&amp;$J166,計算用!$L$2:$L$186,0)),"")</f>
        <v/>
      </c>
      <c r="P166" s="15" t="str">
        <f>IFERROR(INDEX(計算用!$M$2:$M$186,MATCH("女白"&amp;$J166,計算用!$L$2:$L$186,0)),"")</f>
        <v/>
      </c>
      <c r="Q166" s="16" t="str">
        <f>IFERROR(INDEX(計算用!$G$2:$G$186,MATCH("女白"&amp;$J166,計算用!$L$2:$L$186,0)),"")</f>
        <v/>
      </c>
    </row>
    <row r="167" spans="1:17" x14ac:dyDescent="0.15">
      <c r="A167" s="15" t="str">
        <f>IF(ROW()-3&lt;=MAX(計算用!$Q$2,計算用!$Q$3),ROW()-3,"")</f>
        <v/>
      </c>
      <c r="B167" s="15" t="str">
        <f>IFERROR(INDEX(計算用!$D$2:$D$186,MATCH("男赤"&amp;$A167,計算用!$L$2:$L$186,0)),"")</f>
        <v/>
      </c>
      <c r="C167" s="15" t="str">
        <f>IFERROR(INDEX(計算用!$M$2:$M$186,MATCH("男赤"&amp;$A167,計算用!$L$2:$L$186,0)),"")</f>
        <v/>
      </c>
      <c r="D167" s="16" t="str">
        <f>IFERROR(INDEX(計算用!$G$2:$G$186,MATCH("男赤"&amp;$A167,計算用!$L$2:$L$186,0)),"")</f>
        <v/>
      </c>
      <c r="E167" s="15"/>
      <c r="F167" s="15" t="str">
        <f>IFERROR(INDEX(計算用!$D$2:$D$186,MATCH("男白"&amp;$A167,計算用!$L$2:$L$186,0)),"")</f>
        <v/>
      </c>
      <c r="G167" s="15" t="str">
        <f>IFERROR(INDEX(計算用!$M$2:$M$186,MATCH("男白"&amp;$A167,計算用!$L$2:$L$186,0)),"")</f>
        <v/>
      </c>
      <c r="H167" s="16" t="str">
        <f>IFERROR(INDEX(計算用!$G$2:$G$186,MATCH("男白"&amp;$A167,計算用!$L$2:$L$186,0)),"")</f>
        <v/>
      </c>
      <c r="I167" s="15"/>
      <c r="J167" s="15" t="str">
        <f>IF(ROW()-3&lt;=MAX(計算用!$Q$4,計算用!$Q$5),ROW()-3,"")</f>
        <v/>
      </c>
      <c r="K167" s="15" t="str">
        <f>IFERROR(INDEX(計算用!$D$2:$D$186,MATCH("女赤"&amp;$J167,計算用!$L$2:$L$186,0)),"")</f>
        <v/>
      </c>
      <c r="L167" s="15" t="str">
        <f>IFERROR(INDEX(計算用!$M$2:$M$186,MATCH("女赤"&amp;$J167,計算用!$L$2:$L$186,0)),"")</f>
        <v/>
      </c>
      <c r="M167" s="16" t="str">
        <f>IFERROR(INDEX(計算用!$G$2:$G$186,MATCH("女赤"&amp;$J167,計算用!$L$2:$L$186,0)),"")</f>
        <v/>
      </c>
      <c r="N167" s="15"/>
      <c r="O167" s="15" t="str">
        <f>IFERROR(INDEX(計算用!$D$2:$D$186,MATCH("女白"&amp;$J167,計算用!$L$2:$L$186,0)),"")</f>
        <v/>
      </c>
      <c r="P167" s="15" t="str">
        <f>IFERROR(INDEX(計算用!$M$2:$M$186,MATCH("女白"&amp;$J167,計算用!$L$2:$L$186,0)),"")</f>
        <v/>
      </c>
      <c r="Q167" s="16" t="str">
        <f>IFERROR(INDEX(計算用!$G$2:$G$186,MATCH("女白"&amp;$J167,計算用!$L$2:$L$186,0)),"")</f>
        <v/>
      </c>
    </row>
    <row r="168" spans="1:17" x14ac:dyDescent="0.15">
      <c r="A168" s="15" t="str">
        <f>IF(ROW()-3&lt;=MAX(計算用!$Q$2,計算用!$Q$3),ROW()-3,"")</f>
        <v/>
      </c>
      <c r="B168" s="15" t="str">
        <f>IFERROR(INDEX(計算用!$D$2:$D$186,MATCH("男赤"&amp;$A168,計算用!$L$2:$L$186,0)),"")</f>
        <v/>
      </c>
      <c r="C168" s="15" t="str">
        <f>IFERROR(INDEX(計算用!$M$2:$M$186,MATCH("男赤"&amp;$A168,計算用!$L$2:$L$186,0)),"")</f>
        <v/>
      </c>
      <c r="D168" s="16" t="str">
        <f>IFERROR(INDEX(計算用!$G$2:$G$186,MATCH("男赤"&amp;$A168,計算用!$L$2:$L$186,0)),"")</f>
        <v/>
      </c>
      <c r="E168" s="15"/>
      <c r="F168" s="15" t="str">
        <f>IFERROR(INDEX(計算用!$D$2:$D$186,MATCH("男白"&amp;$A168,計算用!$L$2:$L$186,0)),"")</f>
        <v/>
      </c>
      <c r="G168" s="15" t="str">
        <f>IFERROR(INDEX(計算用!$M$2:$M$186,MATCH("男白"&amp;$A168,計算用!$L$2:$L$186,0)),"")</f>
        <v/>
      </c>
      <c r="H168" s="16" t="str">
        <f>IFERROR(INDEX(計算用!$G$2:$G$186,MATCH("男白"&amp;$A168,計算用!$L$2:$L$186,0)),"")</f>
        <v/>
      </c>
      <c r="I168" s="15"/>
      <c r="J168" s="15" t="str">
        <f>IF(ROW()-3&lt;=MAX(計算用!$Q$4,計算用!$Q$5),ROW()-3,"")</f>
        <v/>
      </c>
      <c r="K168" s="15" t="str">
        <f>IFERROR(INDEX(計算用!$D$2:$D$186,MATCH("女赤"&amp;$J168,計算用!$L$2:$L$186,0)),"")</f>
        <v/>
      </c>
      <c r="L168" s="15" t="str">
        <f>IFERROR(INDEX(計算用!$M$2:$M$186,MATCH("女赤"&amp;$J168,計算用!$L$2:$L$186,0)),"")</f>
        <v/>
      </c>
      <c r="M168" s="16" t="str">
        <f>IFERROR(INDEX(計算用!$G$2:$G$186,MATCH("女赤"&amp;$J168,計算用!$L$2:$L$186,0)),"")</f>
        <v/>
      </c>
      <c r="N168" s="15"/>
      <c r="O168" s="15" t="str">
        <f>IFERROR(INDEX(計算用!$D$2:$D$186,MATCH("女白"&amp;$J168,計算用!$L$2:$L$186,0)),"")</f>
        <v/>
      </c>
      <c r="P168" s="15" t="str">
        <f>IFERROR(INDEX(計算用!$M$2:$M$186,MATCH("女白"&amp;$J168,計算用!$L$2:$L$186,0)),"")</f>
        <v/>
      </c>
      <c r="Q168" s="16" t="str">
        <f>IFERROR(INDEX(計算用!$G$2:$G$186,MATCH("女白"&amp;$J168,計算用!$L$2:$L$186,0)),"")</f>
        <v/>
      </c>
    </row>
    <row r="169" spans="1:17" x14ac:dyDescent="0.15">
      <c r="A169" s="15" t="str">
        <f>IF(ROW()-3&lt;=MAX(計算用!$Q$2,計算用!$Q$3),ROW()-3,"")</f>
        <v/>
      </c>
      <c r="B169" s="15" t="str">
        <f>IFERROR(INDEX(計算用!$D$2:$D$186,MATCH("男赤"&amp;$A169,計算用!$L$2:$L$186,0)),"")</f>
        <v/>
      </c>
      <c r="C169" s="15" t="str">
        <f>IFERROR(INDEX(計算用!$M$2:$M$186,MATCH("男赤"&amp;$A169,計算用!$L$2:$L$186,0)),"")</f>
        <v/>
      </c>
      <c r="D169" s="16" t="str">
        <f>IFERROR(INDEX(計算用!$G$2:$G$186,MATCH("男赤"&amp;$A169,計算用!$L$2:$L$186,0)),"")</f>
        <v/>
      </c>
      <c r="E169" s="15"/>
      <c r="F169" s="15" t="str">
        <f>IFERROR(INDEX(計算用!$D$2:$D$186,MATCH("男白"&amp;$A169,計算用!$L$2:$L$186,0)),"")</f>
        <v/>
      </c>
      <c r="G169" s="15" t="str">
        <f>IFERROR(INDEX(計算用!$M$2:$M$186,MATCH("男白"&amp;$A169,計算用!$L$2:$L$186,0)),"")</f>
        <v/>
      </c>
      <c r="H169" s="16" t="str">
        <f>IFERROR(INDEX(計算用!$G$2:$G$186,MATCH("男白"&amp;$A169,計算用!$L$2:$L$186,0)),"")</f>
        <v/>
      </c>
      <c r="I169" s="15"/>
      <c r="J169" s="15" t="str">
        <f>IF(ROW()-3&lt;=MAX(計算用!$Q$4,計算用!$Q$5),ROW()-3,"")</f>
        <v/>
      </c>
      <c r="K169" s="15" t="str">
        <f>IFERROR(INDEX(計算用!$D$2:$D$186,MATCH("女赤"&amp;$J169,計算用!$L$2:$L$186,0)),"")</f>
        <v/>
      </c>
      <c r="L169" s="15" t="str">
        <f>IFERROR(INDEX(計算用!$M$2:$M$186,MATCH("女赤"&amp;$J169,計算用!$L$2:$L$186,0)),"")</f>
        <v/>
      </c>
      <c r="M169" s="16" t="str">
        <f>IFERROR(INDEX(計算用!$G$2:$G$186,MATCH("女赤"&amp;$J169,計算用!$L$2:$L$186,0)),"")</f>
        <v/>
      </c>
      <c r="N169" s="15"/>
      <c r="O169" s="15" t="str">
        <f>IFERROR(INDEX(計算用!$D$2:$D$186,MATCH("女白"&amp;$J169,計算用!$L$2:$L$186,0)),"")</f>
        <v/>
      </c>
      <c r="P169" s="15" t="str">
        <f>IFERROR(INDEX(計算用!$M$2:$M$186,MATCH("女白"&amp;$J169,計算用!$L$2:$L$186,0)),"")</f>
        <v/>
      </c>
      <c r="Q169" s="16" t="str">
        <f>IFERROR(INDEX(計算用!$G$2:$G$186,MATCH("女白"&amp;$J169,計算用!$L$2:$L$186,0)),"")</f>
        <v/>
      </c>
    </row>
    <row r="170" spans="1:17" x14ac:dyDescent="0.15">
      <c r="A170" s="15" t="str">
        <f>IF(ROW()-3&lt;=MAX(計算用!$Q$2,計算用!$Q$3),ROW()-3,"")</f>
        <v/>
      </c>
      <c r="B170" s="15" t="str">
        <f>IFERROR(INDEX(計算用!$D$2:$D$186,MATCH("男赤"&amp;$A170,計算用!$L$2:$L$186,0)),"")</f>
        <v/>
      </c>
      <c r="C170" s="15" t="str">
        <f>IFERROR(INDEX(計算用!$M$2:$M$186,MATCH("男赤"&amp;$A170,計算用!$L$2:$L$186,0)),"")</f>
        <v/>
      </c>
      <c r="D170" s="16" t="str">
        <f>IFERROR(INDEX(計算用!$G$2:$G$186,MATCH("男赤"&amp;$A170,計算用!$L$2:$L$186,0)),"")</f>
        <v/>
      </c>
      <c r="E170" s="15"/>
      <c r="F170" s="15" t="str">
        <f>IFERROR(INDEX(計算用!$D$2:$D$186,MATCH("男白"&amp;$A170,計算用!$L$2:$L$186,0)),"")</f>
        <v/>
      </c>
      <c r="G170" s="15" t="str">
        <f>IFERROR(INDEX(計算用!$M$2:$M$186,MATCH("男白"&amp;$A170,計算用!$L$2:$L$186,0)),"")</f>
        <v/>
      </c>
      <c r="H170" s="16" t="str">
        <f>IFERROR(INDEX(計算用!$G$2:$G$186,MATCH("男白"&amp;$A170,計算用!$L$2:$L$186,0)),"")</f>
        <v/>
      </c>
      <c r="I170" s="15"/>
      <c r="J170" s="15" t="str">
        <f>IF(ROW()-3&lt;=MAX(計算用!$Q$4,計算用!$Q$5),ROW()-3,"")</f>
        <v/>
      </c>
      <c r="K170" s="15" t="str">
        <f>IFERROR(INDEX(計算用!$D$2:$D$186,MATCH("女赤"&amp;$J170,計算用!$L$2:$L$186,0)),"")</f>
        <v/>
      </c>
      <c r="L170" s="15" t="str">
        <f>IFERROR(INDEX(計算用!$M$2:$M$186,MATCH("女赤"&amp;$J170,計算用!$L$2:$L$186,0)),"")</f>
        <v/>
      </c>
      <c r="M170" s="16" t="str">
        <f>IFERROR(INDEX(計算用!$G$2:$G$186,MATCH("女赤"&amp;$J170,計算用!$L$2:$L$186,0)),"")</f>
        <v/>
      </c>
      <c r="N170" s="15"/>
      <c r="O170" s="15" t="str">
        <f>IFERROR(INDEX(計算用!$D$2:$D$186,MATCH("女白"&amp;$J170,計算用!$L$2:$L$186,0)),"")</f>
        <v/>
      </c>
      <c r="P170" s="15" t="str">
        <f>IFERROR(INDEX(計算用!$M$2:$M$186,MATCH("女白"&amp;$J170,計算用!$L$2:$L$186,0)),"")</f>
        <v/>
      </c>
      <c r="Q170" s="16" t="str">
        <f>IFERROR(INDEX(計算用!$G$2:$G$186,MATCH("女白"&amp;$J170,計算用!$L$2:$L$186,0)),"")</f>
        <v/>
      </c>
    </row>
    <row r="171" spans="1:17" x14ac:dyDescent="0.15">
      <c r="A171" s="15" t="str">
        <f>IF(ROW()-3&lt;=MAX(計算用!$Q$2,計算用!$Q$3),ROW()-3,"")</f>
        <v/>
      </c>
      <c r="B171" s="15" t="str">
        <f>IFERROR(INDEX(計算用!$D$2:$D$186,MATCH("男赤"&amp;$A171,計算用!$L$2:$L$186,0)),"")</f>
        <v/>
      </c>
      <c r="C171" s="15" t="str">
        <f>IFERROR(INDEX(計算用!$M$2:$M$186,MATCH("男赤"&amp;$A171,計算用!$L$2:$L$186,0)),"")</f>
        <v/>
      </c>
      <c r="D171" s="16" t="str">
        <f>IFERROR(INDEX(計算用!$G$2:$G$186,MATCH("男赤"&amp;$A171,計算用!$L$2:$L$186,0)),"")</f>
        <v/>
      </c>
      <c r="E171" s="15"/>
      <c r="F171" s="15" t="str">
        <f>IFERROR(INDEX(計算用!$D$2:$D$186,MATCH("男白"&amp;$A171,計算用!$L$2:$L$186,0)),"")</f>
        <v/>
      </c>
      <c r="G171" s="15" t="str">
        <f>IFERROR(INDEX(計算用!$M$2:$M$186,MATCH("男白"&amp;$A171,計算用!$L$2:$L$186,0)),"")</f>
        <v/>
      </c>
      <c r="H171" s="16" t="str">
        <f>IFERROR(INDEX(計算用!$G$2:$G$186,MATCH("男白"&amp;$A171,計算用!$L$2:$L$186,0)),"")</f>
        <v/>
      </c>
      <c r="I171" s="15"/>
      <c r="J171" s="15" t="str">
        <f>IF(ROW()-3&lt;=MAX(計算用!$Q$4,計算用!$Q$5),ROW()-3,"")</f>
        <v/>
      </c>
      <c r="K171" s="15" t="str">
        <f>IFERROR(INDEX(計算用!$D$2:$D$186,MATCH("女赤"&amp;$J171,計算用!$L$2:$L$186,0)),"")</f>
        <v/>
      </c>
      <c r="L171" s="15" t="str">
        <f>IFERROR(INDEX(計算用!$M$2:$M$186,MATCH("女赤"&amp;$J171,計算用!$L$2:$L$186,0)),"")</f>
        <v/>
      </c>
      <c r="M171" s="16" t="str">
        <f>IFERROR(INDEX(計算用!$G$2:$G$186,MATCH("女赤"&amp;$J171,計算用!$L$2:$L$186,0)),"")</f>
        <v/>
      </c>
      <c r="N171" s="15"/>
      <c r="O171" s="15" t="str">
        <f>IFERROR(INDEX(計算用!$D$2:$D$186,MATCH("女白"&amp;$J171,計算用!$L$2:$L$186,0)),"")</f>
        <v/>
      </c>
      <c r="P171" s="15" t="str">
        <f>IFERROR(INDEX(計算用!$M$2:$M$186,MATCH("女白"&amp;$J171,計算用!$L$2:$L$186,0)),"")</f>
        <v/>
      </c>
      <c r="Q171" s="16" t="str">
        <f>IFERROR(INDEX(計算用!$G$2:$G$186,MATCH("女白"&amp;$J171,計算用!$L$2:$L$186,0)),"")</f>
        <v/>
      </c>
    </row>
    <row r="172" spans="1:17" x14ac:dyDescent="0.15">
      <c r="A172" s="15" t="str">
        <f>IF(ROW()-3&lt;=MAX(計算用!$Q$2,計算用!$Q$3),ROW()-3,"")</f>
        <v/>
      </c>
      <c r="B172" s="15" t="str">
        <f>IFERROR(INDEX(計算用!$D$2:$D$186,MATCH("男赤"&amp;$A172,計算用!$L$2:$L$186,0)),"")</f>
        <v/>
      </c>
      <c r="C172" s="15" t="str">
        <f>IFERROR(INDEX(計算用!$M$2:$M$186,MATCH("男赤"&amp;$A172,計算用!$L$2:$L$186,0)),"")</f>
        <v/>
      </c>
      <c r="D172" s="16" t="str">
        <f>IFERROR(INDEX(計算用!$G$2:$G$186,MATCH("男赤"&amp;$A172,計算用!$L$2:$L$186,0)),"")</f>
        <v/>
      </c>
      <c r="E172" s="15"/>
      <c r="F172" s="15" t="str">
        <f>IFERROR(INDEX(計算用!$D$2:$D$186,MATCH("男白"&amp;$A172,計算用!$L$2:$L$186,0)),"")</f>
        <v/>
      </c>
      <c r="G172" s="15" t="str">
        <f>IFERROR(INDEX(計算用!$M$2:$M$186,MATCH("男白"&amp;$A172,計算用!$L$2:$L$186,0)),"")</f>
        <v/>
      </c>
      <c r="H172" s="16" t="str">
        <f>IFERROR(INDEX(計算用!$G$2:$G$186,MATCH("男白"&amp;$A172,計算用!$L$2:$L$186,0)),"")</f>
        <v/>
      </c>
      <c r="I172" s="15"/>
      <c r="J172" s="15" t="str">
        <f>IF(ROW()-3&lt;=MAX(計算用!$Q$4,計算用!$Q$5),ROW()-3,"")</f>
        <v/>
      </c>
      <c r="K172" s="15" t="str">
        <f>IFERROR(INDEX(計算用!$D$2:$D$186,MATCH("女赤"&amp;$J172,計算用!$L$2:$L$186,0)),"")</f>
        <v/>
      </c>
      <c r="L172" s="15" t="str">
        <f>IFERROR(INDEX(計算用!$M$2:$M$186,MATCH("女赤"&amp;$J172,計算用!$L$2:$L$186,0)),"")</f>
        <v/>
      </c>
      <c r="M172" s="16" t="str">
        <f>IFERROR(INDEX(計算用!$G$2:$G$186,MATCH("女赤"&amp;$J172,計算用!$L$2:$L$186,0)),"")</f>
        <v/>
      </c>
      <c r="N172" s="15"/>
      <c r="O172" s="15" t="str">
        <f>IFERROR(INDEX(計算用!$D$2:$D$186,MATCH("女白"&amp;$J172,計算用!$L$2:$L$186,0)),"")</f>
        <v/>
      </c>
      <c r="P172" s="15" t="str">
        <f>IFERROR(INDEX(計算用!$M$2:$M$186,MATCH("女白"&amp;$J172,計算用!$L$2:$L$186,0)),"")</f>
        <v/>
      </c>
      <c r="Q172" s="16" t="str">
        <f>IFERROR(INDEX(計算用!$G$2:$G$186,MATCH("女白"&amp;$J172,計算用!$L$2:$L$186,0)),"")</f>
        <v/>
      </c>
    </row>
    <row r="173" spans="1:17" x14ac:dyDescent="0.15">
      <c r="A173" s="15" t="str">
        <f>IF(ROW()-3&lt;=MAX(計算用!$Q$2,計算用!$Q$3),ROW()-3,"")</f>
        <v/>
      </c>
      <c r="B173" s="15" t="str">
        <f>IFERROR(INDEX(計算用!$D$2:$D$186,MATCH("男赤"&amp;$A173,計算用!$L$2:$L$186,0)),"")</f>
        <v/>
      </c>
      <c r="C173" s="15" t="str">
        <f>IFERROR(INDEX(計算用!$M$2:$M$186,MATCH("男赤"&amp;$A173,計算用!$L$2:$L$186,0)),"")</f>
        <v/>
      </c>
      <c r="D173" s="16" t="str">
        <f>IFERROR(INDEX(計算用!$G$2:$G$186,MATCH("男赤"&amp;$A173,計算用!$L$2:$L$186,0)),"")</f>
        <v/>
      </c>
      <c r="E173" s="15"/>
      <c r="F173" s="15" t="str">
        <f>IFERROR(INDEX(計算用!$D$2:$D$186,MATCH("男白"&amp;$A173,計算用!$L$2:$L$186,0)),"")</f>
        <v/>
      </c>
      <c r="G173" s="15" t="str">
        <f>IFERROR(INDEX(計算用!$M$2:$M$186,MATCH("男白"&amp;$A173,計算用!$L$2:$L$186,0)),"")</f>
        <v/>
      </c>
      <c r="H173" s="16" t="str">
        <f>IFERROR(INDEX(計算用!$G$2:$G$186,MATCH("男白"&amp;$A173,計算用!$L$2:$L$186,0)),"")</f>
        <v/>
      </c>
      <c r="I173" s="15"/>
      <c r="J173" s="15" t="str">
        <f>IF(ROW()-3&lt;=MAX(計算用!$Q$4,計算用!$Q$5),ROW()-3,"")</f>
        <v/>
      </c>
      <c r="K173" s="15" t="str">
        <f>IFERROR(INDEX(計算用!$D$2:$D$186,MATCH("女赤"&amp;$J173,計算用!$L$2:$L$186,0)),"")</f>
        <v/>
      </c>
      <c r="L173" s="15" t="str">
        <f>IFERROR(INDEX(計算用!$M$2:$M$186,MATCH("女赤"&amp;$J173,計算用!$L$2:$L$186,0)),"")</f>
        <v/>
      </c>
      <c r="M173" s="16" t="str">
        <f>IFERROR(INDEX(計算用!$G$2:$G$186,MATCH("女赤"&amp;$J173,計算用!$L$2:$L$186,0)),"")</f>
        <v/>
      </c>
      <c r="N173" s="15"/>
      <c r="O173" s="15" t="str">
        <f>IFERROR(INDEX(計算用!$D$2:$D$186,MATCH("女白"&amp;$J173,計算用!$L$2:$L$186,0)),"")</f>
        <v/>
      </c>
      <c r="P173" s="15" t="str">
        <f>IFERROR(INDEX(計算用!$M$2:$M$186,MATCH("女白"&amp;$J173,計算用!$L$2:$L$186,0)),"")</f>
        <v/>
      </c>
      <c r="Q173" s="16" t="str">
        <f>IFERROR(INDEX(計算用!$G$2:$G$186,MATCH("女白"&amp;$J173,計算用!$L$2:$L$186,0)),"")</f>
        <v/>
      </c>
    </row>
    <row r="174" spans="1:17" x14ac:dyDescent="0.15">
      <c r="A174" s="15" t="str">
        <f>IF(ROW()-3&lt;=MAX(計算用!$Q$2,計算用!$Q$3),ROW()-3,"")</f>
        <v/>
      </c>
      <c r="B174" s="15" t="str">
        <f>IFERROR(INDEX(計算用!$D$2:$D$186,MATCH("男赤"&amp;$A174,計算用!$L$2:$L$186,0)),"")</f>
        <v/>
      </c>
      <c r="C174" s="15" t="str">
        <f>IFERROR(INDEX(計算用!$M$2:$M$186,MATCH("男赤"&amp;$A174,計算用!$L$2:$L$186,0)),"")</f>
        <v/>
      </c>
      <c r="D174" s="16" t="str">
        <f>IFERROR(INDEX(計算用!$G$2:$G$186,MATCH("男赤"&amp;$A174,計算用!$L$2:$L$186,0)),"")</f>
        <v/>
      </c>
      <c r="E174" s="15"/>
      <c r="F174" s="15" t="str">
        <f>IFERROR(INDEX(計算用!$D$2:$D$186,MATCH("男白"&amp;$A174,計算用!$L$2:$L$186,0)),"")</f>
        <v/>
      </c>
      <c r="G174" s="15" t="str">
        <f>IFERROR(INDEX(計算用!$M$2:$M$186,MATCH("男白"&amp;$A174,計算用!$L$2:$L$186,0)),"")</f>
        <v/>
      </c>
      <c r="H174" s="16" t="str">
        <f>IFERROR(INDEX(計算用!$G$2:$G$186,MATCH("男白"&amp;$A174,計算用!$L$2:$L$186,0)),"")</f>
        <v/>
      </c>
      <c r="I174" s="15"/>
      <c r="J174" s="15" t="str">
        <f>IF(ROW()-3&lt;=MAX(計算用!$Q$4,計算用!$Q$5),ROW()-3,"")</f>
        <v/>
      </c>
      <c r="K174" s="15" t="str">
        <f>IFERROR(INDEX(計算用!$D$2:$D$186,MATCH("女赤"&amp;$J174,計算用!$L$2:$L$186,0)),"")</f>
        <v/>
      </c>
      <c r="L174" s="15" t="str">
        <f>IFERROR(INDEX(計算用!$M$2:$M$186,MATCH("女赤"&amp;$J174,計算用!$L$2:$L$186,0)),"")</f>
        <v/>
      </c>
      <c r="M174" s="16" t="str">
        <f>IFERROR(INDEX(計算用!$G$2:$G$186,MATCH("女赤"&amp;$J174,計算用!$L$2:$L$186,0)),"")</f>
        <v/>
      </c>
      <c r="N174" s="15"/>
      <c r="O174" s="15" t="str">
        <f>IFERROR(INDEX(計算用!$D$2:$D$186,MATCH("女白"&amp;$J174,計算用!$L$2:$L$186,0)),"")</f>
        <v/>
      </c>
      <c r="P174" s="15" t="str">
        <f>IFERROR(INDEX(計算用!$M$2:$M$186,MATCH("女白"&amp;$J174,計算用!$L$2:$L$186,0)),"")</f>
        <v/>
      </c>
      <c r="Q174" s="16" t="str">
        <f>IFERROR(INDEX(計算用!$G$2:$G$186,MATCH("女白"&amp;$J174,計算用!$L$2:$L$186,0)),"")</f>
        <v/>
      </c>
    </row>
    <row r="175" spans="1:17" x14ac:dyDescent="0.15">
      <c r="A175" s="15" t="str">
        <f>IF(ROW()-3&lt;=MAX(計算用!$Q$2,計算用!$Q$3),ROW()-3,"")</f>
        <v/>
      </c>
      <c r="B175" s="15" t="str">
        <f>IFERROR(INDEX(計算用!$D$2:$D$186,MATCH("男赤"&amp;$A175,計算用!$L$2:$L$186,0)),"")</f>
        <v/>
      </c>
      <c r="C175" s="15" t="str">
        <f>IFERROR(INDEX(計算用!$M$2:$M$186,MATCH("男赤"&amp;$A175,計算用!$L$2:$L$186,0)),"")</f>
        <v/>
      </c>
      <c r="D175" s="16" t="str">
        <f>IFERROR(INDEX(計算用!$G$2:$G$186,MATCH("男赤"&amp;$A175,計算用!$L$2:$L$186,0)),"")</f>
        <v/>
      </c>
      <c r="E175" s="15"/>
      <c r="F175" s="15" t="str">
        <f>IFERROR(INDEX(計算用!$D$2:$D$186,MATCH("男白"&amp;$A175,計算用!$L$2:$L$186,0)),"")</f>
        <v/>
      </c>
      <c r="G175" s="15" t="str">
        <f>IFERROR(INDEX(計算用!$M$2:$M$186,MATCH("男白"&amp;$A175,計算用!$L$2:$L$186,0)),"")</f>
        <v/>
      </c>
      <c r="H175" s="16" t="str">
        <f>IFERROR(INDEX(計算用!$G$2:$G$186,MATCH("男白"&amp;$A175,計算用!$L$2:$L$186,0)),"")</f>
        <v/>
      </c>
      <c r="I175" s="15"/>
      <c r="J175" s="15" t="str">
        <f>IF(ROW()-3&lt;=MAX(計算用!$Q$4,計算用!$Q$5),ROW()-3,"")</f>
        <v/>
      </c>
      <c r="K175" s="15" t="str">
        <f>IFERROR(INDEX(計算用!$D$2:$D$186,MATCH("女赤"&amp;$J175,計算用!$L$2:$L$186,0)),"")</f>
        <v/>
      </c>
      <c r="L175" s="15" t="str">
        <f>IFERROR(INDEX(計算用!$M$2:$M$186,MATCH("女赤"&amp;$J175,計算用!$L$2:$L$186,0)),"")</f>
        <v/>
      </c>
      <c r="M175" s="16" t="str">
        <f>IFERROR(INDEX(計算用!$G$2:$G$186,MATCH("女赤"&amp;$J175,計算用!$L$2:$L$186,0)),"")</f>
        <v/>
      </c>
      <c r="N175" s="15"/>
      <c r="O175" s="15" t="str">
        <f>IFERROR(INDEX(計算用!$D$2:$D$186,MATCH("女白"&amp;$J175,計算用!$L$2:$L$186,0)),"")</f>
        <v/>
      </c>
      <c r="P175" s="15" t="str">
        <f>IFERROR(INDEX(計算用!$M$2:$M$186,MATCH("女白"&amp;$J175,計算用!$L$2:$L$186,0)),"")</f>
        <v/>
      </c>
      <c r="Q175" s="16" t="str">
        <f>IFERROR(INDEX(計算用!$G$2:$G$186,MATCH("女白"&amp;$J175,計算用!$L$2:$L$186,0)),"")</f>
        <v/>
      </c>
    </row>
    <row r="176" spans="1:17" x14ac:dyDescent="0.15">
      <c r="A176" s="15" t="str">
        <f>IF(ROW()-3&lt;=MAX(計算用!$Q$2,計算用!$Q$3),ROW()-3,"")</f>
        <v/>
      </c>
      <c r="B176" s="15" t="str">
        <f>IFERROR(INDEX(計算用!$D$2:$D$186,MATCH("男赤"&amp;$A176,計算用!$L$2:$L$186,0)),"")</f>
        <v/>
      </c>
      <c r="C176" s="15" t="str">
        <f>IFERROR(INDEX(計算用!$M$2:$M$186,MATCH("男赤"&amp;$A176,計算用!$L$2:$L$186,0)),"")</f>
        <v/>
      </c>
      <c r="D176" s="16" t="str">
        <f>IFERROR(INDEX(計算用!$G$2:$G$186,MATCH("男赤"&amp;$A176,計算用!$L$2:$L$186,0)),"")</f>
        <v/>
      </c>
      <c r="E176" s="15"/>
      <c r="F176" s="15" t="str">
        <f>IFERROR(INDEX(計算用!$D$2:$D$186,MATCH("男白"&amp;$A176,計算用!$L$2:$L$186,0)),"")</f>
        <v/>
      </c>
      <c r="G176" s="15" t="str">
        <f>IFERROR(INDEX(計算用!$M$2:$M$186,MATCH("男白"&amp;$A176,計算用!$L$2:$L$186,0)),"")</f>
        <v/>
      </c>
      <c r="H176" s="16" t="str">
        <f>IFERROR(INDEX(計算用!$G$2:$G$186,MATCH("男白"&amp;$A176,計算用!$L$2:$L$186,0)),"")</f>
        <v/>
      </c>
      <c r="I176" s="15"/>
      <c r="J176" s="15" t="str">
        <f>IF(ROW()-3&lt;=MAX(計算用!$Q$4,計算用!$Q$5),ROW()-3,"")</f>
        <v/>
      </c>
      <c r="K176" s="15" t="str">
        <f>IFERROR(INDEX(計算用!$D$2:$D$186,MATCH("女赤"&amp;$J176,計算用!$L$2:$L$186,0)),"")</f>
        <v/>
      </c>
      <c r="L176" s="15" t="str">
        <f>IFERROR(INDEX(計算用!$M$2:$M$186,MATCH("女赤"&amp;$J176,計算用!$L$2:$L$186,0)),"")</f>
        <v/>
      </c>
      <c r="M176" s="16" t="str">
        <f>IFERROR(INDEX(計算用!$G$2:$G$186,MATCH("女赤"&amp;$J176,計算用!$L$2:$L$186,0)),"")</f>
        <v/>
      </c>
      <c r="N176" s="15"/>
      <c r="O176" s="15" t="str">
        <f>IFERROR(INDEX(計算用!$D$2:$D$186,MATCH("女白"&amp;$J176,計算用!$L$2:$L$186,0)),"")</f>
        <v/>
      </c>
      <c r="P176" s="15" t="str">
        <f>IFERROR(INDEX(計算用!$M$2:$M$186,MATCH("女白"&amp;$J176,計算用!$L$2:$L$186,0)),"")</f>
        <v/>
      </c>
      <c r="Q176" s="16" t="str">
        <f>IFERROR(INDEX(計算用!$G$2:$G$186,MATCH("女白"&amp;$J176,計算用!$L$2:$L$186,0)),"")</f>
        <v/>
      </c>
    </row>
    <row r="177" spans="1:17" x14ac:dyDescent="0.15">
      <c r="A177" s="15" t="str">
        <f>IF(ROW()-3&lt;=MAX(計算用!$Q$2,計算用!$Q$3),ROW()-3,"")</f>
        <v/>
      </c>
      <c r="B177" s="15" t="str">
        <f>IFERROR(INDEX(計算用!$D$2:$D$186,MATCH("男赤"&amp;$A177,計算用!$L$2:$L$186,0)),"")</f>
        <v/>
      </c>
      <c r="C177" s="15" t="str">
        <f>IFERROR(INDEX(計算用!$M$2:$M$186,MATCH("男赤"&amp;$A177,計算用!$L$2:$L$186,0)),"")</f>
        <v/>
      </c>
      <c r="D177" s="16" t="str">
        <f>IFERROR(INDEX(計算用!$G$2:$G$186,MATCH("男赤"&amp;$A177,計算用!$L$2:$L$186,0)),"")</f>
        <v/>
      </c>
      <c r="E177" s="15"/>
      <c r="F177" s="15" t="str">
        <f>IFERROR(INDEX(計算用!$D$2:$D$186,MATCH("男白"&amp;$A177,計算用!$L$2:$L$186,0)),"")</f>
        <v/>
      </c>
      <c r="G177" s="15" t="str">
        <f>IFERROR(INDEX(計算用!$M$2:$M$186,MATCH("男白"&amp;$A177,計算用!$L$2:$L$186,0)),"")</f>
        <v/>
      </c>
      <c r="H177" s="16" t="str">
        <f>IFERROR(INDEX(計算用!$G$2:$G$186,MATCH("男白"&amp;$A177,計算用!$L$2:$L$186,0)),"")</f>
        <v/>
      </c>
      <c r="I177" s="15"/>
      <c r="J177" s="15" t="str">
        <f>IF(ROW()-3&lt;=MAX(計算用!$Q$4,計算用!$Q$5),ROW()-3,"")</f>
        <v/>
      </c>
      <c r="K177" s="15" t="str">
        <f>IFERROR(INDEX(計算用!$D$2:$D$186,MATCH("女赤"&amp;$J177,計算用!$L$2:$L$186,0)),"")</f>
        <v/>
      </c>
      <c r="L177" s="15" t="str">
        <f>IFERROR(INDEX(計算用!$M$2:$M$186,MATCH("女赤"&amp;$J177,計算用!$L$2:$L$186,0)),"")</f>
        <v/>
      </c>
      <c r="M177" s="16" t="str">
        <f>IFERROR(INDEX(計算用!$G$2:$G$186,MATCH("女赤"&amp;$J177,計算用!$L$2:$L$186,0)),"")</f>
        <v/>
      </c>
      <c r="N177" s="15"/>
      <c r="O177" s="15" t="str">
        <f>IFERROR(INDEX(計算用!$D$2:$D$186,MATCH("女白"&amp;$J177,計算用!$L$2:$L$186,0)),"")</f>
        <v/>
      </c>
      <c r="P177" s="15" t="str">
        <f>IFERROR(INDEX(計算用!$M$2:$M$186,MATCH("女白"&amp;$J177,計算用!$L$2:$L$186,0)),"")</f>
        <v/>
      </c>
      <c r="Q177" s="16" t="str">
        <f>IFERROR(INDEX(計算用!$G$2:$G$186,MATCH("女白"&amp;$J177,計算用!$L$2:$L$186,0)),"")</f>
        <v/>
      </c>
    </row>
    <row r="178" spans="1:17" x14ac:dyDescent="0.15">
      <c r="A178" s="15" t="str">
        <f>IF(ROW()-3&lt;=MAX(計算用!$Q$2,計算用!$Q$3),ROW()-3,"")</f>
        <v/>
      </c>
      <c r="B178" s="15" t="str">
        <f>IFERROR(INDEX(計算用!$D$2:$D$186,MATCH("男赤"&amp;$A178,計算用!$L$2:$L$186,0)),"")</f>
        <v/>
      </c>
      <c r="C178" s="15" t="str">
        <f>IFERROR(INDEX(計算用!$M$2:$M$186,MATCH("男赤"&amp;$A178,計算用!$L$2:$L$186,0)),"")</f>
        <v/>
      </c>
      <c r="D178" s="16" t="str">
        <f>IFERROR(INDEX(計算用!$G$2:$G$186,MATCH("男赤"&amp;$A178,計算用!$L$2:$L$186,0)),"")</f>
        <v/>
      </c>
      <c r="E178" s="15"/>
      <c r="F178" s="15" t="str">
        <f>IFERROR(INDEX(計算用!$D$2:$D$186,MATCH("男白"&amp;$A178,計算用!$L$2:$L$186,0)),"")</f>
        <v/>
      </c>
      <c r="G178" s="15" t="str">
        <f>IFERROR(INDEX(計算用!$M$2:$M$186,MATCH("男白"&amp;$A178,計算用!$L$2:$L$186,0)),"")</f>
        <v/>
      </c>
      <c r="H178" s="16" t="str">
        <f>IFERROR(INDEX(計算用!$G$2:$G$186,MATCH("男白"&amp;$A178,計算用!$L$2:$L$186,0)),"")</f>
        <v/>
      </c>
      <c r="I178" s="15"/>
      <c r="J178" s="15" t="str">
        <f>IF(ROW()-3&lt;=MAX(計算用!$Q$4,計算用!$Q$5),ROW()-3,"")</f>
        <v/>
      </c>
      <c r="K178" s="15" t="str">
        <f>IFERROR(INDEX(計算用!$D$2:$D$186,MATCH("女赤"&amp;$J178,計算用!$L$2:$L$186,0)),"")</f>
        <v/>
      </c>
      <c r="L178" s="15" t="str">
        <f>IFERROR(INDEX(計算用!$M$2:$M$186,MATCH("女赤"&amp;$J178,計算用!$L$2:$L$186,0)),"")</f>
        <v/>
      </c>
      <c r="M178" s="16" t="str">
        <f>IFERROR(INDEX(計算用!$G$2:$G$186,MATCH("女赤"&amp;$J178,計算用!$L$2:$L$186,0)),"")</f>
        <v/>
      </c>
      <c r="N178" s="15"/>
      <c r="O178" s="15" t="str">
        <f>IFERROR(INDEX(計算用!$D$2:$D$186,MATCH("女白"&amp;$J178,計算用!$L$2:$L$186,0)),"")</f>
        <v/>
      </c>
      <c r="P178" s="15" t="str">
        <f>IFERROR(INDEX(計算用!$M$2:$M$186,MATCH("女白"&amp;$J178,計算用!$L$2:$L$186,0)),"")</f>
        <v/>
      </c>
      <c r="Q178" s="16" t="str">
        <f>IFERROR(INDEX(計算用!$G$2:$G$186,MATCH("女白"&amp;$J178,計算用!$L$2:$L$186,0)),"")</f>
        <v/>
      </c>
    </row>
    <row r="179" spans="1:17" x14ac:dyDescent="0.15">
      <c r="A179" s="15" t="str">
        <f>IF(ROW()-3&lt;=MAX(計算用!$Q$2,計算用!$Q$3),ROW()-3,"")</f>
        <v/>
      </c>
      <c r="B179" s="15" t="str">
        <f>IFERROR(INDEX(計算用!$D$2:$D$186,MATCH("男赤"&amp;$A179,計算用!$L$2:$L$186,0)),"")</f>
        <v/>
      </c>
      <c r="C179" s="15" t="str">
        <f>IFERROR(INDEX(計算用!$M$2:$M$186,MATCH("男赤"&amp;$A179,計算用!$L$2:$L$186,0)),"")</f>
        <v/>
      </c>
      <c r="D179" s="16" t="str">
        <f>IFERROR(INDEX(計算用!$G$2:$G$186,MATCH("男赤"&amp;$A179,計算用!$L$2:$L$186,0)),"")</f>
        <v/>
      </c>
      <c r="E179" s="15"/>
      <c r="F179" s="15" t="str">
        <f>IFERROR(INDEX(計算用!$D$2:$D$186,MATCH("男白"&amp;$A179,計算用!$L$2:$L$186,0)),"")</f>
        <v/>
      </c>
      <c r="G179" s="15" t="str">
        <f>IFERROR(INDEX(計算用!$M$2:$M$186,MATCH("男白"&amp;$A179,計算用!$L$2:$L$186,0)),"")</f>
        <v/>
      </c>
      <c r="H179" s="16" t="str">
        <f>IFERROR(INDEX(計算用!$G$2:$G$186,MATCH("男白"&amp;$A179,計算用!$L$2:$L$186,0)),"")</f>
        <v/>
      </c>
      <c r="I179" s="15"/>
      <c r="J179" s="15" t="str">
        <f>IF(ROW()-3&lt;=MAX(計算用!$Q$4,計算用!$Q$5),ROW()-3,"")</f>
        <v/>
      </c>
      <c r="K179" s="15" t="str">
        <f>IFERROR(INDEX(計算用!$D$2:$D$186,MATCH("女赤"&amp;$J179,計算用!$L$2:$L$186,0)),"")</f>
        <v/>
      </c>
      <c r="L179" s="15" t="str">
        <f>IFERROR(INDEX(計算用!$M$2:$M$186,MATCH("女赤"&amp;$J179,計算用!$L$2:$L$186,0)),"")</f>
        <v/>
      </c>
      <c r="M179" s="16" t="str">
        <f>IFERROR(INDEX(計算用!$G$2:$G$186,MATCH("女赤"&amp;$J179,計算用!$L$2:$L$186,0)),"")</f>
        <v/>
      </c>
      <c r="N179" s="15"/>
      <c r="O179" s="15" t="str">
        <f>IFERROR(INDEX(計算用!$D$2:$D$186,MATCH("女白"&amp;$J179,計算用!$L$2:$L$186,0)),"")</f>
        <v/>
      </c>
      <c r="P179" s="15" t="str">
        <f>IFERROR(INDEX(計算用!$M$2:$M$186,MATCH("女白"&amp;$J179,計算用!$L$2:$L$186,0)),"")</f>
        <v/>
      </c>
      <c r="Q179" s="16" t="str">
        <f>IFERROR(INDEX(計算用!$G$2:$G$186,MATCH("女白"&amp;$J179,計算用!$L$2:$L$186,0)),"")</f>
        <v/>
      </c>
    </row>
    <row r="180" spans="1:17" x14ac:dyDescent="0.15">
      <c r="A180" s="15" t="str">
        <f>IF(ROW()-3&lt;=MAX(計算用!$Q$2,計算用!$Q$3),ROW()-3,"")</f>
        <v/>
      </c>
      <c r="B180" s="15" t="str">
        <f>IFERROR(INDEX(計算用!$D$2:$D$186,MATCH("男赤"&amp;$A180,計算用!$L$2:$L$186,0)),"")</f>
        <v/>
      </c>
      <c r="C180" s="15" t="str">
        <f>IFERROR(INDEX(計算用!$M$2:$M$186,MATCH("男赤"&amp;$A180,計算用!$L$2:$L$186,0)),"")</f>
        <v/>
      </c>
      <c r="D180" s="16" t="str">
        <f>IFERROR(INDEX(計算用!$G$2:$G$186,MATCH("男赤"&amp;$A180,計算用!$L$2:$L$186,0)),"")</f>
        <v/>
      </c>
      <c r="E180" s="15"/>
      <c r="F180" s="15" t="str">
        <f>IFERROR(INDEX(計算用!$D$2:$D$186,MATCH("男白"&amp;$A180,計算用!$L$2:$L$186,0)),"")</f>
        <v/>
      </c>
      <c r="G180" s="15" t="str">
        <f>IFERROR(INDEX(計算用!$M$2:$M$186,MATCH("男白"&amp;$A180,計算用!$L$2:$L$186,0)),"")</f>
        <v/>
      </c>
      <c r="H180" s="16" t="str">
        <f>IFERROR(INDEX(計算用!$G$2:$G$186,MATCH("男白"&amp;$A180,計算用!$L$2:$L$186,0)),"")</f>
        <v/>
      </c>
      <c r="I180" s="15"/>
      <c r="J180" s="15" t="str">
        <f>IF(ROW()-3&lt;=MAX(計算用!$Q$4,計算用!$Q$5),ROW()-3,"")</f>
        <v/>
      </c>
      <c r="K180" s="15" t="str">
        <f>IFERROR(INDEX(計算用!$D$2:$D$186,MATCH("女赤"&amp;$J180,計算用!$L$2:$L$186,0)),"")</f>
        <v/>
      </c>
      <c r="L180" s="15" t="str">
        <f>IFERROR(INDEX(計算用!$M$2:$M$186,MATCH("女赤"&amp;$J180,計算用!$L$2:$L$186,0)),"")</f>
        <v/>
      </c>
      <c r="M180" s="16" t="str">
        <f>IFERROR(INDEX(計算用!$G$2:$G$186,MATCH("女赤"&amp;$J180,計算用!$L$2:$L$186,0)),"")</f>
        <v/>
      </c>
      <c r="N180" s="15"/>
      <c r="O180" s="15" t="str">
        <f>IFERROR(INDEX(計算用!$D$2:$D$186,MATCH("女白"&amp;$J180,計算用!$L$2:$L$186,0)),"")</f>
        <v/>
      </c>
      <c r="P180" s="15" t="str">
        <f>IFERROR(INDEX(計算用!$M$2:$M$186,MATCH("女白"&amp;$J180,計算用!$L$2:$L$186,0)),"")</f>
        <v/>
      </c>
      <c r="Q180" s="16" t="str">
        <f>IFERROR(INDEX(計算用!$G$2:$G$186,MATCH("女白"&amp;$J180,計算用!$L$2:$L$186,0)),"")</f>
        <v/>
      </c>
    </row>
    <row r="181" spans="1:17" x14ac:dyDescent="0.15">
      <c r="A181" s="15" t="str">
        <f>IF(ROW()-3&lt;=MAX(計算用!$Q$2,計算用!$Q$3),ROW()-3,"")</f>
        <v/>
      </c>
      <c r="B181" s="15" t="str">
        <f>IFERROR(INDEX(計算用!$D$2:$D$186,MATCH("男赤"&amp;$A181,計算用!$L$2:$L$186,0)),"")</f>
        <v/>
      </c>
      <c r="C181" s="15" t="str">
        <f>IFERROR(INDEX(計算用!$M$2:$M$186,MATCH("男赤"&amp;$A181,計算用!$L$2:$L$186,0)),"")</f>
        <v/>
      </c>
      <c r="D181" s="16" t="str">
        <f>IFERROR(INDEX(計算用!$G$2:$G$186,MATCH("男赤"&amp;$A181,計算用!$L$2:$L$186,0)),"")</f>
        <v/>
      </c>
      <c r="E181" s="15"/>
      <c r="F181" s="15" t="str">
        <f>IFERROR(INDEX(計算用!$D$2:$D$186,MATCH("男白"&amp;$A181,計算用!$L$2:$L$186,0)),"")</f>
        <v/>
      </c>
      <c r="G181" s="15" t="str">
        <f>IFERROR(INDEX(計算用!$M$2:$M$186,MATCH("男白"&amp;$A181,計算用!$L$2:$L$186,0)),"")</f>
        <v/>
      </c>
      <c r="H181" s="16" t="str">
        <f>IFERROR(INDEX(計算用!$G$2:$G$186,MATCH("男白"&amp;$A181,計算用!$L$2:$L$186,0)),"")</f>
        <v/>
      </c>
      <c r="I181" s="15"/>
      <c r="J181" s="15" t="str">
        <f>IF(ROW()-3&lt;=MAX(計算用!$Q$4,計算用!$Q$5),ROW()-3,"")</f>
        <v/>
      </c>
      <c r="K181" s="15" t="str">
        <f>IFERROR(INDEX(計算用!$D$2:$D$186,MATCH("女赤"&amp;$J181,計算用!$L$2:$L$186,0)),"")</f>
        <v/>
      </c>
      <c r="L181" s="15" t="str">
        <f>IFERROR(INDEX(計算用!$M$2:$M$186,MATCH("女赤"&amp;$J181,計算用!$L$2:$L$186,0)),"")</f>
        <v/>
      </c>
      <c r="M181" s="16" t="str">
        <f>IFERROR(INDEX(計算用!$G$2:$G$186,MATCH("女赤"&amp;$J181,計算用!$L$2:$L$186,0)),"")</f>
        <v/>
      </c>
      <c r="N181" s="15"/>
      <c r="O181" s="15" t="str">
        <f>IFERROR(INDEX(計算用!$D$2:$D$186,MATCH("女白"&amp;$J181,計算用!$L$2:$L$186,0)),"")</f>
        <v/>
      </c>
      <c r="P181" s="15" t="str">
        <f>IFERROR(INDEX(計算用!$M$2:$M$186,MATCH("女白"&amp;$J181,計算用!$L$2:$L$186,0)),"")</f>
        <v/>
      </c>
      <c r="Q181" s="16" t="str">
        <f>IFERROR(INDEX(計算用!$G$2:$G$186,MATCH("女白"&amp;$J181,計算用!$L$2:$L$186,0)),"")</f>
        <v/>
      </c>
    </row>
    <row r="182" spans="1:17" x14ac:dyDescent="0.15">
      <c r="A182" s="15" t="str">
        <f>IF(ROW()-3&lt;=MAX(計算用!$Q$2,計算用!$Q$3),ROW()-3,"")</f>
        <v/>
      </c>
      <c r="B182" s="15" t="str">
        <f>IFERROR(INDEX(計算用!$D$2:$D$186,MATCH("男赤"&amp;$A182,計算用!$L$2:$L$186,0)),"")</f>
        <v/>
      </c>
      <c r="C182" s="15" t="str">
        <f>IFERROR(INDEX(計算用!$M$2:$M$186,MATCH("男赤"&amp;$A182,計算用!$L$2:$L$186,0)),"")</f>
        <v/>
      </c>
      <c r="D182" s="16" t="str">
        <f>IFERROR(INDEX(計算用!$G$2:$G$186,MATCH("男赤"&amp;$A182,計算用!$L$2:$L$186,0)),"")</f>
        <v/>
      </c>
      <c r="E182" s="15"/>
      <c r="F182" s="15" t="str">
        <f>IFERROR(INDEX(計算用!$D$2:$D$186,MATCH("男白"&amp;$A182,計算用!$L$2:$L$186,0)),"")</f>
        <v/>
      </c>
      <c r="G182" s="15" t="str">
        <f>IFERROR(INDEX(計算用!$M$2:$M$186,MATCH("男白"&amp;$A182,計算用!$L$2:$L$186,0)),"")</f>
        <v/>
      </c>
      <c r="H182" s="16" t="str">
        <f>IFERROR(INDEX(計算用!$G$2:$G$186,MATCH("男白"&amp;$A182,計算用!$L$2:$L$186,0)),"")</f>
        <v/>
      </c>
      <c r="I182" s="15"/>
      <c r="J182" s="15" t="str">
        <f>IF(ROW()-3&lt;=MAX(計算用!$Q$4,計算用!$Q$5),ROW()-3,"")</f>
        <v/>
      </c>
      <c r="K182" s="15" t="str">
        <f>IFERROR(INDEX(計算用!$D$2:$D$186,MATCH("女赤"&amp;$J182,計算用!$L$2:$L$186,0)),"")</f>
        <v/>
      </c>
      <c r="L182" s="15" t="str">
        <f>IFERROR(INDEX(計算用!$M$2:$M$186,MATCH("女赤"&amp;$J182,計算用!$L$2:$L$186,0)),"")</f>
        <v/>
      </c>
      <c r="M182" s="16" t="str">
        <f>IFERROR(INDEX(計算用!$G$2:$G$186,MATCH("女赤"&amp;$J182,計算用!$L$2:$L$186,0)),"")</f>
        <v/>
      </c>
      <c r="N182" s="15"/>
      <c r="O182" s="15" t="str">
        <f>IFERROR(INDEX(計算用!$D$2:$D$186,MATCH("女白"&amp;$J182,計算用!$L$2:$L$186,0)),"")</f>
        <v/>
      </c>
      <c r="P182" s="15" t="str">
        <f>IFERROR(INDEX(計算用!$M$2:$M$186,MATCH("女白"&amp;$J182,計算用!$L$2:$L$186,0)),"")</f>
        <v/>
      </c>
      <c r="Q182" s="16" t="str">
        <f>IFERROR(INDEX(計算用!$G$2:$G$186,MATCH("女白"&amp;$J182,計算用!$L$2:$L$186,0)),"")</f>
        <v/>
      </c>
    </row>
    <row r="183" spans="1:17" x14ac:dyDescent="0.15">
      <c r="A183" s="15" t="str">
        <f>IF(ROW()-3&lt;=MAX(計算用!$Q$2,計算用!$Q$3),ROW()-3,"")</f>
        <v/>
      </c>
      <c r="B183" s="15" t="str">
        <f>IFERROR(INDEX(計算用!$D$2:$D$186,MATCH("男赤"&amp;$A183,計算用!$L$2:$L$186,0)),"")</f>
        <v/>
      </c>
      <c r="C183" s="15" t="str">
        <f>IFERROR(INDEX(計算用!$M$2:$M$186,MATCH("男赤"&amp;$A183,計算用!$L$2:$L$186,0)),"")</f>
        <v/>
      </c>
      <c r="D183" s="16" t="str">
        <f>IFERROR(INDEX(計算用!$G$2:$G$186,MATCH("男赤"&amp;$A183,計算用!$L$2:$L$186,0)),"")</f>
        <v/>
      </c>
      <c r="E183" s="15"/>
      <c r="F183" s="15" t="str">
        <f>IFERROR(INDEX(計算用!$D$2:$D$186,MATCH("男白"&amp;$A183,計算用!$L$2:$L$186,0)),"")</f>
        <v/>
      </c>
      <c r="G183" s="15" t="str">
        <f>IFERROR(INDEX(計算用!$M$2:$M$186,MATCH("男白"&amp;$A183,計算用!$L$2:$L$186,0)),"")</f>
        <v/>
      </c>
      <c r="H183" s="16" t="str">
        <f>IFERROR(INDEX(計算用!$G$2:$G$186,MATCH("男白"&amp;$A183,計算用!$L$2:$L$186,0)),"")</f>
        <v/>
      </c>
      <c r="I183" s="15"/>
      <c r="J183" s="15" t="str">
        <f>IF(ROW()-3&lt;=MAX(計算用!$Q$4,計算用!$Q$5),ROW()-3,"")</f>
        <v/>
      </c>
      <c r="K183" s="15" t="str">
        <f>IFERROR(INDEX(計算用!$D$2:$D$186,MATCH("女赤"&amp;$J183,計算用!$L$2:$L$186,0)),"")</f>
        <v/>
      </c>
      <c r="L183" s="15" t="str">
        <f>IFERROR(INDEX(計算用!$M$2:$M$186,MATCH("女赤"&amp;$J183,計算用!$L$2:$L$186,0)),"")</f>
        <v/>
      </c>
      <c r="M183" s="16" t="str">
        <f>IFERROR(INDEX(計算用!$G$2:$G$186,MATCH("女赤"&amp;$J183,計算用!$L$2:$L$186,0)),"")</f>
        <v/>
      </c>
      <c r="N183" s="15"/>
      <c r="O183" s="15" t="str">
        <f>IFERROR(INDEX(計算用!$D$2:$D$186,MATCH("女白"&amp;$J183,計算用!$L$2:$L$186,0)),"")</f>
        <v/>
      </c>
      <c r="P183" s="15" t="str">
        <f>IFERROR(INDEX(計算用!$M$2:$M$186,MATCH("女白"&amp;$J183,計算用!$L$2:$L$186,0)),"")</f>
        <v/>
      </c>
      <c r="Q183" s="16" t="str">
        <f>IFERROR(INDEX(計算用!$G$2:$G$186,MATCH("女白"&amp;$J183,計算用!$L$2:$L$186,0)),"")</f>
        <v/>
      </c>
    </row>
    <row r="184" spans="1:17" x14ac:dyDescent="0.15">
      <c r="A184" s="15" t="str">
        <f>IF(ROW()-3&lt;=MAX(計算用!$Q$2,計算用!$Q$3),ROW()-3,"")</f>
        <v/>
      </c>
      <c r="B184" s="15" t="str">
        <f>IFERROR(INDEX(計算用!$D$2:$D$186,MATCH("男赤"&amp;$A184,計算用!$L$2:$L$186,0)),"")</f>
        <v/>
      </c>
      <c r="C184" s="15" t="str">
        <f>IFERROR(INDEX(計算用!$M$2:$M$186,MATCH("男赤"&amp;$A184,計算用!$L$2:$L$186,0)),"")</f>
        <v/>
      </c>
      <c r="D184" s="16" t="str">
        <f>IFERROR(INDEX(計算用!$G$2:$G$186,MATCH("男赤"&amp;$A184,計算用!$L$2:$L$186,0)),"")</f>
        <v/>
      </c>
      <c r="E184" s="15"/>
      <c r="F184" s="15" t="str">
        <f>IFERROR(INDEX(計算用!$D$2:$D$186,MATCH("男白"&amp;$A184,計算用!$L$2:$L$186,0)),"")</f>
        <v/>
      </c>
      <c r="G184" s="15" t="str">
        <f>IFERROR(INDEX(計算用!$M$2:$M$186,MATCH("男白"&amp;$A184,計算用!$L$2:$L$186,0)),"")</f>
        <v/>
      </c>
      <c r="H184" s="16" t="str">
        <f>IFERROR(INDEX(計算用!$G$2:$G$186,MATCH("男白"&amp;$A184,計算用!$L$2:$L$186,0)),"")</f>
        <v/>
      </c>
      <c r="I184" s="15"/>
      <c r="J184" s="15" t="str">
        <f>IF(ROW()-3&lt;=MAX(計算用!$Q$4,計算用!$Q$5),ROW()-3,"")</f>
        <v/>
      </c>
      <c r="K184" s="15" t="str">
        <f>IFERROR(INDEX(計算用!$D$2:$D$186,MATCH("女赤"&amp;$J184,計算用!$L$2:$L$186,0)),"")</f>
        <v/>
      </c>
      <c r="L184" s="15" t="str">
        <f>IFERROR(INDEX(計算用!$M$2:$M$186,MATCH("女赤"&amp;$J184,計算用!$L$2:$L$186,0)),"")</f>
        <v/>
      </c>
      <c r="M184" s="16" t="str">
        <f>IFERROR(INDEX(計算用!$G$2:$G$186,MATCH("女赤"&amp;$J184,計算用!$L$2:$L$186,0)),"")</f>
        <v/>
      </c>
      <c r="N184" s="15"/>
      <c r="O184" s="15" t="str">
        <f>IFERROR(INDEX(計算用!$D$2:$D$186,MATCH("女白"&amp;$J184,計算用!$L$2:$L$186,0)),"")</f>
        <v/>
      </c>
      <c r="P184" s="15" t="str">
        <f>IFERROR(INDEX(計算用!$M$2:$M$186,MATCH("女白"&amp;$J184,計算用!$L$2:$L$186,0)),"")</f>
        <v/>
      </c>
      <c r="Q184" s="16" t="str">
        <f>IFERROR(INDEX(計算用!$G$2:$G$186,MATCH("女白"&amp;$J184,計算用!$L$2:$L$186,0)),"")</f>
        <v/>
      </c>
    </row>
    <row r="185" spans="1:17" x14ac:dyDescent="0.15">
      <c r="A185" s="15" t="str">
        <f>IF(ROW()-3&lt;=MAX(計算用!$Q$2,計算用!$Q$3),ROW()-3,"")</f>
        <v/>
      </c>
      <c r="B185" s="15" t="str">
        <f>IFERROR(INDEX(計算用!$D$2:$D$186,MATCH("男赤"&amp;$A185,計算用!$L$2:$L$186,0)),"")</f>
        <v/>
      </c>
      <c r="C185" s="15" t="str">
        <f>IFERROR(INDEX(計算用!$M$2:$M$186,MATCH("男赤"&amp;$A185,計算用!$L$2:$L$186,0)),"")</f>
        <v/>
      </c>
      <c r="D185" s="16" t="str">
        <f>IFERROR(INDEX(計算用!$G$2:$G$186,MATCH("男赤"&amp;$A185,計算用!$L$2:$L$186,0)),"")</f>
        <v/>
      </c>
      <c r="E185" s="15"/>
      <c r="F185" s="15" t="str">
        <f>IFERROR(INDEX(計算用!$D$2:$D$186,MATCH("男白"&amp;$A185,計算用!$L$2:$L$186,0)),"")</f>
        <v/>
      </c>
      <c r="G185" s="15" t="str">
        <f>IFERROR(INDEX(計算用!$M$2:$M$186,MATCH("男白"&amp;$A185,計算用!$L$2:$L$186,0)),"")</f>
        <v/>
      </c>
      <c r="H185" s="16" t="str">
        <f>IFERROR(INDEX(計算用!$G$2:$G$186,MATCH("男白"&amp;$A185,計算用!$L$2:$L$186,0)),"")</f>
        <v/>
      </c>
      <c r="I185" s="15"/>
      <c r="J185" s="15" t="str">
        <f>IF(ROW()-3&lt;=MAX(計算用!$Q$4,計算用!$Q$5),ROW()-3,"")</f>
        <v/>
      </c>
      <c r="K185" s="15" t="str">
        <f>IFERROR(INDEX(計算用!$D$2:$D$186,MATCH("女赤"&amp;$J185,計算用!$L$2:$L$186,0)),"")</f>
        <v/>
      </c>
      <c r="L185" s="15" t="str">
        <f>IFERROR(INDEX(計算用!$M$2:$M$186,MATCH("女赤"&amp;$J185,計算用!$L$2:$L$186,0)),"")</f>
        <v/>
      </c>
      <c r="M185" s="16" t="str">
        <f>IFERROR(INDEX(計算用!$G$2:$G$186,MATCH("女赤"&amp;$J185,計算用!$L$2:$L$186,0)),"")</f>
        <v/>
      </c>
      <c r="N185" s="15"/>
      <c r="O185" s="15" t="str">
        <f>IFERROR(INDEX(計算用!$D$2:$D$186,MATCH("女白"&amp;$J185,計算用!$L$2:$L$186,0)),"")</f>
        <v/>
      </c>
      <c r="P185" s="15" t="str">
        <f>IFERROR(INDEX(計算用!$M$2:$M$186,MATCH("女白"&amp;$J185,計算用!$L$2:$L$186,0)),"")</f>
        <v/>
      </c>
      <c r="Q185" s="16" t="str">
        <f>IFERROR(INDEX(計算用!$G$2:$G$186,MATCH("女白"&amp;$J185,計算用!$L$2:$L$186,0)),"")</f>
        <v/>
      </c>
    </row>
    <row r="186" spans="1:17" x14ac:dyDescent="0.15">
      <c r="A186" s="15" t="str">
        <f>IF(ROW()-3&lt;=MAX(計算用!$Q$2,計算用!$Q$3),ROW()-3,"")</f>
        <v/>
      </c>
      <c r="B186" s="15" t="str">
        <f>IFERROR(INDEX(計算用!$D$2:$D$186,MATCH("男赤"&amp;$A186,計算用!$L$2:$L$186,0)),"")</f>
        <v/>
      </c>
      <c r="C186" s="15" t="str">
        <f>IFERROR(INDEX(計算用!$M$2:$M$186,MATCH("男赤"&amp;$A186,計算用!$L$2:$L$186,0)),"")</f>
        <v/>
      </c>
      <c r="D186" s="16" t="str">
        <f>IFERROR(INDEX(計算用!$G$2:$G$186,MATCH("男赤"&amp;$A186,計算用!$L$2:$L$186,0)),"")</f>
        <v/>
      </c>
      <c r="E186" s="15"/>
      <c r="F186" s="15" t="str">
        <f>IFERROR(INDEX(計算用!$D$2:$D$186,MATCH("男白"&amp;$A186,計算用!$L$2:$L$186,0)),"")</f>
        <v/>
      </c>
      <c r="G186" s="15" t="str">
        <f>IFERROR(INDEX(計算用!$M$2:$M$186,MATCH("男白"&amp;$A186,計算用!$L$2:$L$186,0)),"")</f>
        <v/>
      </c>
      <c r="H186" s="16" t="str">
        <f>IFERROR(INDEX(計算用!$G$2:$G$186,MATCH("男白"&amp;$A186,計算用!$L$2:$L$186,0)),"")</f>
        <v/>
      </c>
      <c r="I186" s="15"/>
      <c r="J186" s="15" t="str">
        <f>IF(ROW()-3&lt;=MAX(計算用!$Q$4,計算用!$Q$5),ROW()-3,"")</f>
        <v/>
      </c>
      <c r="K186" s="15" t="str">
        <f>IFERROR(INDEX(計算用!$D$2:$D$186,MATCH("女赤"&amp;$J186,計算用!$L$2:$L$186,0)),"")</f>
        <v/>
      </c>
      <c r="L186" s="15" t="str">
        <f>IFERROR(INDEX(計算用!$M$2:$M$186,MATCH("女赤"&amp;$J186,計算用!$L$2:$L$186,0)),"")</f>
        <v/>
      </c>
      <c r="M186" s="16" t="str">
        <f>IFERROR(INDEX(計算用!$G$2:$G$186,MATCH("女赤"&amp;$J186,計算用!$L$2:$L$186,0)),"")</f>
        <v/>
      </c>
      <c r="N186" s="15"/>
      <c r="O186" s="15" t="str">
        <f>IFERROR(INDEX(計算用!$D$2:$D$186,MATCH("女白"&amp;$J186,計算用!$L$2:$L$186,0)),"")</f>
        <v/>
      </c>
      <c r="P186" s="15" t="str">
        <f>IFERROR(INDEX(計算用!$M$2:$M$186,MATCH("女白"&amp;$J186,計算用!$L$2:$L$186,0)),"")</f>
        <v/>
      </c>
      <c r="Q186" s="16" t="str">
        <f>IFERROR(INDEX(計算用!$G$2:$G$186,MATCH("女白"&amp;$J186,計算用!$L$2:$L$186,0)),"")</f>
        <v/>
      </c>
    </row>
    <row r="187" spans="1:17" x14ac:dyDescent="0.15">
      <c r="A187" s="15" t="str">
        <f>IF(ROW()-3&lt;=MAX(計算用!$Q$2,計算用!$Q$3),ROW()-3,"")</f>
        <v/>
      </c>
      <c r="B187" s="15" t="str">
        <f>IFERROR(INDEX(計算用!$D$2:$D$186,MATCH("男赤"&amp;$A187,計算用!$L$2:$L$186,0)),"")</f>
        <v/>
      </c>
      <c r="C187" s="15" t="str">
        <f>IFERROR(INDEX(計算用!$M$2:$M$186,MATCH("男赤"&amp;$A187,計算用!$L$2:$L$186,0)),"")</f>
        <v/>
      </c>
      <c r="D187" s="16" t="str">
        <f>IFERROR(INDEX(計算用!$G$2:$G$186,MATCH("男赤"&amp;$A187,計算用!$L$2:$L$186,0)),"")</f>
        <v/>
      </c>
      <c r="E187" s="15"/>
      <c r="F187" s="15" t="str">
        <f>IFERROR(INDEX(計算用!$D$2:$D$186,MATCH("男白"&amp;$A187,計算用!$L$2:$L$186,0)),"")</f>
        <v/>
      </c>
      <c r="G187" s="15" t="str">
        <f>IFERROR(INDEX(計算用!$M$2:$M$186,MATCH("男白"&amp;$A187,計算用!$L$2:$L$186,0)),"")</f>
        <v/>
      </c>
      <c r="H187" s="16" t="str">
        <f>IFERROR(INDEX(計算用!$G$2:$G$186,MATCH("男白"&amp;$A187,計算用!$L$2:$L$186,0)),"")</f>
        <v/>
      </c>
      <c r="I187" s="15"/>
      <c r="J187" s="15" t="str">
        <f>IF(ROW()-3&lt;=MAX(計算用!$Q$4,計算用!$Q$5),ROW()-3,"")</f>
        <v/>
      </c>
      <c r="K187" s="15" t="str">
        <f>IFERROR(INDEX(計算用!$D$2:$D$186,MATCH("女赤"&amp;$J187,計算用!$L$2:$L$186,0)),"")</f>
        <v/>
      </c>
      <c r="L187" s="15" t="str">
        <f>IFERROR(INDEX(計算用!$M$2:$M$186,MATCH("女赤"&amp;$J187,計算用!$L$2:$L$186,0)),"")</f>
        <v/>
      </c>
      <c r="M187" s="16" t="str">
        <f>IFERROR(INDEX(計算用!$G$2:$G$186,MATCH("女赤"&amp;$J187,計算用!$L$2:$L$186,0)),"")</f>
        <v/>
      </c>
      <c r="N187" s="15"/>
      <c r="O187" s="15" t="str">
        <f>IFERROR(INDEX(計算用!$D$2:$D$186,MATCH("女白"&amp;$J187,計算用!$L$2:$L$186,0)),"")</f>
        <v/>
      </c>
      <c r="P187" s="15" t="str">
        <f>IFERROR(INDEX(計算用!$M$2:$M$186,MATCH("女白"&amp;$J187,計算用!$L$2:$L$186,0)),"")</f>
        <v/>
      </c>
      <c r="Q187" s="16" t="str">
        <f>IFERROR(INDEX(計算用!$G$2:$G$186,MATCH("女白"&amp;$J187,計算用!$L$2:$L$186,0)),"")</f>
        <v/>
      </c>
    </row>
    <row r="188" spans="1:17" x14ac:dyDescent="0.15">
      <c r="A188" s="15" t="str">
        <f>IF(ROW()-3&lt;=MAX(計算用!$Q$2,計算用!$Q$3),ROW()-3,"")</f>
        <v/>
      </c>
      <c r="B188" s="15" t="str">
        <f>IFERROR(INDEX(計算用!$D$2:$D$186,MATCH("男赤"&amp;$A188,計算用!$L$2:$L$186,0)),"")</f>
        <v/>
      </c>
      <c r="C188" s="15" t="str">
        <f>IFERROR(INDEX(計算用!$M$2:$M$186,MATCH("男赤"&amp;$A188,計算用!$L$2:$L$186,0)),"")</f>
        <v/>
      </c>
      <c r="D188" s="16" t="str">
        <f>IFERROR(INDEX(計算用!$G$2:$G$186,MATCH("男赤"&amp;$A188,計算用!$L$2:$L$186,0)),"")</f>
        <v/>
      </c>
      <c r="E188" s="15"/>
      <c r="F188" s="15" t="str">
        <f>IFERROR(INDEX(計算用!$D$2:$D$186,MATCH("男白"&amp;$A188,計算用!$L$2:$L$186,0)),"")</f>
        <v/>
      </c>
      <c r="G188" s="15" t="str">
        <f>IFERROR(INDEX(計算用!$M$2:$M$186,MATCH("男白"&amp;$A188,計算用!$L$2:$L$186,0)),"")</f>
        <v/>
      </c>
      <c r="H188" s="16" t="str">
        <f>IFERROR(INDEX(計算用!$G$2:$G$186,MATCH("男白"&amp;$A188,計算用!$L$2:$L$186,0)),"")</f>
        <v/>
      </c>
      <c r="I188" s="15"/>
      <c r="J188" s="15" t="str">
        <f>IF(ROW()-3&lt;=MAX(計算用!$Q$4,計算用!$Q$5),ROW()-3,"")</f>
        <v/>
      </c>
      <c r="K188" s="15" t="str">
        <f>IFERROR(INDEX(計算用!$D$2:$D$186,MATCH("女赤"&amp;$J188,計算用!$L$2:$L$186,0)),"")</f>
        <v/>
      </c>
      <c r="L188" s="15" t="str">
        <f>IFERROR(INDEX(計算用!$M$2:$M$186,MATCH("女赤"&amp;$J188,計算用!$L$2:$L$186,0)),"")</f>
        <v/>
      </c>
      <c r="M188" s="16" t="str">
        <f>IFERROR(INDEX(計算用!$G$2:$G$186,MATCH("女赤"&amp;$J188,計算用!$L$2:$L$186,0)),"")</f>
        <v/>
      </c>
      <c r="N188" s="15"/>
      <c r="O188" s="15" t="str">
        <f>IFERROR(INDEX(計算用!$D$2:$D$186,MATCH("女白"&amp;$J188,計算用!$L$2:$L$186,0)),"")</f>
        <v/>
      </c>
      <c r="P188" s="15" t="str">
        <f>IFERROR(INDEX(計算用!$M$2:$M$186,MATCH("女白"&amp;$J188,計算用!$L$2:$L$186,0)),"")</f>
        <v/>
      </c>
      <c r="Q188" s="16" t="str">
        <f>IFERROR(INDEX(計算用!$G$2:$G$186,MATCH("女白"&amp;$J188,計算用!$L$2:$L$186,0)),"")</f>
        <v/>
      </c>
    </row>
  </sheetData>
  <phoneticPr fontId="2"/>
  <conditionalFormatting sqref="A4:D188">
    <cfRule type="expression" dxfId="7" priority="1">
      <formula>$A4&lt;&gt;""</formula>
    </cfRule>
  </conditionalFormatting>
  <conditionalFormatting sqref="E4:E188">
    <cfRule type="expression" dxfId="6" priority="5">
      <formula>$A4&lt;&gt;""</formula>
    </cfRule>
  </conditionalFormatting>
  <conditionalFormatting sqref="F4:H188">
    <cfRule type="expression" dxfId="5" priority="2">
      <formula>$A4&lt;&gt;""</formula>
    </cfRule>
  </conditionalFormatting>
  <conditionalFormatting sqref="J4:M188">
    <cfRule type="expression" dxfId="4" priority="3">
      <formula>$J4&lt;&gt;""</formula>
    </cfRule>
  </conditionalFormatting>
  <conditionalFormatting sqref="N4:N188">
    <cfRule type="expression" dxfId="3" priority="6">
      <formula>$J4&lt;&gt;""</formula>
    </cfRule>
  </conditionalFormatting>
  <conditionalFormatting sqref="O4:Q188">
    <cfRule type="expression" dxfId="2" priority="4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6"/>
  <sheetViews>
    <sheetView workbookViewId="0"/>
  </sheetViews>
  <sheetFormatPr defaultRowHeight="13.5" x14ac:dyDescent="0.15"/>
  <cols>
    <col min="1" max="1" width="5" style="11" customWidth="1"/>
    <col min="2" max="2" width="14" style="11" customWidth="1"/>
    <col min="3" max="3" width="6" style="11" customWidth="1"/>
    <col min="4" max="4" width="14" style="11" customWidth="1"/>
    <col min="5" max="5" width="6" style="11" customWidth="1"/>
    <col min="6" max="6" width="14" style="11" customWidth="1"/>
    <col min="7" max="7" width="6" style="11" customWidth="1"/>
    <col min="8" max="8" width="14" style="11" customWidth="1"/>
    <col min="9" max="9" width="6" style="11" customWidth="1"/>
    <col min="10" max="10" width="2" style="11" customWidth="1"/>
    <col min="11" max="11" width="5" style="11" customWidth="1"/>
    <col min="12" max="12" width="14" style="11" customWidth="1"/>
    <col min="13" max="13" width="6" style="11" customWidth="1"/>
    <col min="14" max="14" width="14" style="11" customWidth="1"/>
    <col min="15" max="15" width="6" style="11" customWidth="1"/>
    <col min="16" max="16" width="14" style="11" customWidth="1"/>
    <col min="17" max="17" width="6" style="11" customWidth="1"/>
    <col min="18" max="18" width="14" style="11" customWidth="1"/>
    <col min="19" max="19" width="6" style="11" customWidth="1"/>
  </cols>
  <sheetData>
    <row r="1" spans="1:21" x14ac:dyDescent="0.15">
      <c r="A1" s="17" t="s">
        <v>10</v>
      </c>
      <c r="K1" s="17" t="s">
        <v>11</v>
      </c>
      <c r="U1" s="12" t="str">
        <f>IF(OR(計算用!$Q$2&lt;&gt;計算用!$Q$3,計算用!$Q$4&lt;&gt;計算用!$Q$5,ISODD(計算用!$Q$2),ISODD(計算用!$Q$4)),"※赤白の人数の差や奇数人数のため、最後の組は4人そろっていません","")</f>
        <v/>
      </c>
    </row>
    <row r="2" spans="1:21" x14ac:dyDescent="0.15">
      <c r="A2" s="18"/>
      <c r="B2" s="22" t="s">
        <v>12</v>
      </c>
      <c r="C2" s="22"/>
      <c r="D2" s="22"/>
      <c r="E2" s="22"/>
      <c r="F2" s="22" t="s">
        <v>13</v>
      </c>
      <c r="G2" s="22"/>
      <c r="H2" s="22"/>
      <c r="I2" s="22"/>
      <c r="K2" s="18"/>
      <c r="L2" s="22" t="s">
        <v>12</v>
      </c>
      <c r="M2" s="22"/>
      <c r="N2" s="22"/>
      <c r="O2" s="22"/>
      <c r="P2" s="22" t="s">
        <v>13</v>
      </c>
      <c r="Q2" s="22"/>
      <c r="R2" s="22"/>
      <c r="S2" s="22"/>
    </row>
    <row r="3" spans="1:21" x14ac:dyDescent="0.15">
      <c r="A3" s="19" t="s">
        <v>17</v>
      </c>
      <c r="B3" s="19" t="s">
        <v>18</v>
      </c>
      <c r="C3" s="19" t="s">
        <v>15</v>
      </c>
      <c r="D3" s="19" t="s">
        <v>19</v>
      </c>
      <c r="E3" s="19" t="s">
        <v>15</v>
      </c>
      <c r="F3" s="19" t="s">
        <v>20</v>
      </c>
      <c r="G3" s="19" t="s">
        <v>15</v>
      </c>
      <c r="H3" s="19" t="s">
        <v>21</v>
      </c>
      <c r="I3" s="19" t="s">
        <v>15</v>
      </c>
      <c r="K3" s="19" t="s">
        <v>17</v>
      </c>
      <c r="L3" s="19" t="s">
        <v>18</v>
      </c>
      <c r="M3" s="19" t="s">
        <v>15</v>
      </c>
      <c r="N3" s="19" t="s">
        <v>19</v>
      </c>
      <c r="O3" s="19" t="s">
        <v>15</v>
      </c>
      <c r="P3" s="19" t="s">
        <v>20</v>
      </c>
      <c r="Q3" s="19" t="s">
        <v>15</v>
      </c>
      <c r="R3" s="19" t="s">
        <v>21</v>
      </c>
      <c r="S3" s="19" t="s">
        <v>15</v>
      </c>
    </row>
    <row r="4" spans="1:21" x14ac:dyDescent="0.15">
      <c r="A4" s="20" t="str">
        <f>IF(ROW()-3&lt;=ROUNDUP(MAX(計算用!$Q$2,計算用!$Q$3)/2,0),ROW()-3,"")</f>
        <v/>
      </c>
      <c r="B4" s="21" t="str">
        <f>IF($A4="","",IFERROR(INDEX(計算用!$D$2:$D$186,MATCH("男赤"&amp;($A4*2-1),計算用!$L$2:$L$186,0)),""))</f>
        <v/>
      </c>
      <c r="C4" s="20" t="str">
        <f>IF($A4="","",IFERROR(INDEX(計算用!$M$2:$M$186,MATCH("男赤"&amp;($A4*2-1),計算用!$L$2:$L$186,0)),""))</f>
        <v/>
      </c>
      <c r="D4" s="21" t="str">
        <f>IF($A4="","",IFERROR(INDEX(計算用!$D$2:$D$186,MATCH("男赤"&amp;($A4*2-0),計算用!$L$2:$L$186,0)),""))</f>
        <v/>
      </c>
      <c r="E4" s="20" t="str">
        <f>IF($A4="","",IFERROR(INDEX(計算用!$M$2:$M$186,MATCH("男赤"&amp;($A4*2-0),計算用!$L$2:$L$186,0)),""))</f>
        <v/>
      </c>
      <c r="F4" s="21" t="str">
        <f>IF($A4="","",IFERROR(INDEX(計算用!$D$2:$D$186,MATCH("男白"&amp;($A4*2-1),計算用!$L$2:$L$186,0)),""))</f>
        <v/>
      </c>
      <c r="G4" s="20" t="str">
        <f>IF($A4="","",IFERROR(INDEX(計算用!$M$2:$M$186,MATCH("男白"&amp;($A4*2-1),計算用!$L$2:$L$186,0)),""))</f>
        <v/>
      </c>
      <c r="H4" s="21" t="str">
        <f>IF($A4="","",IFERROR(INDEX(計算用!$D$2:$D$186,MATCH("男白"&amp;($A4*2-0),計算用!$L$2:$L$186,0)),""))</f>
        <v/>
      </c>
      <c r="I4" s="20" t="str">
        <f>IF($A4="","",IFERROR(INDEX(計算用!$M$2:$M$186,MATCH("男白"&amp;($A4*2-0),計算用!$L$2:$L$186,0)),""))</f>
        <v/>
      </c>
      <c r="K4" s="20" t="str">
        <f>IF(ROW()-3&lt;=ROUNDUP(MAX(計算用!$Q$4,計算用!$Q$5)/2,0),ROW()-3,"")</f>
        <v/>
      </c>
      <c r="L4" s="21" t="str">
        <f>IF($K4="","",IFERROR(INDEX(計算用!$D$2:$D$186,MATCH("女赤"&amp;($K4*2-1),計算用!$L$2:$L$186,0)),""))</f>
        <v/>
      </c>
      <c r="M4" s="20" t="str">
        <f>IF($K4="","",IFERROR(INDEX(計算用!$M$2:$M$186,MATCH("女赤"&amp;($K4*2-1),計算用!$L$2:$L$186,0)),""))</f>
        <v/>
      </c>
      <c r="N4" s="21" t="str">
        <f>IF($K4="","",IFERROR(INDEX(計算用!$D$2:$D$186,MATCH("女赤"&amp;($K4*2-0),計算用!$L$2:$L$186,0)),""))</f>
        <v/>
      </c>
      <c r="O4" s="20" t="str">
        <f>IF($K4="","",IFERROR(INDEX(計算用!$M$2:$M$186,MATCH("女赤"&amp;($K4*2-0),計算用!$L$2:$L$186,0)),""))</f>
        <v/>
      </c>
      <c r="P4" s="21" t="str">
        <f>IF($K4="","",IFERROR(INDEX(計算用!$D$2:$D$186,MATCH("女白"&amp;($K4*2-1),計算用!$L$2:$L$186,0)),""))</f>
        <v/>
      </c>
      <c r="Q4" s="20" t="str">
        <f>IF($K4="","",IFERROR(INDEX(計算用!$M$2:$M$186,MATCH("女白"&amp;($K4*2-1),計算用!$L$2:$L$186,0)),""))</f>
        <v/>
      </c>
      <c r="R4" s="21" t="str">
        <f>IF($K4="","",IFERROR(INDEX(計算用!$D$2:$D$186,MATCH("女白"&amp;($K4*2-0),計算用!$L$2:$L$186,0)),""))</f>
        <v/>
      </c>
      <c r="S4" s="20" t="str">
        <f>IF($K4="","",IFERROR(INDEX(計算用!$M$2:$M$186,MATCH("女白"&amp;($K4*2-0),計算用!$L$2:$L$186,0)),""))</f>
        <v/>
      </c>
    </row>
    <row r="5" spans="1:21" x14ac:dyDescent="0.15">
      <c r="A5" s="20" t="str">
        <f>IF(ROW()-3&lt;=ROUNDUP(MAX(計算用!$Q$2,計算用!$Q$3)/2,0),ROW()-3,"")</f>
        <v/>
      </c>
      <c r="B5" s="21" t="str">
        <f>IF($A5="","",IFERROR(INDEX(計算用!$D$2:$D$186,MATCH("男赤"&amp;($A5*2-1),計算用!$L$2:$L$186,0)),""))</f>
        <v/>
      </c>
      <c r="C5" s="20" t="str">
        <f>IF($A5="","",IFERROR(INDEX(計算用!$M$2:$M$186,MATCH("男赤"&amp;($A5*2-1),計算用!$L$2:$L$186,0)),""))</f>
        <v/>
      </c>
      <c r="D5" s="21" t="str">
        <f>IF($A5="","",IFERROR(INDEX(計算用!$D$2:$D$186,MATCH("男赤"&amp;($A5*2-0),計算用!$L$2:$L$186,0)),""))</f>
        <v/>
      </c>
      <c r="E5" s="20" t="str">
        <f>IF($A5="","",IFERROR(INDEX(計算用!$M$2:$M$186,MATCH("男赤"&amp;($A5*2-0),計算用!$L$2:$L$186,0)),""))</f>
        <v/>
      </c>
      <c r="F5" s="21" t="str">
        <f>IF($A5="","",IFERROR(INDEX(計算用!$D$2:$D$186,MATCH("男白"&amp;($A5*2-1),計算用!$L$2:$L$186,0)),""))</f>
        <v/>
      </c>
      <c r="G5" s="20" t="str">
        <f>IF($A5="","",IFERROR(INDEX(計算用!$M$2:$M$186,MATCH("男白"&amp;($A5*2-1),計算用!$L$2:$L$186,0)),""))</f>
        <v/>
      </c>
      <c r="H5" s="21" t="str">
        <f>IF($A5="","",IFERROR(INDEX(計算用!$D$2:$D$186,MATCH("男白"&amp;($A5*2-0),計算用!$L$2:$L$186,0)),""))</f>
        <v/>
      </c>
      <c r="I5" s="20" t="str">
        <f>IF($A5="","",IFERROR(INDEX(計算用!$M$2:$M$186,MATCH("男白"&amp;($A5*2-0),計算用!$L$2:$L$186,0)),""))</f>
        <v/>
      </c>
      <c r="K5" s="20" t="str">
        <f>IF(ROW()-3&lt;=ROUNDUP(MAX(計算用!$Q$4,計算用!$Q$5)/2,0),ROW()-3,"")</f>
        <v/>
      </c>
      <c r="L5" s="21" t="str">
        <f>IF($K5="","",IFERROR(INDEX(計算用!$D$2:$D$186,MATCH("女赤"&amp;($K5*2-1),計算用!$L$2:$L$186,0)),""))</f>
        <v/>
      </c>
      <c r="M5" s="20" t="str">
        <f>IF($K5="","",IFERROR(INDEX(計算用!$M$2:$M$186,MATCH("女赤"&amp;($K5*2-1),計算用!$L$2:$L$186,0)),""))</f>
        <v/>
      </c>
      <c r="N5" s="21" t="str">
        <f>IF($K5="","",IFERROR(INDEX(計算用!$D$2:$D$186,MATCH("女赤"&amp;($K5*2-0),計算用!$L$2:$L$186,0)),""))</f>
        <v/>
      </c>
      <c r="O5" s="20" t="str">
        <f>IF($K5="","",IFERROR(INDEX(計算用!$M$2:$M$186,MATCH("女赤"&amp;($K5*2-0),計算用!$L$2:$L$186,0)),""))</f>
        <v/>
      </c>
      <c r="P5" s="21" t="str">
        <f>IF($K5="","",IFERROR(INDEX(計算用!$D$2:$D$186,MATCH("女白"&amp;($K5*2-1),計算用!$L$2:$L$186,0)),""))</f>
        <v/>
      </c>
      <c r="Q5" s="20" t="str">
        <f>IF($K5="","",IFERROR(INDEX(計算用!$M$2:$M$186,MATCH("女白"&amp;($K5*2-1),計算用!$L$2:$L$186,0)),""))</f>
        <v/>
      </c>
      <c r="R5" s="21" t="str">
        <f>IF($K5="","",IFERROR(INDEX(計算用!$D$2:$D$186,MATCH("女白"&amp;($K5*2-0),計算用!$L$2:$L$186,0)),""))</f>
        <v/>
      </c>
      <c r="S5" s="20" t="str">
        <f>IF($K5="","",IFERROR(INDEX(計算用!$M$2:$M$186,MATCH("女白"&amp;($K5*2-0),計算用!$L$2:$L$186,0)),""))</f>
        <v/>
      </c>
    </row>
    <row r="6" spans="1:21" x14ac:dyDescent="0.15">
      <c r="A6" s="20" t="str">
        <f>IF(ROW()-3&lt;=ROUNDUP(MAX(計算用!$Q$2,計算用!$Q$3)/2,0),ROW()-3,"")</f>
        <v/>
      </c>
      <c r="B6" s="21" t="str">
        <f>IF($A6="","",IFERROR(INDEX(計算用!$D$2:$D$186,MATCH("男赤"&amp;($A6*2-1),計算用!$L$2:$L$186,0)),""))</f>
        <v/>
      </c>
      <c r="C6" s="20" t="str">
        <f>IF($A6="","",IFERROR(INDEX(計算用!$M$2:$M$186,MATCH("男赤"&amp;($A6*2-1),計算用!$L$2:$L$186,0)),""))</f>
        <v/>
      </c>
      <c r="D6" s="21" t="str">
        <f>IF($A6="","",IFERROR(INDEX(計算用!$D$2:$D$186,MATCH("男赤"&amp;($A6*2-0),計算用!$L$2:$L$186,0)),""))</f>
        <v/>
      </c>
      <c r="E6" s="20" t="str">
        <f>IF($A6="","",IFERROR(INDEX(計算用!$M$2:$M$186,MATCH("男赤"&amp;($A6*2-0),計算用!$L$2:$L$186,0)),""))</f>
        <v/>
      </c>
      <c r="F6" s="21" t="str">
        <f>IF($A6="","",IFERROR(INDEX(計算用!$D$2:$D$186,MATCH("男白"&amp;($A6*2-1),計算用!$L$2:$L$186,0)),""))</f>
        <v/>
      </c>
      <c r="G6" s="20" t="str">
        <f>IF($A6="","",IFERROR(INDEX(計算用!$M$2:$M$186,MATCH("男白"&amp;($A6*2-1),計算用!$L$2:$L$186,0)),""))</f>
        <v/>
      </c>
      <c r="H6" s="21" t="str">
        <f>IF($A6="","",IFERROR(INDEX(計算用!$D$2:$D$186,MATCH("男白"&amp;($A6*2-0),計算用!$L$2:$L$186,0)),""))</f>
        <v/>
      </c>
      <c r="I6" s="20" t="str">
        <f>IF($A6="","",IFERROR(INDEX(計算用!$M$2:$M$186,MATCH("男白"&amp;($A6*2-0),計算用!$L$2:$L$186,0)),""))</f>
        <v/>
      </c>
      <c r="K6" s="20" t="str">
        <f>IF(ROW()-3&lt;=ROUNDUP(MAX(計算用!$Q$4,計算用!$Q$5)/2,0),ROW()-3,"")</f>
        <v/>
      </c>
      <c r="L6" s="21" t="str">
        <f>IF($K6="","",IFERROR(INDEX(計算用!$D$2:$D$186,MATCH("女赤"&amp;($K6*2-1),計算用!$L$2:$L$186,0)),""))</f>
        <v/>
      </c>
      <c r="M6" s="20" t="str">
        <f>IF($K6="","",IFERROR(INDEX(計算用!$M$2:$M$186,MATCH("女赤"&amp;($K6*2-1),計算用!$L$2:$L$186,0)),""))</f>
        <v/>
      </c>
      <c r="N6" s="21" t="str">
        <f>IF($K6="","",IFERROR(INDEX(計算用!$D$2:$D$186,MATCH("女赤"&amp;($K6*2-0),計算用!$L$2:$L$186,0)),""))</f>
        <v/>
      </c>
      <c r="O6" s="20" t="str">
        <f>IF($K6="","",IFERROR(INDEX(計算用!$M$2:$M$186,MATCH("女赤"&amp;($K6*2-0),計算用!$L$2:$L$186,0)),""))</f>
        <v/>
      </c>
      <c r="P6" s="21" t="str">
        <f>IF($K6="","",IFERROR(INDEX(計算用!$D$2:$D$186,MATCH("女白"&amp;($K6*2-1),計算用!$L$2:$L$186,0)),""))</f>
        <v/>
      </c>
      <c r="Q6" s="20" t="str">
        <f>IF($K6="","",IFERROR(INDEX(計算用!$M$2:$M$186,MATCH("女白"&amp;($K6*2-1),計算用!$L$2:$L$186,0)),""))</f>
        <v/>
      </c>
      <c r="R6" s="21" t="str">
        <f>IF($K6="","",IFERROR(INDEX(計算用!$D$2:$D$186,MATCH("女白"&amp;($K6*2-0),計算用!$L$2:$L$186,0)),""))</f>
        <v/>
      </c>
      <c r="S6" s="20" t="str">
        <f>IF($K6="","",IFERROR(INDEX(計算用!$M$2:$M$186,MATCH("女白"&amp;($K6*2-0),計算用!$L$2:$L$186,0)),""))</f>
        <v/>
      </c>
    </row>
    <row r="7" spans="1:21" x14ac:dyDescent="0.15">
      <c r="A7" s="20" t="str">
        <f>IF(ROW()-3&lt;=ROUNDUP(MAX(計算用!$Q$2,計算用!$Q$3)/2,0),ROW()-3,"")</f>
        <v/>
      </c>
      <c r="B7" s="21" t="str">
        <f>IF($A7="","",IFERROR(INDEX(計算用!$D$2:$D$186,MATCH("男赤"&amp;($A7*2-1),計算用!$L$2:$L$186,0)),""))</f>
        <v/>
      </c>
      <c r="C7" s="20" t="str">
        <f>IF($A7="","",IFERROR(INDEX(計算用!$M$2:$M$186,MATCH("男赤"&amp;($A7*2-1),計算用!$L$2:$L$186,0)),""))</f>
        <v/>
      </c>
      <c r="D7" s="21" t="str">
        <f>IF($A7="","",IFERROR(INDEX(計算用!$D$2:$D$186,MATCH("男赤"&amp;($A7*2-0),計算用!$L$2:$L$186,0)),""))</f>
        <v/>
      </c>
      <c r="E7" s="20" t="str">
        <f>IF($A7="","",IFERROR(INDEX(計算用!$M$2:$M$186,MATCH("男赤"&amp;($A7*2-0),計算用!$L$2:$L$186,0)),""))</f>
        <v/>
      </c>
      <c r="F7" s="21" t="str">
        <f>IF($A7="","",IFERROR(INDEX(計算用!$D$2:$D$186,MATCH("男白"&amp;($A7*2-1),計算用!$L$2:$L$186,0)),""))</f>
        <v/>
      </c>
      <c r="G7" s="20" t="str">
        <f>IF($A7="","",IFERROR(INDEX(計算用!$M$2:$M$186,MATCH("男白"&amp;($A7*2-1),計算用!$L$2:$L$186,0)),""))</f>
        <v/>
      </c>
      <c r="H7" s="21" t="str">
        <f>IF($A7="","",IFERROR(INDEX(計算用!$D$2:$D$186,MATCH("男白"&amp;($A7*2-0),計算用!$L$2:$L$186,0)),""))</f>
        <v/>
      </c>
      <c r="I7" s="20" t="str">
        <f>IF($A7="","",IFERROR(INDEX(計算用!$M$2:$M$186,MATCH("男白"&amp;($A7*2-0),計算用!$L$2:$L$186,0)),""))</f>
        <v/>
      </c>
      <c r="K7" s="20" t="str">
        <f>IF(ROW()-3&lt;=ROUNDUP(MAX(計算用!$Q$4,計算用!$Q$5)/2,0),ROW()-3,"")</f>
        <v/>
      </c>
      <c r="L7" s="21" t="str">
        <f>IF($K7="","",IFERROR(INDEX(計算用!$D$2:$D$186,MATCH("女赤"&amp;($K7*2-1),計算用!$L$2:$L$186,0)),""))</f>
        <v/>
      </c>
      <c r="M7" s="20" t="str">
        <f>IF($K7="","",IFERROR(INDEX(計算用!$M$2:$M$186,MATCH("女赤"&amp;($K7*2-1),計算用!$L$2:$L$186,0)),""))</f>
        <v/>
      </c>
      <c r="N7" s="21" t="str">
        <f>IF($K7="","",IFERROR(INDEX(計算用!$D$2:$D$186,MATCH("女赤"&amp;($K7*2-0),計算用!$L$2:$L$186,0)),""))</f>
        <v/>
      </c>
      <c r="O7" s="20" t="str">
        <f>IF($K7="","",IFERROR(INDEX(計算用!$M$2:$M$186,MATCH("女赤"&amp;($K7*2-0),計算用!$L$2:$L$186,0)),""))</f>
        <v/>
      </c>
      <c r="P7" s="21" t="str">
        <f>IF($K7="","",IFERROR(INDEX(計算用!$D$2:$D$186,MATCH("女白"&amp;($K7*2-1),計算用!$L$2:$L$186,0)),""))</f>
        <v/>
      </c>
      <c r="Q7" s="20" t="str">
        <f>IF($K7="","",IFERROR(INDEX(計算用!$M$2:$M$186,MATCH("女白"&amp;($K7*2-1),計算用!$L$2:$L$186,0)),""))</f>
        <v/>
      </c>
      <c r="R7" s="21" t="str">
        <f>IF($K7="","",IFERROR(INDEX(計算用!$D$2:$D$186,MATCH("女白"&amp;($K7*2-0),計算用!$L$2:$L$186,0)),""))</f>
        <v/>
      </c>
      <c r="S7" s="20" t="str">
        <f>IF($K7="","",IFERROR(INDEX(計算用!$M$2:$M$186,MATCH("女白"&amp;($K7*2-0),計算用!$L$2:$L$186,0)),""))</f>
        <v/>
      </c>
    </row>
    <row r="8" spans="1:21" x14ac:dyDescent="0.15">
      <c r="A8" s="20" t="str">
        <f>IF(ROW()-3&lt;=ROUNDUP(MAX(計算用!$Q$2,計算用!$Q$3)/2,0),ROW()-3,"")</f>
        <v/>
      </c>
      <c r="B8" s="21" t="str">
        <f>IF($A8="","",IFERROR(INDEX(計算用!$D$2:$D$186,MATCH("男赤"&amp;($A8*2-1),計算用!$L$2:$L$186,0)),""))</f>
        <v/>
      </c>
      <c r="C8" s="20" t="str">
        <f>IF($A8="","",IFERROR(INDEX(計算用!$M$2:$M$186,MATCH("男赤"&amp;($A8*2-1),計算用!$L$2:$L$186,0)),""))</f>
        <v/>
      </c>
      <c r="D8" s="21" t="str">
        <f>IF($A8="","",IFERROR(INDEX(計算用!$D$2:$D$186,MATCH("男赤"&amp;($A8*2-0),計算用!$L$2:$L$186,0)),""))</f>
        <v/>
      </c>
      <c r="E8" s="20" t="str">
        <f>IF($A8="","",IFERROR(INDEX(計算用!$M$2:$M$186,MATCH("男赤"&amp;($A8*2-0),計算用!$L$2:$L$186,0)),""))</f>
        <v/>
      </c>
      <c r="F8" s="21" t="str">
        <f>IF($A8="","",IFERROR(INDEX(計算用!$D$2:$D$186,MATCH("男白"&amp;($A8*2-1),計算用!$L$2:$L$186,0)),""))</f>
        <v/>
      </c>
      <c r="G8" s="20" t="str">
        <f>IF($A8="","",IFERROR(INDEX(計算用!$M$2:$M$186,MATCH("男白"&amp;($A8*2-1),計算用!$L$2:$L$186,0)),""))</f>
        <v/>
      </c>
      <c r="H8" s="21" t="str">
        <f>IF($A8="","",IFERROR(INDEX(計算用!$D$2:$D$186,MATCH("男白"&amp;($A8*2-0),計算用!$L$2:$L$186,0)),""))</f>
        <v/>
      </c>
      <c r="I8" s="20" t="str">
        <f>IF($A8="","",IFERROR(INDEX(計算用!$M$2:$M$186,MATCH("男白"&amp;($A8*2-0),計算用!$L$2:$L$186,0)),""))</f>
        <v/>
      </c>
      <c r="K8" s="20" t="str">
        <f>IF(ROW()-3&lt;=ROUNDUP(MAX(計算用!$Q$4,計算用!$Q$5)/2,0),ROW()-3,"")</f>
        <v/>
      </c>
      <c r="L8" s="21" t="str">
        <f>IF($K8="","",IFERROR(INDEX(計算用!$D$2:$D$186,MATCH("女赤"&amp;($K8*2-1),計算用!$L$2:$L$186,0)),""))</f>
        <v/>
      </c>
      <c r="M8" s="20" t="str">
        <f>IF($K8="","",IFERROR(INDEX(計算用!$M$2:$M$186,MATCH("女赤"&amp;($K8*2-1),計算用!$L$2:$L$186,0)),""))</f>
        <v/>
      </c>
      <c r="N8" s="21" t="str">
        <f>IF($K8="","",IFERROR(INDEX(計算用!$D$2:$D$186,MATCH("女赤"&amp;($K8*2-0),計算用!$L$2:$L$186,0)),""))</f>
        <v/>
      </c>
      <c r="O8" s="20" t="str">
        <f>IF($K8="","",IFERROR(INDEX(計算用!$M$2:$M$186,MATCH("女赤"&amp;($K8*2-0),計算用!$L$2:$L$186,0)),""))</f>
        <v/>
      </c>
      <c r="P8" s="21" t="str">
        <f>IF($K8="","",IFERROR(INDEX(計算用!$D$2:$D$186,MATCH("女白"&amp;($K8*2-1),計算用!$L$2:$L$186,0)),""))</f>
        <v/>
      </c>
      <c r="Q8" s="20" t="str">
        <f>IF($K8="","",IFERROR(INDEX(計算用!$M$2:$M$186,MATCH("女白"&amp;($K8*2-1),計算用!$L$2:$L$186,0)),""))</f>
        <v/>
      </c>
      <c r="R8" s="21" t="str">
        <f>IF($K8="","",IFERROR(INDEX(計算用!$D$2:$D$186,MATCH("女白"&amp;($K8*2-0),計算用!$L$2:$L$186,0)),""))</f>
        <v/>
      </c>
      <c r="S8" s="20" t="str">
        <f>IF($K8="","",IFERROR(INDEX(計算用!$M$2:$M$186,MATCH("女白"&amp;($K8*2-0),計算用!$L$2:$L$186,0)),""))</f>
        <v/>
      </c>
    </row>
    <row r="9" spans="1:21" x14ac:dyDescent="0.15">
      <c r="A9" s="20" t="str">
        <f>IF(ROW()-3&lt;=ROUNDUP(MAX(計算用!$Q$2,計算用!$Q$3)/2,0),ROW()-3,"")</f>
        <v/>
      </c>
      <c r="B9" s="21" t="str">
        <f>IF($A9="","",IFERROR(INDEX(計算用!$D$2:$D$186,MATCH("男赤"&amp;($A9*2-1),計算用!$L$2:$L$186,0)),""))</f>
        <v/>
      </c>
      <c r="C9" s="20" t="str">
        <f>IF($A9="","",IFERROR(INDEX(計算用!$M$2:$M$186,MATCH("男赤"&amp;($A9*2-1),計算用!$L$2:$L$186,0)),""))</f>
        <v/>
      </c>
      <c r="D9" s="21" t="str">
        <f>IF($A9="","",IFERROR(INDEX(計算用!$D$2:$D$186,MATCH("男赤"&amp;($A9*2-0),計算用!$L$2:$L$186,0)),""))</f>
        <v/>
      </c>
      <c r="E9" s="20" t="str">
        <f>IF($A9="","",IFERROR(INDEX(計算用!$M$2:$M$186,MATCH("男赤"&amp;($A9*2-0),計算用!$L$2:$L$186,0)),""))</f>
        <v/>
      </c>
      <c r="F9" s="21" t="str">
        <f>IF($A9="","",IFERROR(INDEX(計算用!$D$2:$D$186,MATCH("男白"&amp;($A9*2-1),計算用!$L$2:$L$186,0)),""))</f>
        <v/>
      </c>
      <c r="G9" s="20" t="str">
        <f>IF($A9="","",IFERROR(INDEX(計算用!$M$2:$M$186,MATCH("男白"&amp;($A9*2-1),計算用!$L$2:$L$186,0)),""))</f>
        <v/>
      </c>
      <c r="H9" s="21" t="str">
        <f>IF($A9="","",IFERROR(INDEX(計算用!$D$2:$D$186,MATCH("男白"&amp;($A9*2-0),計算用!$L$2:$L$186,0)),""))</f>
        <v/>
      </c>
      <c r="I9" s="20" t="str">
        <f>IF($A9="","",IFERROR(INDEX(計算用!$M$2:$M$186,MATCH("男白"&amp;($A9*2-0),計算用!$L$2:$L$186,0)),""))</f>
        <v/>
      </c>
      <c r="K9" s="20" t="str">
        <f>IF(ROW()-3&lt;=ROUNDUP(MAX(計算用!$Q$4,計算用!$Q$5)/2,0),ROW()-3,"")</f>
        <v/>
      </c>
      <c r="L9" s="21" t="str">
        <f>IF($K9="","",IFERROR(INDEX(計算用!$D$2:$D$186,MATCH("女赤"&amp;($K9*2-1),計算用!$L$2:$L$186,0)),""))</f>
        <v/>
      </c>
      <c r="M9" s="20" t="str">
        <f>IF($K9="","",IFERROR(INDEX(計算用!$M$2:$M$186,MATCH("女赤"&amp;($K9*2-1),計算用!$L$2:$L$186,0)),""))</f>
        <v/>
      </c>
      <c r="N9" s="21" t="str">
        <f>IF($K9="","",IFERROR(INDEX(計算用!$D$2:$D$186,MATCH("女赤"&amp;($K9*2-0),計算用!$L$2:$L$186,0)),""))</f>
        <v/>
      </c>
      <c r="O9" s="20" t="str">
        <f>IF($K9="","",IFERROR(INDEX(計算用!$M$2:$M$186,MATCH("女赤"&amp;($K9*2-0),計算用!$L$2:$L$186,0)),""))</f>
        <v/>
      </c>
      <c r="P9" s="21" t="str">
        <f>IF($K9="","",IFERROR(INDEX(計算用!$D$2:$D$186,MATCH("女白"&amp;($K9*2-1),計算用!$L$2:$L$186,0)),""))</f>
        <v/>
      </c>
      <c r="Q9" s="20" t="str">
        <f>IF($K9="","",IFERROR(INDEX(計算用!$M$2:$M$186,MATCH("女白"&amp;($K9*2-1),計算用!$L$2:$L$186,0)),""))</f>
        <v/>
      </c>
      <c r="R9" s="21" t="str">
        <f>IF($K9="","",IFERROR(INDEX(計算用!$D$2:$D$186,MATCH("女白"&amp;($K9*2-0),計算用!$L$2:$L$186,0)),""))</f>
        <v/>
      </c>
      <c r="S9" s="20" t="str">
        <f>IF($K9="","",IFERROR(INDEX(計算用!$M$2:$M$186,MATCH("女白"&amp;($K9*2-0),計算用!$L$2:$L$186,0)),""))</f>
        <v/>
      </c>
    </row>
    <row r="10" spans="1:21" x14ac:dyDescent="0.15">
      <c r="A10" s="20" t="str">
        <f>IF(ROW()-3&lt;=ROUNDUP(MAX(計算用!$Q$2,計算用!$Q$3)/2,0),ROW()-3,"")</f>
        <v/>
      </c>
      <c r="B10" s="21" t="str">
        <f>IF($A10="","",IFERROR(INDEX(計算用!$D$2:$D$186,MATCH("男赤"&amp;($A10*2-1),計算用!$L$2:$L$186,0)),""))</f>
        <v/>
      </c>
      <c r="C10" s="20" t="str">
        <f>IF($A10="","",IFERROR(INDEX(計算用!$M$2:$M$186,MATCH("男赤"&amp;($A10*2-1),計算用!$L$2:$L$186,0)),""))</f>
        <v/>
      </c>
      <c r="D10" s="21" t="str">
        <f>IF($A10="","",IFERROR(INDEX(計算用!$D$2:$D$186,MATCH("男赤"&amp;($A10*2-0),計算用!$L$2:$L$186,0)),""))</f>
        <v/>
      </c>
      <c r="E10" s="20" t="str">
        <f>IF($A10="","",IFERROR(INDEX(計算用!$M$2:$M$186,MATCH("男赤"&amp;($A10*2-0),計算用!$L$2:$L$186,0)),""))</f>
        <v/>
      </c>
      <c r="F10" s="21" t="str">
        <f>IF($A10="","",IFERROR(INDEX(計算用!$D$2:$D$186,MATCH("男白"&amp;($A10*2-1),計算用!$L$2:$L$186,0)),""))</f>
        <v/>
      </c>
      <c r="G10" s="20" t="str">
        <f>IF($A10="","",IFERROR(INDEX(計算用!$M$2:$M$186,MATCH("男白"&amp;($A10*2-1),計算用!$L$2:$L$186,0)),""))</f>
        <v/>
      </c>
      <c r="H10" s="21" t="str">
        <f>IF($A10="","",IFERROR(INDEX(計算用!$D$2:$D$186,MATCH("男白"&amp;($A10*2-0),計算用!$L$2:$L$186,0)),""))</f>
        <v/>
      </c>
      <c r="I10" s="20" t="str">
        <f>IF($A10="","",IFERROR(INDEX(計算用!$M$2:$M$186,MATCH("男白"&amp;($A10*2-0),計算用!$L$2:$L$186,0)),""))</f>
        <v/>
      </c>
      <c r="K10" s="20" t="str">
        <f>IF(ROW()-3&lt;=ROUNDUP(MAX(計算用!$Q$4,計算用!$Q$5)/2,0),ROW()-3,"")</f>
        <v/>
      </c>
      <c r="L10" s="21" t="str">
        <f>IF($K10="","",IFERROR(INDEX(計算用!$D$2:$D$186,MATCH("女赤"&amp;($K10*2-1),計算用!$L$2:$L$186,0)),""))</f>
        <v/>
      </c>
      <c r="M10" s="20" t="str">
        <f>IF($K10="","",IFERROR(INDEX(計算用!$M$2:$M$186,MATCH("女赤"&amp;($K10*2-1),計算用!$L$2:$L$186,0)),""))</f>
        <v/>
      </c>
      <c r="N10" s="21" t="str">
        <f>IF($K10="","",IFERROR(INDEX(計算用!$D$2:$D$186,MATCH("女赤"&amp;($K10*2-0),計算用!$L$2:$L$186,0)),""))</f>
        <v/>
      </c>
      <c r="O10" s="20" t="str">
        <f>IF($K10="","",IFERROR(INDEX(計算用!$M$2:$M$186,MATCH("女赤"&amp;($K10*2-0),計算用!$L$2:$L$186,0)),""))</f>
        <v/>
      </c>
      <c r="P10" s="21" t="str">
        <f>IF($K10="","",IFERROR(INDEX(計算用!$D$2:$D$186,MATCH("女白"&amp;($K10*2-1),計算用!$L$2:$L$186,0)),""))</f>
        <v/>
      </c>
      <c r="Q10" s="20" t="str">
        <f>IF($K10="","",IFERROR(INDEX(計算用!$M$2:$M$186,MATCH("女白"&amp;($K10*2-1),計算用!$L$2:$L$186,0)),""))</f>
        <v/>
      </c>
      <c r="R10" s="21" t="str">
        <f>IF($K10="","",IFERROR(INDEX(計算用!$D$2:$D$186,MATCH("女白"&amp;($K10*2-0),計算用!$L$2:$L$186,0)),""))</f>
        <v/>
      </c>
      <c r="S10" s="20" t="str">
        <f>IF($K10="","",IFERROR(INDEX(計算用!$M$2:$M$186,MATCH("女白"&amp;($K10*2-0),計算用!$L$2:$L$186,0)),""))</f>
        <v/>
      </c>
    </row>
    <row r="11" spans="1:21" x14ac:dyDescent="0.15">
      <c r="A11" s="20" t="str">
        <f>IF(ROW()-3&lt;=ROUNDUP(MAX(計算用!$Q$2,計算用!$Q$3)/2,0),ROW()-3,"")</f>
        <v/>
      </c>
      <c r="B11" s="21" t="str">
        <f>IF($A11="","",IFERROR(INDEX(計算用!$D$2:$D$186,MATCH("男赤"&amp;($A11*2-1),計算用!$L$2:$L$186,0)),""))</f>
        <v/>
      </c>
      <c r="C11" s="20" t="str">
        <f>IF($A11="","",IFERROR(INDEX(計算用!$M$2:$M$186,MATCH("男赤"&amp;($A11*2-1),計算用!$L$2:$L$186,0)),""))</f>
        <v/>
      </c>
      <c r="D11" s="21" t="str">
        <f>IF($A11="","",IFERROR(INDEX(計算用!$D$2:$D$186,MATCH("男赤"&amp;($A11*2-0),計算用!$L$2:$L$186,0)),""))</f>
        <v/>
      </c>
      <c r="E11" s="20" t="str">
        <f>IF($A11="","",IFERROR(INDEX(計算用!$M$2:$M$186,MATCH("男赤"&amp;($A11*2-0),計算用!$L$2:$L$186,0)),""))</f>
        <v/>
      </c>
      <c r="F11" s="21" t="str">
        <f>IF($A11="","",IFERROR(INDEX(計算用!$D$2:$D$186,MATCH("男白"&amp;($A11*2-1),計算用!$L$2:$L$186,0)),""))</f>
        <v/>
      </c>
      <c r="G11" s="20" t="str">
        <f>IF($A11="","",IFERROR(INDEX(計算用!$M$2:$M$186,MATCH("男白"&amp;($A11*2-1),計算用!$L$2:$L$186,0)),""))</f>
        <v/>
      </c>
      <c r="H11" s="21" t="str">
        <f>IF($A11="","",IFERROR(INDEX(計算用!$D$2:$D$186,MATCH("男白"&amp;($A11*2-0),計算用!$L$2:$L$186,0)),""))</f>
        <v/>
      </c>
      <c r="I11" s="20" t="str">
        <f>IF($A11="","",IFERROR(INDEX(計算用!$M$2:$M$186,MATCH("男白"&amp;($A11*2-0),計算用!$L$2:$L$186,0)),""))</f>
        <v/>
      </c>
      <c r="K11" s="20" t="str">
        <f>IF(ROW()-3&lt;=ROUNDUP(MAX(計算用!$Q$4,計算用!$Q$5)/2,0),ROW()-3,"")</f>
        <v/>
      </c>
      <c r="L11" s="21" t="str">
        <f>IF($K11="","",IFERROR(INDEX(計算用!$D$2:$D$186,MATCH("女赤"&amp;($K11*2-1),計算用!$L$2:$L$186,0)),""))</f>
        <v/>
      </c>
      <c r="M11" s="20" t="str">
        <f>IF($K11="","",IFERROR(INDEX(計算用!$M$2:$M$186,MATCH("女赤"&amp;($K11*2-1),計算用!$L$2:$L$186,0)),""))</f>
        <v/>
      </c>
      <c r="N11" s="21" t="str">
        <f>IF($K11="","",IFERROR(INDEX(計算用!$D$2:$D$186,MATCH("女赤"&amp;($K11*2-0),計算用!$L$2:$L$186,0)),""))</f>
        <v/>
      </c>
      <c r="O11" s="20" t="str">
        <f>IF($K11="","",IFERROR(INDEX(計算用!$M$2:$M$186,MATCH("女赤"&amp;($K11*2-0),計算用!$L$2:$L$186,0)),""))</f>
        <v/>
      </c>
      <c r="P11" s="21" t="str">
        <f>IF($K11="","",IFERROR(INDEX(計算用!$D$2:$D$186,MATCH("女白"&amp;($K11*2-1),計算用!$L$2:$L$186,0)),""))</f>
        <v/>
      </c>
      <c r="Q11" s="20" t="str">
        <f>IF($K11="","",IFERROR(INDEX(計算用!$M$2:$M$186,MATCH("女白"&amp;($K11*2-1),計算用!$L$2:$L$186,0)),""))</f>
        <v/>
      </c>
      <c r="R11" s="21" t="str">
        <f>IF($K11="","",IFERROR(INDEX(計算用!$D$2:$D$186,MATCH("女白"&amp;($K11*2-0),計算用!$L$2:$L$186,0)),""))</f>
        <v/>
      </c>
      <c r="S11" s="20" t="str">
        <f>IF($K11="","",IFERROR(INDEX(計算用!$M$2:$M$186,MATCH("女白"&amp;($K11*2-0),計算用!$L$2:$L$186,0)),""))</f>
        <v/>
      </c>
    </row>
    <row r="12" spans="1:21" x14ac:dyDescent="0.15">
      <c r="A12" s="20" t="str">
        <f>IF(ROW()-3&lt;=ROUNDUP(MAX(計算用!$Q$2,計算用!$Q$3)/2,0),ROW()-3,"")</f>
        <v/>
      </c>
      <c r="B12" s="21" t="str">
        <f>IF($A12="","",IFERROR(INDEX(計算用!$D$2:$D$186,MATCH("男赤"&amp;($A12*2-1),計算用!$L$2:$L$186,0)),""))</f>
        <v/>
      </c>
      <c r="C12" s="20" t="str">
        <f>IF($A12="","",IFERROR(INDEX(計算用!$M$2:$M$186,MATCH("男赤"&amp;($A12*2-1),計算用!$L$2:$L$186,0)),""))</f>
        <v/>
      </c>
      <c r="D12" s="21" t="str">
        <f>IF($A12="","",IFERROR(INDEX(計算用!$D$2:$D$186,MATCH("男赤"&amp;($A12*2-0),計算用!$L$2:$L$186,0)),""))</f>
        <v/>
      </c>
      <c r="E12" s="20" t="str">
        <f>IF($A12="","",IFERROR(INDEX(計算用!$M$2:$M$186,MATCH("男赤"&amp;($A12*2-0),計算用!$L$2:$L$186,0)),""))</f>
        <v/>
      </c>
      <c r="F12" s="21" t="str">
        <f>IF($A12="","",IFERROR(INDEX(計算用!$D$2:$D$186,MATCH("男白"&amp;($A12*2-1),計算用!$L$2:$L$186,0)),""))</f>
        <v/>
      </c>
      <c r="G12" s="20" t="str">
        <f>IF($A12="","",IFERROR(INDEX(計算用!$M$2:$M$186,MATCH("男白"&amp;($A12*2-1),計算用!$L$2:$L$186,0)),""))</f>
        <v/>
      </c>
      <c r="H12" s="21" t="str">
        <f>IF($A12="","",IFERROR(INDEX(計算用!$D$2:$D$186,MATCH("男白"&amp;($A12*2-0),計算用!$L$2:$L$186,0)),""))</f>
        <v/>
      </c>
      <c r="I12" s="20" t="str">
        <f>IF($A12="","",IFERROR(INDEX(計算用!$M$2:$M$186,MATCH("男白"&amp;($A12*2-0),計算用!$L$2:$L$186,0)),""))</f>
        <v/>
      </c>
      <c r="K12" s="20" t="str">
        <f>IF(ROW()-3&lt;=ROUNDUP(MAX(計算用!$Q$4,計算用!$Q$5)/2,0),ROW()-3,"")</f>
        <v/>
      </c>
      <c r="L12" s="21" t="str">
        <f>IF($K12="","",IFERROR(INDEX(計算用!$D$2:$D$186,MATCH("女赤"&amp;($K12*2-1),計算用!$L$2:$L$186,0)),""))</f>
        <v/>
      </c>
      <c r="M12" s="20" t="str">
        <f>IF($K12="","",IFERROR(INDEX(計算用!$M$2:$M$186,MATCH("女赤"&amp;($K12*2-1),計算用!$L$2:$L$186,0)),""))</f>
        <v/>
      </c>
      <c r="N12" s="21" t="str">
        <f>IF($K12="","",IFERROR(INDEX(計算用!$D$2:$D$186,MATCH("女赤"&amp;($K12*2-0),計算用!$L$2:$L$186,0)),""))</f>
        <v/>
      </c>
      <c r="O12" s="20" t="str">
        <f>IF($K12="","",IFERROR(INDEX(計算用!$M$2:$M$186,MATCH("女赤"&amp;($K12*2-0),計算用!$L$2:$L$186,0)),""))</f>
        <v/>
      </c>
      <c r="P12" s="21" t="str">
        <f>IF($K12="","",IFERROR(INDEX(計算用!$D$2:$D$186,MATCH("女白"&amp;($K12*2-1),計算用!$L$2:$L$186,0)),""))</f>
        <v/>
      </c>
      <c r="Q12" s="20" t="str">
        <f>IF($K12="","",IFERROR(INDEX(計算用!$M$2:$M$186,MATCH("女白"&amp;($K12*2-1),計算用!$L$2:$L$186,0)),""))</f>
        <v/>
      </c>
      <c r="R12" s="21" t="str">
        <f>IF($K12="","",IFERROR(INDEX(計算用!$D$2:$D$186,MATCH("女白"&amp;($K12*2-0),計算用!$L$2:$L$186,0)),""))</f>
        <v/>
      </c>
      <c r="S12" s="20" t="str">
        <f>IF($K12="","",IFERROR(INDEX(計算用!$M$2:$M$186,MATCH("女白"&amp;($K12*2-0),計算用!$L$2:$L$186,0)),""))</f>
        <v/>
      </c>
    </row>
    <row r="13" spans="1:21" x14ac:dyDescent="0.15">
      <c r="A13" s="20" t="str">
        <f>IF(ROW()-3&lt;=ROUNDUP(MAX(計算用!$Q$2,計算用!$Q$3)/2,0),ROW()-3,"")</f>
        <v/>
      </c>
      <c r="B13" s="21" t="str">
        <f>IF($A13="","",IFERROR(INDEX(計算用!$D$2:$D$186,MATCH("男赤"&amp;($A13*2-1),計算用!$L$2:$L$186,0)),""))</f>
        <v/>
      </c>
      <c r="C13" s="20" t="str">
        <f>IF($A13="","",IFERROR(INDEX(計算用!$M$2:$M$186,MATCH("男赤"&amp;($A13*2-1),計算用!$L$2:$L$186,0)),""))</f>
        <v/>
      </c>
      <c r="D13" s="21" t="str">
        <f>IF($A13="","",IFERROR(INDEX(計算用!$D$2:$D$186,MATCH("男赤"&amp;($A13*2-0),計算用!$L$2:$L$186,0)),""))</f>
        <v/>
      </c>
      <c r="E13" s="20" t="str">
        <f>IF($A13="","",IFERROR(INDEX(計算用!$M$2:$M$186,MATCH("男赤"&amp;($A13*2-0),計算用!$L$2:$L$186,0)),""))</f>
        <v/>
      </c>
      <c r="F13" s="21" t="str">
        <f>IF($A13="","",IFERROR(INDEX(計算用!$D$2:$D$186,MATCH("男白"&amp;($A13*2-1),計算用!$L$2:$L$186,0)),""))</f>
        <v/>
      </c>
      <c r="G13" s="20" t="str">
        <f>IF($A13="","",IFERROR(INDEX(計算用!$M$2:$M$186,MATCH("男白"&amp;($A13*2-1),計算用!$L$2:$L$186,0)),""))</f>
        <v/>
      </c>
      <c r="H13" s="21" t="str">
        <f>IF($A13="","",IFERROR(INDEX(計算用!$D$2:$D$186,MATCH("男白"&amp;($A13*2-0),計算用!$L$2:$L$186,0)),""))</f>
        <v/>
      </c>
      <c r="I13" s="20" t="str">
        <f>IF($A13="","",IFERROR(INDEX(計算用!$M$2:$M$186,MATCH("男白"&amp;($A13*2-0),計算用!$L$2:$L$186,0)),""))</f>
        <v/>
      </c>
      <c r="K13" s="20" t="str">
        <f>IF(ROW()-3&lt;=ROUNDUP(MAX(計算用!$Q$4,計算用!$Q$5)/2,0),ROW()-3,"")</f>
        <v/>
      </c>
      <c r="L13" s="21" t="str">
        <f>IF($K13="","",IFERROR(INDEX(計算用!$D$2:$D$186,MATCH("女赤"&amp;($K13*2-1),計算用!$L$2:$L$186,0)),""))</f>
        <v/>
      </c>
      <c r="M13" s="20" t="str">
        <f>IF($K13="","",IFERROR(INDEX(計算用!$M$2:$M$186,MATCH("女赤"&amp;($K13*2-1),計算用!$L$2:$L$186,0)),""))</f>
        <v/>
      </c>
      <c r="N13" s="21" t="str">
        <f>IF($K13="","",IFERROR(INDEX(計算用!$D$2:$D$186,MATCH("女赤"&amp;($K13*2-0),計算用!$L$2:$L$186,0)),""))</f>
        <v/>
      </c>
      <c r="O13" s="20" t="str">
        <f>IF($K13="","",IFERROR(INDEX(計算用!$M$2:$M$186,MATCH("女赤"&amp;($K13*2-0),計算用!$L$2:$L$186,0)),""))</f>
        <v/>
      </c>
      <c r="P13" s="21" t="str">
        <f>IF($K13="","",IFERROR(INDEX(計算用!$D$2:$D$186,MATCH("女白"&amp;($K13*2-1),計算用!$L$2:$L$186,0)),""))</f>
        <v/>
      </c>
      <c r="Q13" s="20" t="str">
        <f>IF($K13="","",IFERROR(INDEX(計算用!$M$2:$M$186,MATCH("女白"&amp;($K13*2-1),計算用!$L$2:$L$186,0)),""))</f>
        <v/>
      </c>
      <c r="R13" s="21" t="str">
        <f>IF($K13="","",IFERROR(INDEX(計算用!$D$2:$D$186,MATCH("女白"&amp;($K13*2-0),計算用!$L$2:$L$186,0)),""))</f>
        <v/>
      </c>
      <c r="S13" s="20" t="str">
        <f>IF($K13="","",IFERROR(INDEX(計算用!$M$2:$M$186,MATCH("女白"&amp;($K13*2-0),計算用!$L$2:$L$186,0)),""))</f>
        <v/>
      </c>
    </row>
    <row r="14" spans="1:21" x14ac:dyDescent="0.15">
      <c r="A14" s="20" t="str">
        <f>IF(ROW()-3&lt;=ROUNDUP(MAX(計算用!$Q$2,計算用!$Q$3)/2,0),ROW()-3,"")</f>
        <v/>
      </c>
      <c r="B14" s="21" t="str">
        <f>IF($A14="","",IFERROR(INDEX(計算用!$D$2:$D$186,MATCH("男赤"&amp;($A14*2-1),計算用!$L$2:$L$186,0)),""))</f>
        <v/>
      </c>
      <c r="C14" s="20" t="str">
        <f>IF($A14="","",IFERROR(INDEX(計算用!$M$2:$M$186,MATCH("男赤"&amp;($A14*2-1),計算用!$L$2:$L$186,0)),""))</f>
        <v/>
      </c>
      <c r="D14" s="21" t="str">
        <f>IF($A14="","",IFERROR(INDEX(計算用!$D$2:$D$186,MATCH("男赤"&amp;($A14*2-0),計算用!$L$2:$L$186,0)),""))</f>
        <v/>
      </c>
      <c r="E14" s="20" t="str">
        <f>IF($A14="","",IFERROR(INDEX(計算用!$M$2:$M$186,MATCH("男赤"&amp;($A14*2-0),計算用!$L$2:$L$186,0)),""))</f>
        <v/>
      </c>
      <c r="F14" s="21" t="str">
        <f>IF($A14="","",IFERROR(INDEX(計算用!$D$2:$D$186,MATCH("男白"&amp;($A14*2-1),計算用!$L$2:$L$186,0)),""))</f>
        <v/>
      </c>
      <c r="G14" s="20" t="str">
        <f>IF($A14="","",IFERROR(INDEX(計算用!$M$2:$M$186,MATCH("男白"&amp;($A14*2-1),計算用!$L$2:$L$186,0)),""))</f>
        <v/>
      </c>
      <c r="H14" s="21" t="str">
        <f>IF($A14="","",IFERROR(INDEX(計算用!$D$2:$D$186,MATCH("男白"&amp;($A14*2-0),計算用!$L$2:$L$186,0)),""))</f>
        <v/>
      </c>
      <c r="I14" s="20" t="str">
        <f>IF($A14="","",IFERROR(INDEX(計算用!$M$2:$M$186,MATCH("男白"&amp;($A14*2-0),計算用!$L$2:$L$186,0)),""))</f>
        <v/>
      </c>
      <c r="K14" s="20" t="str">
        <f>IF(ROW()-3&lt;=ROUNDUP(MAX(計算用!$Q$4,計算用!$Q$5)/2,0),ROW()-3,"")</f>
        <v/>
      </c>
      <c r="L14" s="21" t="str">
        <f>IF($K14="","",IFERROR(INDEX(計算用!$D$2:$D$186,MATCH("女赤"&amp;($K14*2-1),計算用!$L$2:$L$186,0)),""))</f>
        <v/>
      </c>
      <c r="M14" s="20" t="str">
        <f>IF($K14="","",IFERROR(INDEX(計算用!$M$2:$M$186,MATCH("女赤"&amp;($K14*2-1),計算用!$L$2:$L$186,0)),""))</f>
        <v/>
      </c>
      <c r="N14" s="21" t="str">
        <f>IF($K14="","",IFERROR(INDEX(計算用!$D$2:$D$186,MATCH("女赤"&amp;($K14*2-0),計算用!$L$2:$L$186,0)),""))</f>
        <v/>
      </c>
      <c r="O14" s="20" t="str">
        <f>IF($K14="","",IFERROR(INDEX(計算用!$M$2:$M$186,MATCH("女赤"&amp;($K14*2-0),計算用!$L$2:$L$186,0)),""))</f>
        <v/>
      </c>
      <c r="P14" s="21" t="str">
        <f>IF($K14="","",IFERROR(INDEX(計算用!$D$2:$D$186,MATCH("女白"&amp;($K14*2-1),計算用!$L$2:$L$186,0)),""))</f>
        <v/>
      </c>
      <c r="Q14" s="20" t="str">
        <f>IF($K14="","",IFERROR(INDEX(計算用!$M$2:$M$186,MATCH("女白"&amp;($K14*2-1),計算用!$L$2:$L$186,0)),""))</f>
        <v/>
      </c>
      <c r="R14" s="21" t="str">
        <f>IF($K14="","",IFERROR(INDEX(計算用!$D$2:$D$186,MATCH("女白"&amp;($K14*2-0),計算用!$L$2:$L$186,0)),""))</f>
        <v/>
      </c>
      <c r="S14" s="20" t="str">
        <f>IF($K14="","",IFERROR(INDEX(計算用!$M$2:$M$186,MATCH("女白"&amp;($K14*2-0),計算用!$L$2:$L$186,0)),""))</f>
        <v/>
      </c>
    </row>
    <row r="15" spans="1:21" x14ac:dyDescent="0.15">
      <c r="A15" s="20" t="str">
        <f>IF(ROW()-3&lt;=ROUNDUP(MAX(計算用!$Q$2,計算用!$Q$3)/2,0),ROW()-3,"")</f>
        <v/>
      </c>
      <c r="B15" s="21" t="str">
        <f>IF($A15="","",IFERROR(INDEX(計算用!$D$2:$D$186,MATCH("男赤"&amp;($A15*2-1),計算用!$L$2:$L$186,0)),""))</f>
        <v/>
      </c>
      <c r="C15" s="20" t="str">
        <f>IF($A15="","",IFERROR(INDEX(計算用!$M$2:$M$186,MATCH("男赤"&amp;($A15*2-1),計算用!$L$2:$L$186,0)),""))</f>
        <v/>
      </c>
      <c r="D15" s="21" t="str">
        <f>IF($A15="","",IFERROR(INDEX(計算用!$D$2:$D$186,MATCH("男赤"&amp;($A15*2-0),計算用!$L$2:$L$186,0)),""))</f>
        <v/>
      </c>
      <c r="E15" s="20" t="str">
        <f>IF($A15="","",IFERROR(INDEX(計算用!$M$2:$M$186,MATCH("男赤"&amp;($A15*2-0),計算用!$L$2:$L$186,0)),""))</f>
        <v/>
      </c>
      <c r="F15" s="21" t="str">
        <f>IF($A15="","",IFERROR(INDEX(計算用!$D$2:$D$186,MATCH("男白"&amp;($A15*2-1),計算用!$L$2:$L$186,0)),""))</f>
        <v/>
      </c>
      <c r="G15" s="20" t="str">
        <f>IF($A15="","",IFERROR(INDEX(計算用!$M$2:$M$186,MATCH("男白"&amp;($A15*2-1),計算用!$L$2:$L$186,0)),""))</f>
        <v/>
      </c>
      <c r="H15" s="21" t="str">
        <f>IF($A15="","",IFERROR(INDEX(計算用!$D$2:$D$186,MATCH("男白"&amp;($A15*2-0),計算用!$L$2:$L$186,0)),""))</f>
        <v/>
      </c>
      <c r="I15" s="20" t="str">
        <f>IF($A15="","",IFERROR(INDEX(計算用!$M$2:$M$186,MATCH("男白"&amp;($A15*2-0),計算用!$L$2:$L$186,0)),""))</f>
        <v/>
      </c>
      <c r="K15" s="20" t="str">
        <f>IF(ROW()-3&lt;=ROUNDUP(MAX(計算用!$Q$4,計算用!$Q$5)/2,0),ROW()-3,"")</f>
        <v/>
      </c>
      <c r="L15" s="21" t="str">
        <f>IF($K15="","",IFERROR(INDEX(計算用!$D$2:$D$186,MATCH("女赤"&amp;($K15*2-1),計算用!$L$2:$L$186,0)),""))</f>
        <v/>
      </c>
      <c r="M15" s="20" t="str">
        <f>IF($K15="","",IFERROR(INDEX(計算用!$M$2:$M$186,MATCH("女赤"&amp;($K15*2-1),計算用!$L$2:$L$186,0)),""))</f>
        <v/>
      </c>
      <c r="N15" s="21" t="str">
        <f>IF($K15="","",IFERROR(INDEX(計算用!$D$2:$D$186,MATCH("女赤"&amp;($K15*2-0),計算用!$L$2:$L$186,0)),""))</f>
        <v/>
      </c>
      <c r="O15" s="20" t="str">
        <f>IF($K15="","",IFERROR(INDEX(計算用!$M$2:$M$186,MATCH("女赤"&amp;($K15*2-0),計算用!$L$2:$L$186,0)),""))</f>
        <v/>
      </c>
      <c r="P15" s="21" t="str">
        <f>IF($K15="","",IFERROR(INDEX(計算用!$D$2:$D$186,MATCH("女白"&amp;($K15*2-1),計算用!$L$2:$L$186,0)),""))</f>
        <v/>
      </c>
      <c r="Q15" s="20" t="str">
        <f>IF($K15="","",IFERROR(INDEX(計算用!$M$2:$M$186,MATCH("女白"&amp;($K15*2-1),計算用!$L$2:$L$186,0)),""))</f>
        <v/>
      </c>
      <c r="R15" s="21" t="str">
        <f>IF($K15="","",IFERROR(INDEX(計算用!$D$2:$D$186,MATCH("女白"&amp;($K15*2-0),計算用!$L$2:$L$186,0)),""))</f>
        <v/>
      </c>
      <c r="S15" s="20" t="str">
        <f>IF($K15="","",IFERROR(INDEX(計算用!$M$2:$M$186,MATCH("女白"&amp;($K15*2-0),計算用!$L$2:$L$186,0)),""))</f>
        <v/>
      </c>
    </row>
    <row r="16" spans="1:21" x14ac:dyDescent="0.15">
      <c r="A16" s="20" t="str">
        <f>IF(ROW()-3&lt;=ROUNDUP(MAX(計算用!$Q$2,計算用!$Q$3)/2,0),ROW()-3,"")</f>
        <v/>
      </c>
      <c r="B16" s="21" t="str">
        <f>IF($A16="","",IFERROR(INDEX(計算用!$D$2:$D$186,MATCH("男赤"&amp;($A16*2-1),計算用!$L$2:$L$186,0)),""))</f>
        <v/>
      </c>
      <c r="C16" s="20" t="str">
        <f>IF($A16="","",IFERROR(INDEX(計算用!$M$2:$M$186,MATCH("男赤"&amp;($A16*2-1),計算用!$L$2:$L$186,0)),""))</f>
        <v/>
      </c>
      <c r="D16" s="21" t="str">
        <f>IF($A16="","",IFERROR(INDEX(計算用!$D$2:$D$186,MATCH("男赤"&amp;($A16*2-0),計算用!$L$2:$L$186,0)),""))</f>
        <v/>
      </c>
      <c r="E16" s="20" t="str">
        <f>IF($A16="","",IFERROR(INDEX(計算用!$M$2:$M$186,MATCH("男赤"&amp;($A16*2-0),計算用!$L$2:$L$186,0)),""))</f>
        <v/>
      </c>
      <c r="F16" s="21" t="str">
        <f>IF($A16="","",IFERROR(INDEX(計算用!$D$2:$D$186,MATCH("男白"&amp;($A16*2-1),計算用!$L$2:$L$186,0)),""))</f>
        <v/>
      </c>
      <c r="G16" s="20" t="str">
        <f>IF($A16="","",IFERROR(INDEX(計算用!$M$2:$M$186,MATCH("男白"&amp;($A16*2-1),計算用!$L$2:$L$186,0)),""))</f>
        <v/>
      </c>
      <c r="H16" s="21" t="str">
        <f>IF($A16="","",IFERROR(INDEX(計算用!$D$2:$D$186,MATCH("男白"&amp;($A16*2-0),計算用!$L$2:$L$186,0)),""))</f>
        <v/>
      </c>
      <c r="I16" s="20" t="str">
        <f>IF($A16="","",IFERROR(INDEX(計算用!$M$2:$M$186,MATCH("男白"&amp;($A16*2-0),計算用!$L$2:$L$186,0)),""))</f>
        <v/>
      </c>
      <c r="K16" s="20" t="str">
        <f>IF(ROW()-3&lt;=ROUNDUP(MAX(計算用!$Q$4,計算用!$Q$5)/2,0),ROW()-3,"")</f>
        <v/>
      </c>
      <c r="L16" s="21" t="str">
        <f>IF($K16="","",IFERROR(INDEX(計算用!$D$2:$D$186,MATCH("女赤"&amp;($K16*2-1),計算用!$L$2:$L$186,0)),""))</f>
        <v/>
      </c>
      <c r="M16" s="20" t="str">
        <f>IF($K16="","",IFERROR(INDEX(計算用!$M$2:$M$186,MATCH("女赤"&amp;($K16*2-1),計算用!$L$2:$L$186,0)),""))</f>
        <v/>
      </c>
      <c r="N16" s="21" t="str">
        <f>IF($K16="","",IFERROR(INDEX(計算用!$D$2:$D$186,MATCH("女赤"&amp;($K16*2-0),計算用!$L$2:$L$186,0)),""))</f>
        <v/>
      </c>
      <c r="O16" s="20" t="str">
        <f>IF($K16="","",IFERROR(INDEX(計算用!$M$2:$M$186,MATCH("女赤"&amp;($K16*2-0),計算用!$L$2:$L$186,0)),""))</f>
        <v/>
      </c>
      <c r="P16" s="21" t="str">
        <f>IF($K16="","",IFERROR(INDEX(計算用!$D$2:$D$186,MATCH("女白"&amp;($K16*2-1),計算用!$L$2:$L$186,0)),""))</f>
        <v/>
      </c>
      <c r="Q16" s="20" t="str">
        <f>IF($K16="","",IFERROR(INDEX(計算用!$M$2:$M$186,MATCH("女白"&amp;($K16*2-1),計算用!$L$2:$L$186,0)),""))</f>
        <v/>
      </c>
      <c r="R16" s="21" t="str">
        <f>IF($K16="","",IFERROR(INDEX(計算用!$D$2:$D$186,MATCH("女白"&amp;($K16*2-0),計算用!$L$2:$L$186,0)),""))</f>
        <v/>
      </c>
      <c r="S16" s="20" t="str">
        <f>IF($K16="","",IFERROR(INDEX(計算用!$M$2:$M$186,MATCH("女白"&amp;($K16*2-0),計算用!$L$2:$L$186,0)),""))</f>
        <v/>
      </c>
    </row>
    <row r="17" spans="1:19" x14ac:dyDescent="0.15">
      <c r="A17" s="20" t="str">
        <f>IF(ROW()-3&lt;=ROUNDUP(MAX(計算用!$Q$2,計算用!$Q$3)/2,0),ROW()-3,"")</f>
        <v/>
      </c>
      <c r="B17" s="21" t="str">
        <f>IF($A17="","",IFERROR(INDEX(計算用!$D$2:$D$186,MATCH("男赤"&amp;($A17*2-1),計算用!$L$2:$L$186,0)),""))</f>
        <v/>
      </c>
      <c r="C17" s="20" t="str">
        <f>IF($A17="","",IFERROR(INDEX(計算用!$M$2:$M$186,MATCH("男赤"&amp;($A17*2-1),計算用!$L$2:$L$186,0)),""))</f>
        <v/>
      </c>
      <c r="D17" s="21" t="str">
        <f>IF($A17="","",IFERROR(INDEX(計算用!$D$2:$D$186,MATCH("男赤"&amp;($A17*2-0),計算用!$L$2:$L$186,0)),""))</f>
        <v/>
      </c>
      <c r="E17" s="20" t="str">
        <f>IF($A17="","",IFERROR(INDEX(計算用!$M$2:$M$186,MATCH("男赤"&amp;($A17*2-0),計算用!$L$2:$L$186,0)),""))</f>
        <v/>
      </c>
      <c r="F17" s="21" t="str">
        <f>IF($A17="","",IFERROR(INDEX(計算用!$D$2:$D$186,MATCH("男白"&amp;($A17*2-1),計算用!$L$2:$L$186,0)),""))</f>
        <v/>
      </c>
      <c r="G17" s="20" t="str">
        <f>IF($A17="","",IFERROR(INDEX(計算用!$M$2:$M$186,MATCH("男白"&amp;($A17*2-1),計算用!$L$2:$L$186,0)),""))</f>
        <v/>
      </c>
      <c r="H17" s="21" t="str">
        <f>IF($A17="","",IFERROR(INDEX(計算用!$D$2:$D$186,MATCH("男白"&amp;($A17*2-0),計算用!$L$2:$L$186,0)),""))</f>
        <v/>
      </c>
      <c r="I17" s="20" t="str">
        <f>IF($A17="","",IFERROR(INDEX(計算用!$M$2:$M$186,MATCH("男白"&amp;($A17*2-0),計算用!$L$2:$L$186,0)),""))</f>
        <v/>
      </c>
      <c r="K17" s="20" t="str">
        <f>IF(ROW()-3&lt;=ROUNDUP(MAX(計算用!$Q$4,計算用!$Q$5)/2,0),ROW()-3,"")</f>
        <v/>
      </c>
      <c r="L17" s="21" t="str">
        <f>IF($K17="","",IFERROR(INDEX(計算用!$D$2:$D$186,MATCH("女赤"&amp;($K17*2-1),計算用!$L$2:$L$186,0)),""))</f>
        <v/>
      </c>
      <c r="M17" s="20" t="str">
        <f>IF($K17="","",IFERROR(INDEX(計算用!$M$2:$M$186,MATCH("女赤"&amp;($K17*2-1),計算用!$L$2:$L$186,0)),""))</f>
        <v/>
      </c>
      <c r="N17" s="21" t="str">
        <f>IF($K17="","",IFERROR(INDEX(計算用!$D$2:$D$186,MATCH("女赤"&amp;($K17*2-0),計算用!$L$2:$L$186,0)),""))</f>
        <v/>
      </c>
      <c r="O17" s="20" t="str">
        <f>IF($K17="","",IFERROR(INDEX(計算用!$M$2:$M$186,MATCH("女赤"&amp;($K17*2-0),計算用!$L$2:$L$186,0)),""))</f>
        <v/>
      </c>
      <c r="P17" s="21" t="str">
        <f>IF($K17="","",IFERROR(INDEX(計算用!$D$2:$D$186,MATCH("女白"&amp;($K17*2-1),計算用!$L$2:$L$186,0)),""))</f>
        <v/>
      </c>
      <c r="Q17" s="20" t="str">
        <f>IF($K17="","",IFERROR(INDEX(計算用!$M$2:$M$186,MATCH("女白"&amp;($K17*2-1),計算用!$L$2:$L$186,0)),""))</f>
        <v/>
      </c>
      <c r="R17" s="21" t="str">
        <f>IF($K17="","",IFERROR(INDEX(計算用!$D$2:$D$186,MATCH("女白"&amp;($K17*2-0),計算用!$L$2:$L$186,0)),""))</f>
        <v/>
      </c>
      <c r="S17" s="20" t="str">
        <f>IF($K17="","",IFERROR(INDEX(計算用!$M$2:$M$186,MATCH("女白"&amp;($K17*2-0),計算用!$L$2:$L$186,0)),""))</f>
        <v/>
      </c>
    </row>
    <row r="18" spans="1:19" x14ac:dyDescent="0.15">
      <c r="A18" s="20" t="str">
        <f>IF(ROW()-3&lt;=ROUNDUP(MAX(計算用!$Q$2,計算用!$Q$3)/2,0),ROW()-3,"")</f>
        <v/>
      </c>
      <c r="B18" s="21" t="str">
        <f>IF($A18="","",IFERROR(INDEX(計算用!$D$2:$D$186,MATCH("男赤"&amp;($A18*2-1),計算用!$L$2:$L$186,0)),""))</f>
        <v/>
      </c>
      <c r="C18" s="20" t="str">
        <f>IF($A18="","",IFERROR(INDEX(計算用!$M$2:$M$186,MATCH("男赤"&amp;($A18*2-1),計算用!$L$2:$L$186,0)),""))</f>
        <v/>
      </c>
      <c r="D18" s="21" t="str">
        <f>IF($A18="","",IFERROR(INDEX(計算用!$D$2:$D$186,MATCH("男赤"&amp;($A18*2-0),計算用!$L$2:$L$186,0)),""))</f>
        <v/>
      </c>
      <c r="E18" s="20" t="str">
        <f>IF($A18="","",IFERROR(INDEX(計算用!$M$2:$M$186,MATCH("男赤"&amp;($A18*2-0),計算用!$L$2:$L$186,0)),""))</f>
        <v/>
      </c>
      <c r="F18" s="21" t="str">
        <f>IF($A18="","",IFERROR(INDEX(計算用!$D$2:$D$186,MATCH("男白"&amp;($A18*2-1),計算用!$L$2:$L$186,0)),""))</f>
        <v/>
      </c>
      <c r="G18" s="20" t="str">
        <f>IF($A18="","",IFERROR(INDEX(計算用!$M$2:$M$186,MATCH("男白"&amp;($A18*2-1),計算用!$L$2:$L$186,0)),""))</f>
        <v/>
      </c>
      <c r="H18" s="21" t="str">
        <f>IF($A18="","",IFERROR(INDEX(計算用!$D$2:$D$186,MATCH("男白"&amp;($A18*2-0),計算用!$L$2:$L$186,0)),""))</f>
        <v/>
      </c>
      <c r="I18" s="20" t="str">
        <f>IF($A18="","",IFERROR(INDEX(計算用!$M$2:$M$186,MATCH("男白"&amp;($A18*2-0),計算用!$L$2:$L$186,0)),""))</f>
        <v/>
      </c>
      <c r="K18" s="20" t="str">
        <f>IF(ROW()-3&lt;=ROUNDUP(MAX(計算用!$Q$4,計算用!$Q$5)/2,0),ROW()-3,"")</f>
        <v/>
      </c>
      <c r="L18" s="21" t="str">
        <f>IF($K18="","",IFERROR(INDEX(計算用!$D$2:$D$186,MATCH("女赤"&amp;($K18*2-1),計算用!$L$2:$L$186,0)),""))</f>
        <v/>
      </c>
      <c r="M18" s="20" t="str">
        <f>IF($K18="","",IFERROR(INDEX(計算用!$M$2:$M$186,MATCH("女赤"&amp;($K18*2-1),計算用!$L$2:$L$186,0)),""))</f>
        <v/>
      </c>
      <c r="N18" s="21" t="str">
        <f>IF($K18="","",IFERROR(INDEX(計算用!$D$2:$D$186,MATCH("女赤"&amp;($K18*2-0),計算用!$L$2:$L$186,0)),""))</f>
        <v/>
      </c>
      <c r="O18" s="20" t="str">
        <f>IF($K18="","",IFERROR(INDEX(計算用!$M$2:$M$186,MATCH("女赤"&amp;($K18*2-0),計算用!$L$2:$L$186,0)),""))</f>
        <v/>
      </c>
      <c r="P18" s="21" t="str">
        <f>IF($K18="","",IFERROR(INDEX(計算用!$D$2:$D$186,MATCH("女白"&amp;($K18*2-1),計算用!$L$2:$L$186,0)),""))</f>
        <v/>
      </c>
      <c r="Q18" s="20" t="str">
        <f>IF($K18="","",IFERROR(INDEX(計算用!$M$2:$M$186,MATCH("女白"&amp;($K18*2-1),計算用!$L$2:$L$186,0)),""))</f>
        <v/>
      </c>
      <c r="R18" s="21" t="str">
        <f>IF($K18="","",IFERROR(INDEX(計算用!$D$2:$D$186,MATCH("女白"&amp;($K18*2-0),計算用!$L$2:$L$186,0)),""))</f>
        <v/>
      </c>
      <c r="S18" s="20" t="str">
        <f>IF($K18="","",IFERROR(INDEX(計算用!$M$2:$M$186,MATCH("女白"&amp;($K18*2-0),計算用!$L$2:$L$186,0)),""))</f>
        <v/>
      </c>
    </row>
    <row r="19" spans="1:19" x14ac:dyDescent="0.15">
      <c r="A19" s="20" t="str">
        <f>IF(ROW()-3&lt;=ROUNDUP(MAX(計算用!$Q$2,計算用!$Q$3)/2,0),ROW()-3,"")</f>
        <v/>
      </c>
      <c r="B19" s="21" t="str">
        <f>IF($A19="","",IFERROR(INDEX(計算用!$D$2:$D$186,MATCH("男赤"&amp;($A19*2-1),計算用!$L$2:$L$186,0)),""))</f>
        <v/>
      </c>
      <c r="C19" s="20" t="str">
        <f>IF($A19="","",IFERROR(INDEX(計算用!$M$2:$M$186,MATCH("男赤"&amp;($A19*2-1),計算用!$L$2:$L$186,0)),""))</f>
        <v/>
      </c>
      <c r="D19" s="21" t="str">
        <f>IF($A19="","",IFERROR(INDEX(計算用!$D$2:$D$186,MATCH("男赤"&amp;($A19*2-0),計算用!$L$2:$L$186,0)),""))</f>
        <v/>
      </c>
      <c r="E19" s="20" t="str">
        <f>IF($A19="","",IFERROR(INDEX(計算用!$M$2:$M$186,MATCH("男赤"&amp;($A19*2-0),計算用!$L$2:$L$186,0)),""))</f>
        <v/>
      </c>
      <c r="F19" s="21" t="str">
        <f>IF($A19="","",IFERROR(INDEX(計算用!$D$2:$D$186,MATCH("男白"&amp;($A19*2-1),計算用!$L$2:$L$186,0)),""))</f>
        <v/>
      </c>
      <c r="G19" s="20" t="str">
        <f>IF($A19="","",IFERROR(INDEX(計算用!$M$2:$M$186,MATCH("男白"&amp;($A19*2-1),計算用!$L$2:$L$186,0)),""))</f>
        <v/>
      </c>
      <c r="H19" s="21" t="str">
        <f>IF($A19="","",IFERROR(INDEX(計算用!$D$2:$D$186,MATCH("男白"&amp;($A19*2-0),計算用!$L$2:$L$186,0)),""))</f>
        <v/>
      </c>
      <c r="I19" s="20" t="str">
        <f>IF($A19="","",IFERROR(INDEX(計算用!$M$2:$M$186,MATCH("男白"&amp;($A19*2-0),計算用!$L$2:$L$186,0)),""))</f>
        <v/>
      </c>
      <c r="K19" s="20" t="str">
        <f>IF(ROW()-3&lt;=ROUNDUP(MAX(計算用!$Q$4,計算用!$Q$5)/2,0),ROW()-3,"")</f>
        <v/>
      </c>
      <c r="L19" s="21" t="str">
        <f>IF($K19="","",IFERROR(INDEX(計算用!$D$2:$D$186,MATCH("女赤"&amp;($K19*2-1),計算用!$L$2:$L$186,0)),""))</f>
        <v/>
      </c>
      <c r="M19" s="20" t="str">
        <f>IF($K19="","",IFERROR(INDEX(計算用!$M$2:$M$186,MATCH("女赤"&amp;($K19*2-1),計算用!$L$2:$L$186,0)),""))</f>
        <v/>
      </c>
      <c r="N19" s="21" t="str">
        <f>IF($K19="","",IFERROR(INDEX(計算用!$D$2:$D$186,MATCH("女赤"&amp;($K19*2-0),計算用!$L$2:$L$186,0)),""))</f>
        <v/>
      </c>
      <c r="O19" s="20" t="str">
        <f>IF($K19="","",IFERROR(INDEX(計算用!$M$2:$M$186,MATCH("女赤"&amp;($K19*2-0),計算用!$L$2:$L$186,0)),""))</f>
        <v/>
      </c>
      <c r="P19" s="21" t="str">
        <f>IF($K19="","",IFERROR(INDEX(計算用!$D$2:$D$186,MATCH("女白"&amp;($K19*2-1),計算用!$L$2:$L$186,0)),""))</f>
        <v/>
      </c>
      <c r="Q19" s="20" t="str">
        <f>IF($K19="","",IFERROR(INDEX(計算用!$M$2:$M$186,MATCH("女白"&amp;($K19*2-1),計算用!$L$2:$L$186,0)),""))</f>
        <v/>
      </c>
      <c r="R19" s="21" t="str">
        <f>IF($K19="","",IFERROR(INDEX(計算用!$D$2:$D$186,MATCH("女白"&amp;($K19*2-0),計算用!$L$2:$L$186,0)),""))</f>
        <v/>
      </c>
      <c r="S19" s="20" t="str">
        <f>IF($K19="","",IFERROR(INDEX(計算用!$M$2:$M$186,MATCH("女白"&amp;($K19*2-0),計算用!$L$2:$L$186,0)),""))</f>
        <v/>
      </c>
    </row>
    <row r="20" spans="1:19" x14ac:dyDescent="0.15">
      <c r="A20" s="20" t="str">
        <f>IF(ROW()-3&lt;=ROUNDUP(MAX(計算用!$Q$2,計算用!$Q$3)/2,0),ROW()-3,"")</f>
        <v/>
      </c>
      <c r="B20" s="21" t="str">
        <f>IF($A20="","",IFERROR(INDEX(計算用!$D$2:$D$186,MATCH("男赤"&amp;($A20*2-1),計算用!$L$2:$L$186,0)),""))</f>
        <v/>
      </c>
      <c r="C20" s="20" t="str">
        <f>IF($A20="","",IFERROR(INDEX(計算用!$M$2:$M$186,MATCH("男赤"&amp;($A20*2-1),計算用!$L$2:$L$186,0)),""))</f>
        <v/>
      </c>
      <c r="D20" s="21" t="str">
        <f>IF($A20="","",IFERROR(INDEX(計算用!$D$2:$D$186,MATCH("男赤"&amp;($A20*2-0),計算用!$L$2:$L$186,0)),""))</f>
        <v/>
      </c>
      <c r="E20" s="20" t="str">
        <f>IF($A20="","",IFERROR(INDEX(計算用!$M$2:$M$186,MATCH("男赤"&amp;($A20*2-0),計算用!$L$2:$L$186,0)),""))</f>
        <v/>
      </c>
      <c r="F20" s="21" t="str">
        <f>IF($A20="","",IFERROR(INDEX(計算用!$D$2:$D$186,MATCH("男白"&amp;($A20*2-1),計算用!$L$2:$L$186,0)),""))</f>
        <v/>
      </c>
      <c r="G20" s="20" t="str">
        <f>IF($A20="","",IFERROR(INDEX(計算用!$M$2:$M$186,MATCH("男白"&amp;($A20*2-1),計算用!$L$2:$L$186,0)),""))</f>
        <v/>
      </c>
      <c r="H20" s="21" t="str">
        <f>IF($A20="","",IFERROR(INDEX(計算用!$D$2:$D$186,MATCH("男白"&amp;($A20*2-0),計算用!$L$2:$L$186,0)),""))</f>
        <v/>
      </c>
      <c r="I20" s="20" t="str">
        <f>IF($A20="","",IFERROR(INDEX(計算用!$M$2:$M$186,MATCH("男白"&amp;($A20*2-0),計算用!$L$2:$L$186,0)),""))</f>
        <v/>
      </c>
      <c r="K20" s="20" t="str">
        <f>IF(ROW()-3&lt;=ROUNDUP(MAX(計算用!$Q$4,計算用!$Q$5)/2,0),ROW()-3,"")</f>
        <v/>
      </c>
      <c r="L20" s="21" t="str">
        <f>IF($K20="","",IFERROR(INDEX(計算用!$D$2:$D$186,MATCH("女赤"&amp;($K20*2-1),計算用!$L$2:$L$186,0)),""))</f>
        <v/>
      </c>
      <c r="M20" s="20" t="str">
        <f>IF($K20="","",IFERROR(INDEX(計算用!$M$2:$M$186,MATCH("女赤"&amp;($K20*2-1),計算用!$L$2:$L$186,0)),""))</f>
        <v/>
      </c>
      <c r="N20" s="21" t="str">
        <f>IF($K20="","",IFERROR(INDEX(計算用!$D$2:$D$186,MATCH("女赤"&amp;($K20*2-0),計算用!$L$2:$L$186,0)),""))</f>
        <v/>
      </c>
      <c r="O20" s="20" t="str">
        <f>IF($K20="","",IFERROR(INDEX(計算用!$M$2:$M$186,MATCH("女赤"&amp;($K20*2-0),計算用!$L$2:$L$186,0)),""))</f>
        <v/>
      </c>
      <c r="P20" s="21" t="str">
        <f>IF($K20="","",IFERROR(INDEX(計算用!$D$2:$D$186,MATCH("女白"&amp;($K20*2-1),計算用!$L$2:$L$186,0)),""))</f>
        <v/>
      </c>
      <c r="Q20" s="20" t="str">
        <f>IF($K20="","",IFERROR(INDEX(計算用!$M$2:$M$186,MATCH("女白"&amp;($K20*2-1),計算用!$L$2:$L$186,0)),""))</f>
        <v/>
      </c>
      <c r="R20" s="21" t="str">
        <f>IF($K20="","",IFERROR(INDEX(計算用!$D$2:$D$186,MATCH("女白"&amp;($K20*2-0),計算用!$L$2:$L$186,0)),""))</f>
        <v/>
      </c>
      <c r="S20" s="20" t="str">
        <f>IF($K20="","",IFERROR(INDEX(計算用!$M$2:$M$186,MATCH("女白"&amp;($K20*2-0),計算用!$L$2:$L$186,0)),""))</f>
        <v/>
      </c>
    </row>
    <row r="21" spans="1:19" x14ac:dyDescent="0.15">
      <c r="A21" s="20" t="str">
        <f>IF(ROW()-3&lt;=ROUNDUP(MAX(計算用!$Q$2,計算用!$Q$3)/2,0),ROW()-3,"")</f>
        <v/>
      </c>
      <c r="B21" s="21" t="str">
        <f>IF($A21="","",IFERROR(INDEX(計算用!$D$2:$D$186,MATCH("男赤"&amp;($A21*2-1),計算用!$L$2:$L$186,0)),""))</f>
        <v/>
      </c>
      <c r="C21" s="20" t="str">
        <f>IF($A21="","",IFERROR(INDEX(計算用!$M$2:$M$186,MATCH("男赤"&amp;($A21*2-1),計算用!$L$2:$L$186,0)),""))</f>
        <v/>
      </c>
      <c r="D21" s="21" t="str">
        <f>IF($A21="","",IFERROR(INDEX(計算用!$D$2:$D$186,MATCH("男赤"&amp;($A21*2-0),計算用!$L$2:$L$186,0)),""))</f>
        <v/>
      </c>
      <c r="E21" s="20" t="str">
        <f>IF($A21="","",IFERROR(INDEX(計算用!$M$2:$M$186,MATCH("男赤"&amp;($A21*2-0),計算用!$L$2:$L$186,0)),""))</f>
        <v/>
      </c>
      <c r="F21" s="21" t="str">
        <f>IF($A21="","",IFERROR(INDEX(計算用!$D$2:$D$186,MATCH("男白"&amp;($A21*2-1),計算用!$L$2:$L$186,0)),""))</f>
        <v/>
      </c>
      <c r="G21" s="20" t="str">
        <f>IF($A21="","",IFERROR(INDEX(計算用!$M$2:$M$186,MATCH("男白"&amp;($A21*2-1),計算用!$L$2:$L$186,0)),""))</f>
        <v/>
      </c>
      <c r="H21" s="21" t="str">
        <f>IF($A21="","",IFERROR(INDEX(計算用!$D$2:$D$186,MATCH("男白"&amp;($A21*2-0),計算用!$L$2:$L$186,0)),""))</f>
        <v/>
      </c>
      <c r="I21" s="20" t="str">
        <f>IF($A21="","",IFERROR(INDEX(計算用!$M$2:$M$186,MATCH("男白"&amp;($A21*2-0),計算用!$L$2:$L$186,0)),""))</f>
        <v/>
      </c>
      <c r="K21" s="20" t="str">
        <f>IF(ROW()-3&lt;=ROUNDUP(MAX(計算用!$Q$4,計算用!$Q$5)/2,0),ROW()-3,"")</f>
        <v/>
      </c>
      <c r="L21" s="21" t="str">
        <f>IF($K21="","",IFERROR(INDEX(計算用!$D$2:$D$186,MATCH("女赤"&amp;($K21*2-1),計算用!$L$2:$L$186,0)),""))</f>
        <v/>
      </c>
      <c r="M21" s="20" t="str">
        <f>IF($K21="","",IFERROR(INDEX(計算用!$M$2:$M$186,MATCH("女赤"&amp;($K21*2-1),計算用!$L$2:$L$186,0)),""))</f>
        <v/>
      </c>
      <c r="N21" s="21" t="str">
        <f>IF($K21="","",IFERROR(INDEX(計算用!$D$2:$D$186,MATCH("女赤"&amp;($K21*2-0),計算用!$L$2:$L$186,0)),""))</f>
        <v/>
      </c>
      <c r="O21" s="20" t="str">
        <f>IF($K21="","",IFERROR(INDEX(計算用!$M$2:$M$186,MATCH("女赤"&amp;($K21*2-0),計算用!$L$2:$L$186,0)),""))</f>
        <v/>
      </c>
      <c r="P21" s="21" t="str">
        <f>IF($K21="","",IFERROR(INDEX(計算用!$D$2:$D$186,MATCH("女白"&amp;($K21*2-1),計算用!$L$2:$L$186,0)),""))</f>
        <v/>
      </c>
      <c r="Q21" s="20" t="str">
        <f>IF($K21="","",IFERROR(INDEX(計算用!$M$2:$M$186,MATCH("女白"&amp;($K21*2-1),計算用!$L$2:$L$186,0)),""))</f>
        <v/>
      </c>
      <c r="R21" s="21" t="str">
        <f>IF($K21="","",IFERROR(INDEX(計算用!$D$2:$D$186,MATCH("女白"&amp;($K21*2-0),計算用!$L$2:$L$186,0)),""))</f>
        <v/>
      </c>
      <c r="S21" s="20" t="str">
        <f>IF($K21="","",IFERROR(INDEX(計算用!$M$2:$M$186,MATCH("女白"&amp;($K21*2-0),計算用!$L$2:$L$186,0)),""))</f>
        <v/>
      </c>
    </row>
    <row r="22" spans="1:19" x14ac:dyDescent="0.15">
      <c r="A22" s="20" t="str">
        <f>IF(ROW()-3&lt;=ROUNDUP(MAX(計算用!$Q$2,計算用!$Q$3)/2,0),ROW()-3,"")</f>
        <v/>
      </c>
      <c r="B22" s="21" t="str">
        <f>IF($A22="","",IFERROR(INDEX(計算用!$D$2:$D$186,MATCH("男赤"&amp;($A22*2-1),計算用!$L$2:$L$186,0)),""))</f>
        <v/>
      </c>
      <c r="C22" s="20" t="str">
        <f>IF($A22="","",IFERROR(INDEX(計算用!$M$2:$M$186,MATCH("男赤"&amp;($A22*2-1),計算用!$L$2:$L$186,0)),""))</f>
        <v/>
      </c>
      <c r="D22" s="21" t="str">
        <f>IF($A22="","",IFERROR(INDEX(計算用!$D$2:$D$186,MATCH("男赤"&amp;($A22*2-0),計算用!$L$2:$L$186,0)),""))</f>
        <v/>
      </c>
      <c r="E22" s="20" t="str">
        <f>IF($A22="","",IFERROR(INDEX(計算用!$M$2:$M$186,MATCH("男赤"&amp;($A22*2-0),計算用!$L$2:$L$186,0)),""))</f>
        <v/>
      </c>
      <c r="F22" s="21" t="str">
        <f>IF($A22="","",IFERROR(INDEX(計算用!$D$2:$D$186,MATCH("男白"&amp;($A22*2-1),計算用!$L$2:$L$186,0)),""))</f>
        <v/>
      </c>
      <c r="G22" s="20" t="str">
        <f>IF($A22="","",IFERROR(INDEX(計算用!$M$2:$M$186,MATCH("男白"&amp;($A22*2-1),計算用!$L$2:$L$186,0)),""))</f>
        <v/>
      </c>
      <c r="H22" s="21" t="str">
        <f>IF($A22="","",IFERROR(INDEX(計算用!$D$2:$D$186,MATCH("男白"&amp;($A22*2-0),計算用!$L$2:$L$186,0)),""))</f>
        <v/>
      </c>
      <c r="I22" s="20" t="str">
        <f>IF($A22="","",IFERROR(INDEX(計算用!$M$2:$M$186,MATCH("男白"&amp;($A22*2-0),計算用!$L$2:$L$186,0)),""))</f>
        <v/>
      </c>
      <c r="K22" s="20" t="str">
        <f>IF(ROW()-3&lt;=ROUNDUP(MAX(計算用!$Q$4,計算用!$Q$5)/2,0),ROW()-3,"")</f>
        <v/>
      </c>
      <c r="L22" s="21" t="str">
        <f>IF($K22="","",IFERROR(INDEX(計算用!$D$2:$D$186,MATCH("女赤"&amp;($K22*2-1),計算用!$L$2:$L$186,0)),""))</f>
        <v/>
      </c>
      <c r="M22" s="20" t="str">
        <f>IF($K22="","",IFERROR(INDEX(計算用!$M$2:$M$186,MATCH("女赤"&amp;($K22*2-1),計算用!$L$2:$L$186,0)),""))</f>
        <v/>
      </c>
      <c r="N22" s="21" t="str">
        <f>IF($K22="","",IFERROR(INDEX(計算用!$D$2:$D$186,MATCH("女赤"&amp;($K22*2-0),計算用!$L$2:$L$186,0)),""))</f>
        <v/>
      </c>
      <c r="O22" s="20" t="str">
        <f>IF($K22="","",IFERROR(INDEX(計算用!$M$2:$M$186,MATCH("女赤"&amp;($K22*2-0),計算用!$L$2:$L$186,0)),""))</f>
        <v/>
      </c>
      <c r="P22" s="21" t="str">
        <f>IF($K22="","",IFERROR(INDEX(計算用!$D$2:$D$186,MATCH("女白"&amp;($K22*2-1),計算用!$L$2:$L$186,0)),""))</f>
        <v/>
      </c>
      <c r="Q22" s="20" t="str">
        <f>IF($K22="","",IFERROR(INDEX(計算用!$M$2:$M$186,MATCH("女白"&amp;($K22*2-1),計算用!$L$2:$L$186,0)),""))</f>
        <v/>
      </c>
      <c r="R22" s="21" t="str">
        <f>IF($K22="","",IFERROR(INDEX(計算用!$D$2:$D$186,MATCH("女白"&amp;($K22*2-0),計算用!$L$2:$L$186,0)),""))</f>
        <v/>
      </c>
      <c r="S22" s="20" t="str">
        <f>IF($K22="","",IFERROR(INDEX(計算用!$M$2:$M$186,MATCH("女白"&amp;($K22*2-0),計算用!$L$2:$L$186,0)),""))</f>
        <v/>
      </c>
    </row>
    <row r="23" spans="1:19" x14ac:dyDescent="0.15">
      <c r="A23" s="20" t="str">
        <f>IF(ROW()-3&lt;=ROUNDUP(MAX(計算用!$Q$2,計算用!$Q$3)/2,0),ROW()-3,"")</f>
        <v/>
      </c>
      <c r="B23" s="21" t="str">
        <f>IF($A23="","",IFERROR(INDEX(計算用!$D$2:$D$186,MATCH("男赤"&amp;($A23*2-1),計算用!$L$2:$L$186,0)),""))</f>
        <v/>
      </c>
      <c r="C23" s="20" t="str">
        <f>IF($A23="","",IFERROR(INDEX(計算用!$M$2:$M$186,MATCH("男赤"&amp;($A23*2-1),計算用!$L$2:$L$186,0)),""))</f>
        <v/>
      </c>
      <c r="D23" s="21" t="str">
        <f>IF($A23="","",IFERROR(INDEX(計算用!$D$2:$D$186,MATCH("男赤"&amp;($A23*2-0),計算用!$L$2:$L$186,0)),""))</f>
        <v/>
      </c>
      <c r="E23" s="20" t="str">
        <f>IF($A23="","",IFERROR(INDEX(計算用!$M$2:$M$186,MATCH("男赤"&amp;($A23*2-0),計算用!$L$2:$L$186,0)),""))</f>
        <v/>
      </c>
      <c r="F23" s="21" t="str">
        <f>IF($A23="","",IFERROR(INDEX(計算用!$D$2:$D$186,MATCH("男白"&amp;($A23*2-1),計算用!$L$2:$L$186,0)),""))</f>
        <v/>
      </c>
      <c r="G23" s="20" t="str">
        <f>IF($A23="","",IFERROR(INDEX(計算用!$M$2:$M$186,MATCH("男白"&amp;($A23*2-1),計算用!$L$2:$L$186,0)),""))</f>
        <v/>
      </c>
      <c r="H23" s="21" t="str">
        <f>IF($A23="","",IFERROR(INDEX(計算用!$D$2:$D$186,MATCH("男白"&amp;($A23*2-0),計算用!$L$2:$L$186,0)),""))</f>
        <v/>
      </c>
      <c r="I23" s="20" t="str">
        <f>IF($A23="","",IFERROR(INDEX(計算用!$M$2:$M$186,MATCH("男白"&amp;($A23*2-0),計算用!$L$2:$L$186,0)),""))</f>
        <v/>
      </c>
      <c r="K23" s="20" t="str">
        <f>IF(ROW()-3&lt;=ROUNDUP(MAX(計算用!$Q$4,計算用!$Q$5)/2,0),ROW()-3,"")</f>
        <v/>
      </c>
      <c r="L23" s="21" t="str">
        <f>IF($K23="","",IFERROR(INDEX(計算用!$D$2:$D$186,MATCH("女赤"&amp;($K23*2-1),計算用!$L$2:$L$186,0)),""))</f>
        <v/>
      </c>
      <c r="M23" s="20" t="str">
        <f>IF($K23="","",IFERROR(INDEX(計算用!$M$2:$M$186,MATCH("女赤"&amp;($K23*2-1),計算用!$L$2:$L$186,0)),""))</f>
        <v/>
      </c>
      <c r="N23" s="21" t="str">
        <f>IF($K23="","",IFERROR(INDEX(計算用!$D$2:$D$186,MATCH("女赤"&amp;($K23*2-0),計算用!$L$2:$L$186,0)),""))</f>
        <v/>
      </c>
      <c r="O23" s="20" t="str">
        <f>IF($K23="","",IFERROR(INDEX(計算用!$M$2:$M$186,MATCH("女赤"&amp;($K23*2-0),計算用!$L$2:$L$186,0)),""))</f>
        <v/>
      </c>
      <c r="P23" s="21" t="str">
        <f>IF($K23="","",IFERROR(INDEX(計算用!$D$2:$D$186,MATCH("女白"&amp;($K23*2-1),計算用!$L$2:$L$186,0)),""))</f>
        <v/>
      </c>
      <c r="Q23" s="20" t="str">
        <f>IF($K23="","",IFERROR(INDEX(計算用!$M$2:$M$186,MATCH("女白"&amp;($K23*2-1),計算用!$L$2:$L$186,0)),""))</f>
        <v/>
      </c>
      <c r="R23" s="21" t="str">
        <f>IF($K23="","",IFERROR(INDEX(計算用!$D$2:$D$186,MATCH("女白"&amp;($K23*2-0),計算用!$L$2:$L$186,0)),""))</f>
        <v/>
      </c>
      <c r="S23" s="20" t="str">
        <f>IF($K23="","",IFERROR(INDEX(計算用!$M$2:$M$186,MATCH("女白"&amp;($K23*2-0),計算用!$L$2:$L$186,0)),""))</f>
        <v/>
      </c>
    </row>
    <row r="24" spans="1:19" x14ac:dyDescent="0.15">
      <c r="A24" s="20" t="str">
        <f>IF(ROW()-3&lt;=ROUNDUP(MAX(計算用!$Q$2,計算用!$Q$3)/2,0),ROW()-3,"")</f>
        <v/>
      </c>
      <c r="B24" s="21" t="str">
        <f>IF($A24="","",IFERROR(INDEX(計算用!$D$2:$D$186,MATCH("男赤"&amp;($A24*2-1),計算用!$L$2:$L$186,0)),""))</f>
        <v/>
      </c>
      <c r="C24" s="20" t="str">
        <f>IF($A24="","",IFERROR(INDEX(計算用!$M$2:$M$186,MATCH("男赤"&amp;($A24*2-1),計算用!$L$2:$L$186,0)),""))</f>
        <v/>
      </c>
      <c r="D24" s="21" t="str">
        <f>IF($A24="","",IFERROR(INDEX(計算用!$D$2:$D$186,MATCH("男赤"&amp;($A24*2-0),計算用!$L$2:$L$186,0)),""))</f>
        <v/>
      </c>
      <c r="E24" s="20" t="str">
        <f>IF($A24="","",IFERROR(INDEX(計算用!$M$2:$M$186,MATCH("男赤"&amp;($A24*2-0),計算用!$L$2:$L$186,0)),""))</f>
        <v/>
      </c>
      <c r="F24" s="21" t="str">
        <f>IF($A24="","",IFERROR(INDEX(計算用!$D$2:$D$186,MATCH("男白"&amp;($A24*2-1),計算用!$L$2:$L$186,0)),""))</f>
        <v/>
      </c>
      <c r="G24" s="20" t="str">
        <f>IF($A24="","",IFERROR(INDEX(計算用!$M$2:$M$186,MATCH("男白"&amp;($A24*2-1),計算用!$L$2:$L$186,0)),""))</f>
        <v/>
      </c>
      <c r="H24" s="21" t="str">
        <f>IF($A24="","",IFERROR(INDEX(計算用!$D$2:$D$186,MATCH("男白"&amp;($A24*2-0),計算用!$L$2:$L$186,0)),""))</f>
        <v/>
      </c>
      <c r="I24" s="20" t="str">
        <f>IF($A24="","",IFERROR(INDEX(計算用!$M$2:$M$186,MATCH("男白"&amp;($A24*2-0),計算用!$L$2:$L$186,0)),""))</f>
        <v/>
      </c>
      <c r="K24" s="20" t="str">
        <f>IF(ROW()-3&lt;=ROUNDUP(MAX(計算用!$Q$4,計算用!$Q$5)/2,0),ROW()-3,"")</f>
        <v/>
      </c>
      <c r="L24" s="21" t="str">
        <f>IF($K24="","",IFERROR(INDEX(計算用!$D$2:$D$186,MATCH("女赤"&amp;($K24*2-1),計算用!$L$2:$L$186,0)),""))</f>
        <v/>
      </c>
      <c r="M24" s="20" t="str">
        <f>IF($K24="","",IFERROR(INDEX(計算用!$M$2:$M$186,MATCH("女赤"&amp;($K24*2-1),計算用!$L$2:$L$186,0)),""))</f>
        <v/>
      </c>
      <c r="N24" s="21" t="str">
        <f>IF($K24="","",IFERROR(INDEX(計算用!$D$2:$D$186,MATCH("女赤"&amp;($K24*2-0),計算用!$L$2:$L$186,0)),""))</f>
        <v/>
      </c>
      <c r="O24" s="20" t="str">
        <f>IF($K24="","",IFERROR(INDEX(計算用!$M$2:$M$186,MATCH("女赤"&amp;($K24*2-0),計算用!$L$2:$L$186,0)),""))</f>
        <v/>
      </c>
      <c r="P24" s="21" t="str">
        <f>IF($K24="","",IFERROR(INDEX(計算用!$D$2:$D$186,MATCH("女白"&amp;($K24*2-1),計算用!$L$2:$L$186,0)),""))</f>
        <v/>
      </c>
      <c r="Q24" s="20" t="str">
        <f>IF($K24="","",IFERROR(INDEX(計算用!$M$2:$M$186,MATCH("女白"&amp;($K24*2-1),計算用!$L$2:$L$186,0)),""))</f>
        <v/>
      </c>
      <c r="R24" s="21" t="str">
        <f>IF($K24="","",IFERROR(INDEX(計算用!$D$2:$D$186,MATCH("女白"&amp;($K24*2-0),計算用!$L$2:$L$186,0)),""))</f>
        <v/>
      </c>
      <c r="S24" s="20" t="str">
        <f>IF($K24="","",IFERROR(INDEX(計算用!$M$2:$M$186,MATCH("女白"&amp;($K24*2-0),計算用!$L$2:$L$186,0)),""))</f>
        <v/>
      </c>
    </row>
    <row r="25" spans="1:19" x14ac:dyDescent="0.15">
      <c r="A25" s="20" t="str">
        <f>IF(ROW()-3&lt;=ROUNDUP(MAX(計算用!$Q$2,計算用!$Q$3)/2,0),ROW()-3,"")</f>
        <v/>
      </c>
      <c r="B25" s="21" t="str">
        <f>IF($A25="","",IFERROR(INDEX(計算用!$D$2:$D$186,MATCH("男赤"&amp;($A25*2-1),計算用!$L$2:$L$186,0)),""))</f>
        <v/>
      </c>
      <c r="C25" s="20" t="str">
        <f>IF($A25="","",IFERROR(INDEX(計算用!$M$2:$M$186,MATCH("男赤"&amp;($A25*2-1),計算用!$L$2:$L$186,0)),""))</f>
        <v/>
      </c>
      <c r="D25" s="21" t="str">
        <f>IF($A25="","",IFERROR(INDEX(計算用!$D$2:$D$186,MATCH("男赤"&amp;($A25*2-0),計算用!$L$2:$L$186,0)),""))</f>
        <v/>
      </c>
      <c r="E25" s="20" t="str">
        <f>IF($A25="","",IFERROR(INDEX(計算用!$M$2:$M$186,MATCH("男赤"&amp;($A25*2-0),計算用!$L$2:$L$186,0)),""))</f>
        <v/>
      </c>
      <c r="F25" s="21" t="str">
        <f>IF($A25="","",IFERROR(INDEX(計算用!$D$2:$D$186,MATCH("男白"&amp;($A25*2-1),計算用!$L$2:$L$186,0)),""))</f>
        <v/>
      </c>
      <c r="G25" s="20" t="str">
        <f>IF($A25="","",IFERROR(INDEX(計算用!$M$2:$M$186,MATCH("男白"&amp;($A25*2-1),計算用!$L$2:$L$186,0)),""))</f>
        <v/>
      </c>
      <c r="H25" s="21" t="str">
        <f>IF($A25="","",IFERROR(INDEX(計算用!$D$2:$D$186,MATCH("男白"&amp;($A25*2-0),計算用!$L$2:$L$186,0)),""))</f>
        <v/>
      </c>
      <c r="I25" s="20" t="str">
        <f>IF($A25="","",IFERROR(INDEX(計算用!$M$2:$M$186,MATCH("男白"&amp;($A25*2-0),計算用!$L$2:$L$186,0)),""))</f>
        <v/>
      </c>
      <c r="K25" s="20" t="str">
        <f>IF(ROW()-3&lt;=ROUNDUP(MAX(計算用!$Q$4,計算用!$Q$5)/2,0),ROW()-3,"")</f>
        <v/>
      </c>
      <c r="L25" s="21" t="str">
        <f>IF($K25="","",IFERROR(INDEX(計算用!$D$2:$D$186,MATCH("女赤"&amp;($K25*2-1),計算用!$L$2:$L$186,0)),""))</f>
        <v/>
      </c>
      <c r="M25" s="20" t="str">
        <f>IF($K25="","",IFERROR(INDEX(計算用!$M$2:$M$186,MATCH("女赤"&amp;($K25*2-1),計算用!$L$2:$L$186,0)),""))</f>
        <v/>
      </c>
      <c r="N25" s="21" t="str">
        <f>IF($K25="","",IFERROR(INDEX(計算用!$D$2:$D$186,MATCH("女赤"&amp;($K25*2-0),計算用!$L$2:$L$186,0)),""))</f>
        <v/>
      </c>
      <c r="O25" s="20" t="str">
        <f>IF($K25="","",IFERROR(INDEX(計算用!$M$2:$M$186,MATCH("女赤"&amp;($K25*2-0),計算用!$L$2:$L$186,0)),""))</f>
        <v/>
      </c>
      <c r="P25" s="21" t="str">
        <f>IF($K25="","",IFERROR(INDEX(計算用!$D$2:$D$186,MATCH("女白"&amp;($K25*2-1),計算用!$L$2:$L$186,0)),""))</f>
        <v/>
      </c>
      <c r="Q25" s="20" t="str">
        <f>IF($K25="","",IFERROR(INDEX(計算用!$M$2:$M$186,MATCH("女白"&amp;($K25*2-1),計算用!$L$2:$L$186,0)),""))</f>
        <v/>
      </c>
      <c r="R25" s="21" t="str">
        <f>IF($K25="","",IFERROR(INDEX(計算用!$D$2:$D$186,MATCH("女白"&amp;($K25*2-0),計算用!$L$2:$L$186,0)),""))</f>
        <v/>
      </c>
      <c r="S25" s="20" t="str">
        <f>IF($K25="","",IFERROR(INDEX(計算用!$M$2:$M$186,MATCH("女白"&amp;($K25*2-0),計算用!$L$2:$L$186,0)),""))</f>
        <v/>
      </c>
    </row>
    <row r="26" spans="1:19" x14ac:dyDescent="0.15">
      <c r="A26" s="20" t="str">
        <f>IF(ROW()-3&lt;=ROUNDUP(MAX(計算用!$Q$2,計算用!$Q$3)/2,0),ROW()-3,"")</f>
        <v/>
      </c>
      <c r="B26" s="21" t="str">
        <f>IF($A26="","",IFERROR(INDEX(計算用!$D$2:$D$186,MATCH("男赤"&amp;($A26*2-1),計算用!$L$2:$L$186,0)),""))</f>
        <v/>
      </c>
      <c r="C26" s="20" t="str">
        <f>IF($A26="","",IFERROR(INDEX(計算用!$M$2:$M$186,MATCH("男赤"&amp;($A26*2-1),計算用!$L$2:$L$186,0)),""))</f>
        <v/>
      </c>
      <c r="D26" s="21" t="str">
        <f>IF($A26="","",IFERROR(INDEX(計算用!$D$2:$D$186,MATCH("男赤"&amp;($A26*2-0),計算用!$L$2:$L$186,0)),""))</f>
        <v/>
      </c>
      <c r="E26" s="20" t="str">
        <f>IF($A26="","",IFERROR(INDEX(計算用!$M$2:$M$186,MATCH("男赤"&amp;($A26*2-0),計算用!$L$2:$L$186,0)),""))</f>
        <v/>
      </c>
      <c r="F26" s="21" t="str">
        <f>IF($A26="","",IFERROR(INDEX(計算用!$D$2:$D$186,MATCH("男白"&amp;($A26*2-1),計算用!$L$2:$L$186,0)),""))</f>
        <v/>
      </c>
      <c r="G26" s="20" t="str">
        <f>IF($A26="","",IFERROR(INDEX(計算用!$M$2:$M$186,MATCH("男白"&amp;($A26*2-1),計算用!$L$2:$L$186,0)),""))</f>
        <v/>
      </c>
      <c r="H26" s="21" t="str">
        <f>IF($A26="","",IFERROR(INDEX(計算用!$D$2:$D$186,MATCH("男白"&amp;($A26*2-0),計算用!$L$2:$L$186,0)),""))</f>
        <v/>
      </c>
      <c r="I26" s="20" t="str">
        <f>IF($A26="","",IFERROR(INDEX(計算用!$M$2:$M$186,MATCH("男白"&amp;($A26*2-0),計算用!$L$2:$L$186,0)),""))</f>
        <v/>
      </c>
      <c r="K26" s="20" t="str">
        <f>IF(ROW()-3&lt;=ROUNDUP(MAX(計算用!$Q$4,計算用!$Q$5)/2,0),ROW()-3,"")</f>
        <v/>
      </c>
      <c r="L26" s="21" t="str">
        <f>IF($K26="","",IFERROR(INDEX(計算用!$D$2:$D$186,MATCH("女赤"&amp;($K26*2-1),計算用!$L$2:$L$186,0)),""))</f>
        <v/>
      </c>
      <c r="M26" s="20" t="str">
        <f>IF($K26="","",IFERROR(INDEX(計算用!$M$2:$M$186,MATCH("女赤"&amp;($K26*2-1),計算用!$L$2:$L$186,0)),""))</f>
        <v/>
      </c>
      <c r="N26" s="21" t="str">
        <f>IF($K26="","",IFERROR(INDEX(計算用!$D$2:$D$186,MATCH("女赤"&amp;($K26*2-0),計算用!$L$2:$L$186,0)),""))</f>
        <v/>
      </c>
      <c r="O26" s="20" t="str">
        <f>IF($K26="","",IFERROR(INDEX(計算用!$M$2:$M$186,MATCH("女赤"&amp;($K26*2-0),計算用!$L$2:$L$186,0)),""))</f>
        <v/>
      </c>
      <c r="P26" s="21" t="str">
        <f>IF($K26="","",IFERROR(INDEX(計算用!$D$2:$D$186,MATCH("女白"&amp;($K26*2-1),計算用!$L$2:$L$186,0)),""))</f>
        <v/>
      </c>
      <c r="Q26" s="20" t="str">
        <f>IF($K26="","",IFERROR(INDEX(計算用!$M$2:$M$186,MATCH("女白"&amp;($K26*2-1),計算用!$L$2:$L$186,0)),""))</f>
        <v/>
      </c>
      <c r="R26" s="21" t="str">
        <f>IF($K26="","",IFERROR(INDEX(計算用!$D$2:$D$186,MATCH("女白"&amp;($K26*2-0),計算用!$L$2:$L$186,0)),""))</f>
        <v/>
      </c>
      <c r="S26" s="20" t="str">
        <f>IF($K26="","",IFERROR(INDEX(計算用!$M$2:$M$186,MATCH("女白"&amp;($K26*2-0),計算用!$L$2:$L$186,0)),""))</f>
        <v/>
      </c>
    </row>
    <row r="27" spans="1:19" x14ac:dyDescent="0.15">
      <c r="A27" s="20" t="str">
        <f>IF(ROW()-3&lt;=ROUNDUP(MAX(計算用!$Q$2,計算用!$Q$3)/2,0),ROW()-3,"")</f>
        <v/>
      </c>
      <c r="B27" s="21" t="str">
        <f>IF($A27="","",IFERROR(INDEX(計算用!$D$2:$D$186,MATCH("男赤"&amp;($A27*2-1),計算用!$L$2:$L$186,0)),""))</f>
        <v/>
      </c>
      <c r="C27" s="20" t="str">
        <f>IF($A27="","",IFERROR(INDEX(計算用!$M$2:$M$186,MATCH("男赤"&amp;($A27*2-1),計算用!$L$2:$L$186,0)),""))</f>
        <v/>
      </c>
      <c r="D27" s="21" t="str">
        <f>IF($A27="","",IFERROR(INDEX(計算用!$D$2:$D$186,MATCH("男赤"&amp;($A27*2-0),計算用!$L$2:$L$186,0)),""))</f>
        <v/>
      </c>
      <c r="E27" s="20" t="str">
        <f>IF($A27="","",IFERROR(INDEX(計算用!$M$2:$M$186,MATCH("男赤"&amp;($A27*2-0),計算用!$L$2:$L$186,0)),""))</f>
        <v/>
      </c>
      <c r="F27" s="21" t="str">
        <f>IF($A27="","",IFERROR(INDEX(計算用!$D$2:$D$186,MATCH("男白"&amp;($A27*2-1),計算用!$L$2:$L$186,0)),""))</f>
        <v/>
      </c>
      <c r="G27" s="20" t="str">
        <f>IF($A27="","",IFERROR(INDEX(計算用!$M$2:$M$186,MATCH("男白"&amp;($A27*2-1),計算用!$L$2:$L$186,0)),""))</f>
        <v/>
      </c>
      <c r="H27" s="21" t="str">
        <f>IF($A27="","",IFERROR(INDEX(計算用!$D$2:$D$186,MATCH("男白"&amp;($A27*2-0),計算用!$L$2:$L$186,0)),""))</f>
        <v/>
      </c>
      <c r="I27" s="20" t="str">
        <f>IF($A27="","",IFERROR(INDEX(計算用!$M$2:$M$186,MATCH("男白"&amp;($A27*2-0),計算用!$L$2:$L$186,0)),""))</f>
        <v/>
      </c>
      <c r="K27" s="20" t="str">
        <f>IF(ROW()-3&lt;=ROUNDUP(MAX(計算用!$Q$4,計算用!$Q$5)/2,0),ROW()-3,"")</f>
        <v/>
      </c>
      <c r="L27" s="21" t="str">
        <f>IF($K27="","",IFERROR(INDEX(計算用!$D$2:$D$186,MATCH("女赤"&amp;($K27*2-1),計算用!$L$2:$L$186,0)),""))</f>
        <v/>
      </c>
      <c r="M27" s="20" t="str">
        <f>IF($K27="","",IFERROR(INDEX(計算用!$M$2:$M$186,MATCH("女赤"&amp;($K27*2-1),計算用!$L$2:$L$186,0)),""))</f>
        <v/>
      </c>
      <c r="N27" s="21" t="str">
        <f>IF($K27="","",IFERROR(INDEX(計算用!$D$2:$D$186,MATCH("女赤"&amp;($K27*2-0),計算用!$L$2:$L$186,0)),""))</f>
        <v/>
      </c>
      <c r="O27" s="20" t="str">
        <f>IF($K27="","",IFERROR(INDEX(計算用!$M$2:$M$186,MATCH("女赤"&amp;($K27*2-0),計算用!$L$2:$L$186,0)),""))</f>
        <v/>
      </c>
      <c r="P27" s="21" t="str">
        <f>IF($K27="","",IFERROR(INDEX(計算用!$D$2:$D$186,MATCH("女白"&amp;($K27*2-1),計算用!$L$2:$L$186,0)),""))</f>
        <v/>
      </c>
      <c r="Q27" s="20" t="str">
        <f>IF($K27="","",IFERROR(INDEX(計算用!$M$2:$M$186,MATCH("女白"&amp;($K27*2-1),計算用!$L$2:$L$186,0)),""))</f>
        <v/>
      </c>
      <c r="R27" s="21" t="str">
        <f>IF($K27="","",IFERROR(INDEX(計算用!$D$2:$D$186,MATCH("女白"&amp;($K27*2-0),計算用!$L$2:$L$186,0)),""))</f>
        <v/>
      </c>
      <c r="S27" s="20" t="str">
        <f>IF($K27="","",IFERROR(INDEX(計算用!$M$2:$M$186,MATCH("女白"&amp;($K27*2-0),計算用!$L$2:$L$186,0)),""))</f>
        <v/>
      </c>
    </row>
    <row r="28" spans="1:19" x14ac:dyDescent="0.15">
      <c r="A28" s="20" t="str">
        <f>IF(ROW()-3&lt;=ROUNDUP(MAX(計算用!$Q$2,計算用!$Q$3)/2,0),ROW()-3,"")</f>
        <v/>
      </c>
      <c r="B28" s="21" t="str">
        <f>IF($A28="","",IFERROR(INDEX(計算用!$D$2:$D$186,MATCH("男赤"&amp;($A28*2-1),計算用!$L$2:$L$186,0)),""))</f>
        <v/>
      </c>
      <c r="C28" s="20" t="str">
        <f>IF($A28="","",IFERROR(INDEX(計算用!$M$2:$M$186,MATCH("男赤"&amp;($A28*2-1),計算用!$L$2:$L$186,0)),""))</f>
        <v/>
      </c>
      <c r="D28" s="21" t="str">
        <f>IF($A28="","",IFERROR(INDEX(計算用!$D$2:$D$186,MATCH("男赤"&amp;($A28*2-0),計算用!$L$2:$L$186,0)),""))</f>
        <v/>
      </c>
      <c r="E28" s="20" t="str">
        <f>IF($A28="","",IFERROR(INDEX(計算用!$M$2:$M$186,MATCH("男赤"&amp;($A28*2-0),計算用!$L$2:$L$186,0)),""))</f>
        <v/>
      </c>
      <c r="F28" s="21" t="str">
        <f>IF($A28="","",IFERROR(INDEX(計算用!$D$2:$D$186,MATCH("男白"&amp;($A28*2-1),計算用!$L$2:$L$186,0)),""))</f>
        <v/>
      </c>
      <c r="G28" s="20" t="str">
        <f>IF($A28="","",IFERROR(INDEX(計算用!$M$2:$M$186,MATCH("男白"&amp;($A28*2-1),計算用!$L$2:$L$186,0)),""))</f>
        <v/>
      </c>
      <c r="H28" s="21" t="str">
        <f>IF($A28="","",IFERROR(INDEX(計算用!$D$2:$D$186,MATCH("男白"&amp;($A28*2-0),計算用!$L$2:$L$186,0)),""))</f>
        <v/>
      </c>
      <c r="I28" s="20" t="str">
        <f>IF($A28="","",IFERROR(INDEX(計算用!$M$2:$M$186,MATCH("男白"&amp;($A28*2-0),計算用!$L$2:$L$186,0)),""))</f>
        <v/>
      </c>
      <c r="K28" s="20" t="str">
        <f>IF(ROW()-3&lt;=ROUNDUP(MAX(計算用!$Q$4,計算用!$Q$5)/2,0),ROW()-3,"")</f>
        <v/>
      </c>
      <c r="L28" s="21" t="str">
        <f>IF($K28="","",IFERROR(INDEX(計算用!$D$2:$D$186,MATCH("女赤"&amp;($K28*2-1),計算用!$L$2:$L$186,0)),""))</f>
        <v/>
      </c>
      <c r="M28" s="20" t="str">
        <f>IF($K28="","",IFERROR(INDEX(計算用!$M$2:$M$186,MATCH("女赤"&amp;($K28*2-1),計算用!$L$2:$L$186,0)),""))</f>
        <v/>
      </c>
      <c r="N28" s="21" t="str">
        <f>IF($K28="","",IFERROR(INDEX(計算用!$D$2:$D$186,MATCH("女赤"&amp;($K28*2-0),計算用!$L$2:$L$186,0)),""))</f>
        <v/>
      </c>
      <c r="O28" s="20" t="str">
        <f>IF($K28="","",IFERROR(INDEX(計算用!$M$2:$M$186,MATCH("女赤"&amp;($K28*2-0),計算用!$L$2:$L$186,0)),""))</f>
        <v/>
      </c>
      <c r="P28" s="21" t="str">
        <f>IF($K28="","",IFERROR(INDEX(計算用!$D$2:$D$186,MATCH("女白"&amp;($K28*2-1),計算用!$L$2:$L$186,0)),""))</f>
        <v/>
      </c>
      <c r="Q28" s="20" t="str">
        <f>IF($K28="","",IFERROR(INDEX(計算用!$M$2:$M$186,MATCH("女白"&amp;($K28*2-1),計算用!$L$2:$L$186,0)),""))</f>
        <v/>
      </c>
      <c r="R28" s="21" t="str">
        <f>IF($K28="","",IFERROR(INDEX(計算用!$D$2:$D$186,MATCH("女白"&amp;($K28*2-0),計算用!$L$2:$L$186,0)),""))</f>
        <v/>
      </c>
      <c r="S28" s="20" t="str">
        <f>IF($K28="","",IFERROR(INDEX(計算用!$M$2:$M$186,MATCH("女白"&amp;($K28*2-0),計算用!$L$2:$L$186,0)),""))</f>
        <v/>
      </c>
    </row>
    <row r="29" spans="1:19" x14ac:dyDescent="0.15">
      <c r="A29" s="20" t="str">
        <f>IF(ROW()-3&lt;=ROUNDUP(MAX(計算用!$Q$2,計算用!$Q$3)/2,0),ROW()-3,"")</f>
        <v/>
      </c>
      <c r="B29" s="21" t="str">
        <f>IF($A29="","",IFERROR(INDEX(計算用!$D$2:$D$186,MATCH("男赤"&amp;($A29*2-1),計算用!$L$2:$L$186,0)),""))</f>
        <v/>
      </c>
      <c r="C29" s="20" t="str">
        <f>IF($A29="","",IFERROR(INDEX(計算用!$M$2:$M$186,MATCH("男赤"&amp;($A29*2-1),計算用!$L$2:$L$186,0)),""))</f>
        <v/>
      </c>
      <c r="D29" s="21" t="str">
        <f>IF($A29="","",IFERROR(INDEX(計算用!$D$2:$D$186,MATCH("男赤"&amp;($A29*2-0),計算用!$L$2:$L$186,0)),""))</f>
        <v/>
      </c>
      <c r="E29" s="20" t="str">
        <f>IF($A29="","",IFERROR(INDEX(計算用!$M$2:$M$186,MATCH("男赤"&amp;($A29*2-0),計算用!$L$2:$L$186,0)),""))</f>
        <v/>
      </c>
      <c r="F29" s="21" t="str">
        <f>IF($A29="","",IFERROR(INDEX(計算用!$D$2:$D$186,MATCH("男白"&amp;($A29*2-1),計算用!$L$2:$L$186,0)),""))</f>
        <v/>
      </c>
      <c r="G29" s="20" t="str">
        <f>IF($A29="","",IFERROR(INDEX(計算用!$M$2:$M$186,MATCH("男白"&amp;($A29*2-1),計算用!$L$2:$L$186,0)),""))</f>
        <v/>
      </c>
      <c r="H29" s="21" t="str">
        <f>IF($A29="","",IFERROR(INDEX(計算用!$D$2:$D$186,MATCH("男白"&amp;($A29*2-0),計算用!$L$2:$L$186,0)),""))</f>
        <v/>
      </c>
      <c r="I29" s="20" t="str">
        <f>IF($A29="","",IFERROR(INDEX(計算用!$M$2:$M$186,MATCH("男白"&amp;($A29*2-0),計算用!$L$2:$L$186,0)),""))</f>
        <v/>
      </c>
      <c r="K29" s="20" t="str">
        <f>IF(ROW()-3&lt;=ROUNDUP(MAX(計算用!$Q$4,計算用!$Q$5)/2,0),ROW()-3,"")</f>
        <v/>
      </c>
      <c r="L29" s="21" t="str">
        <f>IF($K29="","",IFERROR(INDEX(計算用!$D$2:$D$186,MATCH("女赤"&amp;($K29*2-1),計算用!$L$2:$L$186,0)),""))</f>
        <v/>
      </c>
      <c r="M29" s="20" t="str">
        <f>IF($K29="","",IFERROR(INDEX(計算用!$M$2:$M$186,MATCH("女赤"&amp;($K29*2-1),計算用!$L$2:$L$186,0)),""))</f>
        <v/>
      </c>
      <c r="N29" s="21" t="str">
        <f>IF($K29="","",IFERROR(INDEX(計算用!$D$2:$D$186,MATCH("女赤"&amp;($K29*2-0),計算用!$L$2:$L$186,0)),""))</f>
        <v/>
      </c>
      <c r="O29" s="20" t="str">
        <f>IF($K29="","",IFERROR(INDEX(計算用!$M$2:$M$186,MATCH("女赤"&amp;($K29*2-0),計算用!$L$2:$L$186,0)),""))</f>
        <v/>
      </c>
      <c r="P29" s="21" t="str">
        <f>IF($K29="","",IFERROR(INDEX(計算用!$D$2:$D$186,MATCH("女白"&amp;($K29*2-1),計算用!$L$2:$L$186,0)),""))</f>
        <v/>
      </c>
      <c r="Q29" s="20" t="str">
        <f>IF($K29="","",IFERROR(INDEX(計算用!$M$2:$M$186,MATCH("女白"&amp;($K29*2-1),計算用!$L$2:$L$186,0)),""))</f>
        <v/>
      </c>
      <c r="R29" s="21" t="str">
        <f>IF($K29="","",IFERROR(INDEX(計算用!$D$2:$D$186,MATCH("女白"&amp;($K29*2-0),計算用!$L$2:$L$186,0)),""))</f>
        <v/>
      </c>
      <c r="S29" s="20" t="str">
        <f>IF($K29="","",IFERROR(INDEX(計算用!$M$2:$M$186,MATCH("女白"&amp;($K29*2-0),計算用!$L$2:$L$186,0)),""))</f>
        <v/>
      </c>
    </row>
    <row r="30" spans="1:19" x14ac:dyDescent="0.15">
      <c r="A30" s="20" t="str">
        <f>IF(ROW()-3&lt;=ROUNDUP(MAX(計算用!$Q$2,計算用!$Q$3)/2,0),ROW()-3,"")</f>
        <v/>
      </c>
      <c r="B30" s="21" t="str">
        <f>IF($A30="","",IFERROR(INDEX(計算用!$D$2:$D$186,MATCH("男赤"&amp;($A30*2-1),計算用!$L$2:$L$186,0)),""))</f>
        <v/>
      </c>
      <c r="C30" s="20" t="str">
        <f>IF($A30="","",IFERROR(INDEX(計算用!$M$2:$M$186,MATCH("男赤"&amp;($A30*2-1),計算用!$L$2:$L$186,0)),""))</f>
        <v/>
      </c>
      <c r="D30" s="21" t="str">
        <f>IF($A30="","",IFERROR(INDEX(計算用!$D$2:$D$186,MATCH("男赤"&amp;($A30*2-0),計算用!$L$2:$L$186,0)),""))</f>
        <v/>
      </c>
      <c r="E30" s="20" t="str">
        <f>IF($A30="","",IFERROR(INDEX(計算用!$M$2:$M$186,MATCH("男赤"&amp;($A30*2-0),計算用!$L$2:$L$186,0)),""))</f>
        <v/>
      </c>
      <c r="F30" s="21" t="str">
        <f>IF($A30="","",IFERROR(INDEX(計算用!$D$2:$D$186,MATCH("男白"&amp;($A30*2-1),計算用!$L$2:$L$186,0)),""))</f>
        <v/>
      </c>
      <c r="G30" s="20" t="str">
        <f>IF($A30="","",IFERROR(INDEX(計算用!$M$2:$M$186,MATCH("男白"&amp;($A30*2-1),計算用!$L$2:$L$186,0)),""))</f>
        <v/>
      </c>
      <c r="H30" s="21" t="str">
        <f>IF($A30="","",IFERROR(INDEX(計算用!$D$2:$D$186,MATCH("男白"&amp;($A30*2-0),計算用!$L$2:$L$186,0)),""))</f>
        <v/>
      </c>
      <c r="I30" s="20" t="str">
        <f>IF($A30="","",IFERROR(INDEX(計算用!$M$2:$M$186,MATCH("男白"&amp;($A30*2-0),計算用!$L$2:$L$186,0)),""))</f>
        <v/>
      </c>
      <c r="K30" s="20" t="str">
        <f>IF(ROW()-3&lt;=ROUNDUP(MAX(計算用!$Q$4,計算用!$Q$5)/2,0),ROW()-3,"")</f>
        <v/>
      </c>
      <c r="L30" s="21" t="str">
        <f>IF($K30="","",IFERROR(INDEX(計算用!$D$2:$D$186,MATCH("女赤"&amp;($K30*2-1),計算用!$L$2:$L$186,0)),""))</f>
        <v/>
      </c>
      <c r="M30" s="20" t="str">
        <f>IF($K30="","",IFERROR(INDEX(計算用!$M$2:$M$186,MATCH("女赤"&amp;($K30*2-1),計算用!$L$2:$L$186,0)),""))</f>
        <v/>
      </c>
      <c r="N30" s="21" t="str">
        <f>IF($K30="","",IFERROR(INDEX(計算用!$D$2:$D$186,MATCH("女赤"&amp;($K30*2-0),計算用!$L$2:$L$186,0)),""))</f>
        <v/>
      </c>
      <c r="O30" s="20" t="str">
        <f>IF($K30="","",IFERROR(INDEX(計算用!$M$2:$M$186,MATCH("女赤"&amp;($K30*2-0),計算用!$L$2:$L$186,0)),""))</f>
        <v/>
      </c>
      <c r="P30" s="21" t="str">
        <f>IF($K30="","",IFERROR(INDEX(計算用!$D$2:$D$186,MATCH("女白"&amp;($K30*2-1),計算用!$L$2:$L$186,0)),""))</f>
        <v/>
      </c>
      <c r="Q30" s="20" t="str">
        <f>IF($K30="","",IFERROR(INDEX(計算用!$M$2:$M$186,MATCH("女白"&amp;($K30*2-1),計算用!$L$2:$L$186,0)),""))</f>
        <v/>
      </c>
      <c r="R30" s="21" t="str">
        <f>IF($K30="","",IFERROR(INDEX(計算用!$D$2:$D$186,MATCH("女白"&amp;($K30*2-0),計算用!$L$2:$L$186,0)),""))</f>
        <v/>
      </c>
      <c r="S30" s="20" t="str">
        <f>IF($K30="","",IFERROR(INDEX(計算用!$M$2:$M$186,MATCH("女白"&amp;($K30*2-0),計算用!$L$2:$L$186,0)),""))</f>
        <v/>
      </c>
    </row>
    <row r="31" spans="1:19" x14ac:dyDescent="0.15">
      <c r="A31" s="20" t="str">
        <f>IF(ROW()-3&lt;=ROUNDUP(MAX(計算用!$Q$2,計算用!$Q$3)/2,0),ROW()-3,"")</f>
        <v/>
      </c>
      <c r="B31" s="21" t="str">
        <f>IF($A31="","",IFERROR(INDEX(計算用!$D$2:$D$186,MATCH("男赤"&amp;($A31*2-1),計算用!$L$2:$L$186,0)),""))</f>
        <v/>
      </c>
      <c r="C31" s="20" t="str">
        <f>IF($A31="","",IFERROR(INDEX(計算用!$M$2:$M$186,MATCH("男赤"&amp;($A31*2-1),計算用!$L$2:$L$186,0)),""))</f>
        <v/>
      </c>
      <c r="D31" s="21" t="str">
        <f>IF($A31="","",IFERROR(INDEX(計算用!$D$2:$D$186,MATCH("男赤"&amp;($A31*2-0),計算用!$L$2:$L$186,0)),""))</f>
        <v/>
      </c>
      <c r="E31" s="20" t="str">
        <f>IF($A31="","",IFERROR(INDEX(計算用!$M$2:$M$186,MATCH("男赤"&amp;($A31*2-0),計算用!$L$2:$L$186,0)),""))</f>
        <v/>
      </c>
      <c r="F31" s="21" t="str">
        <f>IF($A31="","",IFERROR(INDEX(計算用!$D$2:$D$186,MATCH("男白"&amp;($A31*2-1),計算用!$L$2:$L$186,0)),""))</f>
        <v/>
      </c>
      <c r="G31" s="20" t="str">
        <f>IF($A31="","",IFERROR(INDEX(計算用!$M$2:$M$186,MATCH("男白"&amp;($A31*2-1),計算用!$L$2:$L$186,0)),""))</f>
        <v/>
      </c>
      <c r="H31" s="21" t="str">
        <f>IF($A31="","",IFERROR(INDEX(計算用!$D$2:$D$186,MATCH("男白"&amp;($A31*2-0),計算用!$L$2:$L$186,0)),""))</f>
        <v/>
      </c>
      <c r="I31" s="20" t="str">
        <f>IF($A31="","",IFERROR(INDEX(計算用!$M$2:$M$186,MATCH("男白"&amp;($A31*2-0),計算用!$L$2:$L$186,0)),""))</f>
        <v/>
      </c>
      <c r="K31" s="20" t="str">
        <f>IF(ROW()-3&lt;=ROUNDUP(MAX(計算用!$Q$4,計算用!$Q$5)/2,0),ROW()-3,"")</f>
        <v/>
      </c>
      <c r="L31" s="21" t="str">
        <f>IF($K31="","",IFERROR(INDEX(計算用!$D$2:$D$186,MATCH("女赤"&amp;($K31*2-1),計算用!$L$2:$L$186,0)),""))</f>
        <v/>
      </c>
      <c r="M31" s="20" t="str">
        <f>IF($K31="","",IFERROR(INDEX(計算用!$M$2:$M$186,MATCH("女赤"&amp;($K31*2-1),計算用!$L$2:$L$186,0)),""))</f>
        <v/>
      </c>
      <c r="N31" s="21" t="str">
        <f>IF($K31="","",IFERROR(INDEX(計算用!$D$2:$D$186,MATCH("女赤"&amp;($K31*2-0),計算用!$L$2:$L$186,0)),""))</f>
        <v/>
      </c>
      <c r="O31" s="20" t="str">
        <f>IF($K31="","",IFERROR(INDEX(計算用!$M$2:$M$186,MATCH("女赤"&amp;($K31*2-0),計算用!$L$2:$L$186,0)),""))</f>
        <v/>
      </c>
      <c r="P31" s="21" t="str">
        <f>IF($K31="","",IFERROR(INDEX(計算用!$D$2:$D$186,MATCH("女白"&amp;($K31*2-1),計算用!$L$2:$L$186,0)),""))</f>
        <v/>
      </c>
      <c r="Q31" s="20" t="str">
        <f>IF($K31="","",IFERROR(INDEX(計算用!$M$2:$M$186,MATCH("女白"&amp;($K31*2-1),計算用!$L$2:$L$186,0)),""))</f>
        <v/>
      </c>
      <c r="R31" s="21" t="str">
        <f>IF($K31="","",IFERROR(INDEX(計算用!$D$2:$D$186,MATCH("女白"&amp;($K31*2-0),計算用!$L$2:$L$186,0)),""))</f>
        <v/>
      </c>
      <c r="S31" s="20" t="str">
        <f>IF($K31="","",IFERROR(INDEX(計算用!$M$2:$M$186,MATCH("女白"&amp;($K31*2-0),計算用!$L$2:$L$186,0)),""))</f>
        <v/>
      </c>
    </row>
    <row r="32" spans="1:19" x14ac:dyDescent="0.15">
      <c r="A32" s="20" t="str">
        <f>IF(ROW()-3&lt;=ROUNDUP(MAX(計算用!$Q$2,計算用!$Q$3)/2,0),ROW()-3,"")</f>
        <v/>
      </c>
      <c r="B32" s="21" t="str">
        <f>IF($A32="","",IFERROR(INDEX(計算用!$D$2:$D$186,MATCH("男赤"&amp;($A32*2-1),計算用!$L$2:$L$186,0)),""))</f>
        <v/>
      </c>
      <c r="C32" s="20" t="str">
        <f>IF($A32="","",IFERROR(INDEX(計算用!$M$2:$M$186,MATCH("男赤"&amp;($A32*2-1),計算用!$L$2:$L$186,0)),""))</f>
        <v/>
      </c>
      <c r="D32" s="21" t="str">
        <f>IF($A32="","",IFERROR(INDEX(計算用!$D$2:$D$186,MATCH("男赤"&amp;($A32*2-0),計算用!$L$2:$L$186,0)),""))</f>
        <v/>
      </c>
      <c r="E32" s="20" t="str">
        <f>IF($A32="","",IFERROR(INDEX(計算用!$M$2:$M$186,MATCH("男赤"&amp;($A32*2-0),計算用!$L$2:$L$186,0)),""))</f>
        <v/>
      </c>
      <c r="F32" s="21" t="str">
        <f>IF($A32="","",IFERROR(INDEX(計算用!$D$2:$D$186,MATCH("男白"&amp;($A32*2-1),計算用!$L$2:$L$186,0)),""))</f>
        <v/>
      </c>
      <c r="G32" s="20" t="str">
        <f>IF($A32="","",IFERROR(INDEX(計算用!$M$2:$M$186,MATCH("男白"&amp;($A32*2-1),計算用!$L$2:$L$186,0)),""))</f>
        <v/>
      </c>
      <c r="H32" s="21" t="str">
        <f>IF($A32="","",IFERROR(INDEX(計算用!$D$2:$D$186,MATCH("男白"&amp;($A32*2-0),計算用!$L$2:$L$186,0)),""))</f>
        <v/>
      </c>
      <c r="I32" s="20" t="str">
        <f>IF($A32="","",IFERROR(INDEX(計算用!$M$2:$M$186,MATCH("男白"&amp;($A32*2-0),計算用!$L$2:$L$186,0)),""))</f>
        <v/>
      </c>
      <c r="K32" s="20" t="str">
        <f>IF(ROW()-3&lt;=ROUNDUP(MAX(計算用!$Q$4,計算用!$Q$5)/2,0),ROW()-3,"")</f>
        <v/>
      </c>
      <c r="L32" s="21" t="str">
        <f>IF($K32="","",IFERROR(INDEX(計算用!$D$2:$D$186,MATCH("女赤"&amp;($K32*2-1),計算用!$L$2:$L$186,0)),""))</f>
        <v/>
      </c>
      <c r="M32" s="20" t="str">
        <f>IF($K32="","",IFERROR(INDEX(計算用!$M$2:$M$186,MATCH("女赤"&amp;($K32*2-1),計算用!$L$2:$L$186,0)),""))</f>
        <v/>
      </c>
      <c r="N32" s="21" t="str">
        <f>IF($K32="","",IFERROR(INDEX(計算用!$D$2:$D$186,MATCH("女赤"&amp;($K32*2-0),計算用!$L$2:$L$186,0)),""))</f>
        <v/>
      </c>
      <c r="O32" s="20" t="str">
        <f>IF($K32="","",IFERROR(INDEX(計算用!$M$2:$M$186,MATCH("女赤"&amp;($K32*2-0),計算用!$L$2:$L$186,0)),""))</f>
        <v/>
      </c>
      <c r="P32" s="21" t="str">
        <f>IF($K32="","",IFERROR(INDEX(計算用!$D$2:$D$186,MATCH("女白"&amp;($K32*2-1),計算用!$L$2:$L$186,0)),""))</f>
        <v/>
      </c>
      <c r="Q32" s="20" t="str">
        <f>IF($K32="","",IFERROR(INDEX(計算用!$M$2:$M$186,MATCH("女白"&amp;($K32*2-1),計算用!$L$2:$L$186,0)),""))</f>
        <v/>
      </c>
      <c r="R32" s="21" t="str">
        <f>IF($K32="","",IFERROR(INDEX(計算用!$D$2:$D$186,MATCH("女白"&amp;($K32*2-0),計算用!$L$2:$L$186,0)),""))</f>
        <v/>
      </c>
      <c r="S32" s="20" t="str">
        <f>IF($K32="","",IFERROR(INDEX(計算用!$M$2:$M$186,MATCH("女白"&amp;($K32*2-0),計算用!$L$2:$L$186,0)),""))</f>
        <v/>
      </c>
    </row>
    <row r="33" spans="1:19" x14ac:dyDescent="0.15">
      <c r="A33" s="20" t="str">
        <f>IF(ROW()-3&lt;=ROUNDUP(MAX(計算用!$Q$2,計算用!$Q$3)/2,0),ROW()-3,"")</f>
        <v/>
      </c>
      <c r="B33" s="21" t="str">
        <f>IF($A33="","",IFERROR(INDEX(計算用!$D$2:$D$186,MATCH("男赤"&amp;($A33*2-1),計算用!$L$2:$L$186,0)),""))</f>
        <v/>
      </c>
      <c r="C33" s="20" t="str">
        <f>IF($A33="","",IFERROR(INDEX(計算用!$M$2:$M$186,MATCH("男赤"&amp;($A33*2-1),計算用!$L$2:$L$186,0)),""))</f>
        <v/>
      </c>
      <c r="D33" s="21" t="str">
        <f>IF($A33="","",IFERROR(INDEX(計算用!$D$2:$D$186,MATCH("男赤"&amp;($A33*2-0),計算用!$L$2:$L$186,0)),""))</f>
        <v/>
      </c>
      <c r="E33" s="20" t="str">
        <f>IF($A33="","",IFERROR(INDEX(計算用!$M$2:$M$186,MATCH("男赤"&amp;($A33*2-0),計算用!$L$2:$L$186,0)),""))</f>
        <v/>
      </c>
      <c r="F33" s="21" t="str">
        <f>IF($A33="","",IFERROR(INDEX(計算用!$D$2:$D$186,MATCH("男白"&amp;($A33*2-1),計算用!$L$2:$L$186,0)),""))</f>
        <v/>
      </c>
      <c r="G33" s="20" t="str">
        <f>IF($A33="","",IFERROR(INDEX(計算用!$M$2:$M$186,MATCH("男白"&amp;($A33*2-1),計算用!$L$2:$L$186,0)),""))</f>
        <v/>
      </c>
      <c r="H33" s="21" t="str">
        <f>IF($A33="","",IFERROR(INDEX(計算用!$D$2:$D$186,MATCH("男白"&amp;($A33*2-0),計算用!$L$2:$L$186,0)),""))</f>
        <v/>
      </c>
      <c r="I33" s="20" t="str">
        <f>IF($A33="","",IFERROR(INDEX(計算用!$M$2:$M$186,MATCH("男白"&amp;($A33*2-0),計算用!$L$2:$L$186,0)),""))</f>
        <v/>
      </c>
      <c r="K33" s="20" t="str">
        <f>IF(ROW()-3&lt;=ROUNDUP(MAX(計算用!$Q$4,計算用!$Q$5)/2,0),ROW()-3,"")</f>
        <v/>
      </c>
      <c r="L33" s="21" t="str">
        <f>IF($K33="","",IFERROR(INDEX(計算用!$D$2:$D$186,MATCH("女赤"&amp;($K33*2-1),計算用!$L$2:$L$186,0)),""))</f>
        <v/>
      </c>
      <c r="M33" s="20" t="str">
        <f>IF($K33="","",IFERROR(INDEX(計算用!$M$2:$M$186,MATCH("女赤"&amp;($K33*2-1),計算用!$L$2:$L$186,0)),""))</f>
        <v/>
      </c>
      <c r="N33" s="21" t="str">
        <f>IF($K33="","",IFERROR(INDEX(計算用!$D$2:$D$186,MATCH("女赤"&amp;($K33*2-0),計算用!$L$2:$L$186,0)),""))</f>
        <v/>
      </c>
      <c r="O33" s="20" t="str">
        <f>IF($K33="","",IFERROR(INDEX(計算用!$M$2:$M$186,MATCH("女赤"&amp;($K33*2-0),計算用!$L$2:$L$186,0)),""))</f>
        <v/>
      </c>
      <c r="P33" s="21" t="str">
        <f>IF($K33="","",IFERROR(INDEX(計算用!$D$2:$D$186,MATCH("女白"&amp;($K33*2-1),計算用!$L$2:$L$186,0)),""))</f>
        <v/>
      </c>
      <c r="Q33" s="20" t="str">
        <f>IF($K33="","",IFERROR(INDEX(計算用!$M$2:$M$186,MATCH("女白"&amp;($K33*2-1),計算用!$L$2:$L$186,0)),""))</f>
        <v/>
      </c>
      <c r="R33" s="21" t="str">
        <f>IF($K33="","",IFERROR(INDEX(計算用!$D$2:$D$186,MATCH("女白"&amp;($K33*2-0),計算用!$L$2:$L$186,0)),""))</f>
        <v/>
      </c>
      <c r="S33" s="20" t="str">
        <f>IF($K33="","",IFERROR(INDEX(計算用!$M$2:$M$186,MATCH("女白"&amp;($K33*2-0),計算用!$L$2:$L$186,0)),""))</f>
        <v/>
      </c>
    </row>
    <row r="34" spans="1:19" x14ac:dyDescent="0.15">
      <c r="A34" s="20" t="str">
        <f>IF(ROW()-3&lt;=ROUNDUP(MAX(計算用!$Q$2,計算用!$Q$3)/2,0),ROW()-3,"")</f>
        <v/>
      </c>
      <c r="B34" s="21" t="str">
        <f>IF($A34="","",IFERROR(INDEX(計算用!$D$2:$D$186,MATCH("男赤"&amp;($A34*2-1),計算用!$L$2:$L$186,0)),""))</f>
        <v/>
      </c>
      <c r="C34" s="20" t="str">
        <f>IF($A34="","",IFERROR(INDEX(計算用!$M$2:$M$186,MATCH("男赤"&amp;($A34*2-1),計算用!$L$2:$L$186,0)),""))</f>
        <v/>
      </c>
      <c r="D34" s="21" t="str">
        <f>IF($A34="","",IFERROR(INDEX(計算用!$D$2:$D$186,MATCH("男赤"&amp;($A34*2-0),計算用!$L$2:$L$186,0)),""))</f>
        <v/>
      </c>
      <c r="E34" s="20" t="str">
        <f>IF($A34="","",IFERROR(INDEX(計算用!$M$2:$M$186,MATCH("男赤"&amp;($A34*2-0),計算用!$L$2:$L$186,0)),""))</f>
        <v/>
      </c>
      <c r="F34" s="21" t="str">
        <f>IF($A34="","",IFERROR(INDEX(計算用!$D$2:$D$186,MATCH("男白"&amp;($A34*2-1),計算用!$L$2:$L$186,0)),""))</f>
        <v/>
      </c>
      <c r="G34" s="20" t="str">
        <f>IF($A34="","",IFERROR(INDEX(計算用!$M$2:$M$186,MATCH("男白"&amp;($A34*2-1),計算用!$L$2:$L$186,0)),""))</f>
        <v/>
      </c>
      <c r="H34" s="21" t="str">
        <f>IF($A34="","",IFERROR(INDEX(計算用!$D$2:$D$186,MATCH("男白"&amp;($A34*2-0),計算用!$L$2:$L$186,0)),""))</f>
        <v/>
      </c>
      <c r="I34" s="20" t="str">
        <f>IF($A34="","",IFERROR(INDEX(計算用!$M$2:$M$186,MATCH("男白"&amp;($A34*2-0),計算用!$L$2:$L$186,0)),""))</f>
        <v/>
      </c>
      <c r="K34" s="20" t="str">
        <f>IF(ROW()-3&lt;=ROUNDUP(MAX(計算用!$Q$4,計算用!$Q$5)/2,0),ROW()-3,"")</f>
        <v/>
      </c>
      <c r="L34" s="21" t="str">
        <f>IF($K34="","",IFERROR(INDEX(計算用!$D$2:$D$186,MATCH("女赤"&amp;($K34*2-1),計算用!$L$2:$L$186,0)),""))</f>
        <v/>
      </c>
      <c r="M34" s="20" t="str">
        <f>IF($K34="","",IFERROR(INDEX(計算用!$M$2:$M$186,MATCH("女赤"&amp;($K34*2-1),計算用!$L$2:$L$186,0)),""))</f>
        <v/>
      </c>
      <c r="N34" s="21" t="str">
        <f>IF($K34="","",IFERROR(INDEX(計算用!$D$2:$D$186,MATCH("女赤"&amp;($K34*2-0),計算用!$L$2:$L$186,0)),""))</f>
        <v/>
      </c>
      <c r="O34" s="20" t="str">
        <f>IF($K34="","",IFERROR(INDEX(計算用!$M$2:$M$186,MATCH("女赤"&amp;($K34*2-0),計算用!$L$2:$L$186,0)),""))</f>
        <v/>
      </c>
      <c r="P34" s="21" t="str">
        <f>IF($K34="","",IFERROR(INDEX(計算用!$D$2:$D$186,MATCH("女白"&amp;($K34*2-1),計算用!$L$2:$L$186,0)),""))</f>
        <v/>
      </c>
      <c r="Q34" s="20" t="str">
        <f>IF($K34="","",IFERROR(INDEX(計算用!$M$2:$M$186,MATCH("女白"&amp;($K34*2-1),計算用!$L$2:$L$186,0)),""))</f>
        <v/>
      </c>
      <c r="R34" s="21" t="str">
        <f>IF($K34="","",IFERROR(INDEX(計算用!$D$2:$D$186,MATCH("女白"&amp;($K34*2-0),計算用!$L$2:$L$186,0)),""))</f>
        <v/>
      </c>
      <c r="S34" s="20" t="str">
        <f>IF($K34="","",IFERROR(INDEX(計算用!$M$2:$M$186,MATCH("女白"&amp;($K34*2-0),計算用!$L$2:$L$186,0)),""))</f>
        <v/>
      </c>
    </row>
    <row r="35" spans="1:19" x14ac:dyDescent="0.15">
      <c r="A35" s="20" t="str">
        <f>IF(ROW()-3&lt;=ROUNDUP(MAX(計算用!$Q$2,計算用!$Q$3)/2,0),ROW()-3,"")</f>
        <v/>
      </c>
      <c r="B35" s="21" t="str">
        <f>IF($A35="","",IFERROR(INDEX(計算用!$D$2:$D$186,MATCH("男赤"&amp;($A35*2-1),計算用!$L$2:$L$186,0)),""))</f>
        <v/>
      </c>
      <c r="C35" s="20" t="str">
        <f>IF($A35="","",IFERROR(INDEX(計算用!$M$2:$M$186,MATCH("男赤"&amp;($A35*2-1),計算用!$L$2:$L$186,0)),""))</f>
        <v/>
      </c>
      <c r="D35" s="21" t="str">
        <f>IF($A35="","",IFERROR(INDEX(計算用!$D$2:$D$186,MATCH("男赤"&amp;($A35*2-0),計算用!$L$2:$L$186,0)),""))</f>
        <v/>
      </c>
      <c r="E35" s="20" t="str">
        <f>IF($A35="","",IFERROR(INDEX(計算用!$M$2:$M$186,MATCH("男赤"&amp;($A35*2-0),計算用!$L$2:$L$186,0)),""))</f>
        <v/>
      </c>
      <c r="F35" s="21" t="str">
        <f>IF($A35="","",IFERROR(INDEX(計算用!$D$2:$D$186,MATCH("男白"&amp;($A35*2-1),計算用!$L$2:$L$186,0)),""))</f>
        <v/>
      </c>
      <c r="G35" s="20" t="str">
        <f>IF($A35="","",IFERROR(INDEX(計算用!$M$2:$M$186,MATCH("男白"&amp;($A35*2-1),計算用!$L$2:$L$186,0)),""))</f>
        <v/>
      </c>
      <c r="H35" s="21" t="str">
        <f>IF($A35="","",IFERROR(INDEX(計算用!$D$2:$D$186,MATCH("男白"&amp;($A35*2-0),計算用!$L$2:$L$186,0)),""))</f>
        <v/>
      </c>
      <c r="I35" s="20" t="str">
        <f>IF($A35="","",IFERROR(INDEX(計算用!$M$2:$M$186,MATCH("男白"&amp;($A35*2-0),計算用!$L$2:$L$186,0)),""))</f>
        <v/>
      </c>
      <c r="K35" s="20" t="str">
        <f>IF(ROW()-3&lt;=ROUNDUP(MAX(計算用!$Q$4,計算用!$Q$5)/2,0),ROW()-3,"")</f>
        <v/>
      </c>
      <c r="L35" s="21" t="str">
        <f>IF($K35="","",IFERROR(INDEX(計算用!$D$2:$D$186,MATCH("女赤"&amp;($K35*2-1),計算用!$L$2:$L$186,0)),""))</f>
        <v/>
      </c>
      <c r="M35" s="20" t="str">
        <f>IF($K35="","",IFERROR(INDEX(計算用!$M$2:$M$186,MATCH("女赤"&amp;($K35*2-1),計算用!$L$2:$L$186,0)),""))</f>
        <v/>
      </c>
      <c r="N35" s="21" t="str">
        <f>IF($K35="","",IFERROR(INDEX(計算用!$D$2:$D$186,MATCH("女赤"&amp;($K35*2-0),計算用!$L$2:$L$186,0)),""))</f>
        <v/>
      </c>
      <c r="O35" s="20" t="str">
        <f>IF($K35="","",IFERROR(INDEX(計算用!$M$2:$M$186,MATCH("女赤"&amp;($K35*2-0),計算用!$L$2:$L$186,0)),""))</f>
        <v/>
      </c>
      <c r="P35" s="21" t="str">
        <f>IF($K35="","",IFERROR(INDEX(計算用!$D$2:$D$186,MATCH("女白"&amp;($K35*2-1),計算用!$L$2:$L$186,0)),""))</f>
        <v/>
      </c>
      <c r="Q35" s="20" t="str">
        <f>IF($K35="","",IFERROR(INDEX(計算用!$M$2:$M$186,MATCH("女白"&amp;($K35*2-1),計算用!$L$2:$L$186,0)),""))</f>
        <v/>
      </c>
      <c r="R35" s="21" t="str">
        <f>IF($K35="","",IFERROR(INDEX(計算用!$D$2:$D$186,MATCH("女白"&amp;($K35*2-0),計算用!$L$2:$L$186,0)),""))</f>
        <v/>
      </c>
      <c r="S35" s="20" t="str">
        <f>IF($K35="","",IFERROR(INDEX(計算用!$M$2:$M$186,MATCH("女白"&amp;($K35*2-0),計算用!$L$2:$L$186,0)),""))</f>
        <v/>
      </c>
    </row>
    <row r="36" spans="1:19" x14ac:dyDescent="0.15">
      <c r="A36" s="20" t="str">
        <f>IF(ROW()-3&lt;=ROUNDUP(MAX(計算用!$Q$2,計算用!$Q$3)/2,0),ROW()-3,"")</f>
        <v/>
      </c>
      <c r="B36" s="21" t="str">
        <f>IF($A36="","",IFERROR(INDEX(計算用!$D$2:$D$186,MATCH("男赤"&amp;($A36*2-1),計算用!$L$2:$L$186,0)),""))</f>
        <v/>
      </c>
      <c r="C36" s="20" t="str">
        <f>IF($A36="","",IFERROR(INDEX(計算用!$M$2:$M$186,MATCH("男赤"&amp;($A36*2-1),計算用!$L$2:$L$186,0)),""))</f>
        <v/>
      </c>
      <c r="D36" s="21" t="str">
        <f>IF($A36="","",IFERROR(INDEX(計算用!$D$2:$D$186,MATCH("男赤"&amp;($A36*2-0),計算用!$L$2:$L$186,0)),""))</f>
        <v/>
      </c>
      <c r="E36" s="20" t="str">
        <f>IF($A36="","",IFERROR(INDEX(計算用!$M$2:$M$186,MATCH("男赤"&amp;($A36*2-0),計算用!$L$2:$L$186,0)),""))</f>
        <v/>
      </c>
      <c r="F36" s="21" t="str">
        <f>IF($A36="","",IFERROR(INDEX(計算用!$D$2:$D$186,MATCH("男白"&amp;($A36*2-1),計算用!$L$2:$L$186,0)),""))</f>
        <v/>
      </c>
      <c r="G36" s="20" t="str">
        <f>IF($A36="","",IFERROR(INDEX(計算用!$M$2:$M$186,MATCH("男白"&amp;($A36*2-1),計算用!$L$2:$L$186,0)),""))</f>
        <v/>
      </c>
      <c r="H36" s="21" t="str">
        <f>IF($A36="","",IFERROR(INDEX(計算用!$D$2:$D$186,MATCH("男白"&amp;($A36*2-0),計算用!$L$2:$L$186,0)),""))</f>
        <v/>
      </c>
      <c r="I36" s="20" t="str">
        <f>IF($A36="","",IFERROR(INDEX(計算用!$M$2:$M$186,MATCH("男白"&amp;($A36*2-0),計算用!$L$2:$L$186,0)),""))</f>
        <v/>
      </c>
      <c r="K36" s="20" t="str">
        <f>IF(ROW()-3&lt;=ROUNDUP(MAX(計算用!$Q$4,計算用!$Q$5)/2,0),ROW()-3,"")</f>
        <v/>
      </c>
      <c r="L36" s="21" t="str">
        <f>IF($K36="","",IFERROR(INDEX(計算用!$D$2:$D$186,MATCH("女赤"&amp;($K36*2-1),計算用!$L$2:$L$186,0)),""))</f>
        <v/>
      </c>
      <c r="M36" s="20" t="str">
        <f>IF($K36="","",IFERROR(INDEX(計算用!$M$2:$M$186,MATCH("女赤"&amp;($K36*2-1),計算用!$L$2:$L$186,0)),""))</f>
        <v/>
      </c>
      <c r="N36" s="21" t="str">
        <f>IF($K36="","",IFERROR(INDEX(計算用!$D$2:$D$186,MATCH("女赤"&amp;($K36*2-0),計算用!$L$2:$L$186,0)),""))</f>
        <v/>
      </c>
      <c r="O36" s="20" t="str">
        <f>IF($K36="","",IFERROR(INDEX(計算用!$M$2:$M$186,MATCH("女赤"&amp;($K36*2-0),計算用!$L$2:$L$186,0)),""))</f>
        <v/>
      </c>
      <c r="P36" s="21" t="str">
        <f>IF($K36="","",IFERROR(INDEX(計算用!$D$2:$D$186,MATCH("女白"&amp;($K36*2-1),計算用!$L$2:$L$186,0)),""))</f>
        <v/>
      </c>
      <c r="Q36" s="20" t="str">
        <f>IF($K36="","",IFERROR(INDEX(計算用!$M$2:$M$186,MATCH("女白"&amp;($K36*2-1),計算用!$L$2:$L$186,0)),""))</f>
        <v/>
      </c>
      <c r="R36" s="21" t="str">
        <f>IF($K36="","",IFERROR(INDEX(計算用!$D$2:$D$186,MATCH("女白"&amp;($K36*2-0),計算用!$L$2:$L$186,0)),""))</f>
        <v/>
      </c>
      <c r="S36" s="20" t="str">
        <f>IF($K36="","",IFERROR(INDEX(計算用!$M$2:$M$186,MATCH("女白"&amp;($K36*2-0),計算用!$L$2:$L$186,0)),""))</f>
        <v/>
      </c>
    </row>
    <row r="37" spans="1:19" x14ac:dyDescent="0.15">
      <c r="A37" s="20" t="str">
        <f>IF(ROW()-3&lt;=ROUNDUP(MAX(計算用!$Q$2,計算用!$Q$3)/2,0),ROW()-3,"")</f>
        <v/>
      </c>
      <c r="B37" s="21" t="str">
        <f>IF($A37="","",IFERROR(INDEX(計算用!$D$2:$D$186,MATCH("男赤"&amp;($A37*2-1),計算用!$L$2:$L$186,0)),""))</f>
        <v/>
      </c>
      <c r="C37" s="20" t="str">
        <f>IF($A37="","",IFERROR(INDEX(計算用!$M$2:$M$186,MATCH("男赤"&amp;($A37*2-1),計算用!$L$2:$L$186,0)),""))</f>
        <v/>
      </c>
      <c r="D37" s="21" t="str">
        <f>IF($A37="","",IFERROR(INDEX(計算用!$D$2:$D$186,MATCH("男赤"&amp;($A37*2-0),計算用!$L$2:$L$186,0)),""))</f>
        <v/>
      </c>
      <c r="E37" s="20" t="str">
        <f>IF($A37="","",IFERROR(INDEX(計算用!$M$2:$M$186,MATCH("男赤"&amp;($A37*2-0),計算用!$L$2:$L$186,0)),""))</f>
        <v/>
      </c>
      <c r="F37" s="21" t="str">
        <f>IF($A37="","",IFERROR(INDEX(計算用!$D$2:$D$186,MATCH("男白"&amp;($A37*2-1),計算用!$L$2:$L$186,0)),""))</f>
        <v/>
      </c>
      <c r="G37" s="20" t="str">
        <f>IF($A37="","",IFERROR(INDEX(計算用!$M$2:$M$186,MATCH("男白"&amp;($A37*2-1),計算用!$L$2:$L$186,0)),""))</f>
        <v/>
      </c>
      <c r="H37" s="21" t="str">
        <f>IF($A37="","",IFERROR(INDEX(計算用!$D$2:$D$186,MATCH("男白"&amp;($A37*2-0),計算用!$L$2:$L$186,0)),""))</f>
        <v/>
      </c>
      <c r="I37" s="20" t="str">
        <f>IF($A37="","",IFERROR(INDEX(計算用!$M$2:$M$186,MATCH("男白"&amp;($A37*2-0),計算用!$L$2:$L$186,0)),""))</f>
        <v/>
      </c>
      <c r="K37" s="20" t="str">
        <f>IF(ROW()-3&lt;=ROUNDUP(MAX(計算用!$Q$4,計算用!$Q$5)/2,0),ROW()-3,"")</f>
        <v/>
      </c>
      <c r="L37" s="21" t="str">
        <f>IF($K37="","",IFERROR(INDEX(計算用!$D$2:$D$186,MATCH("女赤"&amp;($K37*2-1),計算用!$L$2:$L$186,0)),""))</f>
        <v/>
      </c>
      <c r="M37" s="20" t="str">
        <f>IF($K37="","",IFERROR(INDEX(計算用!$M$2:$M$186,MATCH("女赤"&amp;($K37*2-1),計算用!$L$2:$L$186,0)),""))</f>
        <v/>
      </c>
      <c r="N37" s="21" t="str">
        <f>IF($K37="","",IFERROR(INDEX(計算用!$D$2:$D$186,MATCH("女赤"&amp;($K37*2-0),計算用!$L$2:$L$186,0)),""))</f>
        <v/>
      </c>
      <c r="O37" s="20" t="str">
        <f>IF($K37="","",IFERROR(INDEX(計算用!$M$2:$M$186,MATCH("女赤"&amp;($K37*2-0),計算用!$L$2:$L$186,0)),""))</f>
        <v/>
      </c>
      <c r="P37" s="21" t="str">
        <f>IF($K37="","",IFERROR(INDEX(計算用!$D$2:$D$186,MATCH("女白"&amp;($K37*2-1),計算用!$L$2:$L$186,0)),""))</f>
        <v/>
      </c>
      <c r="Q37" s="20" t="str">
        <f>IF($K37="","",IFERROR(INDEX(計算用!$M$2:$M$186,MATCH("女白"&amp;($K37*2-1),計算用!$L$2:$L$186,0)),""))</f>
        <v/>
      </c>
      <c r="R37" s="21" t="str">
        <f>IF($K37="","",IFERROR(INDEX(計算用!$D$2:$D$186,MATCH("女白"&amp;($K37*2-0),計算用!$L$2:$L$186,0)),""))</f>
        <v/>
      </c>
      <c r="S37" s="20" t="str">
        <f>IF($K37="","",IFERROR(INDEX(計算用!$M$2:$M$186,MATCH("女白"&amp;($K37*2-0),計算用!$L$2:$L$186,0)),""))</f>
        <v/>
      </c>
    </row>
    <row r="38" spans="1:19" x14ac:dyDescent="0.15">
      <c r="A38" s="20" t="str">
        <f>IF(ROW()-3&lt;=ROUNDUP(MAX(計算用!$Q$2,計算用!$Q$3)/2,0),ROW()-3,"")</f>
        <v/>
      </c>
      <c r="B38" s="21" t="str">
        <f>IF($A38="","",IFERROR(INDEX(計算用!$D$2:$D$186,MATCH("男赤"&amp;($A38*2-1),計算用!$L$2:$L$186,0)),""))</f>
        <v/>
      </c>
      <c r="C38" s="20" t="str">
        <f>IF($A38="","",IFERROR(INDEX(計算用!$M$2:$M$186,MATCH("男赤"&amp;($A38*2-1),計算用!$L$2:$L$186,0)),""))</f>
        <v/>
      </c>
      <c r="D38" s="21" t="str">
        <f>IF($A38="","",IFERROR(INDEX(計算用!$D$2:$D$186,MATCH("男赤"&amp;($A38*2-0),計算用!$L$2:$L$186,0)),""))</f>
        <v/>
      </c>
      <c r="E38" s="20" t="str">
        <f>IF($A38="","",IFERROR(INDEX(計算用!$M$2:$M$186,MATCH("男赤"&amp;($A38*2-0),計算用!$L$2:$L$186,0)),""))</f>
        <v/>
      </c>
      <c r="F38" s="21" t="str">
        <f>IF($A38="","",IFERROR(INDEX(計算用!$D$2:$D$186,MATCH("男白"&amp;($A38*2-1),計算用!$L$2:$L$186,0)),""))</f>
        <v/>
      </c>
      <c r="G38" s="20" t="str">
        <f>IF($A38="","",IFERROR(INDEX(計算用!$M$2:$M$186,MATCH("男白"&amp;($A38*2-1),計算用!$L$2:$L$186,0)),""))</f>
        <v/>
      </c>
      <c r="H38" s="21" t="str">
        <f>IF($A38="","",IFERROR(INDEX(計算用!$D$2:$D$186,MATCH("男白"&amp;($A38*2-0),計算用!$L$2:$L$186,0)),""))</f>
        <v/>
      </c>
      <c r="I38" s="20" t="str">
        <f>IF($A38="","",IFERROR(INDEX(計算用!$M$2:$M$186,MATCH("男白"&amp;($A38*2-0),計算用!$L$2:$L$186,0)),""))</f>
        <v/>
      </c>
      <c r="K38" s="20" t="str">
        <f>IF(ROW()-3&lt;=ROUNDUP(MAX(計算用!$Q$4,計算用!$Q$5)/2,0),ROW()-3,"")</f>
        <v/>
      </c>
      <c r="L38" s="21" t="str">
        <f>IF($K38="","",IFERROR(INDEX(計算用!$D$2:$D$186,MATCH("女赤"&amp;($K38*2-1),計算用!$L$2:$L$186,0)),""))</f>
        <v/>
      </c>
      <c r="M38" s="20" t="str">
        <f>IF($K38="","",IFERROR(INDEX(計算用!$M$2:$M$186,MATCH("女赤"&amp;($K38*2-1),計算用!$L$2:$L$186,0)),""))</f>
        <v/>
      </c>
      <c r="N38" s="21" t="str">
        <f>IF($K38="","",IFERROR(INDEX(計算用!$D$2:$D$186,MATCH("女赤"&amp;($K38*2-0),計算用!$L$2:$L$186,0)),""))</f>
        <v/>
      </c>
      <c r="O38" s="20" t="str">
        <f>IF($K38="","",IFERROR(INDEX(計算用!$M$2:$M$186,MATCH("女赤"&amp;($K38*2-0),計算用!$L$2:$L$186,0)),""))</f>
        <v/>
      </c>
      <c r="P38" s="21" t="str">
        <f>IF($K38="","",IFERROR(INDEX(計算用!$D$2:$D$186,MATCH("女白"&amp;($K38*2-1),計算用!$L$2:$L$186,0)),""))</f>
        <v/>
      </c>
      <c r="Q38" s="20" t="str">
        <f>IF($K38="","",IFERROR(INDEX(計算用!$M$2:$M$186,MATCH("女白"&amp;($K38*2-1),計算用!$L$2:$L$186,0)),""))</f>
        <v/>
      </c>
      <c r="R38" s="21" t="str">
        <f>IF($K38="","",IFERROR(INDEX(計算用!$D$2:$D$186,MATCH("女白"&amp;($K38*2-0),計算用!$L$2:$L$186,0)),""))</f>
        <v/>
      </c>
      <c r="S38" s="20" t="str">
        <f>IF($K38="","",IFERROR(INDEX(計算用!$M$2:$M$186,MATCH("女白"&amp;($K38*2-0),計算用!$L$2:$L$186,0)),""))</f>
        <v/>
      </c>
    </row>
    <row r="39" spans="1:19" x14ac:dyDescent="0.15">
      <c r="A39" s="20" t="str">
        <f>IF(ROW()-3&lt;=ROUNDUP(MAX(計算用!$Q$2,計算用!$Q$3)/2,0),ROW()-3,"")</f>
        <v/>
      </c>
      <c r="B39" s="21" t="str">
        <f>IF($A39="","",IFERROR(INDEX(計算用!$D$2:$D$186,MATCH("男赤"&amp;($A39*2-1),計算用!$L$2:$L$186,0)),""))</f>
        <v/>
      </c>
      <c r="C39" s="20" t="str">
        <f>IF($A39="","",IFERROR(INDEX(計算用!$M$2:$M$186,MATCH("男赤"&amp;($A39*2-1),計算用!$L$2:$L$186,0)),""))</f>
        <v/>
      </c>
      <c r="D39" s="21" t="str">
        <f>IF($A39="","",IFERROR(INDEX(計算用!$D$2:$D$186,MATCH("男赤"&amp;($A39*2-0),計算用!$L$2:$L$186,0)),""))</f>
        <v/>
      </c>
      <c r="E39" s="20" t="str">
        <f>IF($A39="","",IFERROR(INDEX(計算用!$M$2:$M$186,MATCH("男赤"&amp;($A39*2-0),計算用!$L$2:$L$186,0)),""))</f>
        <v/>
      </c>
      <c r="F39" s="21" t="str">
        <f>IF($A39="","",IFERROR(INDEX(計算用!$D$2:$D$186,MATCH("男白"&amp;($A39*2-1),計算用!$L$2:$L$186,0)),""))</f>
        <v/>
      </c>
      <c r="G39" s="20" t="str">
        <f>IF($A39="","",IFERROR(INDEX(計算用!$M$2:$M$186,MATCH("男白"&amp;($A39*2-1),計算用!$L$2:$L$186,0)),""))</f>
        <v/>
      </c>
      <c r="H39" s="21" t="str">
        <f>IF($A39="","",IFERROR(INDEX(計算用!$D$2:$D$186,MATCH("男白"&amp;($A39*2-0),計算用!$L$2:$L$186,0)),""))</f>
        <v/>
      </c>
      <c r="I39" s="20" t="str">
        <f>IF($A39="","",IFERROR(INDEX(計算用!$M$2:$M$186,MATCH("男白"&amp;($A39*2-0),計算用!$L$2:$L$186,0)),""))</f>
        <v/>
      </c>
      <c r="K39" s="20" t="str">
        <f>IF(ROW()-3&lt;=ROUNDUP(MAX(計算用!$Q$4,計算用!$Q$5)/2,0),ROW()-3,"")</f>
        <v/>
      </c>
      <c r="L39" s="21" t="str">
        <f>IF($K39="","",IFERROR(INDEX(計算用!$D$2:$D$186,MATCH("女赤"&amp;($K39*2-1),計算用!$L$2:$L$186,0)),""))</f>
        <v/>
      </c>
      <c r="M39" s="20" t="str">
        <f>IF($K39="","",IFERROR(INDEX(計算用!$M$2:$M$186,MATCH("女赤"&amp;($K39*2-1),計算用!$L$2:$L$186,0)),""))</f>
        <v/>
      </c>
      <c r="N39" s="21" t="str">
        <f>IF($K39="","",IFERROR(INDEX(計算用!$D$2:$D$186,MATCH("女赤"&amp;($K39*2-0),計算用!$L$2:$L$186,0)),""))</f>
        <v/>
      </c>
      <c r="O39" s="20" t="str">
        <f>IF($K39="","",IFERROR(INDEX(計算用!$M$2:$M$186,MATCH("女赤"&amp;($K39*2-0),計算用!$L$2:$L$186,0)),""))</f>
        <v/>
      </c>
      <c r="P39" s="21" t="str">
        <f>IF($K39="","",IFERROR(INDEX(計算用!$D$2:$D$186,MATCH("女白"&amp;($K39*2-1),計算用!$L$2:$L$186,0)),""))</f>
        <v/>
      </c>
      <c r="Q39" s="20" t="str">
        <f>IF($K39="","",IFERROR(INDEX(計算用!$M$2:$M$186,MATCH("女白"&amp;($K39*2-1),計算用!$L$2:$L$186,0)),""))</f>
        <v/>
      </c>
      <c r="R39" s="21" t="str">
        <f>IF($K39="","",IFERROR(INDEX(計算用!$D$2:$D$186,MATCH("女白"&amp;($K39*2-0),計算用!$L$2:$L$186,0)),""))</f>
        <v/>
      </c>
      <c r="S39" s="20" t="str">
        <f>IF($K39="","",IFERROR(INDEX(計算用!$M$2:$M$186,MATCH("女白"&amp;($K39*2-0),計算用!$L$2:$L$186,0)),""))</f>
        <v/>
      </c>
    </row>
    <row r="40" spans="1:19" x14ac:dyDescent="0.15">
      <c r="A40" s="20" t="str">
        <f>IF(ROW()-3&lt;=ROUNDUP(MAX(計算用!$Q$2,計算用!$Q$3)/2,0),ROW()-3,"")</f>
        <v/>
      </c>
      <c r="B40" s="21" t="str">
        <f>IF($A40="","",IFERROR(INDEX(計算用!$D$2:$D$186,MATCH("男赤"&amp;($A40*2-1),計算用!$L$2:$L$186,0)),""))</f>
        <v/>
      </c>
      <c r="C40" s="20" t="str">
        <f>IF($A40="","",IFERROR(INDEX(計算用!$M$2:$M$186,MATCH("男赤"&amp;($A40*2-1),計算用!$L$2:$L$186,0)),""))</f>
        <v/>
      </c>
      <c r="D40" s="21" t="str">
        <f>IF($A40="","",IFERROR(INDEX(計算用!$D$2:$D$186,MATCH("男赤"&amp;($A40*2-0),計算用!$L$2:$L$186,0)),""))</f>
        <v/>
      </c>
      <c r="E40" s="20" t="str">
        <f>IF($A40="","",IFERROR(INDEX(計算用!$M$2:$M$186,MATCH("男赤"&amp;($A40*2-0),計算用!$L$2:$L$186,0)),""))</f>
        <v/>
      </c>
      <c r="F40" s="21" t="str">
        <f>IF($A40="","",IFERROR(INDEX(計算用!$D$2:$D$186,MATCH("男白"&amp;($A40*2-1),計算用!$L$2:$L$186,0)),""))</f>
        <v/>
      </c>
      <c r="G40" s="20" t="str">
        <f>IF($A40="","",IFERROR(INDEX(計算用!$M$2:$M$186,MATCH("男白"&amp;($A40*2-1),計算用!$L$2:$L$186,0)),""))</f>
        <v/>
      </c>
      <c r="H40" s="21" t="str">
        <f>IF($A40="","",IFERROR(INDEX(計算用!$D$2:$D$186,MATCH("男白"&amp;($A40*2-0),計算用!$L$2:$L$186,0)),""))</f>
        <v/>
      </c>
      <c r="I40" s="20" t="str">
        <f>IF($A40="","",IFERROR(INDEX(計算用!$M$2:$M$186,MATCH("男白"&amp;($A40*2-0),計算用!$L$2:$L$186,0)),""))</f>
        <v/>
      </c>
      <c r="K40" s="20" t="str">
        <f>IF(ROW()-3&lt;=ROUNDUP(MAX(計算用!$Q$4,計算用!$Q$5)/2,0),ROW()-3,"")</f>
        <v/>
      </c>
      <c r="L40" s="21" t="str">
        <f>IF($K40="","",IFERROR(INDEX(計算用!$D$2:$D$186,MATCH("女赤"&amp;($K40*2-1),計算用!$L$2:$L$186,0)),""))</f>
        <v/>
      </c>
      <c r="M40" s="20" t="str">
        <f>IF($K40="","",IFERROR(INDEX(計算用!$M$2:$M$186,MATCH("女赤"&amp;($K40*2-1),計算用!$L$2:$L$186,0)),""))</f>
        <v/>
      </c>
      <c r="N40" s="21" t="str">
        <f>IF($K40="","",IFERROR(INDEX(計算用!$D$2:$D$186,MATCH("女赤"&amp;($K40*2-0),計算用!$L$2:$L$186,0)),""))</f>
        <v/>
      </c>
      <c r="O40" s="20" t="str">
        <f>IF($K40="","",IFERROR(INDEX(計算用!$M$2:$M$186,MATCH("女赤"&amp;($K40*2-0),計算用!$L$2:$L$186,0)),""))</f>
        <v/>
      </c>
      <c r="P40" s="21" t="str">
        <f>IF($K40="","",IFERROR(INDEX(計算用!$D$2:$D$186,MATCH("女白"&amp;($K40*2-1),計算用!$L$2:$L$186,0)),""))</f>
        <v/>
      </c>
      <c r="Q40" s="20" t="str">
        <f>IF($K40="","",IFERROR(INDEX(計算用!$M$2:$M$186,MATCH("女白"&amp;($K40*2-1),計算用!$L$2:$L$186,0)),""))</f>
        <v/>
      </c>
      <c r="R40" s="21" t="str">
        <f>IF($K40="","",IFERROR(INDEX(計算用!$D$2:$D$186,MATCH("女白"&amp;($K40*2-0),計算用!$L$2:$L$186,0)),""))</f>
        <v/>
      </c>
      <c r="S40" s="20" t="str">
        <f>IF($K40="","",IFERROR(INDEX(計算用!$M$2:$M$186,MATCH("女白"&amp;($K40*2-0),計算用!$L$2:$L$186,0)),""))</f>
        <v/>
      </c>
    </row>
    <row r="41" spans="1:19" x14ac:dyDescent="0.15">
      <c r="A41" s="20" t="str">
        <f>IF(ROW()-3&lt;=ROUNDUP(MAX(計算用!$Q$2,計算用!$Q$3)/2,0),ROW()-3,"")</f>
        <v/>
      </c>
      <c r="B41" s="21" t="str">
        <f>IF($A41="","",IFERROR(INDEX(計算用!$D$2:$D$186,MATCH("男赤"&amp;($A41*2-1),計算用!$L$2:$L$186,0)),""))</f>
        <v/>
      </c>
      <c r="C41" s="20" t="str">
        <f>IF($A41="","",IFERROR(INDEX(計算用!$M$2:$M$186,MATCH("男赤"&amp;($A41*2-1),計算用!$L$2:$L$186,0)),""))</f>
        <v/>
      </c>
      <c r="D41" s="21" t="str">
        <f>IF($A41="","",IFERROR(INDEX(計算用!$D$2:$D$186,MATCH("男赤"&amp;($A41*2-0),計算用!$L$2:$L$186,0)),""))</f>
        <v/>
      </c>
      <c r="E41" s="20" t="str">
        <f>IF($A41="","",IFERROR(INDEX(計算用!$M$2:$M$186,MATCH("男赤"&amp;($A41*2-0),計算用!$L$2:$L$186,0)),""))</f>
        <v/>
      </c>
      <c r="F41" s="21" t="str">
        <f>IF($A41="","",IFERROR(INDEX(計算用!$D$2:$D$186,MATCH("男白"&amp;($A41*2-1),計算用!$L$2:$L$186,0)),""))</f>
        <v/>
      </c>
      <c r="G41" s="20" t="str">
        <f>IF($A41="","",IFERROR(INDEX(計算用!$M$2:$M$186,MATCH("男白"&amp;($A41*2-1),計算用!$L$2:$L$186,0)),""))</f>
        <v/>
      </c>
      <c r="H41" s="21" t="str">
        <f>IF($A41="","",IFERROR(INDEX(計算用!$D$2:$D$186,MATCH("男白"&amp;($A41*2-0),計算用!$L$2:$L$186,0)),""))</f>
        <v/>
      </c>
      <c r="I41" s="20" t="str">
        <f>IF($A41="","",IFERROR(INDEX(計算用!$M$2:$M$186,MATCH("男白"&amp;($A41*2-0),計算用!$L$2:$L$186,0)),""))</f>
        <v/>
      </c>
      <c r="K41" s="20" t="str">
        <f>IF(ROW()-3&lt;=ROUNDUP(MAX(計算用!$Q$4,計算用!$Q$5)/2,0),ROW()-3,"")</f>
        <v/>
      </c>
      <c r="L41" s="21" t="str">
        <f>IF($K41="","",IFERROR(INDEX(計算用!$D$2:$D$186,MATCH("女赤"&amp;($K41*2-1),計算用!$L$2:$L$186,0)),""))</f>
        <v/>
      </c>
      <c r="M41" s="20" t="str">
        <f>IF($K41="","",IFERROR(INDEX(計算用!$M$2:$M$186,MATCH("女赤"&amp;($K41*2-1),計算用!$L$2:$L$186,0)),""))</f>
        <v/>
      </c>
      <c r="N41" s="21" t="str">
        <f>IF($K41="","",IFERROR(INDEX(計算用!$D$2:$D$186,MATCH("女赤"&amp;($K41*2-0),計算用!$L$2:$L$186,0)),""))</f>
        <v/>
      </c>
      <c r="O41" s="20" t="str">
        <f>IF($K41="","",IFERROR(INDEX(計算用!$M$2:$M$186,MATCH("女赤"&amp;($K41*2-0),計算用!$L$2:$L$186,0)),""))</f>
        <v/>
      </c>
      <c r="P41" s="21" t="str">
        <f>IF($K41="","",IFERROR(INDEX(計算用!$D$2:$D$186,MATCH("女白"&amp;($K41*2-1),計算用!$L$2:$L$186,0)),""))</f>
        <v/>
      </c>
      <c r="Q41" s="20" t="str">
        <f>IF($K41="","",IFERROR(INDEX(計算用!$M$2:$M$186,MATCH("女白"&amp;($K41*2-1),計算用!$L$2:$L$186,0)),""))</f>
        <v/>
      </c>
      <c r="R41" s="21" t="str">
        <f>IF($K41="","",IFERROR(INDEX(計算用!$D$2:$D$186,MATCH("女白"&amp;($K41*2-0),計算用!$L$2:$L$186,0)),""))</f>
        <v/>
      </c>
      <c r="S41" s="20" t="str">
        <f>IF($K41="","",IFERROR(INDEX(計算用!$M$2:$M$186,MATCH("女白"&amp;($K41*2-0),計算用!$L$2:$L$186,0)),""))</f>
        <v/>
      </c>
    </row>
    <row r="42" spans="1:19" x14ac:dyDescent="0.15">
      <c r="A42" s="20" t="str">
        <f>IF(ROW()-3&lt;=ROUNDUP(MAX(計算用!$Q$2,計算用!$Q$3)/2,0),ROW()-3,"")</f>
        <v/>
      </c>
      <c r="B42" s="21" t="str">
        <f>IF($A42="","",IFERROR(INDEX(計算用!$D$2:$D$186,MATCH("男赤"&amp;($A42*2-1),計算用!$L$2:$L$186,0)),""))</f>
        <v/>
      </c>
      <c r="C42" s="20" t="str">
        <f>IF($A42="","",IFERROR(INDEX(計算用!$M$2:$M$186,MATCH("男赤"&amp;($A42*2-1),計算用!$L$2:$L$186,0)),""))</f>
        <v/>
      </c>
      <c r="D42" s="21" t="str">
        <f>IF($A42="","",IFERROR(INDEX(計算用!$D$2:$D$186,MATCH("男赤"&amp;($A42*2-0),計算用!$L$2:$L$186,0)),""))</f>
        <v/>
      </c>
      <c r="E42" s="20" t="str">
        <f>IF($A42="","",IFERROR(INDEX(計算用!$M$2:$M$186,MATCH("男赤"&amp;($A42*2-0),計算用!$L$2:$L$186,0)),""))</f>
        <v/>
      </c>
      <c r="F42" s="21" t="str">
        <f>IF($A42="","",IFERROR(INDEX(計算用!$D$2:$D$186,MATCH("男白"&amp;($A42*2-1),計算用!$L$2:$L$186,0)),""))</f>
        <v/>
      </c>
      <c r="G42" s="20" t="str">
        <f>IF($A42="","",IFERROR(INDEX(計算用!$M$2:$M$186,MATCH("男白"&amp;($A42*2-1),計算用!$L$2:$L$186,0)),""))</f>
        <v/>
      </c>
      <c r="H42" s="21" t="str">
        <f>IF($A42="","",IFERROR(INDEX(計算用!$D$2:$D$186,MATCH("男白"&amp;($A42*2-0),計算用!$L$2:$L$186,0)),""))</f>
        <v/>
      </c>
      <c r="I42" s="20" t="str">
        <f>IF($A42="","",IFERROR(INDEX(計算用!$M$2:$M$186,MATCH("男白"&amp;($A42*2-0),計算用!$L$2:$L$186,0)),""))</f>
        <v/>
      </c>
      <c r="K42" s="20" t="str">
        <f>IF(ROW()-3&lt;=ROUNDUP(MAX(計算用!$Q$4,計算用!$Q$5)/2,0),ROW()-3,"")</f>
        <v/>
      </c>
      <c r="L42" s="21" t="str">
        <f>IF($K42="","",IFERROR(INDEX(計算用!$D$2:$D$186,MATCH("女赤"&amp;($K42*2-1),計算用!$L$2:$L$186,0)),""))</f>
        <v/>
      </c>
      <c r="M42" s="20" t="str">
        <f>IF($K42="","",IFERROR(INDEX(計算用!$M$2:$M$186,MATCH("女赤"&amp;($K42*2-1),計算用!$L$2:$L$186,0)),""))</f>
        <v/>
      </c>
      <c r="N42" s="21" t="str">
        <f>IF($K42="","",IFERROR(INDEX(計算用!$D$2:$D$186,MATCH("女赤"&amp;($K42*2-0),計算用!$L$2:$L$186,0)),""))</f>
        <v/>
      </c>
      <c r="O42" s="20" t="str">
        <f>IF($K42="","",IFERROR(INDEX(計算用!$M$2:$M$186,MATCH("女赤"&amp;($K42*2-0),計算用!$L$2:$L$186,0)),""))</f>
        <v/>
      </c>
      <c r="P42" s="21" t="str">
        <f>IF($K42="","",IFERROR(INDEX(計算用!$D$2:$D$186,MATCH("女白"&amp;($K42*2-1),計算用!$L$2:$L$186,0)),""))</f>
        <v/>
      </c>
      <c r="Q42" s="20" t="str">
        <f>IF($K42="","",IFERROR(INDEX(計算用!$M$2:$M$186,MATCH("女白"&amp;($K42*2-1),計算用!$L$2:$L$186,0)),""))</f>
        <v/>
      </c>
      <c r="R42" s="21" t="str">
        <f>IF($K42="","",IFERROR(INDEX(計算用!$D$2:$D$186,MATCH("女白"&amp;($K42*2-0),計算用!$L$2:$L$186,0)),""))</f>
        <v/>
      </c>
      <c r="S42" s="20" t="str">
        <f>IF($K42="","",IFERROR(INDEX(計算用!$M$2:$M$186,MATCH("女白"&amp;($K42*2-0),計算用!$L$2:$L$186,0)),""))</f>
        <v/>
      </c>
    </row>
    <row r="43" spans="1:19" x14ac:dyDescent="0.15">
      <c r="A43" s="20" t="str">
        <f>IF(ROW()-3&lt;=ROUNDUP(MAX(計算用!$Q$2,計算用!$Q$3)/2,0),ROW()-3,"")</f>
        <v/>
      </c>
      <c r="B43" s="21" t="str">
        <f>IF($A43="","",IFERROR(INDEX(計算用!$D$2:$D$186,MATCH("男赤"&amp;($A43*2-1),計算用!$L$2:$L$186,0)),""))</f>
        <v/>
      </c>
      <c r="C43" s="20" t="str">
        <f>IF($A43="","",IFERROR(INDEX(計算用!$M$2:$M$186,MATCH("男赤"&amp;($A43*2-1),計算用!$L$2:$L$186,0)),""))</f>
        <v/>
      </c>
      <c r="D43" s="21" t="str">
        <f>IF($A43="","",IFERROR(INDEX(計算用!$D$2:$D$186,MATCH("男赤"&amp;($A43*2-0),計算用!$L$2:$L$186,0)),""))</f>
        <v/>
      </c>
      <c r="E43" s="20" t="str">
        <f>IF($A43="","",IFERROR(INDEX(計算用!$M$2:$M$186,MATCH("男赤"&amp;($A43*2-0),計算用!$L$2:$L$186,0)),""))</f>
        <v/>
      </c>
      <c r="F43" s="21" t="str">
        <f>IF($A43="","",IFERROR(INDEX(計算用!$D$2:$D$186,MATCH("男白"&amp;($A43*2-1),計算用!$L$2:$L$186,0)),""))</f>
        <v/>
      </c>
      <c r="G43" s="20" t="str">
        <f>IF($A43="","",IFERROR(INDEX(計算用!$M$2:$M$186,MATCH("男白"&amp;($A43*2-1),計算用!$L$2:$L$186,0)),""))</f>
        <v/>
      </c>
      <c r="H43" s="21" t="str">
        <f>IF($A43="","",IFERROR(INDEX(計算用!$D$2:$D$186,MATCH("男白"&amp;($A43*2-0),計算用!$L$2:$L$186,0)),""))</f>
        <v/>
      </c>
      <c r="I43" s="20" t="str">
        <f>IF($A43="","",IFERROR(INDEX(計算用!$M$2:$M$186,MATCH("男白"&amp;($A43*2-0),計算用!$L$2:$L$186,0)),""))</f>
        <v/>
      </c>
      <c r="K43" s="20" t="str">
        <f>IF(ROW()-3&lt;=ROUNDUP(MAX(計算用!$Q$4,計算用!$Q$5)/2,0),ROW()-3,"")</f>
        <v/>
      </c>
      <c r="L43" s="21" t="str">
        <f>IF($K43="","",IFERROR(INDEX(計算用!$D$2:$D$186,MATCH("女赤"&amp;($K43*2-1),計算用!$L$2:$L$186,0)),""))</f>
        <v/>
      </c>
      <c r="M43" s="20" t="str">
        <f>IF($K43="","",IFERROR(INDEX(計算用!$M$2:$M$186,MATCH("女赤"&amp;($K43*2-1),計算用!$L$2:$L$186,0)),""))</f>
        <v/>
      </c>
      <c r="N43" s="21" t="str">
        <f>IF($K43="","",IFERROR(INDEX(計算用!$D$2:$D$186,MATCH("女赤"&amp;($K43*2-0),計算用!$L$2:$L$186,0)),""))</f>
        <v/>
      </c>
      <c r="O43" s="20" t="str">
        <f>IF($K43="","",IFERROR(INDEX(計算用!$M$2:$M$186,MATCH("女赤"&amp;($K43*2-0),計算用!$L$2:$L$186,0)),""))</f>
        <v/>
      </c>
      <c r="P43" s="21" t="str">
        <f>IF($K43="","",IFERROR(INDEX(計算用!$D$2:$D$186,MATCH("女白"&amp;($K43*2-1),計算用!$L$2:$L$186,0)),""))</f>
        <v/>
      </c>
      <c r="Q43" s="20" t="str">
        <f>IF($K43="","",IFERROR(INDEX(計算用!$M$2:$M$186,MATCH("女白"&amp;($K43*2-1),計算用!$L$2:$L$186,0)),""))</f>
        <v/>
      </c>
      <c r="R43" s="21" t="str">
        <f>IF($K43="","",IFERROR(INDEX(計算用!$D$2:$D$186,MATCH("女白"&amp;($K43*2-0),計算用!$L$2:$L$186,0)),""))</f>
        <v/>
      </c>
      <c r="S43" s="20" t="str">
        <f>IF($K43="","",IFERROR(INDEX(計算用!$M$2:$M$186,MATCH("女白"&amp;($K43*2-0),計算用!$L$2:$L$186,0)),""))</f>
        <v/>
      </c>
    </row>
    <row r="44" spans="1:19" x14ac:dyDescent="0.15">
      <c r="A44" s="20" t="str">
        <f>IF(ROW()-3&lt;=ROUNDUP(MAX(計算用!$Q$2,計算用!$Q$3)/2,0),ROW()-3,"")</f>
        <v/>
      </c>
      <c r="B44" s="21" t="str">
        <f>IF($A44="","",IFERROR(INDEX(計算用!$D$2:$D$186,MATCH("男赤"&amp;($A44*2-1),計算用!$L$2:$L$186,0)),""))</f>
        <v/>
      </c>
      <c r="C44" s="20" t="str">
        <f>IF($A44="","",IFERROR(INDEX(計算用!$M$2:$M$186,MATCH("男赤"&amp;($A44*2-1),計算用!$L$2:$L$186,0)),""))</f>
        <v/>
      </c>
      <c r="D44" s="21" t="str">
        <f>IF($A44="","",IFERROR(INDEX(計算用!$D$2:$D$186,MATCH("男赤"&amp;($A44*2-0),計算用!$L$2:$L$186,0)),""))</f>
        <v/>
      </c>
      <c r="E44" s="20" t="str">
        <f>IF($A44="","",IFERROR(INDEX(計算用!$M$2:$M$186,MATCH("男赤"&amp;($A44*2-0),計算用!$L$2:$L$186,0)),""))</f>
        <v/>
      </c>
      <c r="F44" s="21" t="str">
        <f>IF($A44="","",IFERROR(INDEX(計算用!$D$2:$D$186,MATCH("男白"&amp;($A44*2-1),計算用!$L$2:$L$186,0)),""))</f>
        <v/>
      </c>
      <c r="G44" s="20" t="str">
        <f>IF($A44="","",IFERROR(INDEX(計算用!$M$2:$M$186,MATCH("男白"&amp;($A44*2-1),計算用!$L$2:$L$186,0)),""))</f>
        <v/>
      </c>
      <c r="H44" s="21" t="str">
        <f>IF($A44="","",IFERROR(INDEX(計算用!$D$2:$D$186,MATCH("男白"&amp;($A44*2-0),計算用!$L$2:$L$186,0)),""))</f>
        <v/>
      </c>
      <c r="I44" s="20" t="str">
        <f>IF($A44="","",IFERROR(INDEX(計算用!$M$2:$M$186,MATCH("男白"&amp;($A44*2-0),計算用!$L$2:$L$186,0)),""))</f>
        <v/>
      </c>
      <c r="K44" s="20" t="str">
        <f>IF(ROW()-3&lt;=ROUNDUP(MAX(計算用!$Q$4,計算用!$Q$5)/2,0),ROW()-3,"")</f>
        <v/>
      </c>
      <c r="L44" s="21" t="str">
        <f>IF($K44="","",IFERROR(INDEX(計算用!$D$2:$D$186,MATCH("女赤"&amp;($K44*2-1),計算用!$L$2:$L$186,0)),""))</f>
        <v/>
      </c>
      <c r="M44" s="20" t="str">
        <f>IF($K44="","",IFERROR(INDEX(計算用!$M$2:$M$186,MATCH("女赤"&amp;($K44*2-1),計算用!$L$2:$L$186,0)),""))</f>
        <v/>
      </c>
      <c r="N44" s="21" t="str">
        <f>IF($K44="","",IFERROR(INDEX(計算用!$D$2:$D$186,MATCH("女赤"&amp;($K44*2-0),計算用!$L$2:$L$186,0)),""))</f>
        <v/>
      </c>
      <c r="O44" s="20" t="str">
        <f>IF($K44="","",IFERROR(INDEX(計算用!$M$2:$M$186,MATCH("女赤"&amp;($K44*2-0),計算用!$L$2:$L$186,0)),""))</f>
        <v/>
      </c>
      <c r="P44" s="21" t="str">
        <f>IF($K44="","",IFERROR(INDEX(計算用!$D$2:$D$186,MATCH("女白"&amp;($K44*2-1),計算用!$L$2:$L$186,0)),""))</f>
        <v/>
      </c>
      <c r="Q44" s="20" t="str">
        <f>IF($K44="","",IFERROR(INDEX(計算用!$M$2:$M$186,MATCH("女白"&amp;($K44*2-1),計算用!$L$2:$L$186,0)),""))</f>
        <v/>
      </c>
      <c r="R44" s="21" t="str">
        <f>IF($K44="","",IFERROR(INDEX(計算用!$D$2:$D$186,MATCH("女白"&amp;($K44*2-0),計算用!$L$2:$L$186,0)),""))</f>
        <v/>
      </c>
      <c r="S44" s="20" t="str">
        <f>IF($K44="","",IFERROR(INDEX(計算用!$M$2:$M$186,MATCH("女白"&amp;($K44*2-0),計算用!$L$2:$L$186,0)),""))</f>
        <v/>
      </c>
    </row>
    <row r="45" spans="1:19" x14ac:dyDescent="0.15">
      <c r="A45" s="20" t="str">
        <f>IF(ROW()-3&lt;=ROUNDUP(MAX(計算用!$Q$2,計算用!$Q$3)/2,0),ROW()-3,"")</f>
        <v/>
      </c>
      <c r="B45" s="21" t="str">
        <f>IF($A45="","",IFERROR(INDEX(計算用!$D$2:$D$186,MATCH("男赤"&amp;($A45*2-1),計算用!$L$2:$L$186,0)),""))</f>
        <v/>
      </c>
      <c r="C45" s="20" t="str">
        <f>IF($A45="","",IFERROR(INDEX(計算用!$M$2:$M$186,MATCH("男赤"&amp;($A45*2-1),計算用!$L$2:$L$186,0)),""))</f>
        <v/>
      </c>
      <c r="D45" s="21" t="str">
        <f>IF($A45="","",IFERROR(INDEX(計算用!$D$2:$D$186,MATCH("男赤"&amp;($A45*2-0),計算用!$L$2:$L$186,0)),""))</f>
        <v/>
      </c>
      <c r="E45" s="20" t="str">
        <f>IF($A45="","",IFERROR(INDEX(計算用!$M$2:$M$186,MATCH("男赤"&amp;($A45*2-0),計算用!$L$2:$L$186,0)),""))</f>
        <v/>
      </c>
      <c r="F45" s="21" t="str">
        <f>IF($A45="","",IFERROR(INDEX(計算用!$D$2:$D$186,MATCH("男白"&amp;($A45*2-1),計算用!$L$2:$L$186,0)),""))</f>
        <v/>
      </c>
      <c r="G45" s="20" t="str">
        <f>IF($A45="","",IFERROR(INDEX(計算用!$M$2:$M$186,MATCH("男白"&amp;($A45*2-1),計算用!$L$2:$L$186,0)),""))</f>
        <v/>
      </c>
      <c r="H45" s="21" t="str">
        <f>IF($A45="","",IFERROR(INDEX(計算用!$D$2:$D$186,MATCH("男白"&amp;($A45*2-0),計算用!$L$2:$L$186,0)),""))</f>
        <v/>
      </c>
      <c r="I45" s="20" t="str">
        <f>IF($A45="","",IFERROR(INDEX(計算用!$M$2:$M$186,MATCH("男白"&amp;($A45*2-0),計算用!$L$2:$L$186,0)),""))</f>
        <v/>
      </c>
      <c r="K45" s="20" t="str">
        <f>IF(ROW()-3&lt;=ROUNDUP(MAX(計算用!$Q$4,計算用!$Q$5)/2,0),ROW()-3,"")</f>
        <v/>
      </c>
      <c r="L45" s="21" t="str">
        <f>IF($K45="","",IFERROR(INDEX(計算用!$D$2:$D$186,MATCH("女赤"&amp;($K45*2-1),計算用!$L$2:$L$186,0)),""))</f>
        <v/>
      </c>
      <c r="M45" s="20" t="str">
        <f>IF($K45="","",IFERROR(INDEX(計算用!$M$2:$M$186,MATCH("女赤"&amp;($K45*2-1),計算用!$L$2:$L$186,0)),""))</f>
        <v/>
      </c>
      <c r="N45" s="21" t="str">
        <f>IF($K45="","",IFERROR(INDEX(計算用!$D$2:$D$186,MATCH("女赤"&amp;($K45*2-0),計算用!$L$2:$L$186,0)),""))</f>
        <v/>
      </c>
      <c r="O45" s="20" t="str">
        <f>IF($K45="","",IFERROR(INDEX(計算用!$M$2:$M$186,MATCH("女赤"&amp;($K45*2-0),計算用!$L$2:$L$186,0)),""))</f>
        <v/>
      </c>
      <c r="P45" s="21" t="str">
        <f>IF($K45="","",IFERROR(INDEX(計算用!$D$2:$D$186,MATCH("女白"&amp;($K45*2-1),計算用!$L$2:$L$186,0)),""))</f>
        <v/>
      </c>
      <c r="Q45" s="20" t="str">
        <f>IF($K45="","",IFERROR(INDEX(計算用!$M$2:$M$186,MATCH("女白"&amp;($K45*2-1),計算用!$L$2:$L$186,0)),""))</f>
        <v/>
      </c>
      <c r="R45" s="21" t="str">
        <f>IF($K45="","",IFERROR(INDEX(計算用!$D$2:$D$186,MATCH("女白"&amp;($K45*2-0),計算用!$L$2:$L$186,0)),""))</f>
        <v/>
      </c>
      <c r="S45" s="20" t="str">
        <f>IF($K45="","",IFERROR(INDEX(計算用!$M$2:$M$186,MATCH("女白"&amp;($K45*2-0),計算用!$L$2:$L$186,0)),""))</f>
        <v/>
      </c>
    </row>
    <row r="46" spans="1:19" x14ac:dyDescent="0.15">
      <c r="A46" s="20" t="str">
        <f>IF(ROW()-3&lt;=ROUNDUP(MAX(計算用!$Q$2,計算用!$Q$3)/2,0),ROW()-3,"")</f>
        <v/>
      </c>
      <c r="B46" s="21" t="str">
        <f>IF($A46="","",IFERROR(INDEX(計算用!$D$2:$D$186,MATCH("男赤"&amp;($A46*2-1),計算用!$L$2:$L$186,0)),""))</f>
        <v/>
      </c>
      <c r="C46" s="20" t="str">
        <f>IF($A46="","",IFERROR(INDEX(計算用!$M$2:$M$186,MATCH("男赤"&amp;($A46*2-1),計算用!$L$2:$L$186,0)),""))</f>
        <v/>
      </c>
      <c r="D46" s="21" t="str">
        <f>IF($A46="","",IFERROR(INDEX(計算用!$D$2:$D$186,MATCH("男赤"&amp;($A46*2-0),計算用!$L$2:$L$186,0)),""))</f>
        <v/>
      </c>
      <c r="E46" s="20" t="str">
        <f>IF($A46="","",IFERROR(INDEX(計算用!$M$2:$M$186,MATCH("男赤"&amp;($A46*2-0),計算用!$L$2:$L$186,0)),""))</f>
        <v/>
      </c>
      <c r="F46" s="21" t="str">
        <f>IF($A46="","",IFERROR(INDEX(計算用!$D$2:$D$186,MATCH("男白"&amp;($A46*2-1),計算用!$L$2:$L$186,0)),""))</f>
        <v/>
      </c>
      <c r="G46" s="20" t="str">
        <f>IF($A46="","",IFERROR(INDEX(計算用!$M$2:$M$186,MATCH("男白"&amp;($A46*2-1),計算用!$L$2:$L$186,0)),""))</f>
        <v/>
      </c>
      <c r="H46" s="21" t="str">
        <f>IF($A46="","",IFERROR(INDEX(計算用!$D$2:$D$186,MATCH("男白"&amp;($A46*2-0),計算用!$L$2:$L$186,0)),""))</f>
        <v/>
      </c>
      <c r="I46" s="20" t="str">
        <f>IF($A46="","",IFERROR(INDEX(計算用!$M$2:$M$186,MATCH("男白"&amp;($A46*2-0),計算用!$L$2:$L$186,0)),""))</f>
        <v/>
      </c>
      <c r="K46" s="20" t="str">
        <f>IF(ROW()-3&lt;=ROUNDUP(MAX(計算用!$Q$4,計算用!$Q$5)/2,0),ROW()-3,"")</f>
        <v/>
      </c>
      <c r="L46" s="21" t="str">
        <f>IF($K46="","",IFERROR(INDEX(計算用!$D$2:$D$186,MATCH("女赤"&amp;($K46*2-1),計算用!$L$2:$L$186,0)),""))</f>
        <v/>
      </c>
      <c r="M46" s="20" t="str">
        <f>IF($K46="","",IFERROR(INDEX(計算用!$M$2:$M$186,MATCH("女赤"&amp;($K46*2-1),計算用!$L$2:$L$186,0)),""))</f>
        <v/>
      </c>
      <c r="N46" s="21" t="str">
        <f>IF($K46="","",IFERROR(INDEX(計算用!$D$2:$D$186,MATCH("女赤"&amp;($K46*2-0),計算用!$L$2:$L$186,0)),""))</f>
        <v/>
      </c>
      <c r="O46" s="20" t="str">
        <f>IF($K46="","",IFERROR(INDEX(計算用!$M$2:$M$186,MATCH("女赤"&amp;($K46*2-0),計算用!$L$2:$L$186,0)),""))</f>
        <v/>
      </c>
      <c r="P46" s="21" t="str">
        <f>IF($K46="","",IFERROR(INDEX(計算用!$D$2:$D$186,MATCH("女白"&amp;($K46*2-1),計算用!$L$2:$L$186,0)),""))</f>
        <v/>
      </c>
      <c r="Q46" s="20" t="str">
        <f>IF($K46="","",IFERROR(INDEX(計算用!$M$2:$M$186,MATCH("女白"&amp;($K46*2-1),計算用!$L$2:$L$186,0)),""))</f>
        <v/>
      </c>
      <c r="R46" s="21" t="str">
        <f>IF($K46="","",IFERROR(INDEX(計算用!$D$2:$D$186,MATCH("女白"&amp;($K46*2-0),計算用!$L$2:$L$186,0)),""))</f>
        <v/>
      </c>
      <c r="S46" s="20" t="str">
        <f>IF($K46="","",IFERROR(INDEX(計算用!$M$2:$M$186,MATCH("女白"&amp;($K46*2-0),計算用!$L$2:$L$186,0)),""))</f>
        <v/>
      </c>
    </row>
    <row r="47" spans="1:19" x14ac:dyDescent="0.15">
      <c r="A47" s="20" t="str">
        <f>IF(ROW()-3&lt;=ROUNDUP(MAX(計算用!$Q$2,計算用!$Q$3)/2,0),ROW()-3,"")</f>
        <v/>
      </c>
      <c r="B47" s="21" t="str">
        <f>IF($A47="","",IFERROR(INDEX(計算用!$D$2:$D$186,MATCH("男赤"&amp;($A47*2-1),計算用!$L$2:$L$186,0)),""))</f>
        <v/>
      </c>
      <c r="C47" s="20" t="str">
        <f>IF($A47="","",IFERROR(INDEX(計算用!$M$2:$M$186,MATCH("男赤"&amp;($A47*2-1),計算用!$L$2:$L$186,0)),""))</f>
        <v/>
      </c>
      <c r="D47" s="21" t="str">
        <f>IF($A47="","",IFERROR(INDEX(計算用!$D$2:$D$186,MATCH("男赤"&amp;($A47*2-0),計算用!$L$2:$L$186,0)),""))</f>
        <v/>
      </c>
      <c r="E47" s="20" t="str">
        <f>IF($A47="","",IFERROR(INDEX(計算用!$M$2:$M$186,MATCH("男赤"&amp;($A47*2-0),計算用!$L$2:$L$186,0)),""))</f>
        <v/>
      </c>
      <c r="F47" s="21" t="str">
        <f>IF($A47="","",IFERROR(INDEX(計算用!$D$2:$D$186,MATCH("男白"&amp;($A47*2-1),計算用!$L$2:$L$186,0)),""))</f>
        <v/>
      </c>
      <c r="G47" s="20" t="str">
        <f>IF($A47="","",IFERROR(INDEX(計算用!$M$2:$M$186,MATCH("男白"&amp;($A47*2-1),計算用!$L$2:$L$186,0)),""))</f>
        <v/>
      </c>
      <c r="H47" s="21" t="str">
        <f>IF($A47="","",IFERROR(INDEX(計算用!$D$2:$D$186,MATCH("男白"&amp;($A47*2-0),計算用!$L$2:$L$186,0)),""))</f>
        <v/>
      </c>
      <c r="I47" s="20" t="str">
        <f>IF($A47="","",IFERROR(INDEX(計算用!$M$2:$M$186,MATCH("男白"&amp;($A47*2-0),計算用!$L$2:$L$186,0)),""))</f>
        <v/>
      </c>
      <c r="K47" s="20" t="str">
        <f>IF(ROW()-3&lt;=ROUNDUP(MAX(計算用!$Q$4,計算用!$Q$5)/2,0),ROW()-3,"")</f>
        <v/>
      </c>
      <c r="L47" s="21" t="str">
        <f>IF($K47="","",IFERROR(INDEX(計算用!$D$2:$D$186,MATCH("女赤"&amp;($K47*2-1),計算用!$L$2:$L$186,0)),""))</f>
        <v/>
      </c>
      <c r="M47" s="20" t="str">
        <f>IF($K47="","",IFERROR(INDEX(計算用!$M$2:$M$186,MATCH("女赤"&amp;($K47*2-1),計算用!$L$2:$L$186,0)),""))</f>
        <v/>
      </c>
      <c r="N47" s="21" t="str">
        <f>IF($K47="","",IFERROR(INDEX(計算用!$D$2:$D$186,MATCH("女赤"&amp;($K47*2-0),計算用!$L$2:$L$186,0)),""))</f>
        <v/>
      </c>
      <c r="O47" s="20" t="str">
        <f>IF($K47="","",IFERROR(INDEX(計算用!$M$2:$M$186,MATCH("女赤"&amp;($K47*2-0),計算用!$L$2:$L$186,0)),""))</f>
        <v/>
      </c>
      <c r="P47" s="21" t="str">
        <f>IF($K47="","",IFERROR(INDEX(計算用!$D$2:$D$186,MATCH("女白"&amp;($K47*2-1),計算用!$L$2:$L$186,0)),""))</f>
        <v/>
      </c>
      <c r="Q47" s="20" t="str">
        <f>IF($K47="","",IFERROR(INDEX(計算用!$M$2:$M$186,MATCH("女白"&amp;($K47*2-1),計算用!$L$2:$L$186,0)),""))</f>
        <v/>
      </c>
      <c r="R47" s="21" t="str">
        <f>IF($K47="","",IFERROR(INDEX(計算用!$D$2:$D$186,MATCH("女白"&amp;($K47*2-0),計算用!$L$2:$L$186,0)),""))</f>
        <v/>
      </c>
      <c r="S47" s="20" t="str">
        <f>IF($K47="","",IFERROR(INDEX(計算用!$M$2:$M$186,MATCH("女白"&amp;($K47*2-0),計算用!$L$2:$L$186,0)),""))</f>
        <v/>
      </c>
    </row>
    <row r="48" spans="1:19" x14ac:dyDescent="0.15">
      <c r="A48" s="20" t="str">
        <f>IF(ROW()-3&lt;=ROUNDUP(MAX(計算用!$Q$2,計算用!$Q$3)/2,0),ROW()-3,"")</f>
        <v/>
      </c>
      <c r="B48" s="21" t="str">
        <f>IF($A48="","",IFERROR(INDEX(計算用!$D$2:$D$186,MATCH("男赤"&amp;($A48*2-1),計算用!$L$2:$L$186,0)),""))</f>
        <v/>
      </c>
      <c r="C48" s="20" t="str">
        <f>IF($A48="","",IFERROR(INDEX(計算用!$M$2:$M$186,MATCH("男赤"&amp;($A48*2-1),計算用!$L$2:$L$186,0)),""))</f>
        <v/>
      </c>
      <c r="D48" s="21" t="str">
        <f>IF($A48="","",IFERROR(INDEX(計算用!$D$2:$D$186,MATCH("男赤"&amp;($A48*2-0),計算用!$L$2:$L$186,0)),""))</f>
        <v/>
      </c>
      <c r="E48" s="20" t="str">
        <f>IF($A48="","",IFERROR(INDEX(計算用!$M$2:$M$186,MATCH("男赤"&amp;($A48*2-0),計算用!$L$2:$L$186,0)),""))</f>
        <v/>
      </c>
      <c r="F48" s="21" t="str">
        <f>IF($A48="","",IFERROR(INDEX(計算用!$D$2:$D$186,MATCH("男白"&amp;($A48*2-1),計算用!$L$2:$L$186,0)),""))</f>
        <v/>
      </c>
      <c r="G48" s="20" t="str">
        <f>IF($A48="","",IFERROR(INDEX(計算用!$M$2:$M$186,MATCH("男白"&amp;($A48*2-1),計算用!$L$2:$L$186,0)),""))</f>
        <v/>
      </c>
      <c r="H48" s="21" t="str">
        <f>IF($A48="","",IFERROR(INDEX(計算用!$D$2:$D$186,MATCH("男白"&amp;($A48*2-0),計算用!$L$2:$L$186,0)),""))</f>
        <v/>
      </c>
      <c r="I48" s="20" t="str">
        <f>IF($A48="","",IFERROR(INDEX(計算用!$M$2:$M$186,MATCH("男白"&amp;($A48*2-0),計算用!$L$2:$L$186,0)),""))</f>
        <v/>
      </c>
      <c r="K48" s="20" t="str">
        <f>IF(ROW()-3&lt;=ROUNDUP(MAX(計算用!$Q$4,計算用!$Q$5)/2,0),ROW()-3,"")</f>
        <v/>
      </c>
      <c r="L48" s="21" t="str">
        <f>IF($K48="","",IFERROR(INDEX(計算用!$D$2:$D$186,MATCH("女赤"&amp;($K48*2-1),計算用!$L$2:$L$186,0)),""))</f>
        <v/>
      </c>
      <c r="M48" s="20" t="str">
        <f>IF($K48="","",IFERROR(INDEX(計算用!$M$2:$M$186,MATCH("女赤"&amp;($K48*2-1),計算用!$L$2:$L$186,0)),""))</f>
        <v/>
      </c>
      <c r="N48" s="21" t="str">
        <f>IF($K48="","",IFERROR(INDEX(計算用!$D$2:$D$186,MATCH("女赤"&amp;($K48*2-0),計算用!$L$2:$L$186,0)),""))</f>
        <v/>
      </c>
      <c r="O48" s="20" t="str">
        <f>IF($K48="","",IFERROR(INDEX(計算用!$M$2:$M$186,MATCH("女赤"&amp;($K48*2-0),計算用!$L$2:$L$186,0)),""))</f>
        <v/>
      </c>
      <c r="P48" s="21" t="str">
        <f>IF($K48="","",IFERROR(INDEX(計算用!$D$2:$D$186,MATCH("女白"&amp;($K48*2-1),計算用!$L$2:$L$186,0)),""))</f>
        <v/>
      </c>
      <c r="Q48" s="20" t="str">
        <f>IF($K48="","",IFERROR(INDEX(計算用!$M$2:$M$186,MATCH("女白"&amp;($K48*2-1),計算用!$L$2:$L$186,0)),""))</f>
        <v/>
      </c>
      <c r="R48" s="21" t="str">
        <f>IF($K48="","",IFERROR(INDEX(計算用!$D$2:$D$186,MATCH("女白"&amp;($K48*2-0),計算用!$L$2:$L$186,0)),""))</f>
        <v/>
      </c>
      <c r="S48" s="20" t="str">
        <f>IF($K48="","",IFERROR(INDEX(計算用!$M$2:$M$186,MATCH("女白"&amp;($K48*2-0),計算用!$L$2:$L$186,0)),""))</f>
        <v/>
      </c>
    </row>
    <row r="49" spans="1:19" x14ac:dyDescent="0.15">
      <c r="A49" s="20" t="str">
        <f>IF(ROW()-3&lt;=ROUNDUP(MAX(計算用!$Q$2,計算用!$Q$3)/2,0),ROW()-3,"")</f>
        <v/>
      </c>
      <c r="B49" s="21" t="str">
        <f>IF($A49="","",IFERROR(INDEX(計算用!$D$2:$D$186,MATCH("男赤"&amp;($A49*2-1),計算用!$L$2:$L$186,0)),""))</f>
        <v/>
      </c>
      <c r="C49" s="20" t="str">
        <f>IF($A49="","",IFERROR(INDEX(計算用!$M$2:$M$186,MATCH("男赤"&amp;($A49*2-1),計算用!$L$2:$L$186,0)),""))</f>
        <v/>
      </c>
      <c r="D49" s="21" t="str">
        <f>IF($A49="","",IFERROR(INDEX(計算用!$D$2:$D$186,MATCH("男赤"&amp;($A49*2-0),計算用!$L$2:$L$186,0)),""))</f>
        <v/>
      </c>
      <c r="E49" s="20" t="str">
        <f>IF($A49="","",IFERROR(INDEX(計算用!$M$2:$M$186,MATCH("男赤"&amp;($A49*2-0),計算用!$L$2:$L$186,0)),""))</f>
        <v/>
      </c>
      <c r="F49" s="21" t="str">
        <f>IF($A49="","",IFERROR(INDEX(計算用!$D$2:$D$186,MATCH("男白"&amp;($A49*2-1),計算用!$L$2:$L$186,0)),""))</f>
        <v/>
      </c>
      <c r="G49" s="20" t="str">
        <f>IF($A49="","",IFERROR(INDEX(計算用!$M$2:$M$186,MATCH("男白"&amp;($A49*2-1),計算用!$L$2:$L$186,0)),""))</f>
        <v/>
      </c>
      <c r="H49" s="21" t="str">
        <f>IF($A49="","",IFERROR(INDEX(計算用!$D$2:$D$186,MATCH("男白"&amp;($A49*2-0),計算用!$L$2:$L$186,0)),""))</f>
        <v/>
      </c>
      <c r="I49" s="20" t="str">
        <f>IF($A49="","",IFERROR(INDEX(計算用!$M$2:$M$186,MATCH("男白"&amp;($A49*2-0),計算用!$L$2:$L$186,0)),""))</f>
        <v/>
      </c>
      <c r="K49" s="20" t="str">
        <f>IF(ROW()-3&lt;=ROUNDUP(MAX(計算用!$Q$4,計算用!$Q$5)/2,0),ROW()-3,"")</f>
        <v/>
      </c>
      <c r="L49" s="21" t="str">
        <f>IF($K49="","",IFERROR(INDEX(計算用!$D$2:$D$186,MATCH("女赤"&amp;($K49*2-1),計算用!$L$2:$L$186,0)),""))</f>
        <v/>
      </c>
      <c r="M49" s="20" t="str">
        <f>IF($K49="","",IFERROR(INDEX(計算用!$M$2:$M$186,MATCH("女赤"&amp;($K49*2-1),計算用!$L$2:$L$186,0)),""))</f>
        <v/>
      </c>
      <c r="N49" s="21" t="str">
        <f>IF($K49="","",IFERROR(INDEX(計算用!$D$2:$D$186,MATCH("女赤"&amp;($K49*2-0),計算用!$L$2:$L$186,0)),""))</f>
        <v/>
      </c>
      <c r="O49" s="20" t="str">
        <f>IF($K49="","",IFERROR(INDEX(計算用!$M$2:$M$186,MATCH("女赤"&amp;($K49*2-0),計算用!$L$2:$L$186,0)),""))</f>
        <v/>
      </c>
      <c r="P49" s="21" t="str">
        <f>IF($K49="","",IFERROR(INDEX(計算用!$D$2:$D$186,MATCH("女白"&amp;($K49*2-1),計算用!$L$2:$L$186,0)),""))</f>
        <v/>
      </c>
      <c r="Q49" s="20" t="str">
        <f>IF($K49="","",IFERROR(INDEX(計算用!$M$2:$M$186,MATCH("女白"&amp;($K49*2-1),計算用!$L$2:$L$186,0)),""))</f>
        <v/>
      </c>
      <c r="R49" s="21" t="str">
        <f>IF($K49="","",IFERROR(INDEX(計算用!$D$2:$D$186,MATCH("女白"&amp;($K49*2-0),計算用!$L$2:$L$186,0)),""))</f>
        <v/>
      </c>
      <c r="S49" s="20" t="str">
        <f>IF($K49="","",IFERROR(INDEX(計算用!$M$2:$M$186,MATCH("女白"&amp;($K49*2-0),計算用!$L$2:$L$186,0)),""))</f>
        <v/>
      </c>
    </row>
    <row r="50" spans="1:19" x14ac:dyDescent="0.15">
      <c r="A50" s="20" t="str">
        <f>IF(ROW()-3&lt;=ROUNDUP(MAX(計算用!$Q$2,計算用!$Q$3)/2,0),ROW()-3,"")</f>
        <v/>
      </c>
      <c r="B50" s="21" t="str">
        <f>IF($A50="","",IFERROR(INDEX(計算用!$D$2:$D$186,MATCH("男赤"&amp;($A50*2-1),計算用!$L$2:$L$186,0)),""))</f>
        <v/>
      </c>
      <c r="C50" s="20" t="str">
        <f>IF($A50="","",IFERROR(INDEX(計算用!$M$2:$M$186,MATCH("男赤"&amp;($A50*2-1),計算用!$L$2:$L$186,0)),""))</f>
        <v/>
      </c>
      <c r="D50" s="21" t="str">
        <f>IF($A50="","",IFERROR(INDEX(計算用!$D$2:$D$186,MATCH("男赤"&amp;($A50*2-0),計算用!$L$2:$L$186,0)),""))</f>
        <v/>
      </c>
      <c r="E50" s="20" t="str">
        <f>IF($A50="","",IFERROR(INDEX(計算用!$M$2:$M$186,MATCH("男赤"&amp;($A50*2-0),計算用!$L$2:$L$186,0)),""))</f>
        <v/>
      </c>
      <c r="F50" s="21" t="str">
        <f>IF($A50="","",IFERROR(INDEX(計算用!$D$2:$D$186,MATCH("男白"&amp;($A50*2-1),計算用!$L$2:$L$186,0)),""))</f>
        <v/>
      </c>
      <c r="G50" s="20" t="str">
        <f>IF($A50="","",IFERROR(INDEX(計算用!$M$2:$M$186,MATCH("男白"&amp;($A50*2-1),計算用!$L$2:$L$186,0)),""))</f>
        <v/>
      </c>
      <c r="H50" s="21" t="str">
        <f>IF($A50="","",IFERROR(INDEX(計算用!$D$2:$D$186,MATCH("男白"&amp;($A50*2-0),計算用!$L$2:$L$186,0)),""))</f>
        <v/>
      </c>
      <c r="I50" s="20" t="str">
        <f>IF($A50="","",IFERROR(INDEX(計算用!$M$2:$M$186,MATCH("男白"&amp;($A50*2-0),計算用!$L$2:$L$186,0)),""))</f>
        <v/>
      </c>
      <c r="K50" s="20" t="str">
        <f>IF(ROW()-3&lt;=ROUNDUP(MAX(計算用!$Q$4,計算用!$Q$5)/2,0),ROW()-3,"")</f>
        <v/>
      </c>
      <c r="L50" s="21" t="str">
        <f>IF($K50="","",IFERROR(INDEX(計算用!$D$2:$D$186,MATCH("女赤"&amp;($K50*2-1),計算用!$L$2:$L$186,0)),""))</f>
        <v/>
      </c>
      <c r="M50" s="20" t="str">
        <f>IF($K50="","",IFERROR(INDEX(計算用!$M$2:$M$186,MATCH("女赤"&amp;($K50*2-1),計算用!$L$2:$L$186,0)),""))</f>
        <v/>
      </c>
      <c r="N50" s="21" t="str">
        <f>IF($K50="","",IFERROR(INDEX(計算用!$D$2:$D$186,MATCH("女赤"&amp;($K50*2-0),計算用!$L$2:$L$186,0)),""))</f>
        <v/>
      </c>
      <c r="O50" s="20" t="str">
        <f>IF($K50="","",IFERROR(INDEX(計算用!$M$2:$M$186,MATCH("女赤"&amp;($K50*2-0),計算用!$L$2:$L$186,0)),""))</f>
        <v/>
      </c>
      <c r="P50" s="21" t="str">
        <f>IF($K50="","",IFERROR(INDEX(計算用!$D$2:$D$186,MATCH("女白"&amp;($K50*2-1),計算用!$L$2:$L$186,0)),""))</f>
        <v/>
      </c>
      <c r="Q50" s="20" t="str">
        <f>IF($K50="","",IFERROR(INDEX(計算用!$M$2:$M$186,MATCH("女白"&amp;($K50*2-1),計算用!$L$2:$L$186,0)),""))</f>
        <v/>
      </c>
      <c r="R50" s="21" t="str">
        <f>IF($K50="","",IFERROR(INDEX(計算用!$D$2:$D$186,MATCH("女白"&amp;($K50*2-0),計算用!$L$2:$L$186,0)),""))</f>
        <v/>
      </c>
      <c r="S50" s="20" t="str">
        <f>IF($K50="","",IFERROR(INDEX(計算用!$M$2:$M$186,MATCH("女白"&amp;($K50*2-0),計算用!$L$2:$L$186,0)),""))</f>
        <v/>
      </c>
    </row>
    <row r="51" spans="1:19" x14ac:dyDescent="0.15">
      <c r="A51" s="20" t="str">
        <f>IF(ROW()-3&lt;=ROUNDUP(MAX(計算用!$Q$2,計算用!$Q$3)/2,0),ROW()-3,"")</f>
        <v/>
      </c>
      <c r="B51" s="21" t="str">
        <f>IF($A51="","",IFERROR(INDEX(計算用!$D$2:$D$186,MATCH("男赤"&amp;($A51*2-1),計算用!$L$2:$L$186,0)),""))</f>
        <v/>
      </c>
      <c r="C51" s="20" t="str">
        <f>IF($A51="","",IFERROR(INDEX(計算用!$M$2:$M$186,MATCH("男赤"&amp;($A51*2-1),計算用!$L$2:$L$186,0)),""))</f>
        <v/>
      </c>
      <c r="D51" s="21" t="str">
        <f>IF($A51="","",IFERROR(INDEX(計算用!$D$2:$D$186,MATCH("男赤"&amp;($A51*2-0),計算用!$L$2:$L$186,0)),""))</f>
        <v/>
      </c>
      <c r="E51" s="20" t="str">
        <f>IF($A51="","",IFERROR(INDEX(計算用!$M$2:$M$186,MATCH("男赤"&amp;($A51*2-0),計算用!$L$2:$L$186,0)),""))</f>
        <v/>
      </c>
      <c r="F51" s="21" t="str">
        <f>IF($A51="","",IFERROR(INDEX(計算用!$D$2:$D$186,MATCH("男白"&amp;($A51*2-1),計算用!$L$2:$L$186,0)),""))</f>
        <v/>
      </c>
      <c r="G51" s="20" t="str">
        <f>IF($A51="","",IFERROR(INDEX(計算用!$M$2:$M$186,MATCH("男白"&amp;($A51*2-1),計算用!$L$2:$L$186,0)),""))</f>
        <v/>
      </c>
      <c r="H51" s="21" t="str">
        <f>IF($A51="","",IFERROR(INDEX(計算用!$D$2:$D$186,MATCH("男白"&amp;($A51*2-0),計算用!$L$2:$L$186,0)),""))</f>
        <v/>
      </c>
      <c r="I51" s="20" t="str">
        <f>IF($A51="","",IFERROR(INDEX(計算用!$M$2:$M$186,MATCH("男白"&amp;($A51*2-0),計算用!$L$2:$L$186,0)),""))</f>
        <v/>
      </c>
      <c r="K51" s="20" t="str">
        <f>IF(ROW()-3&lt;=ROUNDUP(MAX(計算用!$Q$4,計算用!$Q$5)/2,0),ROW()-3,"")</f>
        <v/>
      </c>
      <c r="L51" s="21" t="str">
        <f>IF($K51="","",IFERROR(INDEX(計算用!$D$2:$D$186,MATCH("女赤"&amp;($K51*2-1),計算用!$L$2:$L$186,0)),""))</f>
        <v/>
      </c>
      <c r="M51" s="20" t="str">
        <f>IF($K51="","",IFERROR(INDEX(計算用!$M$2:$M$186,MATCH("女赤"&amp;($K51*2-1),計算用!$L$2:$L$186,0)),""))</f>
        <v/>
      </c>
      <c r="N51" s="21" t="str">
        <f>IF($K51="","",IFERROR(INDEX(計算用!$D$2:$D$186,MATCH("女赤"&amp;($K51*2-0),計算用!$L$2:$L$186,0)),""))</f>
        <v/>
      </c>
      <c r="O51" s="20" t="str">
        <f>IF($K51="","",IFERROR(INDEX(計算用!$M$2:$M$186,MATCH("女赤"&amp;($K51*2-0),計算用!$L$2:$L$186,0)),""))</f>
        <v/>
      </c>
      <c r="P51" s="21" t="str">
        <f>IF($K51="","",IFERROR(INDEX(計算用!$D$2:$D$186,MATCH("女白"&amp;($K51*2-1),計算用!$L$2:$L$186,0)),""))</f>
        <v/>
      </c>
      <c r="Q51" s="20" t="str">
        <f>IF($K51="","",IFERROR(INDEX(計算用!$M$2:$M$186,MATCH("女白"&amp;($K51*2-1),計算用!$L$2:$L$186,0)),""))</f>
        <v/>
      </c>
      <c r="R51" s="21" t="str">
        <f>IF($K51="","",IFERROR(INDEX(計算用!$D$2:$D$186,MATCH("女白"&amp;($K51*2-0),計算用!$L$2:$L$186,0)),""))</f>
        <v/>
      </c>
      <c r="S51" s="20" t="str">
        <f>IF($K51="","",IFERROR(INDEX(計算用!$M$2:$M$186,MATCH("女白"&amp;($K51*2-0),計算用!$L$2:$L$186,0)),""))</f>
        <v/>
      </c>
    </row>
    <row r="52" spans="1:19" x14ac:dyDescent="0.15">
      <c r="A52" s="20" t="str">
        <f>IF(ROW()-3&lt;=ROUNDUP(MAX(計算用!$Q$2,計算用!$Q$3)/2,0),ROW()-3,"")</f>
        <v/>
      </c>
      <c r="B52" s="21" t="str">
        <f>IF($A52="","",IFERROR(INDEX(計算用!$D$2:$D$186,MATCH("男赤"&amp;($A52*2-1),計算用!$L$2:$L$186,0)),""))</f>
        <v/>
      </c>
      <c r="C52" s="20" t="str">
        <f>IF($A52="","",IFERROR(INDEX(計算用!$M$2:$M$186,MATCH("男赤"&amp;($A52*2-1),計算用!$L$2:$L$186,0)),""))</f>
        <v/>
      </c>
      <c r="D52" s="21" t="str">
        <f>IF($A52="","",IFERROR(INDEX(計算用!$D$2:$D$186,MATCH("男赤"&amp;($A52*2-0),計算用!$L$2:$L$186,0)),""))</f>
        <v/>
      </c>
      <c r="E52" s="20" t="str">
        <f>IF($A52="","",IFERROR(INDEX(計算用!$M$2:$M$186,MATCH("男赤"&amp;($A52*2-0),計算用!$L$2:$L$186,0)),""))</f>
        <v/>
      </c>
      <c r="F52" s="21" t="str">
        <f>IF($A52="","",IFERROR(INDEX(計算用!$D$2:$D$186,MATCH("男白"&amp;($A52*2-1),計算用!$L$2:$L$186,0)),""))</f>
        <v/>
      </c>
      <c r="G52" s="20" t="str">
        <f>IF($A52="","",IFERROR(INDEX(計算用!$M$2:$M$186,MATCH("男白"&amp;($A52*2-1),計算用!$L$2:$L$186,0)),""))</f>
        <v/>
      </c>
      <c r="H52" s="21" t="str">
        <f>IF($A52="","",IFERROR(INDEX(計算用!$D$2:$D$186,MATCH("男白"&amp;($A52*2-0),計算用!$L$2:$L$186,0)),""))</f>
        <v/>
      </c>
      <c r="I52" s="20" t="str">
        <f>IF($A52="","",IFERROR(INDEX(計算用!$M$2:$M$186,MATCH("男白"&amp;($A52*2-0),計算用!$L$2:$L$186,0)),""))</f>
        <v/>
      </c>
      <c r="K52" s="20" t="str">
        <f>IF(ROW()-3&lt;=ROUNDUP(MAX(計算用!$Q$4,計算用!$Q$5)/2,0),ROW()-3,"")</f>
        <v/>
      </c>
      <c r="L52" s="21" t="str">
        <f>IF($K52="","",IFERROR(INDEX(計算用!$D$2:$D$186,MATCH("女赤"&amp;($K52*2-1),計算用!$L$2:$L$186,0)),""))</f>
        <v/>
      </c>
      <c r="M52" s="20" t="str">
        <f>IF($K52="","",IFERROR(INDEX(計算用!$M$2:$M$186,MATCH("女赤"&amp;($K52*2-1),計算用!$L$2:$L$186,0)),""))</f>
        <v/>
      </c>
      <c r="N52" s="21" t="str">
        <f>IF($K52="","",IFERROR(INDEX(計算用!$D$2:$D$186,MATCH("女赤"&amp;($K52*2-0),計算用!$L$2:$L$186,0)),""))</f>
        <v/>
      </c>
      <c r="O52" s="20" t="str">
        <f>IF($K52="","",IFERROR(INDEX(計算用!$M$2:$M$186,MATCH("女赤"&amp;($K52*2-0),計算用!$L$2:$L$186,0)),""))</f>
        <v/>
      </c>
      <c r="P52" s="21" t="str">
        <f>IF($K52="","",IFERROR(INDEX(計算用!$D$2:$D$186,MATCH("女白"&amp;($K52*2-1),計算用!$L$2:$L$186,0)),""))</f>
        <v/>
      </c>
      <c r="Q52" s="20" t="str">
        <f>IF($K52="","",IFERROR(INDEX(計算用!$M$2:$M$186,MATCH("女白"&amp;($K52*2-1),計算用!$L$2:$L$186,0)),""))</f>
        <v/>
      </c>
      <c r="R52" s="21" t="str">
        <f>IF($K52="","",IFERROR(INDEX(計算用!$D$2:$D$186,MATCH("女白"&amp;($K52*2-0),計算用!$L$2:$L$186,0)),""))</f>
        <v/>
      </c>
      <c r="S52" s="20" t="str">
        <f>IF($K52="","",IFERROR(INDEX(計算用!$M$2:$M$186,MATCH("女白"&amp;($K52*2-0),計算用!$L$2:$L$186,0)),""))</f>
        <v/>
      </c>
    </row>
    <row r="53" spans="1:19" x14ac:dyDescent="0.15">
      <c r="A53" s="20" t="str">
        <f>IF(ROW()-3&lt;=ROUNDUP(MAX(計算用!$Q$2,計算用!$Q$3)/2,0),ROW()-3,"")</f>
        <v/>
      </c>
      <c r="B53" s="21" t="str">
        <f>IF($A53="","",IFERROR(INDEX(計算用!$D$2:$D$186,MATCH("男赤"&amp;($A53*2-1),計算用!$L$2:$L$186,0)),""))</f>
        <v/>
      </c>
      <c r="C53" s="20" t="str">
        <f>IF($A53="","",IFERROR(INDEX(計算用!$M$2:$M$186,MATCH("男赤"&amp;($A53*2-1),計算用!$L$2:$L$186,0)),""))</f>
        <v/>
      </c>
      <c r="D53" s="21" t="str">
        <f>IF($A53="","",IFERROR(INDEX(計算用!$D$2:$D$186,MATCH("男赤"&amp;($A53*2-0),計算用!$L$2:$L$186,0)),""))</f>
        <v/>
      </c>
      <c r="E53" s="20" t="str">
        <f>IF($A53="","",IFERROR(INDEX(計算用!$M$2:$M$186,MATCH("男赤"&amp;($A53*2-0),計算用!$L$2:$L$186,0)),""))</f>
        <v/>
      </c>
      <c r="F53" s="21" t="str">
        <f>IF($A53="","",IFERROR(INDEX(計算用!$D$2:$D$186,MATCH("男白"&amp;($A53*2-1),計算用!$L$2:$L$186,0)),""))</f>
        <v/>
      </c>
      <c r="G53" s="20" t="str">
        <f>IF($A53="","",IFERROR(INDEX(計算用!$M$2:$M$186,MATCH("男白"&amp;($A53*2-1),計算用!$L$2:$L$186,0)),""))</f>
        <v/>
      </c>
      <c r="H53" s="21" t="str">
        <f>IF($A53="","",IFERROR(INDEX(計算用!$D$2:$D$186,MATCH("男白"&amp;($A53*2-0),計算用!$L$2:$L$186,0)),""))</f>
        <v/>
      </c>
      <c r="I53" s="20" t="str">
        <f>IF($A53="","",IFERROR(INDEX(計算用!$M$2:$M$186,MATCH("男白"&amp;($A53*2-0),計算用!$L$2:$L$186,0)),""))</f>
        <v/>
      </c>
      <c r="K53" s="20" t="str">
        <f>IF(ROW()-3&lt;=ROUNDUP(MAX(計算用!$Q$4,計算用!$Q$5)/2,0),ROW()-3,"")</f>
        <v/>
      </c>
      <c r="L53" s="21" t="str">
        <f>IF($K53="","",IFERROR(INDEX(計算用!$D$2:$D$186,MATCH("女赤"&amp;($K53*2-1),計算用!$L$2:$L$186,0)),""))</f>
        <v/>
      </c>
      <c r="M53" s="20" t="str">
        <f>IF($K53="","",IFERROR(INDEX(計算用!$M$2:$M$186,MATCH("女赤"&amp;($K53*2-1),計算用!$L$2:$L$186,0)),""))</f>
        <v/>
      </c>
      <c r="N53" s="21" t="str">
        <f>IF($K53="","",IFERROR(INDEX(計算用!$D$2:$D$186,MATCH("女赤"&amp;($K53*2-0),計算用!$L$2:$L$186,0)),""))</f>
        <v/>
      </c>
      <c r="O53" s="20" t="str">
        <f>IF($K53="","",IFERROR(INDEX(計算用!$M$2:$M$186,MATCH("女赤"&amp;($K53*2-0),計算用!$L$2:$L$186,0)),""))</f>
        <v/>
      </c>
      <c r="P53" s="21" t="str">
        <f>IF($K53="","",IFERROR(INDEX(計算用!$D$2:$D$186,MATCH("女白"&amp;($K53*2-1),計算用!$L$2:$L$186,0)),""))</f>
        <v/>
      </c>
      <c r="Q53" s="20" t="str">
        <f>IF($K53="","",IFERROR(INDEX(計算用!$M$2:$M$186,MATCH("女白"&amp;($K53*2-1),計算用!$L$2:$L$186,0)),""))</f>
        <v/>
      </c>
      <c r="R53" s="21" t="str">
        <f>IF($K53="","",IFERROR(INDEX(計算用!$D$2:$D$186,MATCH("女白"&amp;($K53*2-0),計算用!$L$2:$L$186,0)),""))</f>
        <v/>
      </c>
      <c r="S53" s="20" t="str">
        <f>IF($K53="","",IFERROR(INDEX(計算用!$M$2:$M$186,MATCH("女白"&amp;($K53*2-0),計算用!$L$2:$L$186,0)),""))</f>
        <v/>
      </c>
    </row>
    <row r="54" spans="1:19" x14ac:dyDescent="0.15">
      <c r="A54" s="20" t="str">
        <f>IF(ROW()-3&lt;=ROUNDUP(MAX(計算用!$Q$2,計算用!$Q$3)/2,0),ROW()-3,"")</f>
        <v/>
      </c>
      <c r="B54" s="21" t="str">
        <f>IF($A54="","",IFERROR(INDEX(計算用!$D$2:$D$186,MATCH("男赤"&amp;($A54*2-1),計算用!$L$2:$L$186,0)),""))</f>
        <v/>
      </c>
      <c r="C54" s="20" t="str">
        <f>IF($A54="","",IFERROR(INDEX(計算用!$M$2:$M$186,MATCH("男赤"&amp;($A54*2-1),計算用!$L$2:$L$186,0)),""))</f>
        <v/>
      </c>
      <c r="D54" s="21" t="str">
        <f>IF($A54="","",IFERROR(INDEX(計算用!$D$2:$D$186,MATCH("男赤"&amp;($A54*2-0),計算用!$L$2:$L$186,0)),""))</f>
        <v/>
      </c>
      <c r="E54" s="20" t="str">
        <f>IF($A54="","",IFERROR(INDEX(計算用!$M$2:$M$186,MATCH("男赤"&amp;($A54*2-0),計算用!$L$2:$L$186,0)),""))</f>
        <v/>
      </c>
      <c r="F54" s="21" t="str">
        <f>IF($A54="","",IFERROR(INDEX(計算用!$D$2:$D$186,MATCH("男白"&amp;($A54*2-1),計算用!$L$2:$L$186,0)),""))</f>
        <v/>
      </c>
      <c r="G54" s="20" t="str">
        <f>IF($A54="","",IFERROR(INDEX(計算用!$M$2:$M$186,MATCH("男白"&amp;($A54*2-1),計算用!$L$2:$L$186,0)),""))</f>
        <v/>
      </c>
      <c r="H54" s="21" t="str">
        <f>IF($A54="","",IFERROR(INDEX(計算用!$D$2:$D$186,MATCH("男白"&amp;($A54*2-0),計算用!$L$2:$L$186,0)),""))</f>
        <v/>
      </c>
      <c r="I54" s="20" t="str">
        <f>IF($A54="","",IFERROR(INDEX(計算用!$M$2:$M$186,MATCH("男白"&amp;($A54*2-0),計算用!$L$2:$L$186,0)),""))</f>
        <v/>
      </c>
      <c r="K54" s="20" t="str">
        <f>IF(ROW()-3&lt;=ROUNDUP(MAX(計算用!$Q$4,計算用!$Q$5)/2,0),ROW()-3,"")</f>
        <v/>
      </c>
      <c r="L54" s="21" t="str">
        <f>IF($K54="","",IFERROR(INDEX(計算用!$D$2:$D$186,MATCH("女赤"&amp;($K54*2-1),計算用!$L$2:$L$186,0)),""))</f>
        <v/>
      </c>
      <c r="M54" s="20" t="str">
        <f>IF($K54="","",IFERROR(INDEX(計算用!$M$2:$M$186,MATCH("女赤"&amp;($K54*2-1),計算用!$L$2:$L$186,0)),""))</f>
        <v/>
      </c>
      <c r="N54" s="21" t="str">
        <f>IF($K54="","",IFERROR(INDEX(計算用!$D$2:$D$186,MATCH("女赤"&amp;($K54*2-0),計算用!$L$2:$L$186,0)),""))</f>
        <v/>
      </c>
      <c r="O54" s="20" t="str">
        <f>IF($K54="","",IFERROR(INDEX(計算用!$M$2:$M$186,MATCH("女赤"&amp;($K54*2-0),計算用!$L$2:$L$186,0)),""))</f>
        <v/>
      </c>
      <c r="P54" s="21" t="str">
        <f>IF($K54="","",IFERROR(INDEX(計算用!$D$2:$D$186,MATCH("女白"&amp;($K54*2-1),計算用!$L$2:$L$186,0)),""))</f>
        <v/>
      </c>
      <c r="Q54" s="20" t="str">
        <f>IF($K54="","",IFERROR(INDEX(計算用!$M$2:$M$186,MATCH("女白"&amp;($K54*2-1),計算用!$L$2:$L$186,0)),""))</f>
        <v/>
      </c>
      <c r="R54" s="21" t="str">
        <f>IF($K54="","",IFERROR(INDEX(計算用!$D$2:$D$186,MATCH("女白"&amp;($K54*2-0),計算用!$L$2:$L$186,0)),""))</f>
        <v/>
      </c>
      <c r="S54" s="20" t="str">
        <f>IF($K54="","",IFERROR(INDEX(計算用!$M$2:$M$186,MATCH("女白"&amp;($K54*2-0),計算用!$L$2:$L$186,0)),""))</f>
        <v/>
      </c>
    </row>
    <row r="55" spans="1:19" x14ac:dyDescent="0.15">
      <c r="A55" s="20" t="str">
        <f>IF(ROW()-3&lt;=ROUNDUP(MAX(計算用!$Q$2,計算用!$Q$3)/2,0),ROW()-3,"")</f>
        <v/>
      </c>
      <c r="B55" s="21" t="str">
        <f>IF($A55="","",IFERROR(INDEX(計算用!$D$2:$D$186,MATCH("男赤"&amp;($A55*2-1),計算用!$L$2:$L$186,0)),""))</f>
        <v/>
      </c>
      <c r="C55" s="20" t="str">
        <f>IF($A55="","",IFERROR(INDEX(計算用!$M$2:$M$186,MATCH("男赤"&amp;($A55*2-1),計算用!$L$2:$L$186,0)),""))</f>
        <v/>
      </c>
      <c r="D55" s="21" t="str">
        <f>IF($A55="","",IFERROR(INDEX(計算用!$D$2:$D$186,MATCH("男赤"&amp;($A55*2-0),計算用!$L$2:$L$186,0)),""))</f>
        <v/>
      </c>
      <c r="E55" s="20" t="str">
        <f>IF($A55="","",IFERROR(INDEX(計算用!$M$2:$M$186,MATCH("男赤"&amp;($A55*2-0),計算用!$L$2:$L$186,0)),""))</f>
        <v/>
      </c>
      <c r="F55" s="21" t="str">
        <f>IF($A55="","",IFERROR(INDEX(計算用!$D$2:$D$186,MATCH("男白"&amp;($A55*2-1),計算用!$L$2:$L$186,0)),""))</f>
        <v/>
      </c>
      <c r="G55" s="20" t="str">
        <f>IF($A55="","",IFERROR(INDEX(計算用!$M$2:$M$186,MATCH("男白"&amp;($A55*2-1),計算用!$L$2:$L$186,0)),""))</f>
        <v/>
      </c>
      <c r="H55" s="21" t="str">
        <f>IF($A55="","",IFERROR(INDEX(計算用!$D$2:$D$186,MATCH("男白"&amp;($A55*2-0),計算用!$L$2:$L$186,0)),""))</f>
        <v/>
      </c>
      <c r="I55" s="20" t="str">
        <f>IF($A55="","",IFERROR(INDEX(計算用!$M$2:$M$186,MATCH("男白"&amp;($A55*2-0),計算用!$L$2:$L$186,0)),""))</f>
        <v/>
      </c>
      <c r="K55" s="20" t="str">
        <f>IF(ROW()-3&lt;=ROUNDUP(MAX(計算用!$Q$4,計算用!$Q$5)/2,0),ROW()-3,"")</f>
        <v/>
      </c>
      <c r="L55" s="21" t="str">
        <f>IF($K55="","",IFERROR(INDEX(計算用!$D$2:$D$186,MATCH("女赤"&amp;($K55*2-1),計算用!$L$2:$L$186,0)),""))</f>
        <v/>
      </c>
      <c r="M55" s="20" t="str">
        <f>IF($K55="","",IFERROR(INDEX(計算用!$M$2:$M$186,MATCH("女赤"&amp;($K55*2-1),計算用!$L$2:$L$186,0)),""))</f>
        <v/>
      </c>
      <c r="N55" s="21" t="str">
        <f>IF($K55="","",IFERROR(INDEX(計算用!$D$2:$D$186,MATCH("女赤"&amp;($K55*2-0),計算用!$L$2:$L$186,0)),""))</f>
        <v/>
      </c>
      <c r="O55" s="20" t="str">
        <f>IF($K55="","",IFERROR(INDEX(計算用!$M$2:$M$186,MATCH("女赤"&amp;($K55*2-0),計算用!$L$2:$L$186,0)),""))</f>
        <v/>
      </c>
      <c r="P55" s="21" t="str">
        <f>IF($K55="","",IFERROR(INDEX(計算用!$D$2:$D$186,MATCH("女白"&amp;($K55*2-1),計算用!$L$2:$L$186,0)),""))</f>
        <v/>
      </c>
      <c r="Q55" s="20" t="str">
        <f>IF($K55="","",IFERROR(INDEX(計算用!$M$2:$M$186,MATCH("女白"&amp;($K55*2-1),計算用!$L$2:$L$186,0)),""))</f>
        <v/>
      </c>
      <c r="R55" s="21" t="str">
        <f>IF($K55="","",IFERROR(INDEX(計算用!$D$2:$D$186,MATCH("女白"&amp;($K55*2-0),計算用!$L$2:$L$186,0)),""))</f>
        <v/>
      </c>
      <c r="S55" s="20" t="str">
        <f>IF($K55="","",IFERROR(INDEX(計算用!$M$2:$M$186,MATCH("女白"&amp;($K55*2-0),計算用!$L$2:$L$186,0)),""))</f>
        <v/>
      </c>
    </row>
    <row r="56" spans="1:19" x14ac:dyDescent="0.15">
      <c r="A56" s="20" t="str">
        <f>IF(ROW()-3&lt;=ROUNDUP(MAX(計算用!$Q$2,計算用!$Q$3)/2,0),ROW()-3,"")</f>
        <v/>
      </c>
      <c r="B56" s="21" t="str">
        <f>IF($A56="","",IFERROR(INDEX(計算用!$D$2:$D$186,MATCH("男赤"&amp;($A56*2-1),計算用!$L$2:$L$186,0)),""))</f>
        <v/>
      </c>
      <c r="C56" s="20" t="str">
        <f>IF($A56="","",IFERROR(INDEX(計算用!$M$2:$M$186,MATCH("男赤"&amp;($A56*2-1),計算用!$L$2:$L$186,0)),""))</f>
        <v/>
      </c>
      <c r="D56" s="21" t="str">
        <f>IF($A56="","",IFERROR(INDEX(計算用!$D$2:$D$186,MATCH("男赤"&amp;($A56*2-0),計算用!$L$2:$L$186,0)),""))</f>
        <v/>
      </c>
      <c r="E56" s="20" t="str">
        <f>IF($A56="","",IFERROR(INDEX(計算用!$M$2:$M$186,MATCH("男赤"&amp;($A56*2-0),計算用!$L$2:$L$186,0)),""))</f>
        <v/>
      </c>
      <c r="F56" s="21" t="str">
        <f>IF($A56="","",IFERROR(INDEX(計算用!$D$2:$D$186,MATCH("男白"&amp;($A56*2-1),計算用!$L$2:$L$186,0)),""))</f>
        <v/>
      </c>
      <c r="G56" s="20" t="str">
        <f>IF($A56="","",IFERROR(INDEX(計算用!$M$2:$M$186,MATCH("男白"&amp;($A56*2-1),計算用!$L$2:$L$186,0)),""))</f>
        <v/>
      </c>
      <c r="H56" s="21" t="str">
        <f>IF($A56="","",IFERROR(INDEX(計算用!$D$2:$D$186,MATCH("男白"&amp;($A56*2-0),計算用!$L$2:$L$186,0)),""))</f>
        <v/>
      </c>
      <c r="I56" s="20" t="str">
        <f>IF($A56="","",IFERROR(INDEX(計算用!$M$2:$M$186,MATCH("男白"&amp;($A56*2-0),計算用!$L$2:$L$186,0)),""))</f>
        <v/>
      </c>
      <c r="K56" s="20" t="str">
        <f>IF(ROW()-3&lt;=ROUNDUP(MAX(計算用!$Q$4,計算用!$Q$5)/2,0),ROW()-3,"")</f>
        <v/>
      </c>
      <c r="L56" s="21" t="str">
        <f>IF($K56="","",IFERROR(INDEX(計算用!$D$2:$D$186,MATCH("女赤"&amp;($K56*2-1),計算用!$L$2:$L$186,0)),""))</f>
        <v/>
      </c>
      <c r="M56" s="20" t="str">
        <f>IF($K56="","",IFERROR(INDEX(計算用!$M$2:$M$186,MATCH("女赤"&amp;($K56*2-1),計算用!$L$2:$L$186,0)),""))</f>
        <v/>
      </c>
      <c r="N56" s="21" t="str">
        <f>IF($K56="","",IFERROR(INDEX(計算用!$D$2:$D$186,MATCH("女赤"&amp;($K56*2-0),計算用!$L$2:$L$186,0)),""))</f>
        <v/>
      </c>
      <c r="O56" s="20" t="str">
        <f>IF($K56="","",IFERROR(INDEX(計算用!$M$2:$M$186,MATCH("女赤"&amp;($K56*2-0),計算用!$L$2:$L$186,0)),""))</f>
        <v/>
      </c>
      <c r="P56" s="21" t="str">
        <f>IF($K56="","",IFERROR(INDEX(計算用!$D$2:$D$186,MATCH("女白"&amp;($K56*2-1),計算用!$L$2:$L$186,0)),""))</f>
        <v/>
      </c>
      <c r="Q56" s="20" t="str">
        <f>IF($K56="","",IFERROR(INDEX(計算用!$M$2:$M$186,MATCH("女白"&amp;($K56*2-1),計算用!$L$2:$L$186,0)),""))</f>
        <v/>
      </c>
      <c r="R56" s="21" t="str">
        <f>IF($K56="","",IFERROR(INDEX(計算用!$D$2:$D$186,MATCH("女白"&amp;($K56*2-0),計算用!$L$2:$L$186,0)),""))</f>
        <v/>
      </c>
      <c r="S56" s="20" t="str">
        <f>IF($K56="","",IFERROR(INDEX(計算用!$M$2:$M$186,MATCH("女白"&amp;($K56*2-0),計算用!$L$2:$L$186,0)),""))</f>
        <v/>
      </c>
    </row>
    <row r="57" spans="1:19" x14ac:dyDescent="0.15">
      <c r="A57" s="20" t="str">
        <f>IF(ROW()-3&lt;=ROUNDUP(MAX(計算用!$Q$2,計算用!$Q$3)/2,0),ROW()-3,"")</f>
        <v/>
      </c>
      <c r="B57" s="21" t="str">
        <f>IF($A57="","",IFERROR(INDEX(計算用!$D$2:$D$186,MATCH("男赤"&amp;($A57*2-1),計算用!$L$2:$L$186,0)),""))</f>
        <v/>
      </c>
      <c r="C57" s="20" t="str">
        <f>IF($A57="","",IFERROR(INDEX(計算用!$M$2:$M$186,MATCH("男赤"&amp;($A57*2-1),計算用!$L$2:$L$186,0)),""))</f>
        <v/>
      </c>
      <c r="D57" s="21" t="str">
        <f>IF($A57="","",IFERROR(INDEX(計算用!$D$2:$D$186,MATCH("男赤"&amp;($A57*2-0),計算用!$L$2:$L$186,0)),""))</f>
        <v/>
      </c>
      <c r="E57" s="20" t="str">
        <f>IF($A57="","",IFERROR(INDEX(計算用!$M$2:$M$186,MATCH("男赤"&amp;($A57*2-0),計算用!$L$2:$L$186,0)),""))</f>
        <v/>
      </c>
      <c r="F57" s="21" t="str">
        <f>IF($A57="","",IFERROR(INDEX(計算用!$D$2:$D$186,MATCH("男白"&amp;($A57*2-1),計算用!$L$2:$L$186,0)),""))</f>
        <v/>
      </c>
      <c r="G57" s="20" t="str">
        <f>IF($A57="","",IFERROR(INDEX(計算用!$M$2:$M$186,MATCH("男白"&amp;($A57*2-1),計算用!$L$2:$L$186,0)),""))</f>
        <v/>
      </c>
      <c r="H57" s="21" t="str">
        <f>IF($A57="","",IFERROR(INDEX(計算用!$D$2:$D$186,MATCH("男白"&amp;($A57*2-0),計算用!$L$2:$L$186,0)),""))</f>
        <v/>
      </c>
      <c r="I57" s="20" t="str">
        <f>IF($A57="","",IFERROR(INDEX(計算用!$M$2:$M$186,MATCH("男白"&amp;($A57*2-0),計算用!$L$2:$L$186,0)),""))</f>
        <v/>
      </c>
      <c r="K57" s="20" t="str">
        <f>IF(ROW()-3&lt;=ROUNDUP(MAX(計算用!$Q$4,計算用!$Q$5)/2,0),ROW()-3,"")</f>
        <v/>
      </c>
      <c r="L57" s="21" t="str">
        <f>IF($K57="","",IFERROR(INDEX(計算用!$D$2:$D$186,MATCH("女赤"&amp;($K57*2-1),計算用!$L$2:$L$186,0)),""))</f>
        <v/>
      </c>
      <c r="M57" s="20" t="str">
        <f>IF($K57="","",IFERROR(INDEX(計算用!$M$2:$M$186,MATCH("女赤"&amp;($K57*2-1),計算用!$L$2:$L$186,0)),""))</f>
        <v/>
      </c>
      <c r="N57" s="21" t="str">
        <f>IF($K57="","",IFERROR(INDEX(計算用!$D$2:$D$186,MATCH("女赤"&amp;($K57*2-0),計算用!$L$2:$L$186,0)),""))</f>
        <v/>
      </c>
      <c r="O57" s="20" t="str">
        <f>IF($K57="","",IFERROR(INDEX(計算用!$M$2:$M$186,MATCH("女赤"&amp;($K57*2-0),計算用!$L$2:$L$186,0)),""))</f>
        <v/>
      </c>
      <c r="P57" s="21" t="str">
        <f>IF($K57="","",IFERROR(INDEX(計算用!$D$2:$D$186,MATCH("女白"&amp;($K57*2-1),計算用!$L$2:$L$186,0)),""))</f>
        <v/>
      </c>
      <c r="Q57" s="20" t="str">
        <f>IF($K57="","",IFERROR(INDEX(計算用!$M$2:$M$186,MATCH("女白"&amp;($K57*2-1),計算用!$L$2:$L$186,0)),""))</f>
        <v/>
      </c>
      <c r="R57" s="21" t="str">
        <f>IF($K57="","",IFERROR(INDEX(計算用!$D$2:$D$186,MATCH("女白"&amp;($K57*2-0),計算用!$L$2:$L$186,0)),""))</f>
        <v/>
      </c>
      <c r="S57" s="20" t="str">
        <f>IF($K57="","",IFERROR(INDEX(計算用!$M$2:$M$186,MATCH("女白"&amp;($K57*2-0),計算用!$L$2:$L$186,0)),""))</f>
        <v/>
      </c>
    </row>
    <row r="58" spans="1:19" x14ac:dyDescent="0.15">
      <c r="A58" s="20" t="str">
        <f>IF(ROW()-3&lt;=ROUNDUP(MAX(計算用!$Q$2,計算用!$Q$3)/2,0),ROW()-3,"")</f>
        <v/>
      </c>
      <c r="B58" s="21" t="str">
        <f>IF($A58="","",IFERROR(INDEX(計算用!$D$2:$D$186,MATCH("男赤"&amp;($A58*2-1),計算用!$L$2:$L$186,0)),""))</f>
        <v/>
      </c>
      <c r="C58" s="20" t="str">
        <f>IF($A58="","",IFERROR(INDEX(計算用!$M$2:$M$186,MATCH("男赤"&amp;($A58*2-1),計算用!$L$2:$L$186,0)),""))</f>
        <v/>
      </c>
      <c r="D58" s="21" t="str">
        <f>IF($A58="","",IFERROR(INDEX(計算用!$D$2:$D$186,MATCH("男赤"&amp;($A58*2-0),計算用!$L$2:$L$186,0)),""))</f>
        <v/>
      </c>
      <c r="E58" s="20" t="str">
        <f>IF($A58="","",IFERROR(INDEX(計算用!$M$2:$M$186,MATCH("男赤"&amp;($A58*2-0),計算用!$L$2:$L$186,0)),""))</f>
        <v/>
      </c>
      <c r="F58" s="21" t="str">
        <f>IF($A58="","",IFERROR(INDEX(計算用!$D$2:$D$186,MATCH("男白"&amp;($A58*2-1),計算用!$L$2:$L$186,0)),""))</f>
        <v/>
      </c>
      <c r="G58" s="20" t="str">
        <f>IF($A58="","",IFERROR(INDEX(計算用!$M$2:$M$186,MATCH("男白"&amp;($A58*2-1),計算用!$L$2:$L$186,0)),""))</f>
        <v/>
      </c>
      <c r="H58" s="21" t="str">
        <f>IF($A58="","",IFERROR(INDEX(計算用!$D$2:$D$186,MATCH("男白"&amp;($A58*2-0),計算用!$L$2:$L$186,0)),""))</f>
        <v/>
      </c>
      <c r="I58" s="20" t="str">
        <f>IF($A58="","",IFERROR(INDEX(計算用!$M$2:$M$186,MATCH("男白"&amp;($A58*2-0),計算用!$L$2:$L$186,0)),""))</f>
        <v/>
      </c>
      <c r="K58" s="20" t="str">
        <f>IF(ROW()-3&lt;=ROUNDUP(MAX(計算用!$Q$4,計算用!$Q$5)/2,0),ROW()-3,"")</f>
        <v/>
      </c>
      <c r="L58" s="21" t="str">
        <f>IF($K58="","",IFERROR(INDEX(計算用!$D$2:$D$186,MATCH("女赤"&amp;($K58*2-1),計算用!$L$2:$L$186,0)),""))</f>
        <v/>
      </c>
      <c r="M58" s="20" t="str">
        <f>IF($K58="","",IFERROR(INDEX(計算用!$M$2:$M$186,MATCH("女赤"&amp;($K58*2-1),計算用!$L$2:$L$186,0)),""))</f>
        <v/>
      </c>
      <c r="N58" s="21" t="str">
        <f>IF($K58="","",IFERROR(INDEX(計算用!$D$2:$D$186,MATCH("女赤"&amp;($K58*2-0),計算用!$L$2:$L$186,0)),""))</f>
        <v/>
      </c>
      <c r="O58" s="20" t="str">
        <f>IF($K58="","",IFERROR(INDEX(計算用!$M$2:$M$186,MATCH("女赤"&amp;($K58*2-0),計算用!$L$2:$L$186,0)),""))</f>
        <v/>
      </c>
      <c r="P58" s="21" t="str">
        <f>IF($K58="","",IFERROR(INDEX(計算用!$D$2:$D$186,MATCH("女白"&amp;($K58*2-1),計算用!$L$2:$L$186,0)),""))</f>
        <v/>
      </c>
      <c r="Q58" s="20" t="str">
        <f>IF($K58="","",IFERROR(INDEX(計算用!$M$2:$M$186,MATCH("女白"&amp;($K58*2-1),計算用!$L$2:$L$186,0)),""))</f>
        <v/>
      </c>
      <c r="R58" s="21" t="str">
        <f>IF($K58="","",IFERROR(INDEX(計算用!$D$2:$D$186,MATCH("女白"&amp;($K58*2-0),計算用!$L$2:$L$186,0)),""))</f>
        <v/>
      </c>
      <c r="S58" s="20" t="str">
        <f>IF($K58="","",IFERROR(INDEX(計算用!$M$2:$M$186,MATCH("女白"&amp;($K58*2-0),計算用!$L$2:$L$186,0)),""))</f>
        <v/>
      </c>
    </row>
    <row r="59" spans="1:19" x14ac:dyDescent="0.15">
      <c r="A59" s="20" t="str">
        <f>IF(ROW()-3&lt;=ROUNDUP(MAX(計算用!$Q$2,計算用!$Q$3)/2,0),ROW()-3,"")</f>
        <v/>
      </c>
      <c r="B59" s="21" t="str">
        <f>IF($A59="","",IFERROR(INDEX(計算用!$D$2:$D$186,MATCH("男赤"&amp;($A59*2-1),計算用!$L$2:$L$186,0)),""))</f>
        <v/>
      </c>
      <c r="C59" s="20" t="str">
        <f>IF($A59="","",IFERROR(INDEX(計算用!$M$2:$M$186,MATCH("男赤"&amp;($A59*2-1),計算用!$L$2:$L$186,0)),""))</f>
        <v/>
      </c>
      <c r="D59" s="21" t="str">
        <f>IF($A59="","",IFERROR(INDEX(計算用!$D$2:$D$186,MATCH("男赤"&amp;($A59*2-0),計算用!$L$2:$L$186,0)),""))</f>
        <v/>
      </c>
      <c r="E59" s="20" t="str">
        <f>IF($A59="","",IFERROR(INDEX(計算用!$M$2:$M$186,MATCH("男赤"&amp;($A59*2-0),計算用!$L$2:$L$186,0)),""))</f>
        <v/>
      </c>
      <c r="F59" s="21" t="str">
        <f>IF($A59="","",IFERROR(INDEX(計算用!$D$2:$D$186,MATCH("男白"&amp;($A59*2-1),計算用!$L$2:$L$186,0)),""))</f>
        <v/>
      </c>
      <c r="G59" s="20" t="str">
        <f>IF($A59="","",IFERROR(INDEX(計算用!$M$2:$M$186,MATCH("男白"&amp;($A59*2-1),計算用!$L$2:$L$186,0)),""))</f>
        <v/>
      </c>
      <c r="H59" s="21" t="str">
        <f>IF($A59="","",IFERROR(INDEX(計算用!$D$2:$D$186,MATCH("男白"&amp;($A59*2-0),計算用!$L$2:$L$186,0)),""))</f>
        <v/>
      </c>
      <c r="I59" s="20" t="str">
        <f>IF($A59="","",IFERROR(INDEX(計算用!$M$2:$M$186,MATCH("男白"&amp;($A59*2-0),計算用!$L$2:$L$186,0)),""))</f>
        <v/>
      </c>
      <c r="K59" s="20" t="str">
        <f>IF(ROW()-3&lt;=ROUNDUP(MAX(計算用!$Q$4,計算用!$Q$5)/2,0),ROW()-3,"")</f>
        <v/>
      </c>
      <c r="L59" s="21" t="str">
        <f>IF($K59="","",IFERROR(INDEX(計算用!$D$2:$D$186,MATCH("女赤"&amp;($K59*2-1),計算用!$L$2:$L$186,0)),""))</f>
        <v/>
      </c>
      <c r="M59" s="20" t="str">
        <f>IF($K59="","",IFERROR(INDEX(計算用!$M$2:$M$186,MATCH("女赤"&amp;($K59*2-1),計算用!$L$2:$L$186,0)),""))</f>
        <v/>
      </c>
      <c r="N59" s="21" t="str">
        <f>IF($K59="","",IFERROR(INDEX(計算用!$D$2:$D$186,MATCH("女赤"&amp;($K59*2-0),計算用!$L$2:$L$186,0)),""))</f>
        <v/>
      </c>
      <c r="O59" s="20" t="str">
        <f>IF($K59="","",IFERROR(INDEX(計算用!$M$2:$M$186,MATCH("女赤"&amp;($K59*2-0),計算用!$L$2:$L$186,0)),""))</f>
        <v/>
      </c>
      <c r="P59" s="21" t="str">
        <f>IF($K59="","",IFERROR(INDEX(計算用!$D$2:$D$186,MATCH("女白"&amp;($K59*2-1),計算用!$L$2:$L$186,0)),""))</f>
        <v/>
      </c>
      <c r="Q59" s="20" t="str">
        <f>IF($K59="","",IFERROR(INDEX(計算用!$M$2:$M$186,MATCH("女白"&amp;($K59*2-1),計算用!$L$2:$L$186,0)),""))</f>
        <v/>
      </c>
      <c r="R59" s="21" t="str">
        <f>IF($K59="","",IFERROR(INDEX(計算用!$D$2:$D$186,MATCH("女白"&amp;($K59*2-0),計算用!$L$2:$L$186,0)),""))</f>
        <v/>
      </c>
      <c r="S59" s="20" t="str">
        <f>IF($K59="","",IFERROR(INDEX(計算用!$M$2:$M$186,MATCH("女白"&amp;($K59*2-0),計算用!$L$2:$L$186,0)),""))</f>
        <v/>
      </c>
    </row>
    <row r="60" spans="1:19" x14ac:dyDescent="0.15">
      <c r="A60" s="20" t="str">
        <f>IF(ROW()-3&lt;=ROUNDUP(MAX(計算用!$Q$2,計算用!$Q$3)/2,0),ROW()-3,"")</f>
        <v/>
      </c>
      <c r="B60" s="21" t="str">
        <f>IF($A60="","",IFERROR(INDEX(計算用!$D$2:$D$186,MATCH("男赤"&amp;($A60*2-1),計算用!$L$2:$L$186,0)),""))</f>
        <v/>
      </c>
      <c r="C60" s="20" t="str">
        <f>IF($A60="","",IFERROR(INDEX(計算用!$M$2:$M$186,MATCH("男赤"&amp;($A60*2-1),計算用!$L$2:$L$186,0)),""))</f>
        <v/>
      </c>
      <c r="D60" s="21" t="str">
        <f>IF($A60="","",IFERROR(INDEX(計算用!$D$2:$D$186,MATCH("男赤"&amp;($A60*2-0),計算用!$L$2:$L$186,0)),""))</f>
        <v/>
      </c>
      <c r="E60" s="20" t="str">
        <f>IF($A60="","",IFERROR(INDEX(計算用!$M$2:$M$186,MATCH("男赤"&amp;($A60*2-0),計算用!$L$2:$L$186,0)),""))</f>
        <v/>
      </c>
      <c r="F60" s="21" t="str">
        <f>IF($A60="","",IFERROR(INDEX(計算用!$D$2:$D$186,MATCH("男白"&amp;($A60*2-1),計算用!$L$2:$L$186,0)),""))</f>
        <v/>
      </c>
      <c r="G60" s="20" t="str">
        <f>IF($A60="","",IFERROR(INDEX(計算用!$M$2:$M$186,MATCH("男白"&amp;($A60*2-1),計算用!$L$2:$L$186,0)),""))</f>
        <v/>
      </c>
      <c r="H60" s="21" t="str">
        <f>IF($A60="","",IFERROR(INDEX(計算用!$D$2:$D$186,MATCH("男白"&amp;($A60*2-0),計算用!$L$2:$L$186,0)),""))</f>
        <v/>
      </c>
      <c r="I60" s="20" t="str">
        <f>IF($A60="","",IFERROR(INDEX(計算用!$M$2:$M$186,MATCH("男白"&amp;($A60*2-0),計算用!$L$2:$L$186,0)),""))</f>
        <v/>
      </c>
      <c r="K60" s="20" t="str">
        <f>IF(ROW()-3&lt;=ROUNDUP(MAX(計算用!$Q$4,計算用!$Q$5)/2,0),ROW()-3,"")</f>
        <v/>
      </c>
      <c r="L60" s="21" t="str">
        <f>IF($K60="","",IFERROR(INDEX(計算用!$D$2:$D$186,MATCH("女赤"&amp;($K60*2-1),計算用!$L$2:$L$186,0)),""))</f>
        <v/>
      </c>
      <c r="M60" s="20" t="str">
        <f>IF($K60="","",IFERROR(INDEX(計算用!$M$2:$M$186,MATCH("女赤"&amp;($K60*2-1),計算用!$L$2:$L$186,0)),""))</f>
        <v/>
      </c>
      <c r="N60" s="21" t="str">
        <f>IF($K60="","",IFERROR(INDEX(計算用!$D$2:$D$186,MATCH("女赤"&amp;($K60*2-0),計算用!$L$2:$L$186,0)),""))</f>
        <v/>
      </c>
      <c r="O60" s="20" t="str">
        <f>IF($K60="","",IFERROR(INDEX(計算用!$M$2:$M$186,MATCH("女赤"&amp;($K60*2-0),計算用!$L$2:$L$186,0)),""))</f>
        <v/>
      </c>
      <c r="P60" s="21" t="str">
        <f>IF($K60="","",IFERROR(INDEX(計算用!$D$2:$D$186,MATCH("女白"&amp;($K60*2-1),計算用!$L$2:$L$186,0)),""))</f>
        <v/>
      </c>
      <c r="Q60" s="20" t="str">
        <f>IF($K60="","",IFERROR(INDEX(計算用!$M$2:$M$186,MATCH("女白"&amp;($K60*2-1),計算用!$L$2:$L$186,0)),""))</f>
        <v/>
      </c>
      <c r="R60" s="21" t="str">
        <f>IF($K60="","",IFERROR(INDEX(計算用!$D$2:$D$186,MATCH("女白"&amp;($K60*2-0),計算用!$L$2:$L$186,0)),""))</f>
        <v/>
      </c>
      <c r="S60" s="20" t="str">
        <f>IF($K60="","",IFERROR(INDEX(計算用!$M$2:$M$186,MATCH("女白"&amp;($K60*2-0),計算用!$L$2:$L$186,0)),""))</f>
        <v/>
      </c>
    </row>
    <row r="61" spans="1:19" x14ac:dyDescent="0.15">
      <c r="A61" s="20" t="str">
        <f>IF(ROW()-3&lt;=ROUNDUP(MAX(計算用!$Q$2,計算用!$Q$3)/2,0),ROW()-3,"")</f>
        <v/>
      </c>
      <c r="B61" s="21" t="str">
        <f>IF($A61="","",IFERROR(INDEX(計算用!$D$2:$D$186,MATCH("男赤"&amp;($A61*2-1),計算用!$L$2:$L$186,0)),""))</f>
        <v/>
      </c>
      <c r="C61" s="20" t="str">
        <f>IF($A61="","",IFERROR(INDEX(計算用!$M$2:$M$186,MATCH("男赤"&amp;($A61*2-1),計算用!$L$2:$L$186,0)),""))</f>
        <v/>
      </c>
      <c r="D61" s="21" t="str">
        <f>IF($A61="","",IFERROR(INDEX(計算用!$D$2:$D$186,MATCH("男赤"&amp;($A61*2-0),計算用!$L$2:$L$186,0)),""))</f>
        <v/>
      </c>
      <c r="E61" s="20" t="str">
        <f>IF($A61="","",IFERROR(INDEX(計算用!$M$2:$M$186,MATCH("男赤"&amp;($A61*2-0),計算用!$L$2:$L$186,0)),""))</f>
        <v/>
      </c>
      <c r="F61" s="21" t="str">
        <f>IF($A61="","",IFERROR(INDEX(計算用!$D$2:$D$186,MATCH("男白"&amp;($A61*2-1),計算用!$L$2:$L$186,0)),""))</f>
        <v/>
      </c>
      <c r="G61" s="20" t="str">
        <f>IF($A61="","",IFERROR(INDEX(計算用!$M$2:$M$186,MATCH("男白"&amp;($A61*2-1),計算用!$L$2:$L$186,0)),""))</f>
        <v/>
      </c>
      <c r="H61" s="21" t="str">
        <f>IF($A61="","",IFERROR(INDEX(計算用!$D$2:$D$186,MATCH("男白"&amp;($A61*2-0),計算用!$L$2:$L$186,0)),""))</f>
        <v/>
      </c>
      <c r="I61" s="20" t="str">
        <f>IF($A61="","",IFERROR(INDEX(計算用!$M$2:$M$186,MATCH("男白"&amp;($A61*2-0),計算用!$L$2:$L$186,0)),""))</f>
        <v/>
      </c>
      <c r="K61" s="20" t="str">
        <f>IF(ROW()-3&lt;=ROUNDUP(MAX(計算用!$Q$4,計算用!$Q$5)/2,0),ROW()-3,"")</f>
        <v/>
      </c>
      <c r="L61" s="21" t="str">
        <f>IF($K61="","",IFERROR(INDEX(計算用!$D$2:$D$186,MATCH("女赤"&amp;($K61*2-1),計算用!$L$2:$L$186,0)),""))</f>
        <v/>
      </c>
      <c r="M61" s="20" t="str">
        <f>IF($K61="","",IFERROR(INDEX(計算用!$M$2:$M$186,MATCH("女赤"&amp;($K61*2-1),計算用!$L$2:$L$186,0)),""))</f>
        <v/>
      </c>
      <c r="N61" s="21" t="str">
        <f>IF($K61="","",IFERROR(INDEX(計算用!$D$2:$D$186,MATCH("女赤"&amp;($K61*2-0),計算用!$L$2:$L$186,0)),""))</f>
        <v/>
      </c>
      <c r="O61" s="20" t="str">
        <f>IF($K61="","",IFERROR(INDEX(計算用!$M$2:$M$186,MATCH("女赤"&amp;($K61*2-0),計算用!$L$2:$L$186,0)),""))</f>
        <v/>
      </c>
      <c r="P61" s="21" t="str">
        <f>IF($K61="","",IFERROR(INDEX(計算用!$D$2:$D$186,MATCH("女白"&amp;($K61*2-1),計算用!$L$2:$L$186,0)),""))</f>
        <v/>
      </c>
      <c r="Q61" s="20" t="str">
        <f>IF($K61="","",IFERROR(INDEX(計算用!$M$2:$M$186,MATCH("女白"&amp;($K61*2-1),計算用!$L$2:$L$186,0)),""))</f>
        <v/>
      </c>
      <c r="R61" s="21" t="str">
        <f>IF($K61="","",IFERROR(INDEX(計算用!$D$2:$D$186,MATCH("女白"&amp;($K61*2-0),計算用!$L$2:$L$186,0)),""))</f>
        <v/>
      </c>
      <c r="S61" s="20" t="str">
        <f>IF($K61="","",IFERROR(INDEX(計算用!$M$2:$M$186,MATCH("女白"&amp;($K61*2-0),計算用!$L$2:$L$186,0)),""))</f>
        <v/>
      </c>
    </row>
    <row r="62" spans="1:19" x14ac:dyDescent="0.15">
      <c r="A62" s="20" t="str">
        <f>IF(ROW()-3&lt;=ROUNDUP(MAX(計算用!$Q$2,計算用!$Q$3)/2,0),ROW()-3,"")</f>
        <v/>
      </c>
      <c r="B62" s="21" t="str">
        <f>IF($A62="","",IFERROR(INDEX(計算用!$D$2:$D$186,MATCH("男赤"&amp;($A62*2-1),計算用!$L$2:$L$186,0)),""))</f>
        <v/>
      </c>
      <c r="C62" s="20" t="str">
        <f>IF($A62="","",IFERROR(INDEX(計算用!$M$2:$M$186,MATCH("男赤"&amp;($A62*2-1),計算用!$L$2:$L$186,0)),""))</f>
        <v/>
      </c>
      <c r="D62" s="21" t="str">
        <f>IF($A62="","",IFERROR(INDEX(計算用!$D$2:$D$186,MATCH("男赤"&amp;($A62*2-0),計算用!$L$2:$L$186,0)),""))</f>
        <v/>
      </c>
      <c r="E62" s="20" t="str">
        <f>IF($A62="","",IFERROR(INDEX(計算用!$M$2:$M$186,MATCH("男赤"&amp;($A62*2-0),計算用!$L$2:$L$186,0)),""))</f>
        <v/>
      </c>
      <c r="F62" s="21" t="str">
        <f>IF($A62="","",IFERROR(INDEX(計算用!$D$2:$D$186,MATCH("男白"&amp;($A62*2-1),計算用!$L$2:$L$186,0)),""))</f>
        <v/>
      </c>
      <c r="G62" s="20" t="str">
        <f>IF($A62="","",IFERROR(INDEX(計算用!$M$2:$M$186,MATCH("男白"&amp;($A62*2-1),計算用!$L$2:$L$186,0)),""))</f>
        <v/>
      </c>
      <c r="H62" s="21" t="str">
        <f>IF($A62="","",IFERROR(INDEX(計算用!$D$2:$D$186,MATCH("男白"&amp;($A62*2-0),計算用!$L$2:$L$186,0)),""))</f>
        <v/>
      </c>
      <c r="I62" s="20" t="str">
        <f>IF($A62="","",IFERROR(INDEX(計算用!$M$2:$M$186,MATCH("男白"&amp;($A62*2-0),計算用!$L$2:$L$186,0)),""))</f>
        <v/>
      </c>
      <c r="K62" s="20" t="str">
        <f>IF(ROW()-3&lt;=ROUNDUP(MAX(計算用!$Q$4,計算用!$Q$5)/2,0),ROW()-3,"")</f>
        <v/>
      </c>
      <c r="L62" s="21" t="str">
        <f>IF($K62="","",IFERROR(INDEX(計算用!$D$2:$D$186,MATCH("女赤"&amp;($K62*2-1),計算用!$L$2:$L$186,0)),""))</f>
        <v/>
      </c>
      <c r="M62" s="20" t="str">
        <f>IF($K62="","",IFERROR(INDEX(計算用!$M$2:$M$186,MATCH("女赤"&amp;($K62*2-1),計算用!$L$2:$L$186,0)),""))</f>
        <v/>
      </c>
      <c r="N62" s="21" t="str">
        <f>IF($K62="","",IFERROR(INDEX(計算用!$D$2:$D$186,MATCH("女赤"&amp;($K62*2-0),計算用!$L$2:$L$186,0)),""))</f>
        <v/>
      </c>
      <c r="O62" s="20" t="str">
        <f>IF($K62="","",IFERROR(INDEX(計算用!$M$2:$M$186,MATCH("女赤"&amp;($K62*2-0),計算用!$L$2:$L$186,0)),""))</f>
        <v/>
      </c>
      <c r="P62" s="21" t="str">
        <f>IF($K62="","",IFERROR(INDEX(計算用!$D$2:$D$186,MATCH("女白"&amp;($K62*2-1),計算用!$L$2:$L$186,0)),""))</f>
        <v/>
      </c>
      <c r="Q62" s="20" t="str">
        <f>IF($K62="","",IFERROR(INDEX(計算用!$M$2:$M$186,MATCH("女白"&amp;($K62*2-1),計算用!$L$2:$L$186,0)),""))</f>
        <v/>
      </c>
      <c r="R62" s="21" t="str">
        <f>IF($K62="","",IFERROR(INDEX(計算用!$D$2:$D$186,MATCH("女白"&amp;($K62*2-0),計算用!$L$2:$L$186,0)),""))</f>
        <v/>
      </c>
      <c r="S62" s="20" t="str">
        <f>IF($K62="","",IFERROR(INDEX(計算用!$M$2:$M$186,MATCH("女白"&amp;($K62*2-0),計算用!$L$2:$L$186,0)),""))</f>
        <v/>
      </c>
    </row>
    <row r="63" spans="1:19" x14ac:dyDescent="0.15">
      <c r="A63" s="20" t="str">
        <f>IF(ROW()-3&lt;=ROUNDUP(MAX(計算用!$Q$2,計算用!$Q$3)/2,0),ROW()-3,"")</f>
        <v/>
      </c>
      <c r="B63" s="21" t="str">
        <f>IF($A63="","",IFERROR(INDEX(計算用!$D$2:$D$186,MATCH("男赤"&amp;($A63*2-1),計算用!$L$2:$L$186,0)),""))</f>
        <v/>
      </c>
      <c r="C63" s="20" t="str">
        <f>IF($A63="","",IFERROR(INDEX(計算用!$M$2:$M$186,MATCH("男赤"&amp;($A63*2-1),計算用!$L$2:$L$186,0)),""))</f>
        <v/>
      </c>
      <c r="D63" s="21" t="str">
        <f>IF($A63="","",IFERROR(INDEX(計算用!$D$2:$D$186,MATCH("男赤"&amp;($A63*2-0),計算用!$L$2:$L$186,0)),""))</f>
        <v/>
      </c>
      <c r="E63" s="20" t="str">
        <f>IF($A63="","",IFERROR(INDEX(計算用!$M$2:$M$186,MATCH("男赤"&amp;($A63*2-0),計算用!$L$2:$L$186,0)),""))</f>
        <v/>
      </c>
      <c r="F63" s="21" t="str">
        <f>IF($A63="","",IFERROR(INDEX(計算用!$D$2:$D$186,MATCH("男白"&amp;($A63*2-1),計算用!$L$2:$L$186,0)),""))</f>
        <v/>
      </c>
      <c r="G63" s="20" t="str">
        <f>IF($A63="","",IFERROR(INDEX(計算用!$M$2:$M$186,MATCH("男白"&amp;($A63*2-1),計算用!$L$2:$L$186,0)),""))</f>
        <v/>
      </c>
      <c r="H63" s="21" t="str">
        <f>IF($A63="","",IFERROR(INDEX(計算用!$D$2:$D$186,MATCH("男白"&amp;($A63*2-0),計算用!$L$2:$L$186,0)),""))</f>
        <v/>
      </c>
      <c r="I63" s="20" t="str">
        <f>IF($A63="","",IFERROR(INDEX(計算用!$M$2:$M$186,MATCH("男白"&amp;($A63*2-0),計算用!$L$2:$L$186,0)),""))</f>
        <v/>
      </c>
      <c r="K63" s="20" t="str">
        <f>IF(ROW()-3&lt;=ROUNDUP(MAX(計算用!$Q$4,計算用!$Q$5)/2,0),ROW()-3,"")</f>
        <v/>
      </c>
      <c r="L63" s="21" t="str">
        <f>IF($K63="","",IFERROR(INDEX(計算用!$D$2:$D$186,MATCH("女赤"&amp;($K63*2-1),計算用!$L$2:$L$186,0)),""))</f>
        <v/>
      </c>
      <c r="M63" s="20" t="str">
        <f>IF($K63="","",IFERROR(INDEX(計算用!$M$2:$M$186,MATCH("女赤"&amp;($K63*2-1),計算用!$L$2:$L$186,0)),""))</f>
        <v/>
      </c>
      <c r="N63" s="21" t="str">
        <f>IF($K63="","",IFERROR(INDEX(計算用!$D$2:$D$186,MATCH("女赤"&amp;($K63*2-0),計算用!$L$2:$L$186,0)),""))</f>
        <v/>
      </c>
      <c r="O63" s="20" t="str">
        <f>IF($K63="","",IFERROR(INDEX(計算用!$M$2:$M$186,MATCH("女赤"&amp;($K63*2-0),計算用!$L$2:$L$186,0)),""))</f>
        <v/>
      </c>
      <c r="P63" s="21" t="str">
        <f>IF($K63="","",IFERROR(INDEX(計算用!$D$2:$D$186,MATCH("女白"&amp;($K63*2-1),計算用!$L$2:$L$186,0)),""))</f>
        <v/>
      </c>
      <c r="Q63" s="20" t="str">
        <f>IF($K63="","",IFERROR(INDEX(計算用!$M$2:$M$186,MATCH("女白"&amp;($K63*2-1),計算用!$L$2:$L$186,0)),""))</f>
        <v/>
      </c>
      <c r="R63" s="21" t="str">
        <f>IF($K63="","",IFERROR(INDEX(計算用!$D$2:$D$186,MATCH("女白"&amp;($K63*2-0),計算用!$L$2:$L$186,0)),""))</f>
        <v/>
      </c>
      <c r="S63" s="20" t="str">
        <f>IF($K63="","",IFERROR(INDEX(計算用!$M$2:$M$186,MATCH("女白"&amp;($K63*2-0),計算用!$L$2:$L$186,0)),""))</f>
        <v/>
      </c>
    </row>
    <row r="64" spans="1:19" x14ac:dyDescent="0.15">
      <c r="A64" s="20" t="str">
        <f>IF(ROW()-3&lt;=ROUNDUP(MAX(計算用!$Q$2,計算用!$Q$3)/2,0),ROW()-3,"")</f>
        <v/>
      </c>
      <c r="B64" s="21" t="str">
        <f>IF($A64="","",IFERROR(INDEX(計算用!$D$2:$D$186,MATCH("男赤"&amp;($A64*2-1),計算用!$L$2:$L$186,0)),""))</f>
        <v/>
      </c>
      <c r="C64" s="20" t="str">
        <f>IF($A64="","",IFERROR(INDEX(計算用!$M$2:$M$186,MATCH("男赤"&amp;($A64*2-1),計算用!$L$2:$L$186,0)),""))</f>
        <v/>
      </c>
      <c r="D64" s="21" t="str">
        <f>IF($A64="","",IFERROR(INDEX(計算用!$D$2:$D$186,MATCH("男赤"&amp;($A64*2-0),計算用!$L$2:$L$186,0)),""))</f>
        <v/>
      </c>
      <c r="E64" s="20" t="str">
        <f>IF($A64="","",IFERROR(INDEX(計算用!$M$2:$M$186,MATCH("男赤"&amp;($A64*2-0),計算用!$L$2:$L$186,0)),""))</f>
        <v/>
      </c>
      <c r="F64" s="21" t="str">
        <f>IF($A64="","",IFERROR(INDEX(計算用!$D$2:$D$186,MATCH("男白"&amp;($A64*2-1),計算用!$L$2:$L$186,0)),""))</f>
        <v/>
      </c>
      <c r="G64" s="20" t="str">
        <f>IF($A64="","",IFERROR(INDEX(計算用!$M$2:$M$186,MATCH("男白"&amp;($A64*2-1),計算用!$L$2:$L$186,0)),""))</f>
        <v/>
      </c>
      <c r="H64" s="21" t="str">
        <f>IF($A64="","",IFERROR(INDEX(計算用!$D$2:$D$186,MATCH("男白"&amp;($A64*2-0),計算用!$L$2:$L$186,0)),""))</f>
        <v/>
      </c>
      <c r="I64" s="20" t="str">
        <f>IF($A64="","",IFERROR(INDEX(計算用!$M$2:$M$186,MATCH("男白"&amp;($A64*2-0),計算用!$L$2:$L$186,0)),""))</f>
        <v/>
      </c>
      <c r="K64" s="20" t="str">
        <f>IF(ROW()-3&lt;=ROUNDUP(MAX(計算用!$Q$4,計算用!$Q$5)/2,0),ROW()-3,"")</f>
        <v/>
      </c>
      <c r="L64" s="21" t="str">
        <f>IF($K64="","",IFERROR(INDEX(計算用!$D$2:$D$186,MATCH("女赤"&amp;($K64*2-1),計算用!$L$2:$L$186,0)),""))</f>
        <v/>
      </c>
      <c r="M64" s="20" t="str">
        <f>IF($K64="","",IFERROR(INDEX(計算用!$M$2:$M$186,MATCH("女赤"&amp;($K64*2-1),計算用!$L$2:$L$186,0)),""))</f>
        <v/>
      </c>
      <c r="N64" s="21" t="str">
        <f>IF($K64="","",IFERROR(INDEX(計算用!$D$2:$D$186,MATCH("女赤"&amp;($K64*2-0),計算用!$L$2:$L$186,0)),""))</f>
        <v/>
      </c>
      <c r="O64" s="20" t="str">
        <f>IF($K64="","",IFERROR(INDEX(計算用!$M$2:$M$186,MATCH("女赤"&amp;($K64*2-0),計算用!$L$2:$L$186,0)),""))</f>
        <v/>
      </c>
      <c r="P64" s="21" t="str">
        <f>IF($K64="","",IFERROR(INDEX(計算用!$D$2:$D$186,MATCH("女白"&amp;($K64*2-1),計算用!$L$2:$L$186,0)),""))</f>
        <v/>
      </c>
      <c r="Q64" s="20" t="str">
        <f>IF($K64="","",IFERROR(INDEX(計算用!$M$2:$M$186,MATCH("女白"&amp;($K64*2-1),計算用!$L$2:$L$186,0)),""))</f>
        <v/>
      </c>
      <c r="R64" s="21" t="str">
        <f>IF($K64="","",IFERROR(INDEX(計算用!$D$2:$D$186,MATCH("女白"&amp;($K64*2-0),計算用!$L$2:$L$186,0)),""))</f>
        <v/>
      </c>
      <c r="S64" s="20" t="str">
        <f>IF($K64="","",IFERROR(INDEX(計算用!$M$2:$M$186,MATCH("女白"&amp;($K64*2-0),計算用!$L$2:$L$186,0)),""))</f>
        <v/>
      </c>
    </row>
    <row r="65" spans="1:19" x14ac:dyDescent="0.15">
      <c r="A65" s="20" t="str">
        <f>IF(ROW()-3&lt;=ROUNDUP(MAX(計算用!$Q$2,計算用!$Q$3)/2,0),ROW()-3,"")</f>
        <v/>
      </c>
      <c r="B65" s="21" t="str">
        <f>IF($A65="","",IFERROR(INDEX(計算用!$D$2:$D$186,MATCH("男赤"&amp;($A65*2-1),計算用!$L$2:$L$186,0)),""))</f>
        <v/>
      </c>
      <c r="C65" s="20" t="str">
        <f>IF($A65="","",IFERROR(INDEX(計算用!$M$2:$M$186,MATCH("男赤"&amp;($A65*2-1),計算用!$L$2:$L$186,0)),""))</f>
        <v/>
      </c>
      <c r="D65" s="21" t="str">
        <f>IF($A65="","",IFERROR(INDEX(計算用!$D$2:$D$186,MATCH("男赤"&amp;($A65*2-0),計算用!$L$2:$L$186,0)),""))</f>
        <v/>
      </c>
      <c r="E65" s="20" t="str">
        <f>IF($A65="","",IFERROR(INDEX(計算用!$M$2:$M$186,MATCH("男赤"&amp;($A65*2-0),計算用!$L$2:$L$186,0)),""))</f>
        <v/>
      </c>
      <c r="F65" s="21" t="str">
        <f>IF($A65="","",IFERROR(INDEX(計算用!$D$2:$D$186,MATCH("男白"&amp;($A65*2-1),計算用!$L$2:$L$186,0)),""))</f>
        <v/>
      </c>
      <c r="G65" s="20" t="str">
        <f>IF($A65="","",IFERROR(INDEX(計算用!$M$2:$M$186,MATCH("男白"&amp;($A65*2-1),計算用!$L$2:$L$186,0)),""))</f>
        <v/>
      </c>
      <c r="H65" s="21" t="str">
        <f>IF($A65="","",IFERROR(INDEX(計算用!$D$2:$D$186,MATCH("男白"&amp;($A65*2-0),計算用!$L$2:$L$186,0)),""))</f>
        <v/>
      </c>
      <c r="I65" s="20" t="str">
        <f>IF($A65="","",IFERROR(INDEX(計算用!$M$2:$M$186,MATCH("男白"&amp;($A65*2-0),計算用!$L$2:$L$186,0)),""))</f>
        <v/>
      </c>
      <c r="K65" s="20" t="str">
        <f>IF(ROW()-3&lt;=ROUNDUP(MAX(計算用!$Q$4,計算用!$Q$5)/2,0),ROW()-3,"")</f>
        <v/>
      </c>
      <c r="L65" s="21" t="str">
        <f>IF($K65="","",IFERROR(INDEX(計算用!$D$2:$D$186,MATCH("女赤"&amp;($K65*2-1),計算用!$L$2:$L$186,0)),""))</f>
        <v/>
      </c>
      <c r="M65" s="20" t="str">
        <f>IF($K65="","",IFERROR(INDEX(計算用!$M$2:$M$186,MATCH("女赤"&amp;($K65*2-1),計算用!$L$2:$L$186,0)),""))</f>
        <v/>
      </c>
      <c r="N65" s="21" t="str">
        <f>IF($K65="","",IFERROR(INDEX(計算用!$D$2:$D$186,MATCH("女赤"&amp;($K65*2-0),計算用!$L$2:$L$186,0)),""))</f>
        <v/>
      </c>
      <c r="O65" s="20" t="str">
        <f>IF($K65="","",IFERROR(INDEX(計算用!$M$2:$M$186,MATCH("女赤"&amp;($K65*2-0),計算用!$L$2:$L$186,0)),""))</f>
        <v/>
      </c>
      <c r="P65" s="21" t="str">
        <f>IF($K65="","",IFERROR(INDEX(計算用!$D$2:$D$186,MATCH("女白"&amp;($K65*2-1),計算用!$L$2:$L$186,0)),""))</f>
        <v/>
      </c>
      <c r="Q65" s="20" t="str">
        <f>IF($K65="","",IFERROR(INDEX(計算用!$M$2:$M$186,MATCH("女白"&amp;($K65*2-1),計算用!$L$2:$L$186,0)),""))</f>
        <v/>
      </c>
      <c r="R65" s="21" t="str">
        <f>IF($K65="","",IFERROR(INDEX(計算用!$D$2:$D$186,MATCH("女白"&amp;($K65*2-0),計算用!$L$2:$L$186,0)),""))</f>
        <v/>
      </c>
      <c r="S65" s="20" t="str">
        <f>IF($K65="","",IFERROR(INDEX(計算用!$M$2:$M$186,MATCH("女白"&amp;($K65*2-0),計算用!$L$2:$L$186,0)),""))</f>
        <v/>
      </c>
    </row>
    <row r="66" spans="1:19" x14ac:dyDescent="0.15">
      <c r="A66" s="20" t="str">
        <f>IF(ROW()-3&lt;=ROUNDUP(MAX(計算用!$Q$2,計算用!$Q$3)/2,0),ROW()-3,"")</f>
        <v/>
      </c>
      <c r="B66" s="21" t="str">
        <f>IF($A66="","",IFERROR(INDEX(計算用!$D$2:$D$186,MATCH("男赤"&amp;($A66*2-1),計算用!$L$2:$L$186,0)),""))</f>
        <v/>
      </c>
      <c r="C66" s="20" t="str">
        <f>IF($A66="","",IFERROR(INDEX(計算用!$M$2:$M$186,MATCH("男赤"&amp;($A66*2-1),計算用!$L$2:$L$186,0)),""))</f>
        <v/>
      </c>
      <c r="D66" s="21" t="str">
        <f>IF($A66="","",IFERROR(INDEX(計算用!$D$2:$D$186,MATCH("男赤"&amp;($A66*2-0),計算用!$L$2:$L$186,0)),""))</f>
        <v/>
      </c>
      <c r="E66" s="20" t="str">
        <f>IF($A66="","",IFERROR(INDEX(計算用!$M$2:$M$186,MATCH("男赤"&amp;($A66*2-0),計算用!$L$2:$L$186,0)),""))</f>
        <v/>
      </c>
      <c r="F66" s="21" t="str">
        <f>IF($A66="","",IFERROR(INDEX(計算用!$D$2:$D$186,MATCH("男白"&amp;($A66*2-1),計算用!$L$2:$L$186,0)),""))</f>
        <v/>
      </c>
      <c r="G66" s="20" t="str">
        <f>IF($A66="","",IFERROR(INDEX(計算用!$M$2:$M$186,MATCH("男白"&amp;($A66*2-1),計算用!$L$2:$L$186,0)),""))</f>
        <v/>
      </c>
      <c r="H66" s="21" t="str">
        <f>IF($A66="","",IFERROR(INDEX(計算用!$D$2:$D$186,MATCH("男白"&amp;($A66*2-0),計算用!$L$2:$L$186,0)),""))</f>
        <v/>
      </c>
      <c r="I66" s="20" t="str">
        <f>IF($A66="","",IFERROR(INDEX(計算用!$M$2:$M$186,MATCH("男白"&amp;($A66*2-0),計算用!$L$2:$L$186,0)),""))</f>
        <v/>
      </c>
      <c r="K66" s="20" t="str">
        <f>IF(ROW()-3&lt;=ROUNDUP(MAX(計算用!$Q$4,計算用!$Q$5)/2,0),ROW()-3,"")</f>
        <v/>
      </c>
      <c r="L66" s="21" t="str">
        <f>IF($K66="","",IFERROR(INDEX(計算用!$D$2:$D$186,MATCH("女赤"&amp;($K66*2-1),計算用!$L$2:$L$186,0)),""))</f>
        <v/>
      </c>
      <c r="M66" s="20" t="str">
        <f>IF($K66="","",IFERROR(INDEX(計算用!$M$2:$M$186,MATCH("女赤"&amp;($K66*2-1),計算用!$L$2:$L$186,0)),""))</f>
        <v/>
      </c>
      <c r="N66" s="21" t="str">
        <f>IF($K66="","",IFERROR(INDEX(計算用!$D$2:$D$186,MATCH("女赤"&amp;($K66*2-0),計算用!$L$2:$L$186,0)),""))</f>
        <v/>
      </c>
      <c r="O66" s="20" t="str">
        <f>IF($K66="","",IFERROR(INDEX(計算用!$M$2:$M$186,MATCH("女赤"&amp;($K66*2-0),計算用!$L$2:$L$186,0)),""))</f>
        <v/>
      </c>
      <c r="P66" s="21" t="str">
        <f>IF($K66="","",IFERROR(INDEX(計算用!$D$2:$D$186,MATCH("女白"&amp;($K66*2-1),計算用!$L$2:$L$186,0)),""))</f>
        <v/>
      </c>
      <c r="Q66" s="20" t="str">
        <f>IF($K66="","",IFERROR(INDEX(計算用!$M$2:$M$186,MATCH("女白"&amp;($K66*2-1),計算用!$L$2:$L$186,0)),""))</f>
        <v/>
      </c>
      <c r="R66" s="21" t="str">
        <f>IF($K66="","",IFERROR(INDEX(計算用!$D$2:$D$186,MATCH("女白"&amp;($K66*2-0),計算用!$L$2:$L$186,0)),""))</f>
        <v/>
      </c>
      <c r="S66" s="20" t="str">
        <f>IF($K66="","",IFERROR(INDEX(計算用!$M$2:$M$186,MATCH("女白"&amp;($K66*2-0),計算用!$L$2:$L$186,0)),""))</f>
        <v/>
      </c>
    </row>
    <row r="67" spans="1:19" x14ac:dyDescent="0.15">
      <c r="A67" s="20" t="str">
        <f>IF(ROW()-3&lt;=ROUNDUP(MAX(計算用!$Q$2,計算用!$Q$3)/2,0),ROW()-3,"")</f>
        <v/>
      </c>
      <c r="B67" s="21" t="str">
        <f>IF($A67="","",IFERROR(INDEX(計算用!$D$2:$D$186,MATCH("男赤"&amp;($A67*2-1),計算用!$L$2:$L$186,0)),""))</f>
        <v/>
      </c>
      <c r="C67" s="20" t="str">
        <f>IF($A67="","",IFERROR(INDEX(計算用!$M$2:$M$186,MATCH("男赤"&amp;($A67*2-1),計算用!$L$2:$L$186,0)),""))</f>
        <v/>
      </c>
      <c r="D67" s="21" t="str">
        <f>IF($A67="","",IFERROR(INDEX(計算用!$D$2:$D$186,MATCH("男赤"&amp;($A67*2-0),計算用!$L$2:$L$186,0)),""))</f>
        <v/>
      </c>
      <c r="E67" s="20" t="str">
        <f>IF($A67="","",IFERROR(INDEX(計算用!$M$2:$M$186,MATCH("男赤"&amp;($A67*2-0),計算用!$L$2:$L$186,0)),""))</f>
        <v/>
      </c>
      <c r="F67" s="21" t="str">
        <f>IF($A67="","",IFERROR(INDEX(計算用!$D$2:$D$186,MATCH("男白"&amp;($A67*2-1),計算用!$L$2:$L$186,0)),""))</f>
        <v/>
      </c>
      <c r="G67" s="20" t="str">
        <f>IF($A67="","",IFERROR(INDEX(計算用!$M$2:$M$186,MATCH("男白"&amp;($A67*2-1),計算用!$L$2:$L$186,0)),""))</f>
        <v/>
      </c>
      <c r="H67" s="21" t="str">
        <f>IF($A67="","",IFERROR(INDEX(計算用!$D$2:$D$186,MATCH("男白"&amp;($A67*2-0),計算用!$L$2:$L$186,0)),""))</f>
        <v/>
      </c>
      <c r="I67" s="20" t="str">
        <f>IF($A67="","",IFERROR(INDEX(計算用!$M$2:$M$186,MATCH("男白"&amp;($A67*2-0),計算用!$L$2:$L$186,0)),""))</f>
        <v/>
      </c>
      <c r="K67" s="20" t="str">
        <f>IF(ROW()-3&lt;=ROUNDUP(MAX(計算用!$Q$4,計算用!$Q$5)/2,0),ROW()-3,"")</f>
        <v/>
      </c>
      <c r="L67" s="21" t="str">
        <f>IF($K67="","",IFERROR(INDEX(計算用!$D$2:$D$186,MATCH("女赤"&amp;($K67*2-1),計算用!$L$2:$L$186,0)),""))</f>
        <v/>
      </c>
      <c r="M67" s="20" t="str">
        <f>IF($K67="","",IFERROR(INDEX(計算用!$M$2:$M$186,MATCH("女赤"&amp;($K67*2-1),計算用!$L$2:$L$186,0)),""))</f>
        <v/>
      </c>
      <c r="N67" s="21" t="str">
        <f>IF($K67="","",IFERROR(INDEX(計算用!$D$2:$D$186,MATCH("女赤"&amp;($K67*2-0),計算用!$L$2:$L$186,0)),""))</f>
        <v/>
      </c>
      <c r="O67" s="20" t="str">
        <f>IF($K67="","",IFERROR(INDEX(計算用!$M$2:$M$186,MATCH("女赤"&amp;($K67*2-0),計算用!$L$2:$L$186,0)),""))</f>
        <v/>
      </c>
      <c r="P67" s="21" t="str">
        <f>IF($K67="","",IFERROR(INDEX(計算用!$D$2:$D$186,MATCH("女白"&amp;($K67*2-1),計算用!$L$2:$L$186,0)),""))</f>
        <v/>
      </c>
      <c r="Q67" s="20" t="str">
        <f>IF($K67="","",IFERROR(INDEX(計算用!$M$2:$M$186,MATCH("女白"&amp;($K67*2-1),計算用!$L$2:$L$186,0)),""))</f>
        <v/>
      </c>
      <c r="R67" s="21" t="str">
        <f>IF($K67="","",IFERROR(INDEX(計算用!$D$2:$D$186,MATCH("女白"&amp;($K67*2-0),計算用!$L$2:$L$186,0)),""))</f>
        <v/>
      </c>
      <c r="S67" s="20" t="str">
        <f>IF($K67="","",IFERROR(INDEX(計算用!$M$2:$M$186,MATCH("女白"&amp;($K67*2-0),計算用!$L$2:$L$186,0)),""))</f>
        <v/>
      </c>
    </row>
    <row r="68" spans="1:19" x14ac:dyDescent="0.15">
      <c r="A68" s="20" t="str">
        <f>IF(ROW()-3&lt;=ROUNDUP(MAX(計算用!$Q$2,計算用!$Q$3)/2,0),ROW()-3,"")</f>
        <v/>
      </c>
      <c r="B68" s="21" t="str">
        <f>IF($A68="","",IFERROR(INDEX(計算用!$D$2:$D$186,MATCH("男赤"&amp;($A68*2-1),計算用!$L$2:$L$186,0)),""))</f>
        <v/>
      </c>
      <c r="C68" s="20" t="str">
        <f>IF($A68="","",IFERROR(INDEX(計算用!$M$2:$M$186,MATCH("男赤"&amp;($A68*2-1),計算用!$L$2:$L$186,0)),""))</f>
        <v/>
      </c>
      <c r="D68" s="21" t="str">
        <f>IF($A68="","",IFERROR(INDEX(計算用!$D$2:$D$186,MATCH("男赤"&amp;($A68*2-0),計算用!$L$2:$L$186,0)),""))</f>
        <v/>
      </c>
      <c r="E68" s="20" t="str">
        <f>IF($A68="","",IFERROR(INDEX(計算用!$M$2:$M$186,MATCH("男赤"&amp;($A68*2-0),計算用!$L$2:$L$186,0)),""))</f>
        <v/>
      </c>
      <c r="F68" s="21" t="str">
        <f>IF($A68="","",IFERROR(INDEX(計算用!$D$2:$D$186,MATCH("男白"&amp;($A68*2-1),計算用!$L$2:$L$186,0)),""))</f>
        <v/>
      </c>
      <c r="G68" s="20" t="str">
        <f>IF($A68="","",IFERROR(INDEX(計算用!$M$2:$M$186,MATCH("男白"&amp;($A68*2-1),計算用!$L$2:$L$186,0)),""))</f>
        <v/>
      </c>
      <c r="H68" s="21" t="str">
        <f>IF($A68="","",IFERROR(INDEX(計算用!$D$2:$D$186,MATCH("男白"&amp;($A68*2-0),計算用!$L$2:$L$186,0)),""))</f>
        <v/>
      </c>
      <c r="I68" s="20" t="str">
        <f>IF($A68="","",IFERROR(INDEX(計算用!$M$2:$M$186,MATCH("男白"&amp;($A68*2-0),計算用!$L$2:$L$186,0)),""))</f>
        <v/>
      </c>
      <c r="K68" s="20" t="str">
        <f>IF(ROW()-3&lt;=ROUNDUP(MAX(計算用!$Q$4,計算用!$Q$5)/2,0),ROW()-3,"")</f>
        <v/>
      </c>
      <c r="L68" s="21" t="str">
        <f>IF($K68="","",IFERROR(INDEX(計算用!$D$2:$D$186,MATCH("女赤"&amp;($K68*2-1),計算用!$L$2:$L$186,0)),""))</f>
        <v/>
      </c>
      <c r="M68" s="20" t="str">
        <f>IF($K68="","",IFERROR(INDEX(計算用!$M$2:$M$186,MATCH("女赤"&amp;($K68*2-1),計算用!$L$2:$L$186,0)),""))</f>
        <v/>
      </c>
      <c r="N68" s="21" t="str">
        <f>IF($K68="","",IFERROR(INDEX(計算用!$D$2:$D$186,MATCH("女赤"&amp;($K68*2-0),計算用!$L$2:$L$186,0)),""))</f>
        <v/>
      </c>
      <c r="O68" s="20" t="str">
        <f>IF($K68="","",IFERROR(INDEX(計算用!$M$2:$M$186,MATCH("女赤"&amp;($K68*2-0),計算用!$L$2:$L$186,0)),""))</f>
        <v/>
      </c>
      <c r="P68" s="21" t="str">
        <f>IF($K68="","",IFERROR(INDEX(計算用!$D$2:$D$186,MATCH("女白"&amp;($K68*2-1),計算用!$L$2:$L$186,0)),""))</f>
        <v/>
      </c>
      <c r="Q68" s="20" t="str">
        <f>IF($K68="","",IFERROR(INDEX(計算用!$M$2:$M$186,MATCH("女白"&amp;($K68*2-1),計算用!$L$2:$L$186,0)),""))</f>
        <v/>
      </c>
      <c r="R68" s="21" t="str">
        <f>IF($K68="","",IFERROR(INDEX(計算用!$D$2:$D$186,MATCH("女白"&amp;($K68*2-0),計算用!$L$2:$L$186,0)),""))</f>
        <v/>
      </c>
      <c r="S68" s="20" t="str">
        <f>IF($K68="","",IFERROR(INDEX(計算用!$M$2:$M$186,MATCH("女白"&amp;($K68*2-0),計算用!$L$2:$L$186,0)),""))</f>
        <v/>
      </c>
    </row>
    <row r="69" spans="1:19" x14ac:dyDescent="0.15">
      <c r="A69" s="20" t="str">
        <f>IF(ROW()-3&lt;=ROUNDUP(MAX(計算用!$Q$2,計算用!$Q$3)/2,0),ROW()-3,"")</f>
        <v/>
      </c>
      <c r="B69" s="21" t="str">
        <f>IF($A69="","",IFERROR(INDEX(計算用!$D$2:$D$186,MATCH("男赤"&amp;($A69*2-1),計算用!$L$2:$L$186,0)),""))</f>
        <v/>
      </c>
      <c r="C69" s="20" t="str">
        <f>IF($A69="","",IFERROR(INDEX(計算用!$M$2:$M$186,MATCH("男赤"&amp;($A69*2-1),計算用!$L$2:$L$186,0)),""))</f>
        <v/>
      </c>
      <c r="D69" s="21" t="str">
        <f>IF($A69="","",IFERROR(INDEX(計算用!$D$2:$D$186,MATCH("男赤"&amp;($A69*2-0),計算用!$L$2:$L$186,0)),""))</f>
        <v/>
      </c>
      <c r="E69" s="20" t="str">
        <f>IF($A69="","",IFERROR(INDEX(計算用!$M$2:$M$186,MATCH("男赤"&amp;($A69*2-0),計算用!$L$2:$L$186,0)),""))</f>
        <v/>
      </c>
      <c r="F69" s="21" t="str">
        <f>IF($A69="","",IFERROR(INDEX(計算用!$D$2:$D$186,MATCH("男白"&amp;($A69*2-1),計算用!$L$2:$L$186,0)),""))</f>
        <v/>
      </c>
      <c r="G69" s="20" t="str">
        <f>IF($A69="","",IFERROR(INDEX(計算用!$M$2:$M$186,MATCH("男白"&amp;($A69*2-1),計算用!$L$2:$L$186,0)),""))</f>
        <v/>
      </c>
      <c r="H69" s="21" t="str">
        <f>IF($A69="","",IFERROR(INDEX(計算用!$D$2:$D$186,MATCH("男白"&amp;($A69*2-0),計算用!$L$2:$L$186,0)),""))</f>
        <v/>
      </c>
      <c r="I69" s="20" t="str">
        <f>IF($A69="","",IFERROR(INDEX(計算用!$M$2:$M$186,MATCH("男白"&amp;($A69*2-0),計算用!$L$2:$L$186,0)),""))</f>
        <v/>
      </c>
      <c r="K69" s="20" t="str">
        <f>IF(ROW()-3&lt;=ROUNDUP(MAX(計算用!$Q$4,計算用!$Q$5)/2,0),ROW()-3,"")</f>
        <v/>
      </c>
      <c r="L69" s="21" t="str">
        <f>IF($K69="","",IFERROR(INDEX(計算用!$D$2:$D$186,MATCH("女赤"&amp;($K69*2-1),計算用!$L$2:$L$186,0)),""))</f>
        <v/>
      </c>
      <c r="M69" s="20" t="str">
        <f>IF($K69="","",IFERROR(INDEX(計算用!$M$2:$M$186,MATCH("女赤"&amp;($K69*2-1),計算用!$L$2:$L$186,0)),""))</f>
        <v/>
      </c>
      <c r="N69" s="21" t="str">
        <f>IF($K69="","",IFERROR(INDEX(計算用!$D$2:$D$186,MATCH("女赤"&amp;($K69*2-0),計算用!$L$2:$L$186,0)),""))</f>
        <v/>
      </c>
      <c r="O69" s="20" t="str">
        <f>IF($K69="","",IFERROR(INDEX(計算用!$M$2:$M$186,MATCH("女赤"&amp;($K69*2-0),計算用!$L$2:$L$186,0)),""))</f>
        <v/>
      </c>
      <c r="P69" s="21" t="str">
        <f>IF($K69="","",IFERROR(INDEX(計算用!$D$2:$D$186,MATCH("女白"&amp;($K69*2-1),計算用!$L$2:$L$186,0)),""))</f>
        <v/>
      </c>
      <c r="Q69" s="20" t="str">
        <f>IF($K69="","",IFERROR(INDEX(計算用!$M$2:$M$186,MATCH("女白"&amp;($K69*2-1),計算用!$L$2:$L$186,0)),""))</f>
        <v/>
      </c>
      <c r="R69" s="21" t="str">
        <f>IF($K69="","",IFERROR(INDEX(計算用!$D$2:$D$186,MATCH("女白"&amp;($K69*2-0),計算用!$L$2:$L$186,0)),""))</f>
        <v/>
      </c>
      <c r="S69" s="20" t="str">
        <f>IF($K69="","",IFERROR(INDEX(計算用!$M$2:$M$186,MATCH("女白"&amp;($K69*2-0),計算用!$L$2:$L$186,0)),""))</f>
        <v/>
      </c>
    </row>
    <row r="70" spans="1:19" x14ac:dyDescent="0.15">
      <c r="A70" s="20" t="str">
        <f>IF(ROW()-3&lt;=ROUNDUP(MAX(計算用!$Q$2,計算用!$Q$3)/2,0),ROW()-3,"")</f>
        <v/>
      </c>
      <c r="B70" s="21" t="str">
        <f>IF($A70="","",IFERROR(INDEX(計算用!$D$2:$D$186,MATCH("男赤"&amp;($A70*2-1),計算用!$L$2:$L$186,0)),""))</f>
        <v/>
      </c>
      <c r="C70" s="20" t="str">
        <f>IF($A70="","",IFERROR(INDEX(計算用!$M$2:$M$186,MATCH("男赤"&amp;($A70*2-1),計算用!$L$2:$L$186,0)),""))</f>
        <v/>
      </c>
      <c r="D70" s="21" t="str">
        <f>IF($A70="","",IFERROR(INDEX(計算用!$D$2:$D$186,MATCH("男赤"&amp;($A70*2-0),計算用!$L$2:$L$186,0)),""))</f>
        <v/>
      </c>
      <c r="E70" s="20" t="str">
        <f>IF($A70="","",IFERROR(INDEX(計算用!$M$2:$M$186,MATCH("男赤"&amp;($A70*2-0),計算用!$L$2:$L$186,0)),""))</f>
        <v/>
      </c>
      <c r="F70" s="21" t="str">
        <f>IF($A70="","",IFERROR(INDEX(計算用!$D$2:$D$186,MATCH("男白"&amp;($A70*2-1),計算用!$L$2:$L$186,0)),""))</f>
        <v/>
      </c>
      <c r="G70" s="20" t="str">
        <f>IF($A70="","",IFERROR(INDEX(計算用!$M$2:$M$186,MATCH("男白"&amp;($A70*2-1),計算用!$L$2:$L$186,0)),""))</f>
        <v/>
      </c>
      <c r="H70" s="21" t="str">
        <f>IF($A70="","",IFERROR(INDEX(計算用!$D$2:$D$186,MATCH("男白"&amp;($A70*2-0),計算用!$L$2:$L$186,0)),""))</f>
        <v/>
      </c>
      <c r="I70" s="20" t="str">
        <f>IF($A70="","",IFERROR(INDEX(計算用!$M$2:$M$186,MATCH("男白"&amp;($A70*2-0),計算用!$L$2:$L$186,0)),""))</f>
        <v/>
      </c>
      <c r="K70" s="20" t="str">
        <f>IF(ROW()-3&lt;=ROUNDUP(MAX(計算用!$Q$4,計算用!$Q$5)/2,0),ROW()-3,"")</f>
        <v/>
      </c>
      <c r="L70" s="21" t="str">
        <f>IF($K70="","",IFERROR(INDEX(計算用!$D$2:$D$186,MATCH("女赤"&amp;($K70*2-1),計算用!$L$2:$L$186,0)),""))</f>
        <v/>
      </c>
      <c r="M70" s="20" t="str">
        <f>IF($K70="","",IFERROR(INDEX(計算用!$M$2:$M$186,MATCH("女赤"&amp;($K70*2-1),計算用!$L$2:$L$186,0)),""))</f>
        <v/>
      </c>
      <c r="N70" s="21" t="str">
        <f>IF($K70="","",IFERROR(INDEX(計算用!$D$2:$D$186,MATCH("女赤"&amp;($K70*2-0),計算用!$L$2:$L$186,0)),""))</f>
        <v/>
      </c>
      <c r="O70" s="20" t="str">
        <f>IF($K70="","",IFERROR(INDEX(計算用!$M$2:$M$186,MATCH("女赤"&amp;($K70*2-0),計算用!$L$2:$L$186,0)),""))</f>
        <v/>
      </c>
      <c r="P70" s="21" t="str">
        <f>IF($K70="","",IFERROR(INDEX(計算用!$D$2:$D$186,MATCH("女白"&amp;($K70*2-1),計算用!$L$2:$L$186,0)),""))</f>
        <v/>
      </c>
      <c r="Q70" s="20" t="str">
        <f>IF($K70="","",IFERROR(INDEX(計算用!$M$2:$M$186,MATCH("女白"&amp;($K70*2-1),計算用!$L$2:$L$186,0)),""))</f>
        <v/>
      </c>
      <c r="R70" s="21" t="str">
        <f>IF($K70="","",IFERROR(INDEX(計算用!$D$2:$D$186,MATCH("女白"&amp;($K70*2-0),計算用!$L$2:$L$186,0)),""))</f>
        <v/>
      </c>
      <c r="S70" s="20" t="str">
        <f>IF($K70="","",IFERROR(INDEX(計算用!$M$2:$M$186,MATCH("女白"&amp;($K70*2-0),計算用!$L$2:$L$186,0)),""))</f>
        <v/>
      </c>
    </row>
    <row r="71" spans="1:19" x14ac:dyDescent="0.15">
      <c r="A71" s="20" t="str">
        <f>IF(ROW()-3&lt;=ROUNDUP(MAX(計算用!$Q$2,計算用!$Q$3)/2,0),ROW()-3,"")</f>
        <v/>
      </c>
      <c r="B71" s="21" t="str">
        <f>IF($A71="","",IFERROR(INDEX(計算用!$D$2:$D$186,MATCH("男赤"&amp;($A71*2-1),計算用!$L$2:$L$186,0)),""))</f>
        <v/>
      </c>
      <c r="C71" s="20" t="str">
        <f>IF($A71="","",IFERROR(INDEX(計算用!$M$2:$M$186,MATCH("男赤"&amp;($A71*2-1),計算用!$L$2:$L$186,0)),""))</f>
        <v/>
      </c>
      <c r="D71" s="21" t="str">
        <f>IF($A71="","",IFERROR(INDEX(計算用!$D$2:$D$186,MATCH("男赤"&amp;($A71*2-0),計算用!$L$2:$L$186,0)),""))</f>
        <v/>
      </c>
      <c r="E71" s="20" t="str">
        <f>IF($A71="","",IFERROR(INDEX(計算用!$M$2:$M$186,MATCH("男赤"&amp;($A71*2-0),計算用!$L$2:$L$186,0)),""))</f>
        <v/>
      </c>
      <c r="F71" s="21" t="str">
        <f>IF($A71="","",IFERROR(INDEX(計算用!$D$2:$D$186,MATCH("男白"&amp;($A71*2-1),計算用!$L$2:$L$186,0)),""))</f>
        <v/>
      </c>
      <c r="G71" s="20" t="str">
        <f>IF($A71="","",IFERROR(INDEX(計算用!$M$2:$M$186,MATCH("男白"&amp;($A71*2-1),計算用!$L$2:$L$186,0)),""))</f>
        <v/>
      </c>
      <c r="H71" s="21" t="str">
        <f>IF($A71="","",IFERROR(INDEX(計算用!$D$2:$D$186,MATCH("男白"&amp;($A71*2-0),計算用!$L$2:$L$186,0)),""))</f>
        <v/>
      </c>
      <c r="I71" s="20" t="str">
        <f>IF($A71="","",IFERROR(INDEX(計算用!$M$2:$M$186,MATCH("男白"&amp;($A71*2-0),計算用!$L$2:$L$186,0)),""))</f>
        <v/>
      </c>
      <c r="K71" s="20" t="str">
        <f>IF(ROW()-3&lt;=ROUNDUP(MAX(計算用!$Q$4,計算用!$Q$5)/2,0),ROW()-3,"")</f>
        <v/>
      </c>
      <c r="L71" s="21" t="str">
        <f>IF($K71="","",IFERROR(INDEX(計算用!$D$2:$D$186,MATCH("女赤"&amp;($K71*2-1),計算用!$L$2:$L$186,0)),""))</f>
        <v/>
      </c>
      <c r="M71" s="20" t="str">
        <f>IF($K71="","",IFERROR(INDEX(計算用!$M$2:$M$186,MATCH("女赤"&amp;($K71*2-1),計算用!$L$2:$L$186,0)),""))</f>
        <v/>
      </c>
      <c r="N71" s="21" t="str">
        <f>IF($K71="","",IFERROR(INDEX(計算用!$D$2:$D$186,MATCH("女赤"&amp;($K71*2-0),計算用!$L$2:$L$186,0)),""))</f>
        <v/>
      </c>
      <c r="O71" s="20" t="str">
        <f>IF($K71="","",IFERROR(INDEX(計算用!$M$2:$M$186,MATCH("女赤"&amp;($K71*2-0),計算用!$L$2:$L$186,0)),""))</f>
        <v/>
      </c>
      <c r="P71" s="21" t="str">
        <f>IF($K71="","",IFERROR(INDEX(計算用!$D$2:$D$186,MATCH("女白"&amp;($K71*2-1),計算用!$L$2:$L$186,0)),""))</f>
        <v/>
      </c>
      <c r="Q71" s="20" t="str">
        <f>IF($K71="","",IFERROR(INDEX(計算用!$M$2:$M$186,MATCH("女白"&amp;($K71*2-1),計算用!$L$2:$L$186,0)),""))</f>
        <v/>
      </c>
      <c r="R71" s="21" t="str">
        <f>IF($K71="","",IFERROR(INDEX(計算用!$D$2:$D$186,MATCH("女白"&amp;($K71*2-0),計算用!$L$2:$L$186,0)),""))</f>
        <v/>
      </c>
      <c r="S71" s="20" t="str">
        <f>IF($K71="","",IFERROR(INDEX(計算用!$M$2:$M$186,MATCH("女白"&amp;($K71*2-0),計算用!$L$2:$L$186,0)),""))</f>
        <v/>
      </c>
    </row>
    <row r="72" spans="1:19" x14ac:dyDescent="0.15">
      <c r="A72" s="20" t="str">
        <f>IF(ROW()-3&lt;=ROUNDUP(MAX(計算用!$Q$2,計算用!$Q$3)/2,0),ROW()-3,"")</f>
        <v/>
      </c>
      <c r="B72" s="21" t="str">
        <f>IF($A72="","",IFERROR(INDEX(計算用!$D$2:$D$186,MATCH("男赤"&amp;($A72*2-1),計算用!$L$2:$L$186,0)),""))</f>
        <v/>
      </c>
      <c r="C72" s="20" t="str">
        <f>IF($A72="","",IFERROR(INDEX(計算用!$M$2:$M$186,MATCH("男赤"&amp;($A72*2-1),計算用!$L$2:$L$186,0)),""))</f>
        <v/>
      </c>
      <c r="D72" s="21" t="str">
        <f>IF($A72="","",IFERROR(INDEX(計算用!$D$2:$D$186,MATCH("男赤"&amp;($A72*2-0),計算用!$L$2:$L$186,0)),""))</f>
        <v/>
      </c>
      <c r="E72" s="20" t="str">
        <f>IF($A72="","",IFERROR(INDEX(計算用!$M$2:$M$186,MATCH("男赤"&amp;($A72*2-0),計算用!$L$2:$L$186,0)),""))</f>
        <v/>
      </c>
      <c r="F72" s="21" t="str">
        <f>IF($A72="","",IFERROR(INDEX(計算用!$D$2:$D$186,MATCH("男白"&amp;($A72*2-1),計算用!$L$2:$L$186,0)),""))</f>
        <v/>
      </c>
      <c r="G72" s="20" t="str">
        <f>IF($A72="","",IFERROR(INDEX(計算用!$M$2:$M$186,MATCH("男白"&amp;($A72*2-1),計算用!$L$2:$L$186,0)),""))</f>
        <v/>
      </c>
      <c r="H72" s="21" t="str">
        <f>IF($A72="","",IFERROR(INDEX(計算用!$D$2:$D$186,MATCH("男白"&amp;($A72*2-0),計算用!$L$2:$L$186,0)),""))</f>
        <v/>
      </c>
      <c r="I72" s="20" t="str">
        <f>IF($A72="","",IFERROR(INDEX(計算用!$M$2:$M$186,MATCH("男白"&amp;($A72*2-0),計算用!$L$2:$L$186,0)),""))</f>
        <v/>
      </c>
      <c r="K72" s="20" t="str">
        <f>IF(ROW()-3&lt;=ROUNDUP(MAX(計算用!$Q$4,計算用!$Q$5)/2,0),ROW()-3,"")</f>
        <v/>
      </c>
      <c r="L72" s="21" t="str">
        <f>IF($K72="","",IFERROR(INDEX(計算用!$D$2:$D$186,MATCH("女赤"&amp;($K72*2-1),計算用!$L$2:$L$186,0)),""))</f>
        <v/>
      </c>
      <c r="M72" s="20" t="str">
        <f>IF($K72="","",IFERROR(INDEX(計算用!$M$2:$M$186,MATCH("女赤"&amp;($K72*2-1),計算用!$L$2:$L$186,0)),""))</f>
        <v/>
      </c>
      <c r="N72" s="21" t="str">
        <f>IF($K72="","",IFERROR(INDEX(計算用!$D$2:$D$186,MATCH("女赤"&amp;($K72*2-0),計算用!$L$2:$L$186,0)),""))</f>
        <v/>
      </c>
      <c r="O72" s="20" t="str">
        <f>IF($K72="","",IFERROR(INDEX(計算用!$M$2:$M$186,MATCH("女赤"&amp;($K72*2-0),計算用!$L$2:$L$186,0)),""))</f>
        <v/>
      </c>
      <c r="P72" s="21" t="str">
        <f>IF($K72="","",IFERROR(INDEX(計算用!$D$2:$D$186,MATCH("女白"&amp;($K72*2-1),計算用!$L$2:$L$186,0)),""))</f>
        <v/>
      </c>
      <c r="Q72" s="20" t="str">
        <f>IF($K72="","",IFERROR(INDEX(計算用!$M$2:$M$186,MATCH("女白"&amp;($K72*2-1),計算用!$L$2:$L$186,0)),""))</f>
        <v/>
      </c>
      <c r="R72" s="21" t="str">
        <f>IF($K72="","",IFERROR(INDEX(計算用!$D$2:$D$186,MATCH("女白"&amp;($K72*2-0),計算用!$L$2:$L$186,0)),""))</f>
        <v/>
      </c>
      <c r="S72" s="20" t="str">
        <f>IF($K72="","",IFERROR(INDEX(計算用!$M$2:$M$186,MATCH("女白"&amp;($K72*2-0),計算用!$L$2:$L$186,0)),""))</f>
        <v/>
      </c>
    </row>
    <row r="73" spans="1:19" x14ac:dyDescent="0.15">
      <c r="A73" s="20" t="str">
        <f>IF(ROW()-3&lt;=ROUNDUP(MAX(計算用!$Q$2,計算用!$Q$3)/2,0),ROW()-3,"")</f>
        <v/>
      </c>
      <c r="B73" s="21" t="str">
        <f>IF($A73="","",IFERROR(INDEX(計算用!$D$2:$D$186,MATCH("男赤"&amp;($A73*2-1),計算用!$L$2:$L$186,0)),""))</f>
        <v/>
      </c>
      <c r="C73" s="20" t="str">
        <f>IF($A73="","",IFERROR(INDEX(計算用!$M$2:$M$186,MATCH("男赤"&amp;($A73*2-1),計算用!$L$2:$L$186,0)),""))</f>
        <v/>
      </c>
      <c r="D73" s="21" t="str">
        <f>IF($A73="","",IFERROR(INDEX(計算用!$D$2:$D$186,MATCH("男赤"&amp;($A73*2-0),計算用!$L$2:$L$186,0)),""))</f>
        <v/>
      </c>
      <c r="E73" s="20" t="str">
        <f>IF($A73="","",IFERROR(INDEX(計算用!$M$2:$M$186,MATCH("男赤"&amp;($A73*2-0),計算用!$L$2:$L$186,0)),""))</f>
        <v/>
      </c>
      <c r="F73" s="21" t="str">
        <f>IF($A73="","",IFERROR(INDEX(計算用!$D$2:$D$186,MATCH("男白"&amp;($A73*2-1),計算用!$L$2:$L$186,0)),""))</f>
        <v/>
      </c>
      <c r="G73" s="20" t="str">
        <f>IF($A73="","",IFERROR(INDEX(計算用!$M$2:$M$186,MATCH("男白"&amp;($A73*2-1),計算用!$L$2:$L$186,0)),""))</f>
        <v/>
      </c>
      <c r="H73" s="21" t="str">
        <f>IF($A73="","",IFERROR(INDEX(計算用!$D$2:$D$186,MATCH("男白"&amp;($A73*2-0),計算用!$L$2:$L$186,0)),""))</f>
        <v/>
      </c>
      <c r="I73" s="20" t="str">
        <f>IF($A73="","",IFERROR(INDEX(計算用!$M$2:$M$186,MATCH("男白"&amp;($A73*2-0),計算用!$L$2:$L$186,0)),""))</f>
        <v/>
      </c>
      <c r="K73" s="20" t="str">
        <f>IF(ROW()-3&lt;=ROUNDUP(MAX(計算用!$Q$4,計算用!$Q$5)/2,0),ROW()-3,"")</f>
        <v/>
      </c>
      <c r="L73" s="21" t="str">
        <f>IF($K73="","",IFERROR(INDEX(計算用!$D$2:$D$186,MATCH("女赤"&amp;($K73*2-1),計算用!$L$2:$L$186,0)),""))</f>
        <v/>
      </c>
      <c r="M73" s="20" t="str">
        <f>IF($K73="","",IFERROR(INDEX(計算用!$M$2:$M$186,MATCH("女赤"&amp;($K73*2-1),計算用!$L$2:$L$186,0)),""))</f>
        <v/>
      </c>
      <c r="N73" s="21" t="str">
        <f>IF($K73="","",IFERROR(INDEX(計算用!$D$2:$D$186,MATCH("女赤"&amp;($K73*2-0),計算用!$L$2:$L$186,0)),""))</f>
        <v/>
      </c>
      <c r="O73" s="20" t="str">
        <f>IF($K73="","",IFERROR(INDEX(計算用!$M$2:$M$186,MATCH("女赤"&amp;($K73*2-0),計算用!$L$2:$L$186,0)),""))</f>
        <v/>
      </c>
      <c r="P73" s="21" t="str">
        <f>IF($K73="","",IFERROR(INDEX(計算用!$D$2:$D$186,MATCH("女白"&amp;($K73*2-1),計算用!$L$2:$L$186,0)),""))</f>
        <v/>
      </c>
      <c r="Q73" s="20" t="str">
        <f>IF($K73="","",IFERROR(INDEX(計算用!$M$2:$M$186,MATCH("女白"&amp;($K73*2-1),計算用!$L$2:$L$186,0)),""))</f>
        <v/>
      </c>
      <c r="R73" s="21" t="str">
        <f>IF($K73="","",IFERROR(INDEX(計算用!$D$2:$D$186,MATCH("女白"&amp;($K73*2-0),計算用!$L$2:$L$186,0)),""))</f>
        <v/>
      </c>
      <c r="S73" s="20" t="str">
        <f>IF($K73="","",IFERROR(INDEX(計算用!$M$2:$M$186,MATCH("女白"&amp;($K73*2-0),計算用!$L$2:$L$186,0)),""))</f>
        <v/>
      </c>
    </row>
    <row r="74" spans="1:19" x14ac:dyDescent="0.15">
      <c r="A74" s="20" t="str">
        <f>IF(ROW()-3&lt;=ROUNDUP(MAX(計算用!$Q$2,計算用!$Q$3)/2,0),ROW()-3,"")</f>
        <v/>
      </c>
      <c r="B74" s="21" t="str">
        <f>IF($A74="","",IFERROR(INDEX(計算用!$D$2:$D$186,MATCH("男赤"&amp;($A74*2-1),計算用!$L$2:$L$186,0)),""))</f>
        <v/>
      </c>
      <c r="C74" s="20" t="str">
        <f>IF($A74="","",IFERROR(INDEX(計算用!$M$2:$M$186,MATCH("男赤"&amp;($A74*2-1),計算用!$L$2:$L$186,0)),""))</f>
        <v/>
      </c>
      <c r="D74" s="21" t="str">
        <f>IF($A74="","",IFERROR(INDEX(計算用!$D$2:$D$186,MATCH("男赤"&amp;($A74*2-0),計算用!$L$2:$L$186,0)),""))</f>
        <v/>
      </c>
      <c r="E74" s="20" t="str">
        <f>IF($A74="","",IFERROR(INDEX(計算用!$M$2:$M$186,MATCH("男赤"&amp;($A74*2-0),計算用!$L$2:$L$186,0)),""))</f>
        <v/>
      </c>
      <c r="F74" s="21" t="str">
        <f>IF($A74="","",IFERROR(INDEX(計算用!$D$2:$D$186,MATCH("男白"&amp;($A74*2-1),計算用!$L$2:$L$186,0)),""))</f>
        <v/>
      </c>
      <c r="G74" s="20" t="str">
        <f>IF($A74="","",IFERROR(INDEX(計算用!$M$2:$M$186,MATCH("男白"&amp;($A74*2-1),計算用!$L$2:$L$186,0)),""))</f>
        <v/>
      </c>
      <c r="H74" s="21" t="str">
        <f>IF($A74="","",IFERROR(INDEX(計算用!$D$2:$D$186,MATCH("男白"&amp;($A74*2-0),計算用!$L$2:$L$186,0)),""))</f>
        <v/>
      </c>
      <c r="I74" s="20" t="str">
        <f>IF($A74="","",IFERROR(INDEX(計算用!$M$2:$M$186,MATCH("男白"&amp;($A74*2-0),計算用!$L$2:$L$186,0)),""))</f>
        <v/>
      </c>
      <c r="K74" s="20" t="str">
        <f>IF(ROW()-3&lt;=ROUNDUP(MAX(計算用!$Q$4,計算用!$Q$5)/2,0),ROW()-3,"")</f>
        <v/>
      </c>
      <c r="L74" s="21" t="str">
        <f>IF($K74="","",IFERROR(INDEX(計算用!$D$2:$D$186,MATCH("女赤"&amp;($K74*2-1),計算用!$L$2:$L$186,0)),""))</f>
        <v/>
      </c>
      <c r="M74" s="20" t="str">
        <f>IF($K74="","",IFERROR(INDEX(計算用!$M$2:$M$186,MATCH("女赤"&amp;($K74*2-1),計算用!$L$2:$L$186,0)),""))</f>
        <v/>
      </c>
      <c r="N74" s="21" t="str">
        <f>IF($K74="","",IFERROR(INDEX(計算用!$D$2:$D$186,MATCH("女赤"&amp;($K74*2-0),計算用!$L$2:$L$186,0)),""))</f>
        <v/>
      </c>
      <c r="O74" s="20" t="str">
        <f>IF($K74="","",IFERROR(INDEX(計算用!$M$2:$M$186,MATCH("女赤"&amp;($K74*2-0),計算用!$L$2:$L$186,0)),""))</f>
        <v/>
      </c>
      <c r="P74" s="21" t="str">
        <f>IF($K74="","",IFERROR(INDEX(計算用!$D$2:$D$186,MATCH("女白"&amp;($K74*2-1),計算用!$L$2:$L$186,0)),""))</f>
        <v/>
      </c>
      <c r="Q74" s="20" t="str">
        <f>IF($K74="","",IFERROR(INDEX(計算用!$M$2:$M$186,MATCH("女白"&amp;($K74*2-1),計算用!$L$2:$L$186,0)),""))</f>
        <v/>
      </c>
      <c r="R74" s="21" t="str">
        <f>IF($K74="","",IFERROR(INDEX(計算用!$D$2:$D$186,MATCH("女白"&amp;($K74*2-0),計算用!$L$2:$L$186,0)),""))</f>
        <v/>
      </c>
      <c r="S74" s="20" t="str">
        <f>IF($K74="","",IFERROR(INDEX(計算用!$M$2:$M$186,MATCH("女白"&amp;($K74*2-0),計算用!$L$2:$L$186,0)),""))</f>
        <v/>
      </c>
    </row>
    <row r="75" spans="1:19" x14ac:dyDescent="0.15">
      <c r="A75" s="20" t="str">
        <f>IF(ROW()-3&lt;=ROUNDUP(MAX(計算用!$Q$2,計算用!$Q$3)/2,0),ROW()-3,"")</f>
        <v/>
      </c>
      <c r="B75" s="21" t="str">
        <f>IF($A75="","",IFERROR(INDEX(計算用!$D$2:$D$186,MATCH("男赤"&amp;($A75*2-1),計算用!$L$2:$L$186,0)),""))</f>
        <v/>
      </c>
      <c r="C75" s="20" t="str">
        <f>IF($A75="","",IFERROR(INDEX(計算用!$M$2:$M$186,MATCH("男赤"&amp;($A75*2-1),計算用!$L$2:$L$186,0)),""))</f>
        <v/>
      </c>
      <c r="D75" s="21" t="str">
        <f>IF($A75="","",IFERROR(INDEX(計算用!$D$2:$D$186,MATCH("男赤"&amp;($A75*2-0),計算用!$L$2:$L$186,0)),""))</f>
        <v/>
      </c>
      <c r="E75" s="20" t="str">
        <f>IF($A75="","",IFERROR(INDEX(計算用!$M$2:$M$186,MATCH("男赤"&amp;($A75*2-0),計算用!$L$2:$L$186,0)),""))</f>
        <v/>
      </c>
      <c r="F75" s="21" t="str">
        <f>IF($A75="","",IFERROR(INDEX(計算用!$D$2:$D$186,MATCH("男白"&amp;($A75*2-1),計算用!$L$2:$L$186,0)),""))</f>
        <v/>
      </c>
      <c r="G75" s="20" t="str">
        <f>IF($A75="","",IFERROR(INDEX(計算用!$M$2:$M$186,MATCH("男白"&amp;($A75*2-1),計算用!$L$2:$L$186,0)),""))</f>
        <v/>
      </c>
      <c r="H75" s="21" t="str">
        <f>IF($A75="","",IFERROR(INDEX(計算用!$D$2:$D$186,MATCH("男白"&amp;($A75*2-0),計算用!$L$2:$L$186,0)),""))</f>
        <v/>
      </c>
      <c r="I75" s="20" t="str">
        <f>IF($A75="","",IFERROR(INDEX(計算用!$M$2:$M$186,MATCH("男白"&amp;($A75*2-0),計算用!$L$2:$L$186,0)),""))</f>
        <v/>
      </c>
      <c r="K75" s="20" t="str">
        <f>IF(ROW()-3&lt;=ROUNDUP(MAX(計算用!$Q$4,計算用!$Q$5)/2,0),ROW()-3,"")</f>
        <v/>
      </c>
      <c r="L75" s="21" t="str">
        <f>IF($K75="","",IFERROR(INDEX(計算用!$D$2:$D$186,MATCH("女赤"&amp;($K75*2-1),計算用!$L$2:$L$186,0)),""))</f>
        <v/>
      </c>
      <c r="M75" s="20" t="str">
        <f>IF($K75="","",IFERROR(INDEX(計算用!$M$2:$M$186,MATCH("女赤"&amp;($K75*2-1),計算用!$L$2:$L$186,0)),""))</f>
        <v/>
      </c>
      <c r="N75" s="21" t="str">
        <f>IF($K75="","",IFERROR(INDEX(計算用!$D$2:$D$186,MATCH("女赤"&amp;($K75*2-0),計算用!$L$2:$L$186,0)),""))</f>
        <v/>
      </c>
      <c r="O75" s="20" t="str">
        <f>IF($K75="","",IFERROR(INDEX(計算用!$M$2:$M$186,MATCH("女赤"&amp;($K75*2-0),計算用!$L$2:$L$186,0)),""))</f>
        <v/>
      </c>
      <c r="P75" s="21" t="str">
        <f>IF($K75="","",IFERROR(INDEX(計算用!$D$2:$D$186,MATCH("女白"&amp;($K75*2-1),計算用!$L$2:$L$186,0)),""))</f>
        <v/>
      </c>
      <c r="Q75" s="20" t="str">
        <f>IF($K75="","",IFERROR(INDEX(計算用!$M$2:$M$186,MATCH("女白"&amp;($K75*2-1),計算用!$L$2:$L$186,0)),""))</f>
        <v/>
      </c>
      <c r="R75" s="21" t="str">
        <f>IF($K75="","",IFERROR(INDEX(計算用!$D$2:$D$186,MATCH("女白"&amp;($K75*2-0),計算用!$L$2:$L$186,0)),""))</f>
        <v/>
      </c>
      <c r="S75" s="20" t="str">
        <f>IF($K75="","",IFERROR(INDEX(計算用!$M$2:$M$186,MATCH("女白"&amp;($K75*2-0),計算用!$L$2:$L$186,0)),""))</f>
        <v/>
      </c>
    </row>
    <row r="76" spans="1:19" x14ac:dyDescent="0.15">
      <c r="A76" s="20" t="str">
        <f>IF(ROW()-3&lt;=ROUNDUP(MAX(計算用!$Q$2,計算用!$Q$3)/2,0),ROW()-3,"")</f>
        <v/>
      </c>
      <c r="B76" s="21" t="str">
        <f>IF($A76="","",IFERROR(INDEX(計算用!$D$2:$D$186,MATCH("男赤"&amp;($A76*2-1),計算用!$L$2:$L$186,0)),""))</f>
        <v/>
      </c>
      <c r="C76" s="20" t="str">
        <f>IF($A76="","",IFERROR(INDEX(計算用!$M$2:$M$186,MATCH("男赤"&amp;($A76*2-1),計算用!$L$2:$L$186,0)),""))</f>
        <v/>
      </c>
      <c r="D76" s="21" t="str">
        <f>IF($A76="","",IFERROR(INDEX(計算用!$D$2:$D$186,MATCH("男赤"&amp;($A76*2-0),計算用!$L$2:$L$186,0)),""))</f>
        <v/>
      </c>
      <c r="E76" s="20" t="str">
        <f>IF($A76="","",IFERROR(INDEX(計算用!$M$2:$M$186,MATCH("男赤"&amp;($A76*2-0),計算用!$L$2:$L$186,0)),""))</f>
        <v/>
      </c>
      <c r="F76" s="21" t="str">
        <f>IF($A76="","",IFERROR(INDEX(計算用!$D$2:$D$186,MATCH("男白"&amp;($A76*2-1),計算用!$L$2:$L$186,0)),""))</f>
        <v/>
      </c>
      <c r="G76" s="20" t="str">
        <f>IF($A76="","",IFERROR(INDEX(計算用!$M$2:$M$186,MATCH("男白"&amp;($A76*2-1),計算用!$L$2:$L$186,0)),""))</f>
        <v/>
      </c>
      <c r="H76" s="21" t="str">
        <f>IF($A76="","",IFERROR(INDEX(計算用!$D$2:$D$186,MATCH("男白"&amp;($A76*2-0),計算用!$L$2:$L$186,0)),""))</f>
        <v/>
      </c>
      <c r="I76" s="20" t="str">
        <f>IF($A76="","",IFERROR(INDEX(計算用!$M$2:$M$186,MATCH("男白"&amp;($A76*2-0),計算用!$L$2:$L$186,0)),""))</f>
        <v/>
      </c>
      <c r="K76" s="20" t="str">
        <f>IF(ROW()-3&lt;=ROUNDUP(MAX(計算用!$Q$4,計算用!$Q$5)/2,0),ROW()-3,"")</f>
        <v/>
      </c>
      <c r="L76" s="21" t="str">
        <f>IF($K76="","",IFERROR(INDEX(計算用!$D$2:$D$186,MATCH("女赤"&amp;($K76*2-1),計算用!$L$2:$L$186,0)),""))</f>
        <v/>
      </c>
      <c r="M76" s="20" t="str">
        <f>IF($K76="","",IFERROR(INDEX(計算用!$M$2:$M$186,MATCH("女赤"&amp;($K76*2-1),計算用!$L$2:$L$186,0)),""))</f>
        <v/>
      </c>
      <c r="N76" s="21" t="str">
        <f>IF($K76="","",IFERROR(INDEX(計算用!$D$2:$D$186,MATCH("女赤"&amp;($K76*2-0),計算用!$L$2:$L$186,0)),""))</f>
        <v/>
      </c>
      <c r="O76" s="20" t="str">
        <f>IF($K76="","",IFERROR(INDEX(計算用!$M$2:$M$186,MATCH("女赤"&amp;($K76*2-0),計算用!$L$2:$L$186,0)),""))</f>
        <v/>
      </c>
      <c r="P76" s="21" t="str">
        <f>IF($K76="","",IFERROR(INDEX(計算用!$D$2:$D$186,MATCH("女白"&amp;($K76*2-1),計算用!$L$2:$L$186,0)),""))</f>
        <v/>
      </c>
      <c r="Q76" s="20" t="str">
        <f>IF($K76="","",IFERROR(INDEX(計算用!$M$2:$M$186,MATCH("女白"&amp;($K76*2-1),計算用!$L$2:$L$186,0)),""))</f>
        <v/>
      </c>
      <c r="R76" s="21" t="str">
        <f>IF($K76="","",IFERROR(INDEX(計算用!$D$2:$D$186,MATCH("女白"&amp;($K76*2-0),計算用!$L$2:$L$186,0)),""))</f>
        <v/>
      </c>
      <c r="S76" s="20" t="str">
        <f>IF($K76="","",IFERROR(INDEX(計算用!$M$2:$M$186,MATCH("女白"&amp;($K76*2-0),計算用!$L$2:$L$186,0)),""))</f>
        <v/>
      </c>
    </row>
    <row r="77" spans="1:19" x14ac:dyDescent="0.15">
      <c r="A77" s="20" t="str">
        <f>IF(ROW()-3&lt;=ROUNDUP(MAX(計算用!$Q$2,計算用!$Q$3)/2,0),ROW()-3,"")</f>
        <v/>
      </c>
      <c r="B77" s="21" t="str">
        <f>IF($A77="","",IFERROR(INDEX(計算用!$D$2:$D$186,MATCH("男赤"&amp;($A77*2-1),計算用!$L$2:$L$186,0)),""))</f>
        <v/>
      </c>
      <c r="C77" s="20" t="str">
        <f>IF($A77="","",IFERROR(INDEX(計算用!$M$2:$M$186,MATCH("男赤"&amp;($A77*2-1),計算用!$L$2:$L$186,0)),""))</f>
        <v/>
      </c>
      <c r="D77" s="21" t="str">
        <f>IF($A77="","",IFERROR(INDEX(計算用!$D$2:$D$186,MATCH("男赤"&amp;($A77*2-0),計算用!$L$2:$L$186,0)),""))</f>
        <v/>
      </c>
      <c r="E77" s="20" t="str">
        <f>IF($A77="","",IFERROR(INDEX(計算用!$M$2:$M$186,MATCH("男赤"&amp;($A77*2-0),計算用!$L$2:$L$186,0)),""))</f>
        <v/>
      </c>
      <c r="F77" s="21" t="str">
        <f>IF($A77="","",IFERROR(INDEX(計算用!$D$2:$D$186,MATCH("男白"&amp;($A77*2-1),計算用!$L$2:$L$186,0)),""))</f>
        <v/>
      </c>
      <c r="G77" s="20" t="str">
        <f>IF($A77="","",IFERROR(INDEX(計算用!$M$2:$M$186,MATCH("男白"&amp;($A77*2-1),計算用!$L$2:$L$186,0)),""))</f>
        <v/>
      </c>
      <c r="H77" s="21" t="str">
        <f>IF($A77="","",IFERROR(INDEX(計算用!$D$2:$D$186,MATCH("男白"&amp;($A77*2-0),計算用!$L$2:$L$186,0)),""))</f>
        <v/>
      </c>
      <c r="I77" s="20" t="str">
        <f>IF($A77="","",IFERROR(INDEX(計算用!$M$2:$M$186,MATCH("男白"&amp;($A77*2-0),計算用!$L$2:$L$186,0)),""))</f>
        <v/>
      </c>
      <c r="K77" s="20" t="str">
        <f>IF(ROW()-3&lt;=ROUNDUP(MAX(計算用!$Q$4,計算用!$Q$5)/2,0),ROW()-3,"")</f>
        <v/>
      </c>
      <c r="L77" s="21" t="str">
        <f>IF($K77="","",IFERROR(INDEX(計算用!$D$2:$D$186,MATCH("女赤"&amp;($K77*2-1),計算用!$L$2:$L$186,0)),""))</f>
        <v/>
      </c>
      <c r="M77" s="20" t="str">
        <f>IF($K77="","",IFERROR(INDEX(計算用!$M$2:$M$186,MATCH("女赤"&amp;($K77*2-1),計算用!$L$2:$L$186,0)),""))</f>
        <v/>
      </c>
      <c r="N77" s="21" t="str">
        <f>IF($K77="","",IFERROR(INDEX(計算用!$D$2:$D$186,MATCH("女赤"&amp;($K77*2-0),計算用!$L$2:$L$186,0)),""))</f>
        <v/>
      </c>
      <c r="O77" s="20" t="str">
        <f>IF($K77="","",IFERROR(INDEX(計算用!$M$2:$M$186,MATCH("女赤"&amp;($K77*2-0),計算用!$L$2:$L$186,0)),""))</f>
        <v/>
      </c>
      <c r="P77" s="21" t="str">
        <f>IF($K77="","",IFERROR(INDEX(計算用!$D$2:$D$186,MATCH("女白"&amp;($K77*2-1),計算用!$L$2:$L$186,0)),""))</f>
        <v/>
      </c>
      <c r="Q77" s="20" t="str">
        <f>IF($K77="","",IFERROR(INDEX(計算用!$M$2:$M$186,MATCH("女白"&amp;($K77*2-1),計算用!$L$2:$L$186,0)),""))</f>
        <v/>
      </c>
      <c r="R77" s="21" t="str">
        <f>IF($K77="","",IFERROR(INDEX(計算用!$D$2:$D$186,MATCH("女白"&amp;($K77*2-0),計算用!$L$2:$L$186,0)),""))</f>
        <v/>
      </c>
      <c r="S77" s="20" t="str">
        <f>IF($K77="","",IFERROR(INDEX(計算用!$M$2:$M$186,MATCH("女白"&amp;($K77*2-0),計算用!$L$2:$L$186,0)),""))</f>
        <v/>
      </c>
    </row>
    <row r="78" spans="1:19" x14ac:dyDescent="0.15">
      <c r="A78" s="20" t="str">
        <f>IF(ROW()-3&lt;=ROUNDUP(MAX(計算用!$Q$2,計算用!$Q$3)/2,0),ROW()-3,"")</f>
        <v/>
      </c>
      <c r="B78" s="21" t="str">
        <f>IF($A78="","",IFERROR(INDEX(計算用!$D$2:$D$186,MATCH("男赤"&amp;($A78*2-1),計算用!$L$2:$L$186,0)),""))</f>
        <v/>
      </c>
      <c r="C78" s="20" t="str">
        <f>IF($A78="","",IFERROR(INDEX(計算用!$M$2:$M$186,MATCH("男赤"&amp;($A78*2-1),計算用!$L$2:$L$186,0)),""))</f>
        <v/>
      </c>
      <c r="D78" s="21" t="str">
        <f>IF($A78="","",IFERROR(INDEX(計算用!$D$2:$D$186,MATCH("男赤"&amp;($A78*2-0),計算用!$L$2:$L$186,0)),""))</f>
        <v/>
      </c>
      <c r="E78" s="20" t="str">
        <f>IF($A78="","",IFERROR(INDEX(計算用!$M$2:$M$186,MATCH("男赤"&amp;($A78*2-0),計算用!$L$2:$L$186,0)),""))</f>
        <v/>
      </c>
      <c r="F78" s="21" t="str">
        <f>IF($A78="","",IFERROR(INDEX(計算用!$D$2:$D$186,MATCH("男白"&amp;($A78*2-1),計算用!$L$2:$L$186,0)),""))</f>
        <v/>
      </c>
      <c r="G78" s="20" t="str">
        <f>IF($A78="","",IFERROR(INDEX(計算用!$M$2:$M$186,MATCH("男白"&amp;($A78*2-1),計算用!$L$2:$L$186,0)),""))</f>
        <v/>
      </c>
      <c r="H78" s="21" t="str">
        <f>IF($A78="","",IFERROR(INDEX(計算用!$D$2:$D$186,MATCH("男白"&amp;($A78*2-0),計算用!$L$2:$L$186,0)),""))</f>
        <v/>
      </c>
      <c r="I78" s="20" t="str">
        <f>IF($A78="","",IFERROR(INDEX(計算用!$M$2:$M$186,MATCH("男白"&amp;($A78*2-0),計算用!$L$2:$L$186,0)),""))</f>
        <v/>
      </c>
      <c r="K78" s="20" t="str">
        <f>IF(ROW()-3&lt;=ROUNDUP(MAX(計算用!$Q$4,計算用!$Q$5)/2,0),ROW()-3,"")</f>
        <v/>
      </c>
      <c r="L78" s="21" t="str">
        <f>IF($K78="","",IFERROR(INDEX(計算用!$D$2:$D$186,MATCH("女赤"&amp;($K78*2-1),計算用!$L$2:$L$186,0)),""))</f>
        <v/>
      </c>
      <c r="M78" s="20" t="str">
        <f>IF($K78="","",IFERROR(INDEX(計算用!$M$2:$M$186,MATCH("女赤"&amp;($K78*2-1),計算用!$L$2:$L$186,0)),""))</f>
        <v/>
      </c>
      <c r="N78" s="21" t="str">
        <f>IF($K78="","",IFERROR(INDEX(計算用!$D$2:$D$186,MATCH("女赤"&amp;($K78*2-0),計算用!$L$2:$L$186,0)),""))</f>
        <v/>
      </c>
      <c r="O78" s="20" t="str">
        <f>IF($K78="","",IFERROR(INDEX(計算用!$M$2:$M$186,MATCH("女赤"&amp;($K78*2-0),計算用!$L$2:$L$186,0)),""))</f>
        <v/>
      </c>
      <c r="P78" s="21" t="str">
        <f>IF($K78="","",IFERROR(INDEX(計算用!$D$2:$D$186,MATCH("女白"&amp;($K78*2-1),計算用!$L$2:$L$186,0)),""))</f>
        <v/>
      </c>
      <c r="Q78" s="20" t="str">
        <f>IF($K78="","",IFERROR(INDEX(計算用!$M$2:$M$186,MATCH("女白"&amp;($K78*2-1),計算用!$L$2:$L$186,0)),""))</f>
        <v/>
      </c>
      <c r="R78" s="21" t="str">
        <f>IF($K78="","",IFERROR(INDEX(計算用!$D$2:$D$186,MATCH("女白"&amp;($K78*2-0),計算用!$L$2:$L$186,0)),""))</f>
        <v/>
      </c>
      <c r="S78" s="20" t="str">
        <f>IF($K78="","",IFERROR(INDEX(計算用!$M$2:$M$186,MATCH("女白"&amp;($K78*2-0),計算用!$L$2:$L$186,0)),""))</f>
        <v/>
      </c>
    </row>
    <row r="79" spans="1:19" x14ac:dyDescent="0.15">
      <c r="A79" s="20" t="str">
        <f>IF(ROW()-3&lt;=ROUNDUP(MAX(計算用!$Q$2,計算用!$Q$3)/2,0),ROW()-3,"")</f>
        <v/>
      </c>
      <c r="B79" s="21" t="str">
        <f>IF($A79="","",IFERROR(INDEX(計算用!$D$2:$D$186,MATCH("男赤"&amp;($A79*2-1),計算用!$L$2:$L$186,0)),""))</f>
        <v/>
      </c>
      <c r="C79" s="20" t="str">
        <f>IF($A79="","",IFERROR(INDEX(計算用!$M$2:$M$186,MATCH("男赤"&amp;($A79*2-1),計算用!$L$2:$L$186,0)),""))</f>
        <v/>
      </c>
      <c r="D79" s="21" t="str">
        <f>IF($A79="","",IFERROR(INDEX(計算用!$D$2:$D$186,MATCH("男赤"&amp;($A79*2-0),計算用!$L$2:$L$186,0)),""))</f>
        <v/>
      </c>
      <c r="E79" s="20" t="str">
        <f>IF($A79="","",IFERROR(INDEX(計算用!$M$2:$M$186,MATCH("男赤"&amp;($A79*2-0),計算用!$L$2:$L$186,0)),""))</f>
        <v/>
      </c>
      <c r="F79" s="21" t="str">
        <f>IF($A79="","",IFERROR(INDEX(計算用!$D$2:$D$186,MATCH("男白"&amp;($A79*2-1),計算用!$L$2:$L$186,0)),""))</f>
        <v/>
      </c>
      <c r="G79" s="20" t="str">
        <f>IF($A79="","",IFERROR(INDEX(計算用!$M$2:$M$186,MATCH("男白"&amp;($A79*2-1),計算用!$L$2:$L$186,0)),""))</f>
        <v/>
      </c>
      <c r="H79" s="21" t="str">
        <f>IF($A79="","",IFERROR(INDEX(計算用!$D$2:$D$186,MATCH("男白"&amp;($A79*2-0),計算用!$L$2:$L$186,0)),""))</f>
        <v/>
      </c>
      <c r="I79" s="20" t="str">
        <f>IF($A79="","",IFERROR(INDEX(計算用!$M$2:$M$186,MATCH("男白"&amp;($A79*2-0),計算用!$L$2:$L$186,0)),""))</f>
        <v/>
      </c>
      <c r="K79" s="20" t="str">
        <f>IF(ROW()-3&lt;=ROUNDUP(MAX(計算用!$Q$4,計算用!$Q$5)/2,0),ROW()-3,"")</f>
        <v/>
      </c>
      <c r="L79" s="21" t="str">
        <f>IF($K79="","",IFERROR(INDEX(計算用!$D$2:$D$186,MATCH("女赤"&amp;($K79*2-1),計算用!$L$2:$L$186,0)),""))</f>
        <v/>
      </c>
      <c r="M79" s="20" t="str">
        <f>IF($K79="","",IFERROR(INDEX(計算用!$M$2:$M$186,MATCH("女赤"&amp;($K79*2-1),計算用!$L$2:$L$186,0)),""))</f>
        <v/>
      </c>
      <c r="N79" s="21" t="str">
        <f>IF($K79="","",IFERROR(INDEX(計算用!$D$2:$D$186,MATCH("女赤"&amp;($K79*2-0),計算用!$L$2:$L$186,0)),""))</f>
        <v/>
      </c>
      <c r="O79" s="20" t="str">
        <f>IF($K79="","",IFERROR(INDEX(計算用!$M$2:$M$186,MATCH("女赤"&amp;($K79*2-0),計算用!$L$2:$L$186,0)),""))</f>
        <v/>
      </c>
      <c r="P79" s="21" t="str">
        <f>IF($K79="","",IFERROR(INDEX(計算用!$D$2:$D$186,MATCH("女白"&amp;($K79*2-1),計算用!$L$2:$L$186,0)),""))</f>
        <v/>
      </c>
      <c r="Q79" s="20" t="str">
        <f>IF($K79="","",IFERROR(INDEX(計算用!$M$2:$M$186,MATCH("女白"&amp;($K79*2-1),計算用!$L$2:$L$186,0)),""))</f>
        <v/>
      </c>
      <c r="R79" s="21" t="str">
        <f>IF($K79="","",IFERROR(INDEX(計算用!$D$2:$D$186,MATCH("女白"&amp;($K79*2-0),計算用!$L$2:$L$186,0)),""))</f>
        <v/>
      </c>
      <c r="S79" s="20" t="str">
        <f>IF($K79="","",IFERROR(INDEX(計算用!$M$2:$M$186,MATCH("女白"&amp;($K79*2-0),計算用!$L$2:$L$186,0)),""))</f>
        <v/>
      </c>
    </row>
    <row r="80" spans="1:19" x14ac:dyDescent="0.15">
      <c r="A80" s="20" t="str">
        <f>IF(ROW()-3&lt;=ROUNDUP(MAX(計算用!$Q$2,計算用!$Q$3)/2,0),ROW()-3,"")</f>
        <v/>
      </c>
      <c r="B80" s="21" t="str">
        <f>IF($A80="","",IFERROR(INDEX(計算用!$D$2:$D$186,MATCH("男赤"&amp;($A80*2-1),計算用!$L$2:$L$186,0)),""))</f>
        <v/>
      </c>
      <c r="C80" s="20" t="str">
        <f>IF($A80="","",IFERROR(INDEX(計算用!$M$2:$M$186,MATCH("男赤"&amp;($A80*2-1),計算用!$L$2:$L$186,0)),""))</f>
        <v/>
      </c>
      <c r="D80" s="21" t="str">
        <f>IF($A80="","",IFERROR(INDEX(計算用!$D$2:$D$186,MATCH("男赤"&amp;($A80*2-0),計算用!$L$2:$L$186,0)),""))</f>
        <v/>
      </c>
      <c r="E80" s="20" t="str">
        <f>IF($A80="","",IFERROR(INDEX(計算用!$M$2:$M$186,MATCH("男赤"&amp;($A80*2-0),計算用!$L$2:$L$186,0)),""))</f>
        <v/>
      </c>
      <c r="F80" s="21" t="str">
        <f>IF($A80="","",IFERROR(INDEX(計算用!$D$2:$D$186,MATCH("男白"&amp;($A80*2-1),計算用!$L$2:$L$186,0)),""))</f>
        <v/>
      </c>
      <c r="G80" s="20" t="str">
        <f>IF($A80="","",IFERROR(INDEX(計算用!$M$2:$M$186,MATCH("男白"&amp;($A80*2-1),計算用!$L$2:$L$186,0)),""))</f>
        <v/>
      </c>
      <c r="H80" s="21" t="str">
        <f>IF($A80="","",IFERROR(INDEX(計算用!$D$2:$D$186,MATCH("男白"&amp;($A80*2-0),計算用!$L$2:$L$186,0)),""))</f>
        <v/>
      </c>
      <c r="I80" s="20" t="str">
        <f>IF($A80="","",IFERROR(INDEX(計算用!$M$2:$M$186,MATCH("男白"&amp;($A80*2-0),計算用!$L$2:$L$186,0)),""))</f>
        <v/>
      </c>
      <c r="K80" s="20" t="str">
        <f>IF(ROW()-3&lt;=ROUNDUP(MAX(計算用!$Q$4,計算用!$Q$5)/2,0),ROW()-3,"")</f>
        <v/>
      </c>
      <c r="L80" s="21" t="str">
        <f>IF($K80="","",IFERROR(INDEX(計算用!$D$2:$D$186,MATCH("女赤"&amp;($K80*2-1),計算用!$L$2:$L$186,0)),""))</f>
        <v/>
      </c>
      <c r="M80" s="20" t="str">
        <f>IF($K80="","",IFERROR(INDEX(計算用!$M$2:$M$186,MATCH("女赤"&amp;($K80*2-1),計算用!$L$2:$L$186,0)),""))</f>
        <v/>
      </c>
      <c r="N80" s="21" t="str">
        <f>IF($K80="","",IFERROR(INDEX(計算用!$D$2:$D$186,MATCH("女赤"&amp;($K80*2-0),計算用!$L$2:$L$186,0)),""))</f>
        <v/>
      </c>
      <c r="O80" s="20" t="str">
        <f>IF($K80="","",IFERROR(INDEX(計算用!$M$2:$M$186,MATCH("女赤"&amp;($K80*2-0),計算用!$L$2:$L$186,0)),""))</f>
        <v/>
      </c>
      <c r="P80" s="21" t="str">
        <f>IF($K80="","",IFERROR(INDEX(計算用!$D$2:$D$186,MATCH("女白"&amp;($K80*2-1),計算用!$L$2:$L$186,0)),""))</f>
        <v/>
      </c>
      <c r="Q80" s="20" t="str">
        <f>IF($K80="","",IFERROR(INDEX(計算用!$M$2:$M$186,MATCH("女白"&amp;($K80*2-1),計算用!$L$2:$L$186,0)),""))</f>
        <v/>
      </c>
      <c r="R80" s="21" t="str">
        <f>IF($K80="","",IFERROR(INDEX(計算用!$D$2:$D$186,MATCH("女白"&amp;($K80*2-0),計算用!$L$2:$L$186,0)),""))</f>
        <v/>
      </c>
      <c r="S80" s="20" t="str">
        <f>IF($K80="","",IFERROR(INDEX(計算用!$M$2:$M$186,MATCH("女白"&amp;($K80*2-0),計算用!$L$2:$L$186,0)),""))</f>
        <v/>
      </c>
    </row>
    <row r="81" spans="1:19" x14ac:dyDescent="0.15">
      <c r="A81" s="20" t="str">
        <f>IF(ROW()-3&lt;=ROUNDUP(MAX(計算用!$Q$2,計算用!$Q$3)/2,0),ROW()-3,"")</f>
        <v/>
      </c>
      <c r="B81" s="21" t="str">
        <f>IF($A81="","",IFERROR(INDEX(計算用!$D$2:$D$186,MATCH("男赤"&amp;($A81*2-1),計算用!$L$2:$L$186,0)),""))</f>
        <v/>
      </c>
      <c r="C81" s="20" t="str">
        <f>IF($A81="","",IFERROR(INDEX(計算用!$M$2:$M$186,MATCH("男赤"&amp;($A81*2-1),計算用!$L$2:$L$186,0)),""))</f>
        <v/>
      </c>
      <c r="D81" s="21" t="str">
        <f>IF($A81="","",IFERROR(INDEX(計算用!$D$2:$D$186,MATCH("男赤"&amp;($A81*2-0),計算用!$L$2:$L$186,0)),""))</f>
        <v/>
      </c>
      <c r="E81" s="20" t="str">
        <f>IF($A81="","",IFERROR(INDEX(計算用!$M$2:$M$186,MATCH("男赤"&amp;($A81*2-0),計算用!$L$2:$L$186,0)),""))</f>
        <v/>
      </c>
      <c r="F81" s="21" t="str">
        <f>IF($A81="","",IFERROR(INDEX(計算用!$D$2:$D$186,MATCH("男白"&amp;($A81*2-1),計算用!$L$2:$L$186,0)),""))</f>
        <v/>
      </c>
      <c r="G81" s="20" t="str">
        <f>IF($A81="","",IFERROR(INDEX(計算用!$M$2:$M$186,MATCH("男白"&amp;($A81*2-1),計算用!$L$2:$L$186,0)),""))</f>
        <v/>
      </c>
      <c r="H81" s="21" t="str">
        <f>IF($A81="","",IFERROR(INDEX(計算用!$D$2:$D$186,MATCH("男白"&amp;($A81*2-0),計算用!$L$2:$L$186,0)),""))</f>
        <v/>
      </c>
      <c r="I81" s="20" t="str">
        <f>IF($A81="","",IFERROR(INDEX(計算用!$M$2:$M$186,MATCH("男白"&amp;($A81*2-0),計算用!$L$2:$L$186,0)),""))</f>
        <v/>
      </c>
      <c r="K81" s="20" t="str">
        <f>IF(ROW()-3&lt;=ROUNDUP(MAX(計算用!$Q$4,計算用!$Q$5)/2,0),ROW()-3,"")</f>
        <v/>
      </c>
      <c r="L81" s="21" t="str">
        <f>IF($K81="","",IFERROR(INDEX(計算用!$D$2:$D$186,MATCH("女赤"&amp;($K81*2-1),計算用!$L$2:$L$186,0)),""))</f>
        <v/>
      </c>
      <c r="M81" s="20" t="str">
        <f>IF($K81="","",IFERROR(INDEX(計算用!$M$2:$M$186,MATCH("女赤"&amp;($K81*2-1),計算用!$L$2:$L$186,0)),""))</f>
        <v/>
      </c>
      <c r="N81" s="21" t="str">
        <f>IF($K81="","",IFERROR(INDEX(計算用!$D$2:$D$186,MATCH("女赤"&amp;($K81*2-0),計算用!$L$2:$L$186,0)),""))</f>
        <v/>
      </c>
      <c r="O81" s="20" t="str">
        <f>IF($K81="","",IFERROR(INDEX(計算用!$M$2:$M$186,MATCH("女赤"&amp;($K81*2-0),計算用!$L$2:$L$186,0)),""))</f>
        <v/>
      </c>
      <c r="P81" s="21" t="str">
        <f>IF($K81="","",IFERROR(INDEX(計算用!$D$2:$D$186,MATCH("女白"&amp;($K81*2-1),計算用!$L$2:$L$186,0)),""))</f>
        <v/>
      </c>
      <c r="Q81" s="20" t="str">
        <f>IF($K81="","",IFERROR(INDEX(計算用!$M$2:$M$186,MATCH("女白"&amp;($K81*2-1),計算用!$L$2:$L$186,0)),""))</f>
        <v/>
      </c>
      <c r="R81" s="21" t="str">
        <f>IF($K81="","",IFERROR(INDEX(計算用!$D$2:$D$186,MATCH("女白"&amp;($K81*2-0),計算用!$L$2:$L$186,0)),""))</f>
        <v/>
      </c>
      <c r="S81" s="20" t="str">
        <f>IF($K81="","",IFERROR(INDEX(計算用!$M$2:$M$186,MATCH("女白"&amp;($K81*2-0),計算用!$L$2:$L$186,0)),""))</f>
        <v/>
      </c>
    </row>
    <row r="82" spans="1:19" x14ac:dyDescent="0.15">
      <c r="A82" s="20" t="str">
        <f>IF(ROW()-3&lt;=ROUNDUP(MAX(計算用!$Q$2,計算用!$Q$3)/2,0),ROW()-3,"")</f>
        <v/>
      </c>
      <c r="B82" s="21" t="str">
        <f>IF($A82="","",IFERROR(INDEX(計算用!$D$2:$D$186,MATCH("男赤"&amp;($A82*2-1),計算用!$L$2:$L$186,0)),""))</f>
        <v/>
      </c>
      <c r="C82" s="20" t="str">
        <f>IF($A82="","",IFERROR(INDEX(計算用!$M$2:$M$186,MATCH("男赤"&amp;($A82*2-1),計算用!$L$2:$L$186,0)),""))</f>
        <v/>
      </c>
      <c r="D82" s="21" t="str">
        <f>IF($A82="","",IFERROR(INDEX(計算用!$D$2:$D$186,MATCH("男赤"&amp;($A82*2-0),計算用!$L$2:$L$186,0)),""))</f>
        <v/>
      </c>
      <c r="E82" s="20" t="str">
        <f>IF($A82="","",IFERROR(INDEX(計算用!$M$2:$M$186,MATCH("男赤"&amp;($A82*2-0),計算用!$L$2:$L$186,0)),""))</f>
        <v/>
      </c>
      <c r="F82" s="21" t="str">
        <f>IF($A82="","",IFERROR(INDEX(計算用!$D$2:$D$186,MATCH("男白"&amp;($A82*2-1),計算用!$L$2:$L$186,0)),""))</f>
        <v/>
      </c>
      <c r="G82" s="20" t="str">
        <f>IF($A82="","",IFERROR(INDEX(計算用!$M$2:$M$186,MATCH("男白"&amp;($A82*2-1),計算用!$L$2:$L$186,0)),""))</f>
        <v/>
      </c>
      <c r="H82" s="21" t="str">
        <f>IF($A82="","",IFERROR(INDEX(計算用!$D$2:$D$186,MATCH("男白"&amp;($A82*2-0),計算用!$L$2:$L$186,0)),""))</f>
        <v/>
      </c>
      <c r="I82" s="20" t="str">
        <f>IF($A82="","",IFERROR(INDEX(計算用!$M$2:$M$186,MATCH("男白"&amp;($A82*2-0),計算用!$L$2:$L$186,0)),""))</f>
        <v/>
      </c>
      <c r="K82" s="20" t="str">
        <f>IF(ROW()-3&lt;=ROUNDUP(MAX(計算用!$Q$4,計算用!$Q$5)/2,0),ROW()-3,"")</f>
        <v/>
      </c>
      <c r="L82" s="21" t="str">
        <f>IF($K82="","",IFERROR(INDEX(計算用!$D$2:$D$186,MATCH("女赤"&amp;($K82*2-1),計算用!$L$2:$L$186,0)),""))</f>
        <v/>
      </c>
      <c r="M82" s="20" t="str">
        <f>IF($K82="","",IFERROR(INDEX(計算用!$M$2:$M$186,MATCH("女赤"&amp;($K82*2-1),計算用!$L$2:$L$186,0)),""))</f>
        <v/>
      </c>
      <c r="N82" s="21" t="str">
        <f>IF($K82="","",IFERROR(INDEX(計算用!$D$2:$D$186,MATCH("女赤"&amp;($K82*2-0),計算用!$L$2:$L$186,0)),""))</f>
        <v/>
      </c>
      <c r="O82" s="20" t="str">
        <f>IF($K82="","",IFERROR(INDEX(計算用!$M$2:$M$186,MATCH("女赤"&amp;($K82*2-0),計算用!$L$2:$L$186,0)),""))</f>
        <v/>
      </c>
      <c r="P82" s="21" t="str">
        <f>IF($K82="","",IFERROR(INDEX(計算用!$D$2:$D$186,MATCH("女白"&amp;($K82*2-1),計算用!$L$2:$L$186,0)),""))</f>
        <v/>
      </c>
      <c r="Q82" s="20" t="str">
        <f>IF($K82="","",IFERROR(INDEX(計算用!$M$2:$M$186,MATCH("女白"&amp;($K82*2-1),計算用!$L$2:$L$186,0)),""))</f>
        <v/>
      </c>
      <c r="R82" s="21" t="str">
        <f>IF($K82="","",IFERROR(INDEX(計算用!$D$2:$D$186,MATCH("女白"&amp;($K82*2-0),計算用!$L$2:$L$186,0)),""))</f>
        <v/>
      </c>
      <c r="S82" s="20" t="str">
        <f>IF($K82="","",IFERROR(INDEX(計算用!$M$2:$M$186,MATCH("女白"&amp;($K82*2-0),計算用!$L$2:$L$186,0)),""))</f>
        <v/>
      </c>
    </row>
    <row r="83" spans="1:19" x14ac:dyDescent="0.15">
      <c r="A83" s="20" t="str">
        <f>IF(ROW()-3&lt;=ROUNDUP(MAX(計算用!$Q$2,計算用!$Q$3)/2,0),ROW()-3,"")</f>
        <v/>
      </c>
      <c r="B83" s="21" t="str">
        <f>IF($A83="","",IFERROR(INDEX(計算用!$D$2:$D$186,MATCH("男赤"&amp;($A83*2-1),計算用!$L$2:$L$186,0)),""))</f>
        <v/>
      </c>
      <c r="C83" s="20" t="str">
        <f>IF($A83="","",IFERROR(INDEX(計算用!$M$2:$M$186,MATCH("男赤"&amp;($A83*2-1),計算用!$L$2:$L$186,0)),""))</f>
        <v/>
      </c>
      <c r="D83" s="21" t="str">
        <f>IF($A83="","",IFERROR(INDEX(計算用!$D$2:$D$186,MATCH("男赤"&amp;($A83*2-0),計算用!$L$2:$L$186,0)),""))</f>
        <v/>
      </c>
      <c r="E83" s="20" t="str">
        <f>IF($A83="","",IFERROR(INDEX(計算用!$M$2:$M$186,MATCH("男赤"&amp;($A83*2-0),計算用!$L$2:$L$186,0)),""))</f>
        <v/>
      </c>
      <c r="F83" s="21" t="str">
        <f>IF($A83="","",IFERROR(INDEX(計算用!$D$2:$D$186,MATCH("男白"&amp;($A83*2-1),計算用!$L$2:$L$186,0)),""))</f>
        <v/>
      </c>
      <c r="G83" s="20" t="str">
        <f>IF($A83="","",IFERROR(INDEX(計算用!$M$2:$M$186,MATCH("男白"&amp;($A83*2-1),計算用!$L$2:$L$186,0)),""))</f>
        <v/>
      </c>
      <c r="H83" s="21" t="str">
        <f>IF($A83="","",IFERROR(INDEX(計算用!$D$2:$D$186,MATCH("男白"&amp;($A83*2-0),計算用!$L$2:$L$186,0)),""))</f>
        <v/>
      </c>
      <c r="I83" s="20" t="str">
        <f>IF($A83="","",IFERROR(INDEX(計算用!$M$2:$M$186,MATCH("男白"&amp;($A83*2-0),計算用!$L$2:$L$186,0)),""))</f>
        <v/>
      </c>
      <c r="K83" s="20" t="str">
        <f>IF(ROW()-3&lt;=ROUNDUP(MAX(計算用!$Q$4,計算用!$Q$5)/2,0),ROW()-3,"")</f>
        <v/>
      </c>
      <c r="L83" s="21" t="str">
        <f>IF($K83="","",IFERROR(INDEX(計算用!$D$2:$D$186,MATCH("女赤"&amp;($K83*2-1),計算用!$L$2:$L$186,0)),""))</f>
        <v/>
      </c>
      <c r="M83" s="20" t="str">
        <f>IF($K83="","",IFERROR(INDEX(計算用!$M$2:$M$186,MATCH("女赤"&amp;($K83*2-1),計算用!$L$2:$L$186,0)),""))</f>
        <v/>
      </c>
      <c r="N83" s="21" t="str">
        <f>IF($K83="","",IFERROR(INDEX(計算用!$D$2:$D$186,MATCH("女赤"&amp;($K83*2-0),計算用!$L$2:$L$186,0)),""))</f>
        <v/>
      </c>
      <c r="O83" s="20" t="str">
        <f>IF($K83="","",IFERROR(INDEX(計算用!$M$2:$M$186,MATCH("女赤"&amp;($K83*2-0),計算用!$L$2:$L$186,0)),""))</f>
        <v/>
      </c>
      <c r="P83" s="21" t="str">
        <f>IF($K83="","",IFERROR(INDEX(計算用!$D$2:$D$186,MATCH("女白"&amp;($K83*2-1),計算用!$L$2:$L$186,0)),""))</f>
        <v/>
      </c>
      <c r="Q83" s="20" t="str">
        <f>IF($K83="","",IFERROR(INDEX(計算用!$M$2:$M$186,MATCH("女白"&amp;($K83*2-1),計算用!$L$2:$L$186,0)),""))</f>
        <v/>
      </c>
      <c r="R83" s="21" t="str">
        <f>IF($K83="","",IFERROR(INDEX(計算用!$D$2:$D$186,MATCH("女白"&amp;($K83*2-0),計算用!$L$2:$L$186,0)),""))</f>
        <v/>
      </c>
      <c r="S83" s="20" t="str">
        <f>IF($K83="","",IFERROR(INDEX(計算用!$M$2:$M$186,MATCH("女白"&amp;($K83*2-0),計算用!$L$2:$L$186,0)),""))</f>
        <v/>
      </c>
    </row>
    <row r="84" spans="1:19" x14ac:dyDescent="0.15">
      <c r="A84" s="20" t="str">
        <f>IF(ROW()-3&lt;=ROUNDUP(MAX(計算用!$Q$2,計算用!$Q$3)/2,0),ROW()-3,"")</f>
        <v/>
      </c>
      <c r="B84" s="21" t="str">
        <f>IF($A84="","",IFERROR(INDEX(計算用!$D$2:$D$186,MATCH("男赤"&amp;($A84*2-1),計算用!$L$2:$L$186,0)),""))</f>
        <v/>
      </c>
      <c r="C84" s="20" t="str">
        <f>IF($A84="","",IFERROR(INDEX(計算用!$M$2:$M$186,MATCH("男赤"&amp;($A84*2-1),計算用!$L$2:$L$186,0)),""))</f>
        <v/>
      </c>
      <c r="D84" s="21" t="str">
        <f>IF($A84="","",IFERROR(INDEX(計算用!$D$2:$D$186,MATCH("男赤"&amp;($A84*2-0),計算用!$L$2:$L$186,0)),""))</f>
        <v/>
      </c>
      <c r="E84" s="20" t="str">
        <f>IF($A84="","",IFERROR(INDEX(計算用!$M$2:$M$186,MATCH("男赤"&amp;($A84*2-0),計算用!$L$2:$L$186,0)),""))</f>
        <v/>
      </c>
      <c r="F84" s="21" t="str">
        <f>IF($A84="","",IFERROR(INDEX(計算用!$D$2:$D$186,MATCH("男白"&amp;($A84*2-1),計算用!$L$2:$L$186,0)),""))</f>
        <v/>
      </c>
      <c r="G84" s="20" t="str">
        <f>IF($A84="","",IFERROR(INDEX(計算用!$M$2:$M$186,MATCH("男白"&amp;($A84*2-1),計算用!$L$2:$L$186,0)),""))</f>
        <v/>
      </c>
      <c r="H84" s="21" t="str">
        <f>IF($A84="","",IFERROR(INDEX(計算用!$D$2:$D$186,MATCH("男白"&amp;($A84*2-0),計算用!$L$2:$L$186,0)),""))</f>
        <v/>
      </c>
      <c r="I84" s="20" t="str">
        <f>IF($A84="","",IFERROR(INDEX(計算用!$M$2:$M$186,MATCH("男白"&amp;($A84*2-0),計算用!$L$2:$L$186,0)),""))</f>
        <v/>
      </c>
      <c r="K84" s="20" t="str">
        <f>IF(ROW()-3&lt;=ROUNDUP(MAX(計算用!$Q$4,計算用!$Q$5)/2,0),ROW()-3,"")</f>
        <v/>
      </c>
      <c r="L84" s="21" t="str">
        <f>IF($K84="","",IFERROR(INDEX(計算用!$D$2:$D$186,MATCH("女赤"&amp;($K84*2-1),計算用!$L$2:$L$186,0)),""))</f>
        <v/>
      </c>
      <c r="M84" s="20" t="str">
        <f>IF($K84="","",IFERROR(INDEX(計算用!$M$2:$M$186,MATCH("女赤"&amp;($K84*2-1),計算用!$L$2:$L$186,0)),""))</f>
        <v/>
      </c>
      <c r="N84" s="21" t="str">
        <f>IF($K84="","",IFERROR(INDEX(計算用!$D$2:$D$186,MATCH("女赤"&amp;($K84*2-0),計算用!$L$2:$L$186,0)),""))</f>
        <v/>
      </c>
      <c r="O84" s="20" t="str">
        <f>IF($K84="","",IFERROR(INDEX(計算用!$M$2:$M$186,MATCH("女赤"&amp;($K84*2-0),計算用!$L$2:$L$186,0)),""))</f>
        <v/>
      </c>
      <c r="P84" s="21" t="str">
        <f>IF($K84="","",IFERROR(INDEX(計算用!$D$2:$D$186,MATCH("女白"&amp;($K84*2-1),計算用!$L$2:$L$186,0)),""))</f>
        <v/>
      </c>
      <c r="Q84" s="20" t="str">
        <f>IF($K84="","",IFERROR(INDEX(計算用!$M$2:$M$186,MATCH("女白"&amp;($K84*2-1),計算用!$L$2:$L$186,0)),""))</f>
        <v/>
      </c>
      <c r="R84" s="21" t="str">
        <f>IF($K84="","",IFERROR(INDEX(計算用!$D$2:$D$186,MATCH("女白"&amp;($K84*2-0),計算用!$L$2:$L$186,0)),""))</f>
        <v/>
      </c>
      <c r="S84" s="20" t="str">
        <f>IF($K84="","",IFERROR(INDEX(計算用!$M$2:$M$186,MATCH("女白"&amp;($K84*2-0),計算用!$L$2:$L$186,0)),""))</f>
        <v/>
      </c>
    </row>
    <row r="85" spans="1:19" x14ac:dyDescent="0.15">
      <c r="A85" s="20" t="str">
        <f>IF(ROW()-3&lt;=ROUNDUP(MAX(計算用!$Q$2,計算用!$Q$3)/2,0),ROW()-3,"")</f>
        <v/>
      </c>
      <c r="B85" s="21" t="str">
        <f>IF($A85="","",IFERROR(INDEX(計算用!$D$2:$D$186,MATCH("男赤"&amp;($A85*2-1),計算用!$L$2:$L$186,0)),""))</f>
        <v/>
      </c>
      <c r="C85" s="20" t="str">
        <f>IF($A85="","",IFERROR(INDEX(計算用!$M$2:$M$186,MATCH("男赤"&amp;($A85*2-1),計算用!$L$2:$L$186,0)),""))</f>
        <v/>
      </c>
      <c r="D85" s="21" t="str">
        <f>IF($A85="","",IFERROR(INDEX(計算用!$D$2:$D$186,MATCH("男赤"&amp;($A85*2-0),計算用!$L$2:$L$186,0)),""))</f>
        <v/>
      </c>
      <c r="E85" s="20" t="str">
        <f>IF($A85="","",IFERROR(INDEX(計算用!$M$2:$M$186,MATCH("男赤"&amp;($A85*2-0),計算用!$L$2:$L$186,0)),""))</f>
        <v/>
      </c>
      <c r="F85" s="21" t="str">
        <f>IF($A85="","",IFERROR(INDEX(計算用!$D$2:$D$186,MATCH("男白"&amp;($A85*2-1),計算用!$L$2:$L$186,0)),""))</f>
        <v/>
      </c>
      <c r="G85" s="20" t="str">
        <f>IF($A85="","",IFERROR(INDEX(計算用!$M$2:$M$186,MATCH("男白"&amp;($A85*2-1),計算用!$L$2:$L$186,0)),""))</f>
        <v/>
      </c>
      <c r="H85" s="21" t="str">
        <f>IF($A85="","",IFERROR(INDEX(計算用!$D$2:$D$186,MATCH("男白"&amp;($A85*2-0),計算用!$L$2:$L$186,0)),""))</f>
        <v/>
      </c>
      <c r="I85" s="20" t="str">
        <f>IF($A85="","",IFERROR(INDEX(計算用!$M$2:$M$186,MATCH("男白"&amp;($A85*2-0),計算用!$L$2:$L$186,0)),""))</f>
        <v/>
      </c>
      <c r="K85" s="20" t="str">
        <f>IF(ROW()-3&lt;=ROUNDUP(MAX(計算用!$Q$4,計算用!$Q$5)/2,0),ROW()-3,"")</f>
        <v/>
      </c>
      <c r="L85" s="21" t="str">
        <f>IF($K85="","",IFERROR(INDEX(計算用!$D$2:$D$186,MATCH("女赤"&amp;($K85*2-1),計算用!$L$2:$L$186,0)),""))</f>
        <v/>
      </c>
      <c r="M85" s="20" t="str">
        <f>IF($K85="","",IFERROR(INDEX(計算用!$M$2:$M$186,MATCH("女赤"&amp;($K85*2-1),計算用!$L$2:$L$186,0)),""))</f>
        <v/>
      </c>
      <c r="N85" s="21" t="str">
        <f>IF($K85="","",IFERROR(INDEX(計算用!$D$2:$D$186,MATCH("女赤"&amp;($K85*2-0),計算用!$L$2:$L$186,0)),""))</f>
        <v/>
      </c>
      <c r="O85" s="20" t="str">
        <f>IF($K85="","",IFERROR(INDEX(計算用!$M$2:$M$186,MATCH("女赤"&amp;($K85*2-0),計算用!$L$2:$L$186,0)),""))</f>
        <v/>
      </c>
      <c r="P85" s="21" t="str">
        <f>IF($K85="","",IFERROR(INDEX(計算用!$D$2:$D$186,MATCH("女白"&amp;($K85*2-1),計算用!$L$2:$L$186,0)),""))</f>
        <v/>
      </c>
      <c r="Q85" s="20" t="str">
        <f>IF($K85="","",IFERROR(INDEX(計算用!$M$2:$M$186,MATCH("女白"&amp;($K85*2-1),計算用!$L$2:$L$186,0)),""))</f>
        <v/>
      </c>
      <c r="R85" s="21" t="str">
        <f>IF($K85="","",IFERROR(INDEX(計算用!$D$2:$D$186,MATCH("女白"&amp;($K85*2-0),計算用!$L$2:$L$186,0)),""))</f>
        <v/>
      </c>
      <c r="S85" s="20" t="str">
        <f>IF($K85="","",IFERROR(INDEX(計算用!$M$2:$M$186,MATCH("女白"&amp;($K85*2-0),計算用!$L$2:$L$186,0)),""))</f>
        <v/>
      </c>
    </row>
    <row r="86" spans="1:19" x14ac:dyDescent="0.15">
      <c r="A86" s="20" t="str">
        <f>IF(ROW()-3&lt;=ROUNDUP(MAX(計算用!$Q$2,計算用!$Q$3)/2,0),ROW()-3,"")</f>
        <v/>
      </c>
      <c r="B86" s="21" t="str">
        <f>IF($A86="","",IFERROR(INDEX(計算用!$D$2:$D$186,MATCH("男赤"&amp;($A86*2-1),計算用!$L$2:$L$186,0)),""))</f>
        <v/>
      </c>
      <c r="C86" s="20" t="str">
        <f>IF($A86="","",IFERROR(INDEX(計算用!$M$2:$M$186,MATCH("男赤"&amp;($A86*2-1),計算用!$L$2:$L$186,0)),""))</f>
        <v/>
      </c>
      <c r="D86" s="21" t="str">
        <f>IF($A86="","",IFERROR(INDEX(計算用!$D$2:$D$186,MATCH("男赤"&amp;($A86*2-0),計算用!$L$2:$L$186,0)),""))</f>
        <v/>
      </c>
      <c r="E86" s="20" t="str">
        <f>IF($A86="","",IFERROR(INDEX(計算用!$M$2:$M$186,MATCH("男赤"&amp;($A86*2-0),計算用!$L$2:$L$186,0)),""))</f>
        <v/>
      </c>
      <c r="F86" s="21" t="str">
        <f>IF($A86="","",IFERROR(INDEX(計算用!$D$2:$D$186,MATCH("男白"&amp;($A86*2-1),計算用!$L$2:$L$186,0)),""))</f>
        <v/>
      </c>
      <c r="G86" s="20" t="str">
        <f>IF($A86="","",IFERROR(INDEX(計算用!$M$2:$M$186,MATCH("男白"&amp;($A86*2-1),計算用!$L$2:$L$186,0)),""))</f>
        <v/>
      </c>
      <c r="H86" s="21" t="str">
        <f>IF($A86="","",IFERROR(INDEX(計算用!$D$2:$D$186,MATCH("男白"&amp;($A86*2-0),計算用!$L$2:$L$186,0)),""))</f>
        <v/>
      </c>
      <c r="I86" s="20" t="str">
        <f>IF($A86="","",IFERROR(INDEX(計算用!$M$2:$M$186,MATCH("男白"&amp;($A86*2-0),計算用!$L$2:$L$186,0)),""))</f>
        <v/>
      </c>
      <c r="K86" s="20" t="str">
        <f>IF(ROW()-3&lt;=ROUNDUP(MAX(計算用!$Q$4,計算用!$Q$5)/2,0),ROW()-3,"")</f>
        <v/>
      </c>
      <c r="L86" s="21" t="str">
        <f>IF($K86="","",IFERROR(INDEX(計算用!$D$2:$D$186,MATCH("女赤"&amp;($K86*2-1),計算用!$L$2:$L$186,0)),""))</f>
        <v/>
      </c>
      <c r="M86" s="20" t="str">
        <f>IF($K86="","",IFERROR(INDEX(計算用!$M$2:$M$186,MATCH("女赤"&amp;($K86*2-1),計算用!$L$2:$L$186,0)),""))</f>
        <v/>
      </c>
      <c r="N86" s="21" t="str">
        <f>IF($K86="","",IFERROR(INDEX(計算用!$D$2:$D$186,MATCH("女赤"&amp;($K86*2-0),計算用!$L$2:$L$186,0)),""))</f>
        <v/>
      </c>
      <c r="O86" s="20" t="str">
        <f>IF($K86="","",IFERROR(INDEX(計算用!$M$2:$M$186,MATCH("女赤"&amp;($K86*2-0),計算用!$L$2:$L$186,0)),""))</f>
        <v/>
      </c>
      <c r="P86" s="21" t="str">
        <f>IF($K86="","",IFERROR(INDEX(計算用!$D$2:$D$186,MATCH("女白"&amp;($K86*2-1),計算用!$L$2:$L$186,0)),""))</f>
        <v/>
      </c>
      <c r="Q86" s="20" t="str">
        <f>IF($K86="","",IFERROR(INDEX(計算用!$M$2:$M$186,MATCH("女白"&amp;($K86*2-1),計算用!$L$2:$L$186,0)),""))</f>
        <v/>
      </c>
      <c r="R86" s="21" t="str">
        <f>IF($K86="","",IFERROR(INDEX(計算用!$D$2:$D$186,MATCH("女白"&amp;($K86*2-0),計算用!$L$2:$L$186,0)),""))</f>
        <v/>
      </c>
      <c r="S86" s="20" t="str">
        <f>IF($K86="","",IFERROR(INDEX(計算用!$M$2:$M$186,MATCH("女白"&amp;($K86*2-0),計算用!$L$2:$L$186,0)),""))</f>
        <v/>
      </c>
    </row>
    <row r="87" spans="1:19" x14ac:dyDescent="0.15">
      <c r="A87" s="20" t="str">
        <f>IF(ROW()-3&lt;=ROUNDUP(MAX(計算用!$Q$2,計算用!$Q$3)/2,0),ROW()-3,"")</f>
        <v/>
      </c>
      <c r="B87" s="21" t="str">
        <f>IF($A87="","",IFERROR(INDEX(計算用!$D$2:$D$186,MATCH("男赤"&amp;($A87*2-1),計算用!$L$2:$L$186,0)),""))</f>
        <v/>
      </c>
      <c r="C87" s="20" t="str">
        <f>IF($A87="","",IFERROR(INDEX(計算用!$M$2:$M$186,MATCH("男赤"&amp;($A87*2-1),計算用!$L$2:$L$186,0)),""))</f>
        <v/>
      </c>
      <c r="D87" s="21" t="str">
        <f>IF($A87="","",IFERROR(INDEX(計算用!$D$2:$D$186,MATCH("男赤"&amp;($A87*2-0),計算用!$L$2:$L$186,0)),""))</f>
        <v/>
      </c>
      <c r="E87" s="20" t="str">
        <f>IF($A87="","",IFERROR(INDEX(計算用!$M$2:$M$186,MATCH("男赤"&amp;($A87*2-0),計算用!$L$2:$L$186,0)),""))</f>
        <v/>
      </c>
      <c r="F87" s="21" t="str">
        <f>IF($A87="","",IFERROR(INDEX(計算用!$D$2:$D$186,MATCH("男白"&amp;($A87*2-1),計算用!$L$2:$L$186,0)),""))</f>
        <v/>
      </c>
      <c r="G87" s="20" t="str">
        <f>IF($A87="","",IFERROR(INDEX(計算用!$M$2:$M$186,MATCH("男白"&amp;($A87*2-1),計算用!$L$2:$L$186,0)),""))</f>
        <v/>
      </c>
      <c r="H87" s="21" t="str">
        <f>IF($A87="","",IFERROR(INDEX(計算用!$D$2:$D$186,MATCH("男白"&amp;($A87*2-0),計算用!$L$2:$L$186,0)),""))</f>
        <v/>
      </c>
      <c r="I87" s="20" t="str">
        <f>IF($A87="","",IFERROR(INDEX(計算用!$M$2:$M$186,MATCH("男白"&amp;($A87*2-0),計算用!$L$2:$L$186,0)),""))</f>
        <v/>
      </c>
      <c r="K87" s="20" t="str">
        <f>IF(ROW()-3&lt;=ROUNDUP(MAX(計算用!$Q$4,計算用!$Q$5)/2,0),ROW()-3,"")</f>
        <v/>
      </c>
      <c r="L87" s="21" t="str">
        <f>IF($K87="","",IFERROR(INDEX(計算用!$D$2:$D$186,MATCH("女赤"&amp;($K87*2-1),計算用!$L$2:$L$186,0)),""))</f>
        <v/>
      </c>
      <c r="M87" s="20" t="str">
        <f>IF($K87="","",IFERROR(INDEX(計算用!$M$2:$M$186,MATCH("女赤"&amp;($K87*2-1),計算用!$L$2:$L$186,0)),""))</f>
        <v/>
      </c>
      <c r="N87" s="21" t="str">
        <f>IF($K87="","",IFERROR(INDEX(計算用!$D$2:$D$186,MATCH("女赤"&amp;($K87*2-0),計算用!$L$2:$L$186,0)),""))</f>
        <v/>
      </c>
      <c r="O87" s="20" t="str">
        <f>IF($K87="","",IFERROR(INDEX(計算用!$M$2:$M$186,MATCH("女赤"&amp;($K87*2-0),計算用!$L$2:$L$186,0)),""))</f>
        <v/>
      </c>
      <c r="P87" s="21" t="str">
        <f>IF($K87="","",IFERROR(INDEX(計算用!$D$2:$D$186,MATCH("女白"&amp;($K87*2-1),計算用!$L$2:$L$186,0)),""))</f>
        <v/>
      </c>
      <c r="Q87" s="20" t="str">
        <f>IF($K87="","",IFERROR(INDEX(計算用!$M$2:$M$186,MATCH("女白"&amp;($K87*2-1),計算用!$L$2:$L$186,0)),""))</f>
        <v/>
      </c>
      <c r="R87" s="21" t="str">
        <f>IF($K87="","",IFERROR(INDEX(計算用!$D$2:$D$186,MATCH("女白"&amp;($K87*2-0),計算用!$L$2:$L$186,0)),""))</f>
        <v/>
      </c>
      <c r="S87" s="20" t="str">
        <f>IF($K87="","",IFERROR(INDEX(計算用!$M$2:$M$186,MATCH("女白"&amp;($K87*2-0),計算用!$L$2:$L$186,0)),""))</f>
        <v/>
      </c>
    </row>
    <row r="88" spans="1:19" x14ac:dyDescent="0.15">
      <c r="A88" s="20" t="str">
        <f>IF(ROW()-3&lt;=ROUNDUP(MAX(計算用!$Q$2,計算用!$Q$3)/2,0),ROW()-3,"")</f>
        <v/>
      </c>
      <c r="B88" s="21" t="str">
        <f>IF($A88="","",IFERROR(INDEX(計算用!$D$2:$D$186,MATCH("男赤"&amp;($A88*2-1),計算用!$L$2:$L$186,0)),""))</f>
        <v/>
      </c>
      <c r="C88" s="20" t="str">
        <f>IF($A88="","",IFERROR(INDEX(計算用!$M$2:$M$186,MATCH("男赤"&amp;($A88*2-1),計算用!$L$2:$L$186,0)),""))</f>
        <v/>
      </c>
      <c r="D88" s="21" t="str">
        <f>IF($A88="","",IFERROR(INDEX(計算用!$D$2:$D$186,MATCH("男赤"&amp;($A88*2-0),計算用!$L$2:$L$186,0)),""))</f>
        <v/>
      </c>
      <c r="E88" s="20" t="str">
        <f>IF($A88="","",IFERROR(INDEX(計算用!$M$2:$M$186,MATCH("男赤"&amp;($A88*2-0),計算用!$L$2:$L$186,0)),""))</f>
        <v/>
      </c>
      <c r="F88" s="21" t="str">
        <f>IF($A88="","",IFERROR(INDEX(計算用!$D$2:$D$186,MATCH("男白"&amp;($A88*2-1),計算用!$L$2:$L$186,0)),""))</f>
        <v/>
      </c>
      <c r="G88" s="20" t="str">
        <f>IF($A88="","",IFERROR(INDEX(計算用!$M$2:$M$186,MATCH("男白"&amp;($A88*2-1),計算用!$L$2:$L$186,0)),""))</f>
        <v/>
      </c>
      <c r="H88" s="21" t="str">
        <f>IF($A88="","",IFERROR(INDEX(計算用!$D$2:$D$186,MATCH("男白"&amp;($A88*2-0),計算用!$L$2:$L$186,0)),""))</f>
        <v/>
      </c>
      <c r="I88" s="20" t="str">
        <f>IF($A88="","",IFERROR(INDEX(計算用!$M$2:$M$186,MATCH("男白"&amp;($A88*2-0),計算用!$L$2:$L$186,0)),""))</f>
        <v/>
      </c>
      <c r="K88" s="20" t="str">
        <f>IF(ROW()-3&lt;=ROUNDUP(MAX(計算用!$Q$4,計算用!$Q$5)/2,0),ROW()-3,"")</f>
        <v/>
      </c>
      <c r="L88" s="21" t="str">
        <f>IF($K88="","",IFERROR(INDEX(計算用!$D$2:$D$186,MATCH("女赤"&amp;($K88*2-1),計算用!$L$2:$L$186,0)),""))</f>
        <v/>
      </c>
      <c r="M88" s="20" t="str">
        <f>IF($K88="","",IFERROR(INDEX(計算用!$M$2:$M$186,MATCH("女赤"&amp;($K88*2-1),計算用!$L$2:$L$186,0)),""))</f>
        <v/>
      </c>
      <c r="N88" s="21" t="str">
        <f>IF($K88="","",IFERROR(INDEX(計算用!$D$2:$D$186,MATCH("女赤"&amp;($K88*2-0),計算用!$L$2:$L$186,0)),""))</f>
        <v/>
      </c>
      <c r="O88" s="20" t="str">
        <f>IF($K88="","",IFERROR(INDEX(計算用!$M$2:$M$186,MATCH("女赤"&amp;($K88*2-0),計算用!$L$2:$L$186,0)),""))</f>
        <v/>
      </c>
      <c r="P88" s="21" t="str">
        <f>IF($K88="","",IFERROR(INDEX(計算用!$D$2:$D$186,MATCH("女白"&amp;($K88*2-1),計算用!$L$2:$L$186,0)),""))</f>
        <v/>
      </c>
      <c r="Q88" s="20" t="str">
        <f>IF($K88="","",IFERROR(INDEX(計算用!$M$2:$M$186,MATCH("女白"&amp;($K88*2-1),計算用!$L$2:$L$186,0)),""))</f>
        <v/>
      </c>
      <c r="R88" s="21" t="str">
        <f>IF($K88="","",IFERROR(INDEX(計算用!$D$2:$D$186,MATCH("女白"&amp;($K88*2-0),計算用!$L$2:$L$186,0)),""))</f>
        <v/>
      </c>
      <c r="S88" s="20" t="str">
        <f>IF($K88="","",IFERROR(INDEX(計算用!$M$2:$M$186,MATCH("女白"&amp;($K88*2-0),計算用!$L$2:$L$186,0)),""))</f>
        <v/>
      </c>
    </row>
    <row r="89" spans="1:19" x14ac:dyDescent="0.15">
      <c r="A89" s="20" t="str">
        <f>IF(ROW()-3&lt;=ROUNDUP(MAX(計算用!$Q$2,計算用!$Q$3)/2,0),ROW()-3,"")</f>
        <v/>
      </c>
      <c r="B89" s="21" t="str">
        <f>IF($A89="","",IFERROR(INDEX(計算用!$D$2:$D$186,MATCH("男赤"&amp;($A89*2-1),計算用!$L$2:$L$186,0)),""))</f>
        <v/>
      </c>
      <c r="C89" s="20" t="str">
        <f>IF($A89="","",IFERROR(INDEX(計算用!$M$2:$M$186,MATCH("男赤"&amp;($A89*2-1),計算用!$L$2:$L$186,0)),""))</f>
        <v/>
      </c>
      <c r="D89" s="21" t="str">
        <f>IF($A89="","",IFERROR(INDEX(計算用!$D$2:$D$186,MATCH("男赤"&amp;($A89*2-0),計算用!$L$2:$L$186,0)),""))</f>
        <v/>
      </c>
      <c r="E89" s="20" t="str">
        <f>IF($A89="","",IFERROR(INDEX(計算用!$M$2:$M$186,MATCH("男赤"&amp;($A89*2-0),計算用!$L$2:$L$186,0)),""))</f>
        <v/>
      </c>
      <c r="F89" s="21" t="str">
        <f>IF($A89="","",IFERROR(INDEX(計算用!$D$2:$D$186,MATCH("男白"&amp;($A89*2-1),計算用!$L$2:$L$186,0)),""))</f>
        <v/>
      </c>
      <c r="G89" s="20" t="str">
        <f>IF($A89="","",IFERROR(INDEX(計算用!$M$2:$M$186,MATCH("男白"&amp;($A89*2-1),計算用!$L$2:$L$186,0)),""))</f>
        <v/>
      </c>
      <c r="H89" s="21" t="str">
        <f>IF($A89="","",IFERROR(INDEX(計算用!$D$2:$D$186,MATCH("男白"&amp;($A89*2-0),計算用!$L$2:$L$186,0)),""))</f>
        <v/>
      </c>
      <c r="I89" s="20" t="str">
        <f>IF($A89="","",IFERROR(INDEX(計算用!$M$2:$M$186,MATCH("男白"&amp;($A89*2-0),計算用!$L$2:$L$186,0)),""))</f>
        <v/>
      </c>
      <c r="K89" s="20" t="str">
        <f>IF(ROW()-3&lt;=ROUNDUP(MAX(計算用!$Q$4,計算用!$Q$5)/2,0),ROW()-3,"")</f>
        <v/>
      </c>
      <c r="L89" s="21" t="str">
        <f>IF($K89="","",IFERROR(INDEX(計算用!$D$2:$D$186,MATCH("女赤"&amp;($K89*2-1),計算用!$L$2:$L$186,0)),""))</f>
        <v/>
      </c>
      <c r="M89" s="20" t="str">
        <f>IF($K89="","",IFERROR(INDEX(計算用!$M$2:$M$186,MATCH("女赤"&amp;($K89*2-1),計算用!$L$2:$L$186,0)),""))</f>
        <v/>
      </c>
      <c r="N89" s="21" t="str">
        <f>IF($K89="","",IFERROR(INDEX(計算用!$D$2:$D$186,MATCH("女赤"&amp;($K89*2-0),計算用!$L$2:$L$186,0)),""))</f>
        <v/>
      </c>
      <c r="O89" s="20" t="str">
        <f>IF($K89="","",IFERROR(INDEX(計算用!$M$2:$M$186,MATCH("女赤"&amp;($K89*2-0),計算用!$L$2:$L$186,0)),""))</f>
        <v/>
      </c>
      <c r="P89" s="21" t="str">
        <f>IF($K89="","",IFERROR(INDEX(計算用!$D$2:$D$186,MATCH("女白"&amp;($K89*2-1),計算用!$L$2:$L$186,0)),""))</f>
        <v/>
      </c>
      <c r="Q89" s="20" t="str">
        <f>IF($K89="","",IFERROR(INDEX(計算用!$M$2:$M$186,MATCH("女白"&amp;($K89*2-1),計算用!$L$2:$L$186,0)),""))</f>
        <v/>
      </c>
      <c r="R89" s="21" t="str">
        <f>IF($K89="","",IFERROR(INDEX(計算用!$D$2:$D$186,MATCH("女白"&amp;($K89*2-0),計算用!$L$2:$L$186,0)),""))</f>
        <v/>
      </c>
      <c r="S89" s="20" t="str">
        <f>IF($K89="","",IFERROR(INDEX(計算用!$M$2:$M$186,MATCH("女白"&amp;($K89*2-0),計算用!$L$2:$L$186,0)),""))</f>
        <v/>
      </c>
    </row>
    <row r="90" spans="1:19" x14ac:dyDescent="0.15">
      <c r="A90" s="20" t="str">
        <f>IF(ROW()-3&lt;=ROUNDUP(MAX(計算用!$Q$2,計算用!$Q$3)/2,0),ROW()-3,"")</f>
        <v/>
      </c>
      <c r="B90" s="21" t="str">
        <f>IF($A90="","",IFERROR(INDEX(計算用!$D$2:$D$186,MATCH("男赤"&amp;($A90*2-1),計算用!$L$2:$L$186,0)),""))</f>
        <v/>
      </c>
      <c r="C90" s="20" t="str">
        <f>IF($A90="","",IFERROR(INDEX(計算用!$M$2:$M$186,MATCH("男赤"&amp;($A90*2-1),計算用!$L$2:$L$186,0)),""))</f>
        <v/>
      </c>
      <c r="D90" s="21" t="str">
        <f>IF($A90="","",IFERROR(INDEX(計算用!$D$2:$D$186,MATCH("男赤"&amp;($A90*2-0),計算用!$L$2:$L$186,0)),""))</f>
        <v/>
      </c>
      <c r="E90" s="20" t="str">
        <f>IF($A90="","",IFERROR(INDEX(計算用!$M$2:$M$186,MATCH("男赤"&amp;($A90*2-0),計算用!$L$2:$L$186,0)),""))</f>
        <v/>
      </c>
      <c r="F90" s="21" t="str">
        <f>IF($A90="","",IFERROR(INDEX(計算用!$D$2:$D$186,MATCH("男白"&amp;($A90*2-1),計算用!$L$2:$L$186,0)),""))</f>
        <v/>
      </c>
      <c r="G90" s="20" t="str">
        <f>IF($A90="","",IFERROR(INDEX(計算用!$M$2:$M$186,MATCH("男白"&amp;($A90*2-1),計算用!$L$2:$L$186,0)),""))</f>
        <v/>
      </c>
      <c r="H90" s="21" t="str">
        <f>IF($A90="","",IFERROR(INDEX(計算用!$D$2:$D$186,MATCH("男白"&amp;($A90*2-0),計算用!$L$2:$L$186,0)),""))</f>
        <v/>
      </c>
      <c r="I90" s="20" t="str">
        <f>IF($A90="","",IFERROR(INDEX(計算用!$M$2:$M$186,MATCH("男白"&amp;($A90*2-0),計算用!$L$2:$L$186,0)),""))</f>
        <v/>
      </c>
      <c r="K90" s="20" t="str">
        <f>IF(ROW()-3&lt;=ROUNDUP(MAX(計算用!$Q$4,計算用!$Q$5)/2,0),ROW()-3,"")</f>
        <v/>
      </c>
      <c r="L90" s="21" t="str">
        <f>IF($K90="","",IFERROR(INDEX(計算用!$D$2:$D$186,MATCH("女赤"&amp;($K90*2-1),計算用!$L$2:$L$186,0)),""))</f>
        <v/>
      </c>
      <c r="M90" s="20" t="str">
        <f>IF($K90="","",IFERROR(INDEX(計算用!$M$2:$M$186,MATCH("女赤"&amp;($K90*2-1),計算用!$L$2:$L$186,0)),""))</f>
        <v/>
      </c>
      <c r="N90" s="21" t="str">
        <f>IF($K90="","",IFERROR(INDEX(計算用!$D$2:$D$186,MATCH("女赤"&amp;($K90*2-0),計算用!$L$2:$L$186,0)),""))</f>
        <v/>
      </c>
      <c r="O90" s="20" t="str">
        <f>IF($K90="","",IFERROR(INDEX(計算用!$M$2:$M$186,MATCH("女赤"&amp;($K90*2-0),計算用!$L$2:$L$186,0)),""))</f>
        <v/>
      </c>
      <c r="P90" s="21" t="str">
        <f>IF($K90="","",IFERROR(INDEX(計算用!$D$2:$D$186,MATCH("女白"&amp;($K90*2-1),計算用!$L$2:$L$186,0)),""))</f>
        <v/>
      </c>
      <c r="Q90" s="20" t="str">
        <f>IF($K90="","",IFERROR(INDEX(計算用!$M$2:$M$186,MATCH("女白"&amp;($K90*2-1),計算用!$L$2:$L$186,0)),""))</f>
        <v/>
      </c>
      <c r="R90" s="21" t="str">
        <f>IF($K90="","",IFERROR(INDEX(計算用!$D$2:$D$186,MATCH("女白"&amp;($K90*2-0),計算用!$L$2:$L$186,0)),""))</f>
        <v/>
      </c>
      <c r="S90" s="20" t="str">
        <f>IF($K90="","",IFERROR(INDEX(計算用!$M$2:$M$186,MATCH("女白"&amp;($K90*2-0),計算用!$L$2:$L$186,0)),""))</f>
        <v/>
      </c>
    </row>
    <row r="91" spans="1:19" x14ac:dyDescent="0.15">
      <c r="A91" s="20" t="str">
        <f>IF(ROW()-3&lt;=ROUNDUP(MAX(計算用!$Q$2,計算用!$Q$3)/2,0),ROW()-3,"")</f>
        <v/>
      </c>
      <c r="B91" s="21" t="str">
        <f>IF($A91="","",IFERROR(INDEX(計算用!$D$2:$D$186,MATCH("男赤"&amp;($A91*2-1),計算用!$L$2:$L$186,0)),""))</f>
        <v/>
      </c>
      <c r="C91" s="20" t="str">
        <f>IF($A91="","",IFERROR(INDEX(計算用!$M$2:$M$186,MATCH("男赤"&amp;($A91*2-1),計算用!$L$2:$L$186,0)),""))</f>
        <v/>
      </c>
      <c r="D91" s="21" t="str">
        <f>IF($A91="","",IFERROR(INDEX(計算用!$D$2:$D$186,MATCH("男赤"&amp;($A91*2-0),計算用!$L$2:$L$186,0)),""))</f>
        <v/>
      </c>
      <c r="E91" s="20" t="str">
        <f>IF($A91="","",IFERROR(INDEX(計算用!$M$2:$M$186,MATCH("男赤"&amp;($A91*2-0),計算用!$L$2:$L$186,0)),""))</f>
        <v/>
      </c>
      <c r="F91" s="21" t="str">
        <f>IF($A91="","",IFERROR(INDEX(計算用!$D$2:$D$186,MATCH("男白"&amp;($A91*2-1),計算用!$L$2:$L$186,0)),""))</f>
        <v/>
      </c>
      <c r="G91" s="20" t="str">
        <f>IF($A91="","",IFERROR(INDEX(計算用!$M$2:$M$186,MATCH("男白"&amp;($A91*2-1),計算用!$L$2:$L$186,0)),""))</f>
        <v/>
      </c>
      <c r="H91" s="21" t="str">
        <f>IF($A91="","",IFERROR(INDEX(計算用!$D$2:$D$186,MATCH("男白"&amp;($A91*2-0),計算用!$L$2:$L$186,0)),""))</f>
        <v/>
      </c>
      <c r="I91" s="20" t="str">
        <f>IF($A91="","",IFERROR(INDEX(計算用!$M$2:$M$186,MATCH("男白"&amp;($A91*2-0),計算用!$L$2:$L$186,0)),""))</f>
        <v/>
      </c>
      <c r="K91" s="20" t="str">
        <f>IF(ROW()-3&lt;=ROUNDUP(MAX(計算用!$Q$4,計算用!$Q$5)/2,0),ROW()-3,"")</f>
        <v/>
      </c>
      <c r="L91" s="21" t="str">
        <f>IF($K91="","",IFERROR(INDEX(計算用!$D$2:$D$186,MATCH("女赤"&amp;($K91*2-1),計算用!$L$2:$L$186,0)),""))</f>
        <v/>
      </c>
      <c r="M91" s="20" t="str">
        <f>IF($K91="","",IFERROR(INDEX(計算用!$M$2:$M$186,MATCH("女赤"&amp;($K91*2-1),計算用!$L$2:$L$186,0)),""))</f>
        <v/>
      </c>
      <c r="N91" s="21" t="str">
        <f>IF($K91="","",IFERROR(INDEX(計算用!$D$2:$D$186,MATCH("女赤"&amp;($K91*2-0),計算用!$L$2:$L$186,0)),""))</f>
        <v/>
      </c>
      <c r="O91" s="20" t="str">
        <f>IF($K91="","",IFERROR(INDEX(計算用!$M$2:$M$186,MATCH("女赤"&amp;($K91*2-0),計算用!$L$2:$L$186,0)),""))</f>
        <v/>
      </c>
      <c r="P91" s="21" t="str">
        <f>IF($K91="","",IFERROR(INDEX(計算用!$D$2:$D$186,MATCH("女白"&amp;($K91*2-1),計算用!$L$2:$L$186,0)),""))</f>
        <v/>
      </c>
      <c r="Q91" s="20" t="str">
        <f>IF($K91="","",IFERROR(INDEX(計算用!$M$2:$M$186,MATCH("女白"&amp;($K91*2-1),計算用!$L$2:$L$186,0)),""))</f>
        <v/>
      </c>
      <c r="R91" s="21" t="str">
        <f>IF($K91="","",IFERROR(INDEX(計算用!$D$2:$D$186,MATCH("女白"&amp;($K91*2-0),計算用!$L$2:$L$186,0)),""))</f>
        <v/>
      </c>
      <c r="S91" s="20" t="str">
        <f>IF($K91="","",IFERROR(INDEX(計算用!$M$2:$M$186,MATCH("女白"&amp;($K91*2-0),計算用!$L$2:$L$186,0)),""))</f>
        <v/>
      </c>
    </row>
    <row r="92" spans="1:19" x14ac:dyDescent="0.15">
      <c r="A92" s="20" t="str">
        <f>IF(ROW()-3&lt;=ROUNDUP(MAX(計算用!$Q$2,計算用!$Q$3)/2,0),ROW()-3,"")</f>
        <v/>
      </c>
      <c r="B92" s="21" t="str">
        <f>IF($A92="","",IFERROR(INDEX(計算用!$D$2:$D$186,MATCH("男赤"&amp;($A92*2-1),計算用!$L$2:$L$186,0)),""))</f>
        <v/>
      </c>
      <c r="C92" s="20" t="str">
        <f>IF($A92="","",IFERROR(INDEX(計算用!$M$2:$M$186,MATCH("男赤"&amp;($A92*2-1),計算用!$L$2:$L$186,0)),""))</f>
        <v/>
      </c>
      <c r="D92" s="21" t="str">
        <f>IF($A92="","",IFERROR(INDEX(計算用!$D$2:$D$186,MATCH("男赤"&amp;($A92*2-0),計算用!$L$2:$L$186,0)),""))</f>
        <v/>
      </c>
      <c r="E92" s="20" t="str">
        <f>IF($A92="","",IFERROR(INDEX(計算用!$M$2:$M$186,MATCH("男赤"&amp;($A92*2-0),計算用!$L$2:$L$186,0)),""))</f>
        <v/>
      </c>
      <c r="F92" s="21" t="str">
        <f>IF($A92="","",IFERROR(INDEX(計算用!$D$2:$D$186,MATCH("男白"&amp;($A92*2-1),計算用!$L$2:$L$186,0)),""))</f>
        <v/>
      </c>
      <c r="G92" s="20" t="str">
        <f>IF($A92="","",IFERROR(INDEX(計算用!$M$2:$M$186,MATCH("男白"&amp;($A92*2-1),計算用!$L$2:$L$186,0)),""))</f>
        <v/>
      </c>
      <c r="H92" s="21" t="str">
        <f>IF($A92="","",IFERROR(INDEX(計算用!$D$2:$D$186,MATCH("男白"&amp;($A92*2-0),計算用!$L$2:$L$186,0)),""))</f>
        <v/>
      </c>
      <c r="I92" s="20" t="str">
        <f>IF($A92="","",IFERROR(INDEX(計算用!$M$2:$M$186,MATCH("男白"&amp;($A92*2-0),計算用!$L$2:$L$186,0)),""))</f>
        <v/>
      </c>
      <c r="K92" s="20" t="str">
        <f>IF(ROW()-3&lt;=ROUNDUP(MAX(計算用!$Q$4,計算用!$Q$5)/2,0),ROW()-3,"")</f>
        <v/>
      </c>
      <c r="L92" s="21" t="str">
        <f>IF($K92="","",IFERROR(INDEX(計算用!$D$2:$D$186,MATCH("女赤"&amp;($K92*2-1),計算用!$L$2:$L$186,0)),""))</f>
        <v/>
      </c>
      <c r="M92" s="20" t="str">
        <f>IF($K92="","",IFERROR(INDEX(計算用!$M$2:$M$186,MATCH("女赤"&amp;($K92*2-1),計算用!$L$2:$L$186,0)),""))</f>
        <v/>
      </c>
      <c r="N92" s="21" t="str">
        <f>IF($K92="","",IFERROR(INDEX(計算用!$D$2:$D$186,MATCH("女赤"&amp;($K92*2-0),計算用!$L$2:$L$186,0)),""))</f>
        <v/>
      </c>
      <c r="O92" s="20" t="str">
        <f>IF($K92="","",IFERROR(INDEX(計算用!$M$2:$M$186,MATCH("女赤"&amp;($K92*2-0),計算用!$L$2:$L$186,0)),""))</f>
        <v/>
      </c>
      <c r="P92" s="21" t="str">
        <f>IF($K92="","",IFERROR(INDEX(計算用!$D$2:$D$186,MATCH("女白"&amp;($K92*2-1),計算用!$L$2:$L$186,0)),""))</f>
        <v/>
      </c>
      <c r="Q92" s="20" t="str">
        <f>IF($K92="","",IFERROR(INDEX(計算用!$M$2:$M$186,MATCH("女白"&amp;($K92*2-1),計算用!$L$2:$L$186,0)),""))</f>
        <v/>
      </c>
      <c r="R92" s="21" t="str">
        <f>IF($K92="","",IFERROR(INDEX(計算用!$D$2:$D$186,MATCH("女白"&amp;($K92*2-0),計算用!$L$2:$L$186,0)),""))</f>
        <v/>
      </c>
      <c r="S92" s="20" t="str">
        <f>IF($K92="","",IFERROR(INDEX(計算用!$M$2:$M$186,MATCH("女白"&amp;($K92*2-0),計算用!$L$2:$L$186,0)),""))</f>
        <v/>
      </c>
    </row>
    <row r="93" spans="1:19" x14ac:dyDescent="0.15">
      <c r="A93" s="20" t="str">
        <f>IF(ROW()-3&lt;=ROUNDUP(MAX(計算用!$Q$2,計算用!$Q$3)/2,0),ROW()-3,"")</f>
        <v/>
      </c>
      <c r="B93" s="21" t="str">
        <f>IF($A93="","",IFERROR(INDEX(計算用!$D$2:$D$186,MATCH("男赤"&amp;($A93*2-1),計算用!$L$2:$L$186,0)),""))</f>
        <v/>
      </c>
      <c r="C93" s="20" t="str">
        <f>IF($A93="","",IFERROR(INDEX(計算用!$M$2:$M$186,MATCH("男赤"&amp;($A93*2-1),計算用!$L$2:$L$186,0)),""))</f>
        <v/>
      </c>
      <c r="D93" s="21" t="str">
        <f>IF($A93="","",IFERROR(INDEX(計算用!$D$2:$D$186,MATCH("男赤"&amp;($A93*2-0),計算用!$L$2:$L$186,0)),""))</f>
        <v/>
      </c>
      <c r="E93" s="20" t="str">
        <f>IF($A93="","",IFERROR(INDEX(計算用!$M$2:$M$186,MATCH("男赤"&amp;($A93*2-0),計算用!$L$2:$L$186,0)),""))</f>
        <v/>
      </c>
      <c r="F93" s="21" t="str">
        <f>IF($A93="","",IFERROR(INDEX(計算用!$D$2:$D$186,MATCH("男白"&amp;($A93*2-1),計算用!$L$2:$L$186,0)),""))</f>
        <v/>
      </c>
      <c r="G93" s="20" t="str">
        <f>IF($A93="","",IFERROR(INDEX(計算用!$M$2:$M$186,MATCH("男白"&amp;($A93*2-1),計算用!$L$2:$L$186,0)),""))</f>
        <v/>
      </c>
      <c r="H93" s="21" t="str">
        <f>IF($A93="","",IFERROR(INDEX(計算用!$D$2:$D$186,MATCH("男白"&amp;($A93*2-0),計算用!$L$2:$L$186,0)),""))</f>
        <v/>
      </c>
      <c r="I93" s="20" t="str">
        <f>IF($A93="","",IFERROR(INDEX(計算用!$M$2:$M$186,MATCH("男白"&amp;($A93*2-0),計算用!$L$2:$L$186,0)),""))</f>
        <v/>
      </c>
      <c r="K93" s="20" t="str">
        <f>IF(ROW()-3&lt;=ROUNDUP(MAX(計算用!$Q$4,計算用!$Q$5)/2,0),ROW()-3,"")</f>
        <v/>
      </c>
      <c r="L93" s="21" t="str">
        <f>IF($K93="","",IFERROR(INDEX(計算用!$D$2:$D$186,MATCH("女赤"&amp;($K93*2-1),計算用!$L$2:$L$186,0)),""))</f>
        <v/>
      </c>
      <c r="M93" s="20" t="str">
        <f>IF($K93="","",IFERROR(INDEX(計算用!$M$2:$M$186,MATCH("女赤"&amp;($K93*2-1),計算用!$L$2:$L$186,0)),""))</f>
        <v/>
      </c>
      <c r="N93" s="21" t="str">
        <f>IF($K93="","",IFERROR(INDEX(計算用!$D$2:$D$186,MATCH("女赤"&amp;($K93*2-0),計算用!$L$2:$L$186,0)),""))</f>
        <v/>
      </c>
      <c r="O93" s="20" t="str">
        <f>IF($K93="","",IFERROR(INDEX(計算用!$M$2:$M$186,MATCH("女赤"&amp;($K93*2-0),計算用!$L$2:$L$186,0)),""))</f>
        <v/>
      </c>
      <c r="P93" s="21" t="str">
        <f>IF($K93="","",IFERROR(INDEX(計算用!$D$2:$D$186,MATCH("女白"&amp;($K93*2-1),計算用!$L$2:$L$186,0)),""))</f>
        <v/>
      </c>
      <c r="Q93" s="20" t="str">
        <f>IF($K93="","",IFERROR(INDEX(計算用!$M$2:$M$186,MATCH("女白"&amp;($K93*2-1),計算用!$L$2:$L$186,0)),""))</f>
        <v/>
      </c>
      <c r="R93" s="21" t="str">
        <f>IF($K93="","",IFERROR(INDEX(計算用!$D$2:$D$186,MATCH("女白"&amp;($K93*2-0),計算用!$L$2:$L$186,0)),""))</f>
        <v/>
      </c>
      <c r="S93" s="20" t="str">
        <f>IF($K93="","",IFERROR(INDEX(計算用!$M$2:$M$186,MATCH("女白"&amp;($K93*2-0),計算用!$L$2:$L$186,0)),""))</f>
        <v/>
      </c>
    </row>
    <row r="94" spans="1:19" x14ac:dyDescent="0.15">
      <c r="A94" s="20" t="str">
        <f>IF(ROW()-3&lt;=ROUNDUP(MAX(計算用!$Q$2,計算用!$Q$3)/2,0),ROW()-3,"")</f>
        <v/>
      </c>
      <c r="B94" s="21" t="str">
        <f>IF($A94="","",IFERROR(INDEX(計算用!$D$2:$D$186,MATCH("男赤"&amp;($A94*2-1),計算用!$L$2:$L$186,0)),""))</f>
        <v/>
      </c>
      <c r="C94" s="20" t="str">
        <f>IF($A94="","",IFERROR(INDEX(計算用!$M$2:$M$186,MATCH("男赤"&amp;($A94*2-1),計算用!$L$2:$L$186,0)),""))</f>
        <v/>
      </c>
      <c r="D94" s="21" t="str">
        <f>IF($A94="","",IFERROR(INDEX(計算用!$D$2:$D$186,MATCH("男赤"&amp;($A94*2-0),計算用!$L$2:$L$186,0)),""))</f>
        <v/>
      </c>
      <c r="E94" s="20" t="str">
        <f>IF($A94="","",IFERROR(INDEX(計算用!$M$2:$M$186,MATCH("男赤"&amp;($A94*2-0),計算用!$L$2:$L$186,0)),""))</f>
        <v/>
      </c>
      <c r="F94" s="21" t="str">
        <f>IF($A94="","",IFERROR(INDEX(計算用!$D$2:$D$186,MATCH("男白"&amp;($A94*2-1),計算用!$L$2:$L$186,0)),""))</f>
        <v/>
      </c>
      <c r="G94" s="20" t="str">
        <f>IF($A94="","",IFERROR(INDEX(計算用!$M$2:$M$186,MATCH("男白"&amp;($A94*2-1),計算用!$L$2:$L$186,0)),""))</f>
        <v/>
      </c>
      <c r="H94" s="21" t="str">
        <f>IF($A94="","",IFERROR(INDEX(計算用!$D$2:$D$186,MATCH("男白"&amp;($A94*2-0),計算用!$L$2:$L$186,0)),""))</f>
        <v/>
      </c>
      <c r="I94" s="20" t="str">
        <f>IF($A94="","",IFERROR(INDEX(計算用!$M$2:$M$186,MATCH("男白"&amp;($A94*2-0),計算用!$L$2:$L$186,0)),""))</f>
        <v/>
      </c>
      <c r="K94" s="20" t="str">
        <f>IF(ROW()-3&lt;=ROUNDUP(MAX(計算用!$Q$4,計算用!$Q$5)/2,0),ROW()-3,"")</f>
        <v/>
      </c>
      <c r="L94" s="21" t="str">
        <f>IF($K94="","",IFERROR(INDEX(計算用!$D$2:$D$186,MATCH("女赤"&amp;($K94*2-1),計算用!$L$2:$L$186,0)),""))</f>
        <v/>
      </c>
      <c r="M94" s="20" t="str">
        <f>IF($K94="","",IFERROR(INDEX(計算用!$M$2:$M$186,MATCH("女赤"&amp;($K94*2-1),計算用!$L$2:$L$186,0)),""))</f>
        <v/>
      </c>
      <c r="N94" s="21" t="str">
        <f>IF($K94="","",IFERROR(INDEX(計算用!$D$2:$D$186,MATCH("女赤"&amp;($K94*2-0),計算用!$L$2:$L$186,0)),""))</f>
        <v/>
      </c>
      <c r="O94" s="20" t="str">
        <f>IF($K94="","",IFERROR(INDEX(計算用!$M$2:$M$186,MATCH("女赤"&amp;($K94*2-0),計算用!$L$2:$L$186,0)),""))</f>
        <v/>
      </c>
      <c r="P94" s="21" t="str">
        <f>IF($K94="","",IFERROR(INDEX(計算用!$D$2:$D$186,MATCH("女白"&amp;($K94*2-1),計算用!$L$2:$L$186,0)),""))</f>
        <v/>
      </c>
      <c r="Q94" s="20" t="str">
        <f>IF($K94="","",IFERROR(INDEX(計算用!$M$2:$M$186,MATCH("女白"&amp;($K94*2-1),計算用!$L$2:$L$186,0)),""))</f>
        <v/>
      </c>
      <c r="R94" s="21" t="str">
        <f>IF($K94="","",IFERROR(INDEX(計算用!$D$2:$D$186,MATCH("女白"&amp;($K94*2-0),計算用!$L$2:$L$186,0)),""))</f>
        <v/>
      </c>
      <c r="S94" s="20" t="str">
        <f>IF($K94="","",IFERROR(INDEX(計算用!$M$2:$M$186,MATCH("女白"&amp;($K94*2-0),計算用!$L$2:$L$186,0)),""))</f>
        <v/>
      </c>
    </row>
    <row r="95" spans="1:19" x14ac:dyDescent="0.15">
      <c r="A95" s="20" t="str">
        <f>IF(ROW()-3&lt;=ROUNDUP(MAX(計算用!$Q$2,計算用!$Q$3)/2,0),ROW()-3,"")</f>
        <v/>
      </c>
      <c r="B95" s="21" t="str">
        <f>IF($A95="","",IFERROR(INDEX(計算用!$D$2:$D$186,MATCH("男赤"&amp;($A95*2-1),計算用!$L$2:$L$186,0)),""))</f>
        <v/>
      </c>
      <c r="C95" s="20" t="str">
        <f>IF($A95="","",IFERROR(INDEX(計算用!$M$2:$M$186,MATCH("男赤"&amp;($A95*2-1),計算用!$L$2:$L$186,0)),""))</f>
        <v/>
      </c>
      <c r="D95" s="21" t="str">
        <f>IF($A95="","",IFERROR(INDEX(計算用!$D$2:$D$186,MATCH("男赤"&amp;($A95*2-0),計算用!$L$2:$L$186,0)),""))</f>
        <v/>
      </c>
      <c r="E95" s="20" t="str">
        <f>IF($A95="","",IFERROR(INDEX(計算用!$M$2:$M$186,MATCH("男赤"&amp;($A95*2-0),計算用!$L$2:$L$186,0)),""))</f>
        <v/>
      </c>
      <c r="F95" s="21" t="str">
        <f>IF($A95="","",IFERROR(INDEX(計算用!$D$2:$D$186,MATCH("男白"&amp;($A95*2-1),計算用!$L$2:$L$186,0)),""))</f>
        <v/>
      </c>
      <c r="G95" s="20" t="str">
        <f>IF($A95="","",IFERROR(INDEX(計算用!$M$2:$M$186,MATCH("男白"&amp;($A95*2-1),計算用!$L$2:$L$186,0)),""))</f>
        <v/>
      </c>
      <c r="H95" s="21" t="str">
        <f>IF($A95="","",IFERROR(INDEX(計算用!$D$2:$D$186,MATCH("男白"&amp;($A95*2-0),計算用!$L$2:$L$186,0)),""))</f>
        <v/>
      </c>
      <c r="I95" s="20" t="str">
        <f>IF($A95="","",IFERROR(INDEX(計算用!$M$2:$M$186,MATCH("男白"&amp;($A95*2-0),計算用!$L$2:$L$186,0)),""))</f>
        <v/>
      </c>
      <c r="K95" s="20" t="str">
        <f>IF(ROW()-3&lt;=ROUNDUP(MAX(計算用!$Q$4,計算用!$Q$5)/2,0),ROW()-3,"")</f>
        <v/>
      </c>
      <c r="L95" s="21" t="str">
        <f>IF($K95="","",IFERROR(INDEX(計算用!$D$2:$D$186,MATCH("女赤"&amp;($K95*2-1),計算用!$L$2:$L$186,0)),""))</f>
        <v/>
      </c>
      <c r="M95" s="20" t="str">
        <f>IF($K95="","",IFERROR(INDEX(計算用!$M$2:$M$186,MATCH("女赤"&amp;($K95*2-1),計算用!$L$2:$L$186,0)),""))</f>
        <v/>
      </c>
      <c r="N95" s="21" t="str">
        <f>IF($K95="","",IFERROR(INDEX(計算用!$D$2:$D$186,MATCH("女赤"&amp;($K95*2-0),計算用!$L$2:$L$186,0)),""))</f>
        <v/>
      </c>
      <c r="O95" s="20" t="str">
        <f>IF($K95="","",IFERROR(INDEX(計算用!$M$2:$M$186,MATCH("女赤"&amp;($K95*2-0),計算用!$L$2:$L$186,0)),""))</f>
        <v/>
      </c>
      <c r="P95" s="21" t="str">
        <f>IF($K95="","",IFERROR(INDEX(計算用!$D$2:$D$186,MATCH("女白"&amp;($K95*2-1),計算用!$L$2:$L$186,0)),""))</f>
        <v/>
      </c>
      <c r="Q95" s="20" t="str">
        <f>IF($K95="","",IFERROR(INDEX(計算用!$M$2:$M$186,MATCH("女白"&amp;($K95*2-1),計算用!$L$2:$L$186,0)),""))</f>
        <v/>
      </c>
      <c r="R95" s="21" t="str">
        <f>IF($K95="","",IFERROR(INDEX(計算用!$D$2:$D$186,MATCH("女白"&amp;($K95*2-0),計算用!$L$2:$L$186,0)),""))</f>
        <v/>
      </c>
      <c r="S95" s="20" t="str">
        <f>IF($K95="","",IFERROR(INDEX(計算用!$M$2:$M$186,MATCH("女白"&amp;($K95*2-0),計算用!$L$2:$L$186,0)),""))</f>
        <v/>
      </c>
    </row>
    <row r="96" spans="1:19" x14ac:dyDescent="0.15">
      <c r="A96" s="20" t="str">
        <f>IF(ROW()-3&lt;=ROUNDUP(MAX(計算用!$Q$2,計算用!$Q$3)/2,0),ROW()-3,"")</f>
        <v/>
      </c>
      <c r="B96" s="21" t="str">
        <f>IF($A96="","",IFERROR(INDEX(計算用!$D$2:$D$186,MATCH("男赤"&amp;($A96*2-1),計算用!$L$2:$L$186,0)),""))</f>
        <v/>
      </c>
      <c r="C96" s="20" t="str">
        <f>IF($A96="","",IFERROR(INDEX(計算用!$M$2:$M$186,MATCH("男赤"&amp;($A96*2-1),計算用!$L$2:$L$186,0)),""))</f>
        <v/>
      </c>
      <c r="D96" s="21" t="str">
        <f>IF($A96="","",IFERROR(INDEX(計算用!$D$2:$D$186,MATCH("男赤"&amp;($A96*2-0),計算用!$L$2:$L$186,0)),""))</f>
        <v/>
      </c>
      <c r="E96" s="20" t="str">
        <f>IF($A96="","",IFERROR(INDEX(計算用!$M$2:$M$186,MATCH("男赤"&amp;($A96*2-0),計算用!$L$2:$L$186,0)),""))</f>
        <v/>
      </c>
      <c r="F96" s="21" t="str">
        <f>IF($A96="","",IFERROR(INDEX(計算用!$D$2:$D$186,MATCH("男白"&amp;($A96*2-1),計算用!$L$2:$L$186,0)),""))</f>
        <v/>
      </c>
      <c r="G96" s="20" t="str">
        <f>IF($A96="","",IFERROR(INDEX(計算用!$M$2:$M$186,MATCH("男白"&amp;($A96*2-1),計算用!$L$2:$L$186,0)),""))</f>
        <v/>
      </c>
      <c r="H96" s="21" t="str">
        <f>IF($A96="","",IFERROR(INDEX(計算用!$D$2:$D$186,MATCH("男白"&amp;($A96*2-0),計算用!$L$2:$L$186,0)),""))</f>
        <v/>
      </c>
      <c r="I96" s="20" t="str">
        <f>IF($A96="","",IFERROR(INDEX(計算用!$M$2:$M$186,MATCH("男白"&amp;($A96*2-0),計算用!$L$2:$L$186,0)),""))</f>
        <v/>
      </c>
      <c r="K96" s="20" t="str">
        <f>IF(ROW()-3&lt;=ROUNDUP(MAX(計算用!$Q$4,計算用!$Q$5)/2,0),ROW()-3,"")</f>
        <v/>
      </c>
      <c r="L96" s="21" t="str">
        <f>IF($K96="","",IFERROR(INDEX(計算用!$D$2:$D$186,MATCH("女赤"&amp;($K96*2-1),計算用!$L$2:$L$186,0)),""))</f>
        <v/>
      </c>
      <c r="M96" s="20" t="str">
        <f>IF($K96="","",IFERROR(INDEX(計算用!$M$2:$M$186,MATCH("女赤"&amp;($K96*2-1),計算用!$L$2:$L$186,0)),""))</f>
        <v/>
      </c>
      <c r="N96" s="21" t="str">
        <f>IF($K96="","",IFERROR(INDEX(計算用!$D$2:$D$186,MATCH("女赤"&amp;($K96*2-0),計算用!$L$2:$L$186,0)),""))</f>
        <v/>
      </c>
      <c r="O96" s="20" t="str">
        <f>IF($K96="","",IFERROR(INDEX(計算用!$M$2:$M$186,MATCH("女赤"&amp;($K96*2-0),計算用!$L$2:$L$186,0)),""))</f>
        <v/>
      </c>
      <c r="P96" s="21" t="str">
        <f>IF($K96="","",IFERROR(INDEX(計算用!$D$2:$D$186,MATCH("女白"&amp;($K96*2-1),計算用!$L$2:$L$186,0)),""))</f>
        <v/>
      </c>
      <c r="Q96" s="20" t="str">
        <f>IF($K96="","",IFERROR(INDEX(計算用!$M$2:$M$186,MATCH("女白"&amp;($K96*2-1),計算用!$L$2:$L$186,0)),""))</f>
        <v/>
      </c>
      <c r="R96" s="21" t="str">
        <f>IF($K96="","",IFERROR(INDEX(計算用!$D$2:$D$186,MATCH("女白"&amp;($K96*2-0),計算用!$L$2:$L$186,0)),""))</f>
        <v/>
      </c>
      <c r="S96" s="20" t="str">
        <f>IF($K96="","",IFERROR(INDEX(計算用!$M$2:$M$186,MATCH("女白"&amp;($K96*2-0),計算用!$L$2:$L$186,0)),""))</f>
        <v/>
      </c>
    </row>
  </sheetData>
  <mergeCells count="4">
    <mergeCell ref="L2:O2"/>
    <mergeCell ref="P2:S2"/>
    <mergeCell ref="F2:I2"/>
    <mergeCell ref="B2:E2"/>
  </mergeCells>
  <phoneticPr fontId="2"/>
  <conditionalFormatting sqref="A4:I96">
    <cfRule type="expression" dxfId="1" priority="1">
      <formula>$A4&lt;&gt;""</formula>
    </cfRule>
  </conditionalFormatting>
  <conditionalFormatting sqref="K4:S96">
    <cfRule type="expression" dxfId="0" priority="2">
      <formula>$K4&lt;&gt;""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6"/>
  <sheetViews>
    <sheetView workbookViewId="0"/>
  </sheetViews>
  <sheetFormatPr defaultRowHeight="13.5" x14ac:dyDescent="0.15"/>
  <sheetData>
    <row r="1" spans="1:17" x14ac:dyDescent="0.15">
      <c r="A1" s="21" t="s">
        <v>22</v>
      </c>
      <c r="B1" s="21" t="s">
        <v>23</v>
      </c>
      <c r="C1" s="21" t="s">
        <v>24</v>
      </c>
      <c r="D1" s="21" t="s">
        <v>14</v>
      </c>
      <c r="E1" s="21" t="s">
        <v>25</v>
      </c>
      <c r="F1" s="21" t="s">
        <v>26</v>
      </c>
      <c r="G1" s="21" t="s">
        <v>16</v>
      </c>
      <c r="H1" s="21" t="s">
        <v>27</v>
      </c>
      <c r="I1" s="21" t="s">
        <v>28</v>
      </c>
      <c r="J1" s="21" t="s">
        <v>29</v>
      </c>
      <c r="K1" s="21" t="s">
        <v>30</v>
      </c>
      <c r="L1" s="21" t="s">
        <v>31</v>
      </c>
      <c r="M1" s="21" t="s">
        <v>15</v>
      </c>
      <c r="N1" s="21" t="s">
        <v>32</v>
      </c>
      <c r="P1" s="21" t="s">
        <v>29</v>
      </c>
      <c r="Q1" s="21" t="s">
        <v>33</v>
      </c>
    </row>
    <row r="2" spans="1:17" x14ac:dyDescent="0.15">
      <c r="A2" s="21">
        <f t="shared" ref="A2:A33" si="0">ROW()-1</f>
        <v>1</v>
      </c>
      <c r="B2" s="21">
        <f t="shared" ref="B2:B33" si="1">INT((A2-1)/37)+1</f>
        <v>1</v>
      </c>
      <c r="C2" s="21">
        <f t="shared" ref="C2:C33" si="2">MOD(A2-1,37)+1</f>
        <v>1</v>
      </c>
      <c r="D2" s="21" t="str">
        <f>INDEX(①データ入力!$B$3:$Y$39,C2,(B2-1)*5+1)&amp;""</f>
        <v/>
      </c>
      <c r="E2" s="21" t="str">
        <f>INDEX(①データ入力!$B$3:$Y$39,C2,(B2-1)*5+2)&amp;""</f>
        <v/>
      </c>
      <c r="F2" s="21" t="str">
        <f t="shared" ref="F2:F33" si="3">IF(OR(E2="1",E2="１",E2="男"),"男",IF(OR(E2="2",E2="２",E2="女"),"女",""))</f>
        <v/>
      </c>
      <c r="G2" s="21">
        <f>INDEX(①データ入力!$B$3:$Y$39,C2,(B2-1)*5+3)</f>
        <v>0</v>
      </c>
      <c r="H2" s="21" t="str">
        <f>INDEX(①データ入力!$B$3:$Y$39,C2,(B2-1)*5+4)&amp;""</f>
        <v/>
      </c>
      <c r="I2" s="21" t="str">
        <f t="shared" ref="I2:I33" si="4">IF(LEFT(TRIM(H2),1)="赤","赤",IF(LEFT(TRIM(H2),1)="白","白",""))</f>
        <v/>
      </c>
      <c r="J2" s="21" t="str">
        <f t="shared" ref="J2:J33" si="5">IF(AND(D2&lt;&gt;"",F2&lt;&gt;"",I2&lt;&gt;"",ISNUMBER(G2)),F2&amp;I2,"")</f>
        <v/>
      </c>
      <c r="K2" s="21" t="str">
        <f t="shared" ref="K2:K33" si="6">IF(J2="","",COUNTIFS($J$2:$J$186,J2,$G$2:$G$186,"&lt;"&amp;G2)+COUNTIFS($J$2:$J$186,J2,$G$2:$G$186,G2,$A$2:$A$186,"&lt;"&amp;A2)+1)</f>
        <v/>
      </c>
      <c r="L2" s="21" t="str">
        <f t="shared" ref="L2:L33" si="7">IF(J2="","",J2&amp;K2)</f>
        <v/>
      </c>
      <c r="M2" s="21" t="str">
        <f t="shared" ref="M2:M33" si="8">B2&amp;"組"</f>
        <v>1組</v>
      </c>
      <c r="N2" s="21">
        <f t="shared" ref="N2:N33" si="9">IF(AND(D2&lt;&gt;"",J2=""),1,0)</f>
        <v>0</v>
      </c>
      <c r="P2" s="21" t="s">
        <v>34</v>
      </c>
      <c r="Q2" s="21">
        <f>COUNTIF($J$2:$J$186,P2)</f>
        <v>0</v>
      </c>
    </row>
    <row r="3" spans="1:17" x14ac:dyDescent="0.15">
      <c r="A3" s="21">
        <f t="shared" si="0"/>
        <v>2</v>
      </c>
      <c r="B3" s="21">
        <f t="shared" si="1"/>
        <v>1</v>
      </c>
      <c r="C3" s="21">
        <f t="shared" si="2"/>
        <v>2</v>
      </c>
      <c r="D3" s="21" t="str">
        <f>INDEX(①データ入力!$B$3:$Y$39,C3,(B3-1)*5+1)&amp;""</f>
        <v/>
      </c>
      <c r="E3" s="21" t="str">
        <f>INDEX(①データ入力!$B$3:$Y$39,C3,(B3-1)*5+2)&amp;""</f>
        <v/>
      </c>
      <c r="F3" s="21" t="str">
        <f t="shared" si="3"/>
        <v/>
      </c>
      <c r="G3" s="21">
        <f>INDEX(①データ入力!$B$3:$Y$39,C3,(B3-1)*5+3)</f>
        <v>0</v>
      </c>
      <c r="H3" s="21" t="str">
        <f>INDEX(①データ入力!$B$3:$Y$39,C3,(B3-1)*5+4)&amp;""</f>
        <v/>
      </c>
      <c r="I3" s="21" t="str">
        <f t="shared" si="4"/>
        <v/>
      </c>
      <c r="J3" s="21" t="str">
        <f t="shared" si="5"/>
        <v/>
      </c>
      <c r="K3" s="21" t="str">
        <f t="shared" si="6"/>
        <v/>
      </c>
      <c r="L3" s="21" t="str">
        <f t="shared" si="7"/>
        <v/>
      </c>
      <c r="M3" s="21" t="str">
        <f t="shared" si="8"/>
        <v>1組</v>
      </c>
      <c r="N3" s="21">
        <f t="shared" si="9"/>
        <v>0</v>
      </c>
      <c r="P3" s="21" t="s">
        <v>35</v>
      </c>
      <c r="Q3" s="21">
        <f>COUNTIF($J$2:$J$186,P3)</f>
        <v>0</v>
      </c>
    </row>
    <row r="4" spans="1:17" x14ac:dyDescent="0.15">
      <c r="A4" s="21">
        <f t="shared" si="0"/>
        <v>3</v>
      </c>
      <c r="B4" s="21">
        <f t="shared" si="1"/>
        <v>1</v>
      </c>
      <c r="C4" s="21">
        <f t="shared" si="2"/>
        <v>3</v>
      </c>
      <c r="D4" s="21" t="str">
        <f>INDEX(①データ入力!$B$3:$Y$39,C4,(B4-1)*5+1)&amp;""</f>
        <v/>
      </c>
      <c r="E4" s="21" t="str">
        <f>INDEX(①データ入力!$B$3:$Y$39,C4,(B4-1)*5+2)&amp;""</f>
        <v/>
      </c>
      <c r="F4" s="21" t="str">
        <f t="shared" si="3"/>
        <v/>
      </c>
      <c r="G4" s="21">
        <f>INDEX(①データ入力!$B$3:$Y$39,C4,(B4-1)*5+3)</f>
        <v>0</v>
      </c>
      <c r="H4" s="21" t="str">
        <f>INDEX(①データ入力!$B$3:$Y$39,C4,(B4-1)*5+4)&amp;""</f>
        <v/>
      </c>
      <c r="I4" s="21" t="str">
        <f t="shared" si="4"/>
        <v/>
      </c>
      <c r="J4" s="21" t="str">
        <f t="shared" si="5"/>
        <v/>
      </c>
      <c r="K4" s="21" t="str">
        <f t="shared" si="6"/>
        <v/>
      </c>
      <c r="L4" s="21" t="str">
        <f t="shared" si="7"/>
        <v/>
      </c>
      <c r="M4" s="21" t="str">
        <f t="shared" si="8"/>
        <v>1組</v>
      </c>
      <c r="N4" s="21">
        <f t="shared" si="9"/>
        <v>0</v>
      </c>
      <c r="P4" s="21" t="s">
        <v>36</v>
      </c>
      <c r="Q4" s="21">
        <f>COUNTIF($J$2:$J$186,P4)</f>
        <v>0</v>
      </c>
    </row>
    <row r="5" spans="1:17" x14ac:dyDescent="0.15">
      <c r="A5" s="21">
        <f t="shared" si="0"/>
        <v>4</v>
      </c>
      <c r="B5" s="21">
        <f t="shared" si="1"/>
        <v>1</v>
      </c>
      <c r="C5" s="21">
        <f t="shared" si="2"/>
        <v>4</v>
      </c>
      <c r="D5" s="21" t="str">
        <f>INDEX(①データ入力!$B$3:$Y$39,C5,(B5-1)*5+1)&amp;""</f>
        <v/>
      </c>
      <c r="E5" s="21" t="str">
        <f>INDEX(①データ入力!$B$3:$Y$39,C5,(B5-1)*5+2)&amp;""</f>
        <v/>
      </c>
      <c r="F5" s="21" t="str">
        <f t="shared" si="3"/>
        <v/>
      </c>
      <c r="G5" s="21">
        <f>INDEX(①データ入力!$B$3:$Y$39,C5,(B5-1)*5+3)</f>
        <v>0</v>
      </c>
      <c r="H5" s="21" t="str">
        <f>INDEX(①データ入力!$B$3:$Y$39,C5,(B5-1)*5+4)&amp;""</f>
        <v/>
      </c>
      <c r="I5" s="21" t="str">
        <f t="shared" si="4"/>
        <v/>
      </c>
      <c r="J5" s="21" t="str">
        <f t="shared" si="5"/>
        <v/>
      </c>
      <c r="K5" s="21" t="str">
        <f t="shared" si="6"/>
        <v/>
      </c>
      <c r="L5" s="21" t="str">
        <f t="shared" si="7"/>
        <v/>
      </c>
      <c r="M5" s="21" t="str">
        <f t="shared" si="8"/>
        <v>1組</v>
      </c>
      <c r="N5" s="21">
        <f t="shared" si="9"/>
        <v>0</v>
      </c>
      <c r="P5" s="21" t="s">
        <v>37</v>
      </c>
      <c r="Q5" s="21">
        <f>COUNTIF($J$2:$J$186,P5)</f>
        <v>0</v>
      </c>
    </row>
    <row r="6" spans="1:17" x14ac:dyDescent="0.15">
      <c r="A6" s="21">
        <f t="shared" si="0"/>
        <v>5</v>
      </c>
      <c r="B6" s="21">
        <f t="shared" si="1"/>
        <v>1</v>
      </c>
      <c r="C6" s="21">
        <f t="shared" si="2"/>
        <v>5</v>
      </c>
      <c r="D6" s="21" t="str">
        <f>INDEX(①データ入力!$B$3:$Y$39,C6,(B6-1)*5+1)&amp;""</f>
        <v/>
      </c>
      <c r="E6" s="21" t="str">
        <f>INDEX(①データ入力!$B$3:$Y$39,C6,(B6-1)*5+2)&amp;""</f>
        <v/>
      </c>
      <c r="F6" s="21" t="str">
        <f t="shared" si="3"/>
        <v/>
      </c>
      <c r="G6" s="21">
        <f>INDEX(①データ入力!$B$3:$Y$39,C6,(B6-1)*5+3)</f>
        <v>0</v>
      </c>
      <c r="H6" s="21" t="str">
        <f>INDEX(①データ入力!$B$3:$Y$39,C6,(B6-1)*5+4)&amp;""</f>
        <v/>
      </c>
      <c r="I6" s="21" t="str">
        <f t="shared" si="4"/>
        <v/>
      </c>
      <c r="J6" s="21" t="str">
        <f t="shared" si="5"/>
        <v/>
      </c>
      <c r="K6" s="21" t="str">
        <f t="shared" si="6"/>
        <v/>
      </c>
      <c r="L6" s="21" t="str">
        <f t="shared" si="7"/>
        <v/>
      </c>
      <c r="M6" s="21" t="str">
        <f t="shared" si="8"/>
        <v>1組</v>
      </c>
      <c r="N6" s="21">
        <f t="shared" si="9"/>
        <v>0</v>
      </c>
      <c r="P6" s="21" t="s">
        <v>32</v>
      </c>
      <c r="Q6" s="21">
        <f>SUM($N$2:$N$186)</f>
        <v>0</v>
      </c>
    </row>
    <row r="7" spans="1:17" x14ac:dyDescent="0.15">
      <c r="A7" s="21">
        <f t="shared" si="0"/>
        <v>6</v>
      </c>
      <c r="B7" s="21">
        <f t="shared" si="1"/>
        <v>1</v>
      </c>
      <c r="C7" s="21">
        <f t="shared" si="2"/>
        <v>6</v>
      </c>
      <c r="D7" s="21" t="str">
        <f>INDEX(①データ入力!$B$3:$Y$39,C7,(B7-1)*5+1)&amp;""</f>
        <v/>
      </c>
      <c r="E7" s="21" t="str">
        <f>INDEX(①データ入力!$B$3:$Y$39,C7,(B7-1)*5+2)&amp;""</f>
        <v/>
      </c>
      <c r="F7" s="21" t="str">
        <f t="shared" si="3"/>
        <v/>
      </c>
      <c r="G7" s="21">
        <f>INDEX(①データ入力!$B$3:$Y$39,C7,(B7-1)*5+3)</f>
        <v>0</v>
      </c>
      <c r="H7" s="21" t="str">
        <f>INDEX(①データ入力!$B$3:$Y$39,C7,(B7-1)*5+4)&amp;""</f>
        <v/>
      </c>
      <c r="I7" s="21" t="str">
        <f t="shared" si="4"/>
        <v/>
      </c>
      <c r="J7" s="21" t="str">
        <f t="shared" si="5"/>
        <v/>
      </c>
      <c r="K7" s="21" t="str">
        <f t="shared" si="6"/>
        <v/>
      </c>
      <c r="L7" s="21" t="str">
        <f t="shared" si="7"/>
        <v/>
      </c>
      <c r="M7" s="21" t="str">
        <f t="shared" si="8"/>
        <v>1組</v>
      </c>
      <c r="N7" s="21">
        <f t="shared" si="9"/>
        <v>0</v>
      </c>
      <c r="P7" s="21"/>
      <c r="Q7" s="21"/>
    </row>
    <row r="8" spans="1:17" x14ac:dyDescent="0.15">
      <c r="A8" s="21">
        <f t="shared" si="0"/>
        <v>7</v>
      </c>
      <c r="B8" s="21">
        <f t="shared" si="1"/>
        <v>1</v>
      </c>
      <c r="C8" s="21">
        <f t="shared" si="2"/>
        <v>7</v>
      </c>
      <c r="D8" s="21" t="str">
        <f>INDEX(①データ入力!$B$3:$Y$39,C8,(B8-1)*5+1)&amp;""</f>
        <v/>
      </c>
      <c r="E8" s="21" t="str">
        <f>INDEX(①データ入力!$B$3:$Y$39,C8,(B8-1)*5+2)&amp;""</f>
        <v/>
      </c>
      <c r="F8" s="21" t="str">
        <f t="shared" si="3"/>
        <v/>
      </c>
      <c r="G8" s="21">
        <f>INDEX(①データ入力!$B$3:$Y$39,C8,(B8-1)*5+3)</f>
        <v>0</v>
      </c>
      <c r="H8" s="21" t="str">
        <f>INDEX(①データ入力!$B$3:$Y$39,C8,(B8-1)*5+4)&amp;""</f>
        <v/>
      </c>
      <c r="I8" s="21" t="str">
        <f t="shared" si="4"/>
        <v/>
      </c>
      <c r="J8" s="21" t="str">
        <f t="shared" si="5"/>
        <v/>
      </c>
      <c r="K8" s="21" t="str">
        <f t="shared" si="6"/>
        <v/>
      </c>
      <c r="L8" s="21" t="str">
        <f t="shared" si="7"/>
        <v/>
      </c>
      <c r="M8" s="21" t="str">
        <f t="shared" si="8"/>
        <v>1組</v>
      </c>
      <c r="N8" s="21">
        <f t="shared" si="9"/>
        <v>0</v>
      </c>
      <c r="P8" s="21" t="s">
        <v>38</v>
      </c>
      <c r="Q8" s="21"/>
    </row>
    <row r="9" spans="1:17" x14ac:dyDescent="0.15">
      <c r="A9" s="21">
        <f t="shared" si="0"/>
        <v>8</v>
      </c>
      <c r="B9" s="21">
        <f t="shared" si="1"/>
        <v>1</v>
      </c>
      <c r="C9" s="21">
        <f t="shared" si="2"/>
        <v>8</v>
      </c>
      <c r="D9" s="21" t="str">
        <f>INDEX(①データ入力!$B$3:$Y$39,C9,(B9-1)*5+1)&amp;""</f>
        <v/>
      </c>
      <c r="E9" s="21" t="str">
        <f>INDEX(①データ入力!$B$3:$Y$39,C9,(B9-1)*5+2)&amp;""</f>
        <v/>
      </c>
      <c r="F9" s="21" t="str">
        <f t="shared" si="3"/>
        <v/>
      </c>
      <c r="G9" s="21">
        <f>INDEX(①データ入力!$B$3:$Y$39,C9,(B9-1)*5+3)</f>
        <v>0</v>
      </c>
      <c r="H9" s="21" t="str">
        <f>INDEX(①データ入力!$B$3:$Y$39,C9,(B9-1)*5+4)&amp;""</f>
        <v/>
      </c>
      <c r="I9" s="21" t="str">
        <f t="shared" si="4"/>
        <v/>
      </c>
      <c r="J9" s="21" t="str">
        <f t="shared" si="5"/>
        <v/>
      </c>
      <c r="K9" s="21" t="str">
        <f t="shared" si="6"/>
        <v/>
      </c>
      <c r="L9" s="21" t="str">
        <f t="shared" si="7"/>
        <v/>
      </c>
      <c r="M9" s="21" t="str">
        <f t="shared" si="8"/>
        <v>1組</v>
      </c>
      <c r="N9" s="21">
        <f t="shared" si="9"/>
        <v>0</v>
      </c>
    </row>
    <row r="10" spans="1:17" x14ac:dyDescent="0.15">
      <c r="A10" s="21">
        <f t="shared" si="0"/>
        <v>9</v>
      </c>
      <c r="B10" s="21">
        <f t="shared" si="1"/>
        <v>1</v>
      </c>
      <c r="C10" s="21">
        <f t="shared" si="2"/>
        <v>9</v>
      </c>
      <c r="D10" s="21" t="str">
        <f>INDEX(①データ入力!$B$3:$Y$39,C10,(B10-1)*5+1)&amp;""</f>
        <v/>
      </c>
      <c r="E10" s="21" t="str">
        <f>INDEX(①データ入力!$B$3:$Y$39,C10,(B10-1)*5+2)&amp;""</f>
        <v/>
      </c>
      <c r="F10" s="21" t="str">
        <f t="shared" si="3"/>
        <v/>
      </c>
      <c r="G10" s="21">
        <f>INDEX(①データ入力!$B$3:$Y$39,C10,(B10-1)*5+3)</f>
        <v>0</v>
      </c>
      <c r="H10" s="21" t="str">
        <f>INDEX(①データ入力!$B$3:$Y$39,C10,(B10-1)*5+4)&amp;""</f>
        <v/>
      </c>
      <c r="I10" s="21" t="str">
        <f t="shared" si="4"/>
        <v/>
      </c>
      <c r="J10" s="21" t="str">
        <f t="shared" si="5"/>
        <v/>
      </c>
      <c r="K10" s="21" t="str">
        <f t="shared" si="6"/>
        <v/>
      </c>
      <c r="L10" s="21" t="str">
        <f t="shared" si="7"/>
        <v/>
      </c>
      <c r="M10" s="21" t="str">
        <f t="shared" si="8"/>
        <v>1組</v>
      </c>
      <c r="N10" s="21">
        <f t="shared" si="9"/>
        <v>0</v>
      </c>
    </row>
    <row r="11" spans="1:17" x14ac:dyDescent="0.15">
      <c r="A11" s="21">
        <f t="shared" si="0"/>
        <v>10</v>
      </c>
      <c r="B11" s="21">
        <f t="shared" si="1"/>
        <v>1</v>
      </c>
      <c r="C11" s="21">
        <f t="shared" si="2"/>
        <v>10</v>
      </c>
      <c r="D11" s="21" t="str">
        <f>INDEX(①データ入力!$B$3:$Y$39,C11,(B11-1)*5+1)&amp;""</f>
        <v/>
      </c>
      <c r="E11" s="21" t="str">
        <f>INDEX(①データ入力!$B$3:$Y$39,C11,(B11-1)*5+2)&amp;""</f>
        <v/>
      </c>
      <c r="F11" s="21" t="str">
        <f t="shared" si="3"/>
        <v/>
      </c>
      <c r="G11" s="21">
        <f>INDEX(①データ入力!$B$3:$Y$39,C11,(B11-1)*5+3)</f>
        <v>0</v>
      </c>
      <c r="H11" s="21" t="str">
        <f>INDEX(①データ入力!$B$3:$Y$39,C11,(B11-1)*5+4)&amp;""</f>
        <v/>
      </c>
      <c r="I11" s="21" t="str">
        <f t="shared" si="4"/>
        <v/>
      </c>
      <c r="J11" s="21" t="str">
        <f t="shared" si="5"/>
        <v/>
      </c>
      <c r="K11" s="21" t="str">
        <f t="shared" si="6"/>
        <v/>
      </c>
      <c r="L11" s="21" t="str">
        <f t="shared" si="7"/>
        <v/>
      </c>
      <c r="M11" s="21" t="str">
        <f t="shared" si="8"/>
        <v>1組</v>
      </c>
      <c r="N11" s="21">
        <f t="shared" si="9"/>
        <v>0</v>
      </c>
    </row>
    <row r="12" spans="1:17" x14ac:dyDescent="0.15">
      <c r="A12" s="21">
        <f t="shared" si="0"/>
        <v>11</v>
      </c>
      <c r="B12" s="21">
        <f t="shared" si="1"/>
        <v>1</v>
      </c>
      <c r="C12" s="21">
        <f t="shared" si="2"/>
        <v>11</v>
      </c>
      <c r="D12" s="21" t="str">
        <f>INDEX(①データ入力!$B$3:$Y$39,C12,(B12-1)*5+1)&amp;""</f>
        <v/>
      </c>
      <c r="E12" s="21" t="str">
        <f>INDEX(①データ入力!$B$3:$Y$39,C12,(B12-1)*5+2)&amp;""</f>
        <v/>
      </c>
      <c r="F12" s="21" t="str">
        <f t="shared" si="3"/>
        <v/>
      </c>
      <c r="G12" s="21">
        <f>INDEX(①データ入力!$B$3:$Y$39,C12,(B12-1)*5+3)</f>
        <v>0</v>
      </c>
      <c r="H12" s="21" t="str">
        <f>INDEX(①データ入力!$B$3:$Y$39,C12,(B12-1)*5+4)&amp;""</f>
        <v/>
      </c>
      <c r="I12" s="21" t="str">
        <f t="shared" si="4"/>
        <v/>
      </c>
      <c r="J12" s="21" t="str">
        <f t="shared" si="5"/>
        <v/>
      </c>
      <c r="K12" s="21" t="str">
        <f t="shared" si="6"/>
        <v/>
      </c>
      <c r="L12" s="21" t="str">
        <f t="shared" si="7"/>
        <v/>
      </c>
      <c r="M12" s="21" t="str">
        <f t="shared" si="8"/>
        <v>1組</v>
      </c>
      <c r="N12" s="21">
        <f t="shared" si="9"/>
        <v>0</v>
      </c>
    </row>
    <row r="13" spans="1:17" x14ac:dyDescent="0.15">
      <c r="A13" s="21">
        <f t="shared" si="0"/>
        <v>12</v>
      </c>
      <c r="B13" s="21">
        <f t="shared" si="1"/>
        <v>1</v>
      </c>
      <c r="C13" s="21">
        <f t="shared" si="2"/>
        <v>12</v>
      </c>
      <c r="D13" s="21" t="str">
        <f>INDEX(①データ入力!$B$3:$Y$39,C13,(B13-1)*5+1)&amp;""</f>
        <v/>
      </c>
      <c r="E13" s="21" t="str">
        <f>INDEX(①データ入力!$B$3:$Y$39,C13,(B13-1)*5+2)&amp;""</f>
        <v/>
      </c>
      <c r="F13" s="21" t="str">
        <f t="shared" si="3"/>
        <v/>
      </c>
      <c r="G13" s="21">
        <f>INDEX(①データ入力!$B$3:$Y$39,C13,(B13-1)*5+3)</f>
        <v>0</v>
      </c>
      <c r="H13" s="21" t="str">
        <f>INDEX(①データ入力!$B$3:$Y$39,C13,(B13-1)*5+4)&amp;""</f>
        <v/>
      </c>
      <c r="I13" s="21" t="str">
        <f t="shared" si="4"/>
        <v/>
      </c>
      <c r="J13" s="21" t="str">
        <f t="shared" si="5"/>
        <v/>
      </c>
      <c r="K13" s="21" t="str">
        <f t="shared" si="6"/>
        <v/>
      </c>
      <c r="L13" s="21" t="str">
        <f t="shared" si="7"/>
        <v/>
      </c>
      <c r="M13" s="21" t="str">
        <f t="shared" si="8"/>
        <v>1組</v>
      </c>
      <c r="N13" s="21">
        <f t="shared" si="9"/>
        <v>0</v>
      </c>
    </row>
    <row r="14" spans="1:17" x14ac:dyDescent="0.15">
      <c r="A14" s="21">
        <f t="shared" si="0"/>
        <v>13</v>
      </c>
      <c r="B14" s="21">
        <f t="shared" si="1"/>
        <v>1</v>
      </c>
      <c r="C14" s="21">
        <f t="shared" si="2"/>
        <v>13</v>
      </c>
      <c r="D14" s="21" t="str">
        <f>INDEX(①データ入力!$B$3:$Y$39,C14,(B14-1)*5+1)&amp;""</f>
        <v/>
      </c>
      <c r="E14" s="21" t="str">
        <f>INDEX(①データ入力!$B$3:$Y$39,C14,(B14-1)*5+2)&amp;""</f>
        <v/>
      </c>
      <c r="F14" s="21" t="str">
        <f t="shared" si="3"/>
        <v/>
      </c>
      <c r="G14" s="21">
        <f>INDEX(①データ入力!$B$3:$Y$39,C14,(B14-1)*5+3)</f>
        <v>0</v>
      </c>
      <c r="H14" s="21" t="str">
        <f>INDEX(①データ入力!$B$3:$Y$39,C14,(B14-1)*5+4)&amp;""</f>
        <v/>
      </c>
      <c r="I14" s="21" t="str">
        <f t="shared" si="4"/>
        <v/>
      </c>
      <c r="J14" s="21" t="str">
        <f t="shared" si="5"/>
        <v/>
      </c>
      <c r="K14" s="21" t="str">
        <f t="shared" si="6"/>
        <v/>
      </c>
      <c r="L14" s="21" t="str">
        <f t="shared" si="7"/>
        <v/>
      </c>
      <c r="M14" s="21" t="str">
        <f t="shared" si="8"/>
        <v>1組</v>
      </c>
      <c r="N14" s="21">
        <f t="shared" si="9"/>
        <v>0</v>
      </c>
    </row>
    <row r="15" spans="1:17" x14ac:dyDescent="0.15">
      <c r="A15" s="21">
        <f t="shared" si="0"/>
        <v>14</v>
      </c>
      <c r="B15" s="21">
        <f t="shared" si="1"/>
        <v>1</v>
      </c>
      <c r="C15" s="21">
        <f t="shared" si="2"/>
        <v>14</v>
      </c>
      <c r="D15" s="21" t="str">
        <f>INDEX(①データ入力!$B$3:$Y$39,C15,(B15-1)*5+1)&amp;""</f>
        <v/>
      </c>
      <c r="E15" s="21" t="str">
        <f>INDEX(①データ入力!$B$3:$Y$39,C15,(B15-1)*5+2)&amp;""</f>
        <v/>
      </c>
      <c r="F15" s="21" t="str">
        <f t="shared" si="3"/>
        <v/>
      </c>
      <c r="G15" s="21">
        <f>INDEX(①データ入力!$B$3:$Y$39,C15,(B15-1)*5+3)</f>
        <v>0</v>
      </c>
      <c r="H15" s="21" t="str">
        <f>INDEX(①データ入力!$B$3:$Y$39,C15,(B15-1)*5+4)&amp;""</f>
        <v/>
      </c>
      <c r="I15" s="21" t="str">
        <f t="shared" si="4"/>
        <v/>
      </c>
      <c r="J15" s="21" t="str">
        <f t="shared" si="5"/>
        <v/>
      </c>
      <c r="K15" s="21" t="str">
        <f t="shared" si="6"/>
        <v/>
      </c>
      <c r="L15" s="21" t="str">
        <f t="shared" si="7"/>
        <v/>
      </c>
      <c r="M15" s="21" t="str">
        <f t="shared" si="8"/>
        <v>1組</v>
      </c>
      <c r="N15" s="21">
        <f t="shared" si="9"/>
        <v>0</v>
      </c>
    </row>
    <row r="16" spans="1:17" x14ac:dyDescent="0.15">
      <c r="A16" s="21">
        <f t="shared" si="0"/>
        <v>15</v>
      </c>
      <c r="B16" s="21">
        <f t="shared" si="1"/>
        <v>1</v>
      </c>
      <c r="C16" s="21">
        <f t="shared" si="2"/>
        <v>15</v>
      </c>
      <c r="D16" s="21" t="str">
        <f>INDEX(①データ入力!$B$3:$Y$39,C16,(B16-1)*5+1)&amp;""</f>
        <v/>
      </c>
      <c r="E16" s="21" t="str">
        <f>INDEX(①データ入力!$B$3:$Y$39,C16,(B16-1)*5+2)&amp;""</f>
        <v/>
      </c>
      <c r="F16" s="21" t="str">
        <f t="shared" si="3"/>
        <v/>
      </c>
      <c r="G16" s="21">
        <f>INDEX(①データ入力!$B$3:$Y$39,C16,(B16-1)*5+3)</f>
        <v>0</v>
      </c>
      <c r="H16" s="21" t="str">
        <f>INDEX(①データ入力!$B$3:$Y$39,C16,(B16-1)*5+4)&amp;""</f>
        <v/>
      </c>
      <c r="I16" s="21" t="str">
        <f t="shared" si="4"/>
        <v/>
      </c>
      <c r="J16" s="21" t="str">
        <f t="shared" si="5"/>
        <v/>
      </c>
      <c r="K16" s="21" t="str">
        <f t="shared" si="6"/>
        <v/>
      </c>
      <c r="L16" s="21" t="str">
        <f t="shared" si="7"/>
        <v/>
      </c>
      <c r="M16" s="21" t="str">
        <f t="shared" si="8"/>
        <v>1組</v>
      </c>
      <c r="N16" s="21">
        <f t="shared" si="9"/>
        <v>0</v>
      </c>
    </row>
    <row r="17" spans="1:14" x14ac:dyDescent="0.15">
      <c r="A17" s="21">
        <f t="shared" si="0"/>
        <v>16</v>
      </c>
      <c r="B17" s="21">
        <f t="shared" si="1"/>
        <v>1</v>
      </c>
      <c r="C17" s="21">
        <f t="shared" si="2"/>
        <v>16</v>
      </c>
      <c r="D17" s="21" t="str">
        <f>INDEX(①データ入力!$B$3:$Y$39,C17,(B17-1)*5+1)&amp;""</f>
        <v/>
      </c>
      <c r="E17" s="21" t="str">
        <f>INDEX(①データ入力!$B$3:$Y$39,C17,(B17-1)*5+2)&amp;""</f>
        <v/>
      </c>
      <c r="F17" s="21" t="str">
        <f t="shared" si="3"/>
        <v/>
      </c>
      <c r="G17" s="21">
        <f>INDEX(①データ入力!$B$3:$Y$39,C17,(B17-1)*5+3)</f>
        <v>0</v>
      </c>
      <c r="H17" s="21" t="str">
        <f>INDEX(①データ入力!$B$3:$Y$39,C17,(B17-1)*5+4)&amp;""</f>
        <v/>
      </c>
      <c r="I17" s="21" t="str">
        <f t="shared" si="4"/>
        <v/>
      </c>
      <c r="J17" s="21" t="str">
        <f t="shared" si="5"/>
        <v/>
      </c>
      <c r="K17" s="21" t="str">
        <f t="shared" si="6"/>
        <v/>
      </c>
      <c r="L17" s="21" t="str">
        <f t="shared" si="7"/>
        <v/>
      </c>
      <c r="M17" s="21" t="str">
        <f t="shared" si="8"/>
        <v>1組</v>
      </c>
      <c r="N17" s="21">
        <f t="shared" si="9"/>
        <v>0</v>
      </c>
    </row>
    <row r="18" spans="1:14" x14ac:dyDescent="0.15">
      <c r="A18" s="21">
        <f t="shared" si="0"/>
        <v>17</v>
      </c>
      <c r="B18" s="21">
        <f t="shared" si="1"/>
        <v>1</v>
      </c>
      <c r="C18" s="21">
        <f t="shared" si="2"/>
        <v>17</v>
      </c>
      <c r="D18" s="21" t="str">
        <f>INDEX(①データ入力!$B$3:$Y$39,C18,(B18-1)*5+1)&amp;""</f>
        <v/>
      </c>
      <c r="E18" s="21" t="str">
        <f>INDEX(①データ入力!$B$3:$Y$39,C18,(B18-1)*5+2)&amp;""</f>
        <v/>
      </c>
      <c r="F18" s="21" t="str">
        <f t="shared" si="3"/>
        <v/>
      </c>
      <c r="G18" s="21">
        <f>INDEX(①データ入力!$B$3:$Y$39,C18,(B18-1)*5+3)</f>
        <v>0</v>
      </c>
      <c r="H18" s="21" t="str">
        <f>INDEX(①データ入力!$B$3:$Y$39,C18,(B18-1)*5+4)&amp;""</f>
        <v/>
      </c>
      <c r="I18" s="21" t="str">
        <f t="shared" si="4"/>
        <v/>
      </c>
      <c r="J18" s="21" t="str">
        <f t="shared" si="5"/>
        <v/>
      </c>
      <c r="K18" s="21" t="str">
        <f t="shared" si="6"/>
        <v/>
      </c>
      <c r="L18" s="21" t="str">
        <f t="shared" si="7"/>
        <v/>
      </c>
      <c r="M18" s="21" t="str">
        <f t="shared" si="8"/>
        <v>1組</v>
      </c>
      <c r="N18" s="21">
        <f t="shared" si="9"/>
        <v>0</v>
      </c>
    </row>
    <row r="19" spans="1:14" x14ac:dyDescent="0.15">
      <c r="A19" s="21">
        <f t="shared" si="0"/>
        <v>18</v>
      </c>
      <c r="B19" s="21">
        <f t="shared" si="1"/>
        <v>1</v>
      </c>
      <c r="C19" s="21">
        <f t="shared" si="2"/>
        <v>18</v>
      </c>
      <c r="D19" s="21" t="str">
        <f>INDEX(①データ入力!$B$3:$Y$39,C19,(B19-1)*5+1)&amp;""</f>
        <v/>
      </c>
      <c r="E19" s="21" t="str">
        <f>INDEX(①データ入力!$B$3:$Y$39,C19,(B19-1)*5+2)&amp;""</f>
        <v/>
      </c>
      <c r="F19" s="21" t="str">
        <f t="shared" si="3"/>
        <v/>
      </c>
      <c r="G19" s="21">
        <f>INDEX(①データ入力!$B$3:$Y$39,C19,(B19-1)*5+3)</f>
        <v>0</v>
      </c>
      <c r="H19" s="21" t="str">
        <f>INDEX(①データ入力!$B$3:$Y$39,C19,(B19-1)*5+4)&amp;""</f>
        <v/>
      </c>
      <c r="I19" s="21" t="str">
        <f t="shared" si="4"/>
        <v/>
      </c>
      <c r="J19" s="21" t="str">
        <f t="shared" si="5"/>
        <v/>
      </c>
      <c r="K19" s="21" t="str">
        <f t="shared" si="6"/>
        <v/>
      </c>
      <c r="L19" s="21" t="str">
        <f t="shared" si="7"/>
        <v/>
      </c>
      <c r="M19" s="21" t="str">
        <f t="shared" si="8"/>
        <v>1組</v>
      </c>
      <c r="N19" s="21">
        <f t="shared" si="9"/>
        <v>0</v>
      </c>
    </row>
    <row r="20" spans="1:14" x14ac:dyDescent="0.15">
      <c r="A20" s="21">
        <f t="shared" si="0"/>
        <v>19</v>
      </c>
      <c r="B20" s="21">
        <f t="shared" si="1"/>
        <v>1</v>
      </c>
      <c r="C20" s="21">
        <f t="shared" si="2"/>
        <v>19</v>
      </c>
      <c r="D20" s="21" t="str">
        <f>INDEX(①データ入力!$B$3:$Y$39,C20,(B20-1)*5+1)&amp;""</f>
        <v/>
      </c>
      <c r="E20" s="21" t="str">
        <f>INDEX(①データ入力!$B$3:$Y$39,C20,(B20-1)*5+2)&amp;""</f>
        <v/>
      </c>
      <c r="F20" s="21" t="str">
        <f t="shared" si="3"/>
        <v/>
      </c>
      <c r="G20" s="21">
        <f>INDEX(①データ入力!$B$3:$Y$39,C20,(B20-1)*5+3)</f>
        <v>0</v>
      </c>
      <c r="H20" s="21" t="str">
        <f>INDEX(①データ入力!$B$3:$Y$39,C20,(B20-1)*5+4)&amp;""</f>
        <v/>
      </c>
      <c r="I20" s="21" t="str">
        <f t="shared" si="4"/>
        <v/>
      </c>
      <c r="J20" s="21" t="str">
        <f t="shared" si="5"/>
        <v/>
      </c>
      <c r="K20" s="21" t="str">
        <f t="shared" si="6"/>
        <v/>
      </c>
      <c r="L20" s="21" t="str">
        <f t="shared" si="7"/>
        <v/>
      </c>
      <c r="M20" s="21" t="str">
        <f t="shared" si="8"/>
        <v>1組</v>
      </c>
      <c r="N20" s="21">
        <f t="shared" si="9"/>
        <v>0</v>
      </c>
    </row>
    <row r="21" spans="1:14" x14ac:dyDescent="0.15">
      <c r="A21" s="21">
        <f t="shared" si="0"/>
        <v>20</v>
      </c>
      <c r="B21" s="21">
        <f t="shared" si="1"/>
        <v>1</v>
      </c>
      <c r="C21" s="21">
        <f t="shared" si="2"/>
        <v>20</v>
      </c>
      <c r="D21" s="21" t="str">
        <f>INDEX(①データ入力!$B$3:$Y$39,C21,(B21-1)*5+1)&amp;""</f>
        <v/>
      </c>
      <c r="E21" s="21" t="str">
        <f>INDEX(①データ入力!$B$3:$Y$39,C21,(B21-1)*5+2)&amp;""</f>
        <v/>
      </c>
      <c r="F21" s="21" t="str">
        <f t="shared" si="3"/>
        <v/>
      </c>
      <c r="G21" s="21">
        <f>INDEX(①データ入力!$B$3:$Y$39,C21,(B21-1)*5+3)</f>
        <v>0</v>
      </c>
      <c r="H21" s="21" t="str">
        <f>INDEX(①データ入力!$B$3:$Y$39,C21,(B21-1)*5+4)&amp;""</f>
        <v/>
      </c>
      <c r="I21" s="21" t="str">
        <f t="shared" si="4"/>
        <v/>
      </c>
      <c r="J21" s="21" t="str">
        <f t="shared" si="5"/>
        <v/>
      </c>
      <c r="K21" s="21" t="str">
        <f t="shared" si="6"/>
        <v/>
      </c>
      <c r="L21" s="21" t="str">
        <f t="shared" si="7"/>
        <v/>
      </c>
      <c r="M21" s="21" t="str">
        <f t="shared" si="8"/>
        <v>1組</v>
      </c>
      <c r="N21" s="21">
        <f t="shared" si="9"/>
        <v>0</v>
      </c>
    </row>
    <row r="22" spans="1:14" x14ac:dyDescent="0.15">
      <c r="A22" s="21">
        <f t="shared" si="0"/>
        <v>21</v>
      </c>
      <c r="B22" s="21">
        <f t="shared" si="1"/>
        <v>1</v>
      </c>
      <c r="C22" s="21">
        <f t="shared" si="2"/>
        <v>21</v>
      </c>
      <c r="D22" s="21" t="str">
        <f>INDEX(①データ入力!$B$3:$Y$39,C22,(B22-1)*5+1)&amp;""</f>
        <v/>
      </c>
      <c r="E22" s="21" t="str">
        <f>INDEX(①データ入力!$B$3:$Y$39,C22,(B22-1)*5+2)&amp;""</f>
        <v/>
      </c>
      <c r="F22" s="21" t="str">
        <f t="shared" si="3"/>
        <v/>
      </c>
      <c r="G22" s="21">
        <f>INDEX(①データ入力!$B$3:$Y$39,C22,(B22-1)*5+3)</f>
        <v>0</v>
      </c>
      <c r="H22" s="21" t="str">
        <f>INDEX(①データ入力!$B$3:$Y$39,C22,(B22-1)*5+4)&amp;""</f>
        <v/>
      </c>
      <c r="I22" s="21" t="str">
        <f t="shared" si="4"/>
        <v/>
      </c>
      <c r="J22" s="21" t="str">
        <f t="shared" si="5"/>
        <v/>
      </c>
      <c r="K22" s="21" t="str">
        <f t="shared" si="6"/>
        <v/>
      </c>
      <c r="L22" s="21" t="str">
        <f t="shared" si="7"/>
        <v/>
      </c>
      <c r="M22" s="21" t="str">
        <f t="shared" si="8"/>
        <v>1組</v>
      </c>
      <c r="N22" s="21">
        <f t="shared" si="9"/>
        <v>0</v>
      </c>
    </row>
    <row r="23" spans="1:14" x14ac:dyDescent="0.15">
      <c r="A23" s="21">
        <f t="shared" si="0"/>
        <v>22</v>
      </c>
      <c r="B23" s="21">
        <f t="shared" si="1"/>
        <v>1</v>
      </c>
      <c r="C23" s="21">
        <f t="shared" si="2"/>
        <v>22</v>
      </c>
      <c r="D23" s="21" t="str">
        <f>INDEX(①データ入力!$B$3:$Y$39,C23,(B23-1)*5+1)&amp;""</f>
        <v/>
      </c>
      <c r="E23" s="21" t="str">
        <f>INDEX(①データ入力!$B$3:$Y$39,C23,(B23-1)*5+2)&amp;""</f>
        <v/>
      </c>
      <c r="F23" s="21" t="str">
        <f t="shared" si="3"/>
        <v/>
      </c>
      <c r="G23" s="21">
        <f>INDEX(①データ入力!$B$3:$Y$39,C23,(B23-1)*5+3)</f>
        <v>0</v>
      </c>
      <c r="H23" s="21" t="str">
        <f>INDEX(①データ入力!$B$3:$Y$39,C23,(B23-1)*5+4)&amp;""</f>
        <v/>
      </c>
      <c r="I23" s="21" t="str">
        <f t="shared" si="4"/>
        <v/>
      </c>
      <c r="J23" s="21" t="str">
        <f t="shared" si="5"/>
        <v/>
      </c>
      <c r="K23" s="21" t="str">
        <f t="shared" si="6"/>
        <v/>
      </c>
      <c r="L23" s="21" t="str">
        <f t="shared" si="7"/>
        <v/>
      </c>
      <c r="M23" s="21" t="str">
        <f t="shared" si="8"/>
        <v>1組</v>
      </c>
      <c r="N23" s="21">
        <f t="shared" si="9"/>
        <v>0</v>
      </c>
    </row>
    <row r="24" spans="1:14" x14ac:dyDescent="0.15">
      <c r="A24" s="21">
        <f t="shared" si="0"/>
        <v>23</v>
      </c>
      <c r="B24" s="21">
        <f t="shared" si="1"/>
        <v>1</v>
      </c>
      <c r="C24" s="21">
        <f t="shared" si="2"/>
        <v>23</v>
      </c>
      <c r="D24" s="21" t="str">
        <f>INDEX(①データ入力!$B$3:$Y$39,C24,(B24-1)*5+1)&amp;""</f>
        <v/>
      </c>
      <c r="E24" s="21" t="str">
        <f>INDEX(①データ入力!$B$3:$Y$39,C24,(B24-1)*5+2)&amp;""</f>
        <v/>
      </c>
      <c r="F24" s="21" t="str">
        <f t="shared" si="3"/>
        <v/>
      </c>
      <c r="G24" s="21">
        <f>INDEX(①データ入力!$B$3:$Y$39,C24,(B24-1)*5+3)</f>
        <v>0</v>
      </c>
      <c r="H24" s="21" t="str">
        <f>INDEX(①データ入力!$B$3:$Y$39,C24,(B24-1)*5+4)&amp;""</f>
        <v/>
      </c>
      <c r="I24" s="21" t="str">
        <f t="shared" si="4"/>
        <v/>
      </c>
      <c r="J24" s="21" t="str">
        <f t="shared" si="5"/>
        <v/>
      </c>
      <c r="K24" s="21" t="str">
        <f t="shared" si="6"/>
        <v/>
      </c>
      <c r="L24" s="21" t="str">
        <f t="shared" si="7"/>
        <v/>
      </c>
      <c r="M24" s="21" t="str">
        <f t="shared" si="8"/>
        <v>1組</v>
      </c>
      <c r="N24" s="21">
        <f t="shared" si="9"/>
        <v>0</v>
      </c>
    </row>
    <row r="25" spans="1:14" x14ac:dyDescent="0.15">
      <c r="A25" s="21">
        <f t="shared" si="0"/>
        <v>24</v>
      </c>
      <c r="B25" s="21">
        <f t="shared" si="1"/>
        <v>1</v>
      </c>
      <c r="C25" s="21">
        <f t="shared" si="2"/>
        <v>24</v>
      </c>
      <c r="D25" s="21" t="str">
        <f>INDEX(①データ入力!$B$3:$Y$39,C25,(B25-1)*5+1)&amp;""</f>
        <v/>
      </c>
      <c r="E25" s="21" t="str">
        <f>INDEX(①データ入力!$B$3:$Y$39,C25,(B25-1)*5+2)&amp;""</f>
        <v/>
      </c>
      <c r="F25" s="21" t="str">
        <f t="shared" si="3"/>
        <v/>
      </c>
      <c r="G25" s="21">
        <f>INDEX(①データ入力!$B$3:$Y$39,C25,(B25-1)*5+3)</f>
        <v>0</v>
      </c>
      <c r="H25" s="21" t="str">
        <f>INDEX(①データ入力!$B$3:$Y$39,C25,(B25-1)*5+4)&amp;""</f>
        <v/>
      </c>
      <c r="I25" s="21" t="str">
        <f t="shared" si="4"/>
        <v/>
      </c>
      <c r="J25" s="21" t="str">
        <f t="shared" si="5"/>
        <v/>
      </c>
      <c r="K25" s="21" t="str">
        <f t="shared" si="6"/>
        <v/>
      </c>
      <c r="L25" s="21" t="str">
        <f t="shared" si="7"/>
        <v/>
      </c>
      <c r="M25" s="21" t="str">
        <f t="shared" si="8"/>
        <v>1組</v>
      </c>
      <c r="N25" s="21">
        <f t="shared" si="9"/>
        <v>0</v>
      </c>
    </row>
    <row r="26" spans="1:14" x14ac:dyDescent="0.15">
      <c r="A26" s="21">
        <f t="shared" si="0"/>
        <v>25</v>
      </c>
      <c r="B26" s="21">
        <f t="shared" si="1"/>
        <v>1</v>
      </c>
      <c r="C26" s="21">
        <f t="shared" si="2"/>
        <v>25</v>
      </c>
      <c r="D26" s="21" t="str">
        <f>INDEX(①データ入力!$B$3:$Y$39,C26,(B26-1)*5+1)&amp;""</f>
        <v/>
      </c>
      <c r="E26" s="21" t="str">
        <f>INDEX(①データ入力!$B$3:$Y$39,C26,(B26-1)*5+2)&amp;""</f>
        <v/>
      </c>
      <c r="F26" s="21" t="str">
        <f t="shared" si="3"/>
        <v/>
      </c>
      <c r="G26" s="21">
        <f>INDEX(①データ入力!$B$3:$Y$39,C26,(B26-1)*5+3)</f>
        <v>0</v>
      </c>
      <c r="H26" s="21" t="str">
        <f>INDEX(①データ入力!$B$3:$Y$39,C26,(B26-1)*5+4)&amp;""</f>
        <v/>
      </c>
      <c r="I26" s="21" t="str">
        <f t="shared" si="4"/>
        <v/>
      </c>
      <c r="J26" s="21" t="str">
        <f t="shared" si="5"/>
        <v/>
      </c>
      <c r="K26" s="21" t="str">
        <f t="shared" si="6"/>
        <v/>
      </c>
      <c r="L26" s="21" t="str">
        <f t="shared" si="7"/>
        <v/>
      </c>
      <c r="M26" s="21" t="str">
        <f t="shared" si="8"/>
        <v>1組</v>
      </c>
      <c r="N26" s="21">
        <f t="shared" si="9"/>
        <v>0</v>
      </c>
    </row>
    <row r="27" spans="1:14" x14ac:dyDescent="0.15">
      <c r="A27" s="21">
        <f t="shared" si="0"/>
        <v>26</v>
      </c>
      <c r="B27" s="21">
        <f t="shared" si="1"/>
        <v>1</v>
      </c>
      <c r="C27" s="21">
        <f t="shared" si="2"/>
        <v>26</v>
      </c>
      <c r="D27" s="21" t="str">
        <f>INDEX(①データ入力!$B$3:$Y$39,C27,(B27-1)*5+1)&amp;""</f>
        <v/>
      </c>
      <c r="E27" s="21" t="str">
        <f>INDEX(①データ入力!$B$3:$Y$39,C27,(B27-1)*5+2)&amp;""</f>
        <v/>
      </c>
      <c r="F27" s="21" t="str">
        <f t="shared" si="3"/>
        <v/>
      </c>
      <c r="G27" s="21">
        <f>INDEX(①データ入力!$B$3:$Y$39,C27,(B27-1)*5+3)</f>
        <v>0</v>
      </c>
      <c r="H27" s="21" t="str">
        <f>INDEX(①データ入力!$B$3:$Y$39,C27,(B27-1)*5+4)&amp;""</f>
        <v/>
      </c>
      <c r="I27" s="21" t="str">
        <f t="shared" si="4"/>
        <v/>
      </c>
      <c r="J27" s="21" t="str">
        <f t="shared" si="5"/>
        <v/>
      </c>
      <c r="K27" s="21" t="str">
        <f t="shared" si="6"/>
        <v/>
      </c>
      <c r="L27" s="21" t="str">
        <f t="shared" si="7"/>
        <v/>
      </c>
      <c r="M27" s="21" t="str">
        <f t="shared" si="8"/>
        <v>1組</v>
      </c>
      <c r="N27" s="21">
        <f t="shared" si="9"/>
        <v>0</v>
      </c>
    </row>
    <row r="28" spans="1:14" x14ac:dyDescent="0.15">
      <c r="A28" s="21">
        <f t="shared" si="0"/>
        <v>27</v>
      </c>
      <c r="B28" s="21">
        <f t="shared" si="1"/>
        <v>1</v>
      </c>
      <c r="C28" s="21">
        <f t="shared" si="2"/>
        <v>27</v>
      </c>
      <c r="D28" s="21" t="str">
        <f>INDEX(①データ入力!$B$3:$Y$39,C28,(B28-1)*5+1)&amp;""</f>
        <v/>
      </c>
      <c r="E28" s="21" t="str">
        <f>INDEX(①データ入力!$B$3:$Y$39,C28,(B28-1)*5+2)&amp;""</f>
        <v/>
      </c>
      <c r="F28" s="21" t="str">
        <f t="shared" si="3"/>
        <v/>
      </c>
      <c r="G28" s="21">
        <f>INDEX(①データ入力!$B$3:$Y$39,C28,(B28-1)*5+3)</f>
        <v>0</v>
      </c>
      <c r="H28" s="21" t="str">
        <f>INDEX(①データ入力!$B$3:$Y$39,C28,(B28-1)*5+4)&amp;""</f>
        <v/>
      </c>
      <c r="I28" s="21" t="str">
        <f t="shared" si="4"/>
        <v/>
      </c>
      <c r="J28" s="21" t="str">
        <f t="shared" si="5"/>
        <v/>
      </c>
      <c r="K28" s="21" t="str">
        <f t="shared" si="6"/>
        <v/>
      </c>
      <c r="L28" s="21" t="str">
        <f t="shared" si="7"/>
        <v/>
      </c>
      <c r="M28" s="21" t="str">
        <f t="shared" si="8"/>
        <v>1組</v>
      </c>
      <c r="N28" s="21">
        <f t="shared" si="9"/>
        <v>0</v>
      </c>
    </row>
    <row r="29" spans="1:14" x14ac:dyDescent="0.15">
      <c r="A29" s="21">
        <f t="shared" si="0"/>
        <v>28</v>
      </c>
      <c r="B29" s="21">
        <f t="shared" si="1"/>
        <v>1</v>
      </c>
      <c r="C29" s="21">
        <f t="shared" si="2"/>
        <v>28</v>
      </c>
      <c r="D29" s="21" t="str">
        <f>INDEX(①データ入力!$B$3:$Y$39,C29,(B29-1)*5+1)&amp;""</f>
        <v/>
      </c>
      <c r="E29" s="21" t="str">
        <f>INDEX(①データ入力!$B$3:$Y$39,C29,(B29-1)*5+2)&amp;""</f>
        <v/>
      </c>
      <c r="F29" s="21" t="str">
        <f t="shared" si="3"/>
        <v/>
      </c>
      <c r="G29" s="21">
        <f>INDEX(①データ入力!$B$3:$Y$39,C29,(B29-1)*5+3)</f>
        <v>0</v>
      </c>
      <c r="H29" s="21" t="str">
        <f>INDEX(①データ入力!$B$3:$Y$39,C29,(B29-1)*5+4)&amp;""</f>
        <v/>
      </c>
      <c r="I29" s="21" t="str">
        <f t="shared" si="4"/>
        <v/>
      </c>
      <c r="J29" s="21" t="str">
        <f t="shared" si="5"/>
        <v/>
      </c>
      <c r="K29" s="21" t="str">
        <f t="shared" si="6"/>
        <v/>
      </c>
      <c r="L29" s="21" t="str">
        <f t="shared" si="7"/>
        <v/>
      </c>
      <c r="M29" s="21" t="str">
        <f t="shared" si="8"/>
        <v>1組</v>
      </c>
      <c r="N29" s="21">
        <f t="shared" si="9"/>
        <v>0</v>
      </c>
    </row>
    <row r="30" spans="1:14" x14ac:dyDescent="0.15">
      <c r="A30" s="21">
        <f t="shared" si="0"/>
        <v>29</v>
      </c>
      <c r="B30" s="21">
        <f t="shared" si="1"/>
        <v>1</v>
      </c>
      <c r="C30" s="21">
        <f t="shared" si="2"/>
        <v>29</v>
      </c>
      <c r="D30" s="21" t="str">
        <f>INDEX(①データ入力!$B$3:$Y$39,C30,(B30-1)*5+1)&amp;""</f>
        <v/>
      </c>
      <c r="E30" s="21" t="str">
        <f>INDEX(①データ入力!$B$3:$Y$39,C30,(B30-1)*5+2)&amp;""</f>
        <v/>
      </c>
      <c r="F30" s="21" t="str">
        <f t="shared" si="3"/>
        <v/>
      </c>
      <c r="G30" s="21">
        <f>INDEX(①データ入力!$B$3:$Y$39,C30,(B30-1)*5+3)</f>
        <v>0</v>
      </c>
      <c r="H30" s="21" t="str">
        <f>INDEX(①データ入力!$B$3:$Y$39,C30,(B30-1)*5+4)&amp;""</f>
        <v/>
      </c>
      <c r="I30" s="21" t="str">
        <f t="shared" si="4"/>
        <v/>
      </c>
      <c r="J30" s="21" t="str">
        <f t="shared" si="5"/>
        <v/>
      </c>
      <c r="K30" s="21" t="str">
        <f t="shared" si="6"/>
        <v/>
      </c>
      <c r="L30" s="21" t="str">
        <f t="shared" si="7"/>
        <v/>
      </c>
      <c r="M30" s="21" t="str">
        <f t="shared" si="8"/>
        <v>1組</v>
      </c>
      <c r="N30" s="21">
        <f t="shared" si="9"/>
        <v>0</v>
      </c>
    </row>
    <row r="31" spans="1:14" x14ac:dyDescent="0.15">
      <c r="A31" s="21">
        <f t="shared" si="0"/>
        <v>30</v>
      </c>
      <c r="B31" s="21">
        <f t="shared" si="1"/>
        <v>1</v>
      </c>
      <c r="C31" s="21">
        <f t="shared" si="2"/>
        <v>30</v>
      </c>
      <c r="D31" s="21" t="str">
        <f>INDEX(①データ入力!$B$3:$Y$39,C31,(B31-1)*5+1)&amp;""</f>
        <v/>
      </c>
      <c r="E31" s="21" t="str">
        <f>INDEX(①データ入力!$B$3:$Y$39,C31,(B31-1)*5+2)&amp;""</f>
        <v/>
      </c>
      <c r="F31" s="21" t="str">
        <f t="shared" si="3"/>
        <v/>
      </c>
      <c r="G31" s="21">
        <f>INDEX(①データ入力!$B$3:$Y$39,C31,(B31-1)*5+3)</f>
        <v>0</v>
      </c>
      <c r="H31" s="21" t="str">
        <f>INDEX(①データ入力!$B$3:$Y$39,C31,(B31-1)*5+4)&amp;""</f>
        <v/>
      </c>
      <c r="I31" s="21" t="str">
        <f t="shared" si="4"/>
        <v/>
      </c>
      <c r="J31" s="21" t="str">
        <f t="shared" si="5"/>
        <v/>
      </c>
      <c r="K31" s="21" t="str">
        <f t="shared" si="6"/>
        <v/>
      </c>
      <c r="L31" s="21" t="str">
        <f t="shared" si="7"/>
        <v/>
      </c>
      <c r="M31" s="21" t="str">
        <f t="shared" si="8"/>
        <v>1組</v>
      </c>
      <c r="N31" s="21">
        <f t="shared" si="9"/>
        <v>0</v>
      </c>
    </row>
    <row r="32" spans="1:14" x14ac:dyDescent="0.15">
      <c r="A32" s="21">
        <f t="shared" si="0"/>
        <v>31</v>
      </c>
      <c r="B32" s="21">
        <f t="shared" si="1"/>
        <v>1</v>
      </c>
      <c r="C32" s="21">
        <f t="shared" si="2"/>
        <v>31</v>
      </c>
      <c r="D32" s="21" t="str">
        <f>INDEX(①データ入力!$B$3:$Y$39,C32,(B32-1)*5+1)&amp;""</f>
        <v/>
      </c>
      <c r="E32" s="21" t="str">
        <f>INDEX(①データ入力!$B$3:$Y$39,C32,(B32-1)*5+2)&amp;""</f>
        <v/>
      </c>
      <c r="F32" s="21" t="str">
        <f t="shared" si="3"/>
        <v/>
      </c>
      <c r="G32" s="21">
        <f>INDEX(①データ入力!$B$3:$Y$39,C32,(B32-1)*5+3)</f>
        <v>0</v>
      </c>
      <c r="H32" s="21" t="str">
        <f>INDEX(①データ入力!$B$3:$Y$39,C32,(B32-1)*5+4)&amp;""</f>
        <v/>
      </c>
      <c r="I32" s="21" t="str">
        <f t="shared" si="4"/>
        <v/>
      </c>
      <c r="J32" s="21" t="str">
        <f t="shared" si="5"/>
        <v/>
      </c>
      <c r="K32" s="21" t="str">
        <f t="shared" si="6"/>
        <v/>
      </c>
      <c r="L32" s="21" t="str">
        <f t="shared" si="7"/>
        <v/>
      </c>
      <c r="M32" s="21" t="str">
        <f t="shared" si="8"/>
        <v>1組</v>
      </c>
      <c r="N32" s="21">
        <f t="shared" si="9"/>
        <v>0</v>
      </c>
    </row>
    <row r="33" spans="1:14" x14ac:dyDescent="0.15">
      <c r="A33" s="21">
        <f t="shared" si="0"/>
        <v>32</v>
      </c>
      <c r="B33" s="21">
        <f t="shared" si="1"/>
        <v>1</v>
      </c>
      <c r="C33" s="21">
        <f t="shared" si="2"/>
        <v>32</v>
      </c>
      <c r="D33" s="21" t="str">
        <f>INDEX(①データ入力!$B$3:$Y$39,C33,(B33-1)*5+1)&amp;""</f>
        <v/>
      </c>
      <c r="E33" s="21" t="str">
        <f>INDEX(①データ入力!$B$3:$Y$39,C33,(B33-1)*5+2)&amp;""</f>
        <v/>
      </c>
      <c r="F33" s="21" t="str">
        <f t="shared" si="3"/>
        <v/>
      </c>
      <c r="G33" s="21">
        <f>INDEX(①データ入力!$B$3:$Y$39,C33,(B33-1)*5+3)</f>
        <v>0</v>
      </c>
      <c r="H33" s="21" t="str">
        <f>INDEX(①データ入力!$B$3:$Y$39,C33,(B33-1)*5+4)&amp;""</f>
        <v/>
      </c>
      <c r="I33" s="21" t="str">
        <f t="shared" si="4"/>
        <v/>
      </c>
      <c r="J33" s="21" t="str">
        <f t="shared" si="5"/>
        <v/>
      </c>
      <c r="K33" s="21" t="str">
        <f t="shared" si="6"/>
        <v/>
      </c>
      <c r="L33" s="21" t="str">
        <f t="shared" si="7"/>
        <v/>
      </c>
      <c r="M33" s="21" t="str">
        <f t="shared" si="8"/>
        <v>1組</v>
      </c>
      <c r="N33" s="21">
        <f t="shared" si="9"/>
        <v>0</v>
      </c>
    </row>
    <row r="34" spans="1:14" x14ac:dyDescent="0.15">
      <c r="A34" s="21">
        <f t="shared" ref="A34:A65" si="10">ROW()-1</f>
        <v>33</v>
      </c>
      <c r="B34" s="21">
        <f t="shared" ref="B34:B65" si="11">INT((A34-1)/37)+1</f>
        <v>1</v>
      </c>
      <c r="C34" s="21">
        <f t="shared" ref="C34:C65" si="12">MOD(A34-1,37)+1</f>
        <v>33</v>
      </c>
      <c r="D34" s="21" t="str">
        <f>INDEX(①データ入力!$B$3:$Y$39,C34,(B34-1)*5+1)&amp;""</f>
        <v/>
      </c>
      <c r="E34" s="21" t="str">
        <f>INDEX(①データ入力!$B$3:$Y$39,C34,(B34-1)*5+2)&amp;""</f>
        <v/>
      </c>
      <c r="F34" s="21" t="str">
        <f t="shared" ref="F34:F65" si="13">IF(OR(E34="1",E34="１",E34="男"),"男",IF(OR(E34="2",E34="２",E34="女"),"女",""))</f>
        <v/>
      </c>
      <c r="G34" s="21">
        <f>INDEX(①データ入力!$B$3:$Y$39,C34,(B34-1)*5+3)</f>
        <v>0</v>
      </c>
      <c r="H34" s="21" t="str">
        <f>INDEX(①データ入力!$B$3:$Y$39,C34,(B34-1)*5+4)&amp;""</f>
        <v/>
      </c>
      <c r="I34" s="21" t="str">
        <f t="shared" ref="I34:I65" si="14">IF(LEFT(TRIM(H34),1)="赤","赤",IF(LEFT(TRIM(H34),1)="白","白",""))</f>
        <v/>
      </c>
      <c r="J34" s="21" t="str">
        <f t="shared" ref="J34:J65" si="15">IF(AND(D34&lt;&gt;"",F34&lt;&gt;"",I34&lt;&gt;"",ISNUMBER(G34)),F34&amp;I34,"")</f>
        <v/>
      </c>
      <c r="K34" s="21" t="str">
        <f t="shared" ref="K34:K65" si="16">IF(J34="","",COUNTIFS($J$2:$J$186,J34,$G$2:$G$186,"&lt;"&amp;G34)+COUNTIFS($J$2:$J$186,J34,$G$2:$G$186,G34,$A$2:$A$186,"&lt;"&amp;A34)+1)</f>
        <v/>
      </c>
      <c r="L34" s="21" t="str">
        <f t="shared" ref="L34:L65" si="17">IF(J34="","",J34&amp;K34)</f>
        <v/>
      </c>
      <c r="M34" s="21" t="str">
        <f t="shared" ref="M34:M65" si="18">B34&amp;"組"</f>
        <v>1組</v>
      </c>
      <c r="N34" s="21">
        <f t="shared" ref="N34:N65" si="19">IF(AND(D34&lt;&gt;"",J34=""),1,0)</f>
        <v>0</v>
      </c>
    </row>
    <row r="35" spans="1:14" x14ac:dyDescent="0.15">
      <c r="A35" s="21">
        <f t="shared" si="10"/>
        <v>34</v>
      </c>
      <c r="B35" s="21">
        <f t="shared" si="11"/>
        <v>1</v>
      </c>
      <c r="C35" s="21">
        <f t="shared" si="12"/>
        <v>34</v>
      </c>
      <c r="D35" s="21" t="str">
        <f>INDEX(①データ入力!$B$3:$Y$39,C35,(B35-1)*5+1)&amp;""</f>
        <v/>
      </c>
      <c r="E35" s="21" t="str">
        <f>INDEX(①データ入力!$B$3:$Y$39,C35,(B35-1)*5+2)&amp;""</f>
        <v/>
      </c>
      <c r="F35" s="21" t="str">
        <f t="shared" si="13"/>
        <v/>
      </c>
      <c r="G35" s="21">
        <f>INDEX(①データ入力!$B$3:$Y$39,C35,(B35-1)*5+3)</f>
        <v>0</v>
      </c>
      <c r="H35" s="21" t="str">
        <f>INDEX(①データ入力!$B$3:$Y$39,C35,(B35-1)*5+4)&amp;""</f>
        <v/>
      </c>
      <c r="I35" s="21" t="str">
        <f t="shared" si="14"/>
        <v/>
      </c>
      <c r="J35" s="21" t="str">
        <f t="shared" si="15"/>
        <v/>
      </c>
      <c r="K35" s="21" t="str">
        <f t="shared" si="16"/>
        <v/>
      </c>
      <c r="L35" s="21" t="str">
        <f t="shared" si="17"/>
        <v/>
      </c>
      <c r="M35" s="21" t="str">
        <f t="shared" si="18"/>
        <v>1組</v>
      </c>
      <c r="N35" s="21">
        <f t="shared" si="19"/>
        <v>0</v>
      </c>
    </row>
    <row r="36" spans="1:14" x14ac:dyDescent="0.15">
      <c r="A36" s="21">
        <f t="shared" si="10"/>
        <v>35</v>
      </c>
      <c r="B36" s="21">
        <f t="shared" si="11"/>
        <v>1</v>
      </c>
      <c r="C36" s="21">
        <f t="shared" si="12"/>
        <v>35</v>
      </c>
      <c r="D36" s="21" t="str">
        <f>INDEX(①データ入力!$B$3:$Y$39,C36,(B36-1)*5+1)&amp;""</f>
        <v/>
      </c>
      <c r="E36" s="21" t="str">
        <f>INDEX(①データ入力!$B$3:$Y$39,C36,(B36-1)*5+2)&amp;""</f>
        <v/>
      </c>
      <c r="F36" s="21" t="str">
        <f t="shared" si="13"/>
        <v/>
      </c>
      <c r="G36" s="21">
        <f>INDEX(①データ入力!$B$3:$Y$39,C36,(B36-1)*5+3)</f>
        <v>0</v>
      </c>
      <c r="H36" s="21" t="str">
        <f>INDEX(①データ入力!$B$3:$Y$39,C36,(B36-1)*5+4)&amp;""</f>
        <v/>
      </c>
      <c r="I36" s="21" t="str">
        <f t="shared" si="14"/>
        <v/>
      </c>
      <c r="J36" s="21" t="str">
        <f t="shared" si="15"/>
        <v/>
      </c>
      <c r="K36" s="21" t="str">
        <f t="shared" si="16"/>
        <v/>
      </c>
      <c r="L36" s="21" t="str">
        <f t="shared" si="17"/>
        <v/>
      </c>
      <c r="M36" s="21" t="str">
        <f t="shared" si="18"/>
        <v>1組</v>
      </c>
      <c r="N36" s="21">
        <f t="shared" si="19"/>
        <v>0</v>
      </c>
    </row>
    <row r="37" spans="1:14" x14ac:dyDescent="0.15">
      <c r="A37" s="21">
        <f t="shared" si="10"/>
        <v>36</v>
      </c>
      <c r="B37" s="21">
        <f t="shared" si="11"/>
        <v>1</v>
      </c>
      <c r="C37" s="21">
        <f t="shared" si="12"/>
        <v>36</v>
      </c>
      <c r="D37" s="21" t="str">
        <f>INDEX(①データ入力!$B$3:$Y$39,C37,(B37-1)*5+1)&amp;""</f>
        <v/>
      </c>
      <c r="E37" s="21" t="str">
        <f>INDEX(①データ入力!$B$3:$Y$39,C37,(B37-1)*5+2)&amp;""</f>
        <v/>
      </c>
      <c r="F37" s="21" t="str">
        <f t="shared" si="13"/>
        <v/>
      </c>
      <c r="G37" s="21">
        <f>INDEX(①データ入力!$B$3:$Y$39,C37,(B37-1)*5+3)</f>
        <v>0</v>
      </c>
      <c r="H37" s="21" t="str">
        <f>INDEX(①データ入力!$B$3:$Y$39,C37,(B37-1)*5+4)&amp;""</f>
        <v/>
      </c>
      <c r="I37" s="21" t="str">
        <f t="shared" si="14"/>
        <v/>
      </c>
      <c r="J37" s="21" t="str">
        <f t="shared" si="15"/>
        <v/>
      </c>
      <c r="K37" s="21" t="str">
        <f t="shared" si="16"/>
        <v/>
      </c>
      <c r="L37" s="21" t="str">
        <f t="shared" si="17"/>
        <v/>
      </c>
      <c r="M37" s="21" t="str">
        <f t="shared" si="18"/>
        <v>1組</v>
      </c>
      <c r="N37" s="21">
        <f t="shared" si="19"/>
        <v>0</v>
      </c>
    </row>
    <row r="38" spans="1:14" x14ac:dyDescent="0.15">
      <c r="A38" s="21">
        <f t="shared" si="10"/>
        <v>37</v>
      </c>
      <c r="B38" s="21">
        <f t="shared" si="11"/>
        <v>1</v>
      </c>
      <c r="C38" s="21">
        <f t="shared" si="12"/>
        <v>37</v>
      </c>
      <c r="D38" s="21" t="str">
        <f>INDEX(①データ入力!$B$3:$Y$39,C38,(B38-1)*5+1)&amp;""</f>
        <v/>
      </c>
      <c r="E38" s="21" t="str">
        <f>INDEX(①データ入力!$B$3:$Y$39,C38,(B38-1)*5+2)&amp;""</f>
        <v/>
      </c>
      <c r="F38" s="21" t="str">
        <f t="shared" si="13"/>
        <v/>
      </c>
      <c r="G38" s="21">
        <f>INDEX(①データ入力!$B$3:$Y$39,C38,(B38-1)*5+3)</f>
        <v>0</v>
      </c>
      <c r="H38" s="21" t="str">
        <f>INDEX(①データ入力!$B$3:$Y$39,C38,(B38-1)*5+4)&amp;""</f>
        <v/>
      </c>
      <c r="I38" s="21" t="str">
        <f t="shared" si="14"/>
        <v/>
      </c>
      <c r="J38" s="21" t="str">
        <f t="shared" si="15"/>
        <v/>
      </c>
      <c r="K38" s="21" t="str">
        <f t="shared" si="16"/>
        <v/>
      </c>
      <c r="L38" s="21" t="str">
        <f t="shared" si="17"/>
        <v/>
      </c>
      <c r="M38" s="21" t="str">
        <f t="shared" si="18"/>
        <v>1組</v>
      </c>
      <c r="N38" s="21">
        <f t="shared" si="19"/>
        <v>0</v>
      </c>
    </row>
    <row r="39" spans="1:14" x14ac:dyDescent="0.15">
      <c r="A39" s="21">
        <f t="shared" si="10"/>
        <v>38</v>
      </c>
      <c r="B39" s="21">
        <f t="shared" si="11"/>
        <v>2</v>
      </c>
      <c r="C39" s="21">
        <f t="shared" si="12"/>
        <v>1</v>
      </c>
      <c r="D39" s="21" t="str">
        <f>INDEX(①データ入力!$B$3:$Y$39,C39,(B39-1)*5+1)&amp;""</f>
        <v/>
      </c>
      <c r="E39" s="21" t="str">
        <f>INDEX(①データ入力!$B$3:$Y$39,C39,(B39-1)*5+2)&amp;""</f>
        <v/>
      </c>
      <c r="F39" s="21" t="str">
        <f t="shared" si="13"/>
        <v/>
      </c>
      <c r="G39" s="21">
        <f>INDEX(①データ入力!$B$3:$Y$39,C39,(B39-1)*5+3)</f>
        <v>0</v>
      </c>
      <c r="H39" s="21" t="str">
        <f>INDEX(①データ入力!$B$3:$Y$39,C39,(B39-1)*5+4)&amp;""</f>
        <v/>
      </c>
      <c r="I39" s="21" t="str">
        <f t="shared" si="14"/>
        <v/>
      </c>
      <c r="J39" s="21" t="str">
        <f t="shared" si="15"/>
        <v/>
      </c>
      <c r="K39" s="21" t="str">
        <f t="shared" si="16"/>
        <v/>
      </c>
      <c r="L39" s="21" t="str">
        <f t="shared" si="17"/>
        <v/>
      </c>
      <c r="M39" s="21" t="str">
        <f t="shared" si="18"/>
        <v>2組</v>
      </c>
      <c r="N39" s="21">
        <f t="shared" si="19"/>
        <v>0</v>
      </c>
    </row>
    <row r="40" spans="1:14" x14ac:dyDescent="0.15">
      <c r="A40" s="21">
        <f t="shared" si="10"/>
        <v>39</v>
      </c>
      <c r="B40" s="21">
        <f t="shared" si="11"/>
        <v>2</v>
      </c>
      <c r="C40" s="21">
        <f t="shared" si="12"/>
        <v>2</v>
      </c>
      <c r="D40" s="21" t="str">
        <f>INDEX(①データ入力!$B$3:$Y$39,C40,(B40-1)*5+1)&amp;""</f>
        <v/>
      </c>
      <c r="E40" s="21" t="str">
        <f>INDEX(①データ入力!$B$3:$Y$39,C40,(B40-1)*5+2)&amp;""</f>
        <v/>
      </c>
      <c r="F40" s="21" t="str">
        <f t="shared" si="13"/>
        <v/>
      </c>
      <c r="G40" s="21">
        <f>INDEX(①データ入力!$B$3:$Y$39,C40,(B40-1)*5+3)</f>
        <v>0</v>
      </c>
      <c r="H40" s="21" t="str">
        <f>INDEX(①データ入力!$B$3:$Y$39,C40,(B40-1)*5+4)&amp;""</f>
        <v/>
      </c>
      <c r="I40" s="21" t="str">
        <f t="shared" si="14"/>
        <v/>
      </c>
      <c r="J40" s="21" t="str">
        <f t="shared" si="15"/>
        <v/>
      </c>
      <c r="K40" s="21" t="str">
        <f t="shared" si="16"/>
        <v/>
      </c>
      <c r="L40" s="21" t="str">
        <f t="shared" si="17"/>
        <v/>
      </c>
      <c r="M40" s="21" t="str">
        <f t="shared" si="18"/>
        <v>2組</v>
      </c>
      <c r="N40" s="21">
        <f t="shared" si="19"/>
        <v>0</v>
      </c>
    </row>
    <row r="41" spans="1:14" x14ac:dyDescent="0.15">
      <c r="A41" s="21">
        <f t="shared" si="10"/>
        <v>40</v>
      </c>
      <c r="B41" s="21">
        <f t="shared" si="11"/>
        <v>2</v>
      </c>
      <c r="C41" s="21">
        <f t="shared" si="12"/>
        <v>3</v>
      </c>
      <c r="D41" s="21" t="str">
        <f>INDEX(①データ入力!$B$3:$Y$39,C41,(B41-1)*5+1)&amp;""</f>
        <v/>
      </c>
      <c r="E41" s="21" t="str">
        <f>INDEX(①データ入力!$B$3:$Y$39,C41,(B41-1)*5+2)&amp;""</f>
        <v/>
      </c>
      <c r="F41" s="21" t="str">
        <f t="shared" si="13"/>
        <v/>
      </c>
      <c r="G41" s="21">
        <f>INDEX(①データ入力!$B$3:$Y$39,C41,(B41-1)*5+3)</f>
        <v>0</v>
      </c>
      <c r="H41" s="21" t="str">
        <f>INDEX(①データ入力!$B$3:$Y$39,C41,(B41-1)*5+4)&amp;""</f>
        <v/>
      </c>
      <c r="I41" s="21" t="str">
        <f t="shared" si="14"/>
        <v/>
      </c>
      <c r="J41" s="21" t="str">
        <f t="shared" si="15"/>
        <v/>
      </c>
      <c r="K41" s="21" t="str">
        <f t="shared" si="16"/>
        <v/>
      </c>
      <c r="L41" s="21" t="str">
        <f t="shared" si="17"/>
        <v/>
      </c>
      <c r="M41" s="21" t="str">
        <f t="shared" si="18"/>
        <v>2組</v>
      </c>
      <c r="N41" s="21">
        <f t="shared" si="19"/>
        <v>0</v>
      </c>
    </row>
    <row r="42" spans="1:14" x14ac:dyDescent="0.15">
      <c r="A42" s="21">
        <f t="shared" si="10"/>
        <v>41</v>
      </c>
      <c r="B42" s="21">
        <f t="shared" si="11"/>
        <v>2</v>
      </c>
      <c r="C42" s="21">
        <f t="shared" si="12"/>
        <v>4</v>
      </c>
      <c r="D42" s="21" t="str">
        <f>INDEX(①データ入力!$B$3:$Y$39,C42,(B42-1)*5+1)&amp;""</f>
        <v/>
      </c>
      <c r="E42" s="21" t="str">
        <f>INDEX(①データ入力!$B$3:$Y$39,C42,(B42-1)*5+2)&amp;""</f>
        <v/>
      </c>
      <c r="F42" s="21" t="str">
        <f t="shared" si="13"/>
        <v/>
      </c>
      <c r="G42" s="21">
        <f>INDEX(①データ入力!$B$3:$Y$39,C42,(B42-1)*5+3)</f>
        <v>0</v>
      </c>
      <c r="H42" s="21" t="str">
        <f>INDEX(①データ入力!$B$3:$Y$39,C42,(B42-1)*5+4)&amp;""</f>
        <v/>
      </c>
      <c r="I42" s="21" t="str">
        <f t="shared" si="14"/>
        <v/>
      </c>
      <c r="J42" s="21" t="str">
        <f t="shared" si="15"/>
        <v/>
      </c>
      <c r="K42" s="21" t="str">
        <f t="shared" si="16"/>
        <v/>
      </c>
      <c r="L42" s="21" t="str">
        <f t="shared" si="17"/>
        <v/>
      </c>
      <c r="M42" s="21" t="str">
        <f t="shared" si="18"/>
        <v>2組</v>
      </c>
      <c r="N42" s="21">
        <f t="shared" si="19"/>
        <v>0</v>
      </c>
    </row>
    <row r="43" spans="1:14" x14ac:dyDescent="0.15">
      <c r="A43" s="21">
        <f t="shared" si="10"/>
        <v>42</v>
      </c>
      <c r="B43" s="21">
        <f t="shared" si="11"/>
        <v>2</v>
      </c>
      <c r="C43" s="21">
        <f t="shared" si="12"/>
        <v>5</v>
      </c>
      <c r="D43" s="21" t="str">
        <f>INDEX(①データ入力!$B$3:$Y$39,C43,(B43-1)*5+1)&amp;""</f>
        <v/>
      </c>
      <c r="E43" s="21" t="str">
        <f>INDEX(①データ入力!$B$3:$Y$39,C43,(B43-1)*5+2)&amp;""</f>
        <v/>
      </c>
      <c r="F43" s="21" t="str">
        <f t="shared" si="13"/>
        <v/>
      </c>
      <c r="G43" s="21">
        <f>INDEX(①データ入力!$B$3:$Y$39,C43,(B43-1)*5+3)</f>
        <v>0</v>
      </c>
      <c r="H43" s="21" t="str">
        <f>INDEX(①データ入力!$B$3:$Y$39,C43,(B43-1)*5+4)&amp;""</f>
        <v/>
      </c>
      <c r="I43" s="21" t="str">
        <f t="shared" si="14"/>
        <v/>
      </c>
      <c r="J43" s="21" t="str">
        <f t="shared" si="15"/>
        <v/>
      </c>
      <c r="K43" s="21" t="str">
        <f t="shared" si="16"/>
        <v/>
      </c>
      <c r="L43" s="21" t="str">
        <f t="shared" si="17"/>
        <v/>
      </c>
      <c r="M43" s="21" t="str">
        <f t="shared" si="18"/>
        <v>2組</v>
      </c>
      <c r="N43" s="21">
        <f t="shared" si="19"/>
        <v>0</v>
      </c>
    </row>
    <row r="44" spans="1:14" x14ac:dyDescent="0.15">
      <c r="A44" s="21">
        <f t="shared" si="10"/>
        <v>43</v>
      </c>
      <c r="B44" s="21">
        <f t="shared" si="11"/>
        <v>2</v>
      </c>
      <c r="C44" s="21">
        <f t="shared" si="12"/>
        <v>6</v>
      </c>
      <c r="D44" s="21" t="str">
        <f>INDEX(①データ入力!$B$3:$Y$39,C44,(B44-1)*5+1)&amp;""</f>
        <v/>
      </c>
      <c r="E44" s="21" t="str">
        <f>INDEX(①データ入力!$B$3:$Y$39,C44,(B44-1)*5+2)&amp;""</f>
        <v/>
      </c>
      <c r="F44" s="21" t="str">
        <f t="shared" si="13"/>
        <v/>
      </c>
      <c r="G44" s="21">
        <f>INDEX(①データ入力!$B$3:$Y$39,C44,(B44-1)*5+3)</f>
        <v>0</v>
      </c>
      <c r="H44" s="21" t="str">
        <f>INDEX(①データ入力!$B$3:$Y$39,C44,(B44-1)*5+4)&amp;""</f>
        <v/>
      </c>
      <c r="I44" s="21" t="str">
        <f t="shared" si="14"/>
        <v/>
      </c>
      <c r="J44" s="21" t="str">
        <f t="shared" si="15"/>
        <v/>
      </c>
      <c r="K44" s="21" t="str">
        <f t="shared" si="16"/>
        <v/>
      </c>
      <c r="L44" s="21" t="str">
        <f t="shared" si="17"/>
        <v/>
      </c>
      <c r="M44" s="21" t="str">
        <f t="shared" si="18"/>
        <v>2組</v>
      </c>
      <c r="N44" s="21">
        <f t="shared" si="19"/>
        <v>0</v>
      </c>
    </row>
    <row r="45" spans="1:14" x14ac:dyDescent="0.15">
      <c r="A45" s="21">
        <f t="shared" si="10"/>
        <v>44</v>
      </c>
      <c r="B45" s="21">
        <f t="shared" si="11"/>
        <v>2</v>
      </c>
      <c r="C45" s="21">
        <f t="shared" si="12"/>
        <v>7</v>
      </c>
      <c r="D45" s="21" t="str">
        <f>INDEX(①データ入力!$B$3:$Y$39,C45,(B45-1)*5+1)&amp;""</f>
        <v/>
      </c>
      <c r="E45" s="21" t="str">
        <f>INDEX(①データ入力!$B$3:$Y$39,C45,(B45-1)*5+2)&amp;""</f>
        <v/>
      </c>
      <c r="F45" s="21" t="str">
        <f t="shared" si="13"/>
        <v/>
      </c>
      <c r="G45" s="21">
        <f>INDEX(①データ入力!$B$3:$Y$39,C45,(B45-1)*5+3)</f>
        <v>0</v>
      </c>
      <c r="H45" s="21" t="str">
        <f>INDEX(①データ入力!$B$3:$Y$39,C45,(B45-1)*5+4)&amp;""</f>
        <v/>
      </c>
      <c r="I45" s="21" t="str">
        <f t="shared" si="14"/>
        <v/>
      </c>
      <c r="J45" s="21" t="str">
        <f t="shared" si="15"/>
        <v/>
      </c>
      <c r="K45" s="21" t="str">
        <f t="shared" si="16"/>
        <v/>
      </c>
      <c r="L45" s="21" t="str">
        <f t="shared" si="17"/>
        <v/>
      </c>
      <c r="M45" s="21" t="str">
        <f t="shared" si="18"/>
        <v>2組</v>
      </c>
      <c r="N45" s="21">
        <f t="shared" si="19"/>
        <v>0</v>
      </c>
    </row>
    <row r="46" spans="1:14" x14ac:dyDescent="0.15">
      <c r="A46" s="21">
        <f t="shared" si="10"/>
        <v>45</v>
      </c>
      <c r="B46" s="21">
        <f t="shared" si="11"/>
        <v>2</v>
      </c>
      <c r="C46" s="21">
        <f t="shared" si="12"/>
        <v>8</v>
      </c>
      <c r="D46" s="21" t="str">
        <f>INDEX(①データ入力!$B$3:$Y$39,C46,(B46-1)*5+1)&amp;""</f>
        <v/>
      </c>
      <c r="E46" s="21" t="str">
        <f>INDEX(①データ入力!$B$3:$Y$39,C46,(B46-1)*5+2)&amp;""</f>
        <v/>
      </c>
      <c r="F46" s="21" t="str">
        <f t="shared" si="13"/>
        <v/>
      </c>
      <c r="G46" s="21">
        <f>INDEX(①データ入力!$B$3:$Y$39,C46,(B46-1)*5+3)</f>
        <v>0</v>
      </c>
      <c r="H46" s="21" t="str">
        <f>INDEX(①データ入力!$B$3:$Y$39,C46,(B46-1)*5+4)&amp;""</f>
        <v/>
      </c>
      <c r="I46" s="21" t="str">
        <f t="shared" si="14"/>
        <v/>
      </c>
      <c r="J46" s="21" t="str">
        <f t="shared" si="15"/>
        <v/>
      </c>
      <c r="K46" s="21" t="str">
        <f t="shared" si="16"/>
        <v/>
      </c>
      <c r="L46" s="21" t="str">
        <f t="shared" si="17"/>
        <v/>
      </c>
      <c r="M46" s="21" t="str">
        <f t="shared" si="18"/>
        <v>2組</v>
      </c>
      <c r="N46" s="21">
        <f t="shared" si="19"/>
        <v>0</v>
      </c>
    </row>
    <row r="47" spans="1:14" x14ac:dyDescent="0.15">
      <c r="A47" s="21">
        <f t="shared" si="10"/>
        <v>46</v>
      </c>
      <c r="B47" s="21">
        <f t="shared" si="11"/>
        <v>2</v>
      </c>
      <c r="C47" s="21">
        <f t="shared" si="12"/>
        <v>9</v>
      </c>
      <c r="D47" s="21" t="str">
        <f>INDEX(①データ入力!$B$3:$Y$39,C47,(B47-1)*5+1)&amp;""</f>
        <v/>
      </c>
      <c r="E47" s="21" t="str">
        <f>INDEX(①データ入力!$B$3:$Y$39,C47,(B47-1)*5+2)&amp;""</f>
        <v/>
      </c>
      <c r="F47" s="21" t="str">
        <f t="shared" si="13"/>
        <v/>
      </c>
      <c r="G47" s="21">
        <f>INDEX(①データ入力!$B$3:$Y$39,C47,(B47-1)*5+3)</f>
        <v>0</v>
      </c>
      <c r="H47" s="21" t="str">
        <f>INDEX(①データ入力!$B$3:$Y$39,C47,(B47-1)*5+4)&amp;""</f>
        <v/>
      </c>
      <c r="I47" s="21" t="str">
        <f t="shared" si="14"/>
        <v/>
      </c>
      <c r="J47" s="21" t="str">
        <f t="shared" si="15"/>
        <v/>
      </c>
      <c r="K47" s="21" t="str">
        <f t="shared" si="16"/>
        <v/>
      </c>
      <c r="L47" s="21" t="str">
        <f t="shared" si="17"/>
        <v/>
      </c>
      <c r="M47" s="21" t="str">
        <f t="shared" si="18"/>
        <v>2組</v>
      </c>
      <c r="N47" s="21">
        <f t="shared" si="19"/>
        <v>0</v>
      </c>
    </row>
    <row r="48" spans="1:14" x14ac:dyDescent="0.15">
      <c r="A48" s="21">
        <f t="shared" si="10"/>
        <v>47</v>
      </c>
      <c r="B48" s="21">
        <f t="shared" si="11"/>
        <v>2</v>
      </c>
      <c r="C48" s="21">
        <f t="shared" si="12"/>
        <v>10</v>
      </c>
      <c r="D48" s="21" t="str">
        <f>INDEX(①データ入力!$B$3:$Y$39,C48,(B48-1)*5+1)&amp;""</f>
        <v/>
      </c>
      <c r="E48" s="21" t="str">
        <f>INDEX(①データ入力!$B$3:$Y$39,C48,(B48-1)*5+2)&amp;""</f>
        <v/>
      </c>
      <c r="F48" s="21" t="str">
        <f t="shared" si="13"/>
        <v/>
      </c>
      <c r="G48" s="21">
        <f>INDEX(①データ入力!$B$3:$Y$39,C48,(B48-1)*5+3)</f>
        <v>0</v>
      </c>
      <c r="H48" s="21" t="str">
        <f>INDEX(①データ入力!$B$3:$Y$39,C48,(B48-1)*5+4)&amp;""</f>
        <v/>
      </c>
      <c r="I48" s="21" t="str">
        <f t="shared" si="14"/>
        <v/>
      </c>
      <c r="J48" s="21" t="str">
        <f t="shared" si="15"/>
        <v/>
      </c>
      <c r="K48" s="21" t="str">
        <f t="shared" si="16"/>
        <v/>
      </c>
      <c r="L48" s="21" t="str">
        <f t="shared" si="17"/>
        <v/>
      </c>
      <c r="M48" s="21" t="str">
        <f t="shared" si="18"/>
        <v>2組</v>
      </c>
      <c r="N48" s="21">
        <f t="shared" si="19"/>
        <v>0</v>
      </c>
    </row>
    <row r="49" spans="1:14" x14ac:dyDescent="0.15">
      <c r="A49" s="21">
        <f t="shared" si="10"/>
        <v>48</v>
      </c>
      <c r="B49" s="21">
        <f t="shared" si="11"/>
        <v>2</v>
      </c>
      <c r="C49" s="21">
        <f t="shared" si="12"/>
        <v>11</v>
      </c>
      <c r="D49" s="21" t="str">
        <f>INDEX(①データ入力!$B$3:$Y$39,C49,(B49-1)*5+1)&amp;""</f>
        <v/>
      </c>
      <c r="E49" s="21" t="str">
        <f>INDEX(①データ入力!$B$3:$Y$39,C49,(B49-1)*5+2)&amp;""</f>
        <v/>
      </c>
      <c r="F49" s="21" t="str">
        <f t="shared" si="13"/>
        <v/>
      </c>
      <c r="G49" s="21">
        <f>INDEX(①データ入力!$B$3:$Y$39,C49,(B49-1)*5+3)</f>
        <v>0</v>
      </c>
      <c r="H49" s="21" t="str">
        <f>INDEX(①データ入力!$B$3:$Y$39,C49,(B49-1)*5+4)&amp;""</f>
        <v/>
      </c>
      <c r="I49" s="21" t="str">
        <f t="shared" si="14"/>
        <v/>
      </c>
      <c r="J49" s="21" t="str">
        <f t="shared" si="15"/>
        <v/>
      </c>
      <c r="K49" s="21" t="str">
        <f t="shared" si="16"/>
        <v/>
      </c>
      <c r="L49" s="21" t="str">
        <f t="shared" si="17"/>
        <v/>
      </c>
      <c r="M49" s="21" t="str">
        <f t="shared" si="18"/>
        <v>2組</v>
      </c>
      <c r="N49" s="21">
        <f t="shared" si="19"/>
        <v>0</v>
      </c>
    </row>
    <row r="50" spans="1:14" x14ac:dyDescent="0.15">
      <c r="A50" s="21">
        <f t="shared" si="10"/>
        <v>49</v>
      </c>
      <c r="B50" s="21">
        <f t="shared" si="11"/>
        <v>2</v>
      </c>
      <c r="C50" s="21">
        <f t="shared" si="12"/>
        <v>12</v>
      </c>
      <c r="D50" s="21" t="str">
        <f>INDEX(①データ入力!$B$3:$Y$39,C50,(B50-1)*5+1)&amp;""</f>
        <v/>
      </c>
      <c r="E50" s="21" t="str">
        <f>INDEX(①データ入力!$B$3:$Y$39,C50,(B50-1)*5+2)&amp;""</f>
        <v/>
      </c>
      <c r="F50" s="21" t="str">
        <f t="shared" si="13"/>
        <v/>
      </c>
      <c r="G50" s="21">
        <f>INDEX(①データ入力!$B$3:$Y$39,C50,(B50-1)*5+3)</f>
        <v>0</v>
      </c>
      <c r="H50" s="21" t="str">
        <f>INDEX(①データ入力!$B$3:$Y$39,C50,(B50-1)*5+4)&amp;""</f>
        <v/>
      </c>
      <c r="I50" s="21" t="str">
        <f t="shared" si="14"/>
        <v/>
      </c>
      <c r="J50" s="21" t="str">
        <f t="shared" si="15"/>
        <v/>
      </c>
      <c r="K50" s="21" t="str">
        <f t="shared" si="16"/>
        <v/>
      </c>
      <c r="L50" s="21" t="str">
        <f t="shared" si="17"/>
        <v/>
      </c>
      <c r="M50" s="21" t="str">
        <f t="shared" si="18"/>
        <v>2組</v>
      </c>
      <c r="N50" s="21">
        <f t="shared" si="19"/>
        <v>0</v>
      </c>
    </row>
    <row r="51" spans="1:14" x14ac:dyDescent="0.15">
      <c r="A51" s="21">
        <f t="shared" si="10"/>
        <v>50</v>
      </c>
      <c r="B51" s="21">
        <f t="shared" si="11"/>
        <v>2</v>
      </c>
      <c r="C51" s="21">
        <f t="shared" si="12"/>
        <v>13</v>
      </c>
      <c r="D51" s="21" t="str">
        <f>INDEX(①データ入力!$B$3:$Y$39,C51,(B51-1)*5+1)&amp;""</f>
        <v/>
      </c>
      <c r="E51" s="21" t="str">
        <f>INDEX(①データ入力!$B$3:$Y$39,C51,(B51-1)*5+2)&amp;""</f>
        <v/>
      </c>
      <c r="F51" s="21" t="str">
        <f t="shared" si="13"/>
        <v/>
      </c>
      <c r="G51" s="21">
        <f>INDEX(①データ入力!$B$3:$Y$39,C51,(B51-1)*5+3)</f>
        <v>0</v>
      </c>
      <c r="H51" s="21" t="str">
        <f>INDEX(①データ入力!$B$3:$Y$39,C51,(B51-1)*5+4)&amp;""</f>
        <v/>
      </c>
      <c r="I51" s="21" t="str">
        <f t="shared" si="14"/>
        <v/>
      </c>
      <c r="J51" s="21" t="str">
        <f t="shared" si="15"/>
        <v/>
      </c>
      <c r="K51" s="21" t="str">
        <f t="shared" si="16"/>
        <v/>
      </c>
      <c r="L51" s="21" t="str">
        <f t="shared" si="17"/>
        <v/>
      </c>
      <c r="M51" s="21" t="str">
        <f t="shared" si="18"/>
        <v>2組</v>
      </c>
      <c r="N51" s="21">
        <f t="shared" si="19"/>
        <v>0</v>
      </c>
    </row>
    <row r="52" spans="1:14" x14ac:dyDescent="0.15">
      <c r="A52" s="21">
        <f t="shared" si="10"/>
        <v>51</v>
      </c>
      <c r="B52" s="21">
        <f t="shared" si="11"/>
        <v>2</v>
      </c>
      <c r="C52" s="21">
        <f t="shared" si="12"/>
        <v>14</v>
      </c>
      <c r="D52" s="21" t="str">
        <f>INDEX(①データ入力!$B$3:$Y$39,C52,(B52-1)*5+1)&amp;""</f>
        <v/>
      </c>
      <c r="E52" s="21" t="str">
        <f>INDEX(①データ入力!$B$3:$Y$39,C52,(B52-1)*5+2)&amp;""</f>
        <v/>
      </c>
      <c r="F52" s="21" t="str">
        <f t="shared" si="13"/>
        <v/>
      </c>
      <c r="G52" s="21">
        <f>INDEX(①データ入力!$B$3:$Y$39,C52,(B52-1)*5+3)</f>
        <v>0</v>
      </c>
      <c r="H52" s="21" t="str">
        <f>INDEX(①データ入力!$B$3:$Y$39,C52,(B52-1)*5+4)&amp;""</f>
        <v/>
      </c>
      <c r="I52" s="21" t="str">
        <f t="shared" si="14"/>
        <v/>
      </c>
      <c r="J52" s="21" t="str">
        <f t="shared" si="15"/>
        <v/>
      </c>
      <c r="K52" s="21" t="str">
        <f t="shared" si="16"/>
        <v/>
      </c>
      <c r="L52" s="21" t="str">
        <f t="shared" si="17"/>
        <v/>
      </c>
      <c r="M52" s="21" t="str">
        <f t="shared" si="18"/>
        <v>2組</v>
      </c>
      <c r="N52" s="21">
        <f t="shared" si="19"/>
        <v>0</v>
      </c>
    </row>
    <row r="53" spans="1:14" x14ac:dyDescent="0.15">
      <c r="A53" s="21">
        <f t="shared" si="10"/>
        <v>52</v>
      </c>
      <c r="B53" s="21">
        <f t="shared" si="11"/>
        <v>2</v>
      </c>
      <c r="C53" s="21">
        <f t="shared" si="12"/>
        <v>15</v>
      </c>
      <c r="D53" s="21" t="str">
        <f>INDEX(①データ入力!$B$3:$Y$39,C53,(B53-1)*5+1)&amp;""</f>
        <v/>
      </c>
      <c r="E53" s="21" t="str">
        <f>INDEX(①データ入力!$B$3:$Y$39,C53,(B53-1)*5+2)&amp;""</f>
        <v/>
      </c>
      <c r="F53" s="21" t="str">
        <f t="shared" si="13"/>
        <v/>
      </c>
      <c r="G53" s="21">
        <f>INDEX(①データ入力!$B$3:$Y$39,C53,(B53-1)*5+3)</f>
        <v>0</v>
      </c>
      <c r="H53" s="21" t="str">
        <f>INDEX(①データ入力!$B$3:$Y$39,C53,(B53-1)*5+4)&amp;""</f>
        <v/>
      </c>
      <c r="I53" s="21" t="str">
        <f t="shared" si="14"/>
        <v/>
      </c>
      <c r="J53" s="21" t="str">
        <f t="shared" si="15"/>
        <v/>
      </c>
      <c r="K53" s="21" t="str">
        <f t="shared" si="16"/>
        <v/>
      </c>
      <c r="L53" s="21" t="str">
        <f t="shared" si="17"/>
        <v/>
      </c>
      <c r="M53" s="21" t="str">
        <f t="shared" si="18"/>
        <v>2組</v>
      </c>
      <c r="N53" s="21">
        <f t="shared" si="19"/>
        <v>0</v>
      </c>
    </row>
    <row r="54" spans="1:14" x14ac:dyDescent="0.15">
      <c r="A54" s="21">
        <f t="shared" si="10"/>
        <v>53</v>
      </c>
      <c r="B54" s="21">
        <f t="shared" si="11"/>
        <v>2</v>
      </c>
      <c r="C54" s="21">
        <f t="shared" si="12"/>
        <v>16</v>
      </c>
      <c r="D54" s="21" t="str">
        <f>INDEX(①データ入力!$B$3:$Y$39,C54,(B54-1)*5+1)&amp;""</f>
        <v/>
      </c>
      <c r="E54" s="21" t="str">
        <f>INDEX(①データ入力!$B$3:$Y$39,C54,(B54-1)*5+2)&amp;""</f>
        <v/>
      </c>
      <c r="F54" s="21" t="str">
        <f t="shared" si="13"/>
        <v/>
      </c>
      <c r="G54" s="21">
        <f>INDEX(①データ入力!$B$3:$Y$39,C54,(B54-1)*5+3)</f>
        <v>0</v>
      </c>
      <c r="H54" s="21" t="str">
        <f>INDEX(①データ入力!$B$3:$Y$39,C54,(B54-1)*5+4)&amp;""</f>
        <v/>
      </c>
      <c r="I54" s="21" t="str">
        <f t="shared" si="14"/>
        <v/>
      </c>
      <c r="J54" s="21" t="str">
        <f t="shared" si="15"/>
        <v/>
      </c>
      <c r="K54" s="21" t="str">
        <f t="shared" si="16"/>
        <v/>
      </c>
      <c r="L54" s="21" t="str">
        <f t="shared" si="17"/>
        <v/>
      </c>
      <c r="M54" s="21" t="str">
        <f t="shared" si="18"/>
        <v>2組</v>
      </c>
      <c r="N54" s="21">
        <f t="shared" si="19"/>
        <v>0</v>
      </c>
    </row>
    <row r="55" spans="1:14" x14ac:dyDescent="0.15">
      <c r="A55" s="21">
        <f t="shared" si="10"/>
        <v>54</v>
      </c>
      <c r="B55" s="21">
        <f t="shared" si="11"/>
        <v>2</v>
      </c>
      <c r="C55" s="21">
        <f t="shared" si="12"/>
        <v>17</v>
      </c>
      <c r="D55" s="21" t="str">
        <f>INDEX(①データ入力!$B$3:$Y$39,C55,(B55-1)*5+1)&amp;""</f>
        <v/>
      </c>
      <c r="E55" s="21" t="str">
        <f>INDEX(①データ入力!$B$3:$Y$39,C55,(B55-1)*5+2)&amp;""</f>
        <v/>
      </c>
      <c r="F55" s="21" t="str">
        <f t="shared" si="13"/>
        <v/>
      </c>
      <c r="G55" s="21">
        <f>INDEX(①データ入力!$B$3:$Y$39,C55,(B55-1)*5+3)</f>
        <v>0</v>
      </c>
      <c r="H55" s="21" t="str">
        <f>INDEX(①データ入力!$B$3:$Y$39,C55,(B55-1)*5+4)&amp;""</f>
        <v/>
      </c>
      <c r="I55" s="21" t="str">
        <f t="shared" si="14"/>
        <v/>
      </c>
      <c r="J55" s="21" t="str">
        <f t="shared" si="15"/>
        <v/>
      </c>
      <c r="K55" s="21" t="str">
        <f t="shared" si="16"/>
        <v/>
      </c>
      <c r="L55" s="21" t="str">
        <f t="shared" si="17"/>
        <v/>
      </c>
      <c r="M55" s="21" t="str">
        <f t="shared" si="18"/>
        <v>2組</v>
      </c>
      <c r="N55" s="21">
        <f t="shared" si="19"/>
        <v>0</v>
      </c>
    </row>
    <row r="56" spans="1:14" x14ac:dyDescent="0.15">
      <c r="A56" s="21">
        <f t="shared" si="10"/>
        <v>55</v>
      </c>
      <c r="B56" s="21">
        <f t="shared" si="11"/>
        <v>2</v>
      </c>
      <c r="C56" s="21">
        <f t="shared" si="12"/>
        <v>18</v>
      </c>
      <c r="D56" s="21" t="str">
        <f>INDEX(①データ入力!$B$3:$Y$39,C56,(B56-1)*5+1)&amp;""</f>
        <v/>
      </c>
      <c r="E56" s="21" t="str">
        <f>INDEX(①データ入力!$B$3:$Y$39,C56,(B56-1)*5+2)&amp;""</f>
        <v/>
      </c>
      <c r="F56" s="21" t="str">
        <f t="shared" si="13"/>
        <v/>
      </c>
      <c r="G56" s="21">
        <f>INDEX(①データ入力!$B$3:$Y$39,C56,(B56-1)*5+3)</f>
        <v>0</v>
      </c>
      <c r="H56" s="21" t="str">
        <f>INDEX(①データ入力!$B$3:$Y$39,C56,(B56-1)*5+4)&amp;""</f>
        <v/>
      </c>
      <c r="I56" s="21" t="str">
        <f t="shared" si="14"/>
        <v/>
      </c>
      <c r="J56" s="21" t="str">
        <f t="shared" si="15"/>
        <v/>
      </c>
      <c r="K56" s="21" t="str">
        <f t="shared" si="16"/>
        <v/>
      </c>
      <c r="L56" s="21" t="str">
        <f t="shared" si="17"/>
        <v/>
      </c>
      <c r="M56" s="21" t="str">
        <f t="shared" si="18"/>
        <v>2組</v>
      </c>
      <c r="N56" s="21">
        <f t="shared" si="19"/>
        <v>0</v>
      </c>
    </row>
    <row r="57" spans="1:14" x14ac:dyDescent="0.15">
      <c r="A57" s="21">
        <f t="shared" si="10"/>
        <v>56</v>
      </c>
      <c r="B57" s="21">
        <f t="shared" si="11"/>
        <v>2</v>
      </c>
      <c r="C57" s="21">
        <f t="shared" si="12"/>
        <v>19</v>
      </c>
      <c r="D57" s="21" t="str">
        <f>INDEX(①データ入力!$B$3:$Y$39,C57,(B57-1)*5+1)&amp;""</f>
        <v/>
      </c>
      <c r="E57" s="21" t="str">
        <f>INDEX(①データ入力!$B$3:$Y$39,C57,(B57-1)*5+2)&amp;""</f>
        <v/>
      </c>
      <c r="F57" s="21" t="str">
        <f t="shared" si="13"/>
        <v/>
      </c>
      <c r="G57" s="21">
        <f>INDEX(①データ入力!$B$3:$Y$39,C57,(B57-1)*5+3)</f>
        <v>0</v>
      </c>
      <c r="H57" s="21" t="str">
        <f>INDEX(①データ入力!$B$3:$Y$39,C57,(B57-1)*5+4)&amp;""</f>
        <v/>
      </c>
      <c r="I57" s="21" t="str">
        <f t="shared" si="14"/>
        <v/>
      </c>
      <c r="J57" s="21" t="str">
        <f t="shared" si="15"/>
        <v/>
      </c>
      <c r="K57" s="21" t="str">
        <f t="shared" si="16"/>
        <v/>
      </c>
      <c r="L57" s="21" t="str">
        <f t="shared" si="17"/>
        <v/>
      </c>
      <c r="M57" s="21" t="str">
        <f t="shared" si="18"/>
        <v>2組</v>
      </c>
      <c r="N57" s="21">
        <f t="shared" si="19"/>
        <v>0</v>
      </c>
    </row>
    <row r="58" spans="1:14" x14ac:dyDescent="0.15">
      <c r="A58" s="21">
        <f t="shared" si="10"/>
        <v>57</v>
      </c>
      <c r="B58" s="21">
        <f t="shared" si="11"/>
        <v>2</v>
      </c>
      <c r="C58" s="21">
        <f t="shared" si="12"/>
        <v>20</v>
      </c>
      <c r="D58" s="21" t="str">
        <f>INDEX(①データ入力!$B$3:$Y$39,C58,(B58-1)*5+1)&amp;""</f>
        <v/>
      </c>
      <c r="E58" s="21" t="str">
        <f>INDEX(①データ入力!$B$3:$Y$39,C58,(B58-1)*5+2)&amp;""</f>
        <v/>
      </c>
      <c r="F58" s="21" t="str">
        <f t="shared" si="13"/>
        <v/>
      </c>
      <c r="G58" s="21">
        <f>INDEX(①データ入力!$B$3:$Y$39,C58,(B58-1)*5+3)</f>
        <v>0</v>
      </c>
      <c r="H58" s="21" t="str">
        <f>INDEX(①データ入力!$B$3:$Y$39,C58,(B58-1)*5+4)&amp;""</f>
        <v/>
      </c>
      <c r="I58" s="21" t="str">
        <f t="shared" si="14"/>
        <v/>
      </c>
      <c r="J58" s="21" t="str">
        <f t="shared" si="15"/>
        <v/>
      </c>
      <c r="K58" s="21" t="str">
        <f t="shared" si="16"/>
        <v/>
      </c>
      <c r="L58" s="21" t="str">
        <f t="shared" si="17"/>
        <v/>
      </c>
      <c r="M58" s="21" t="str">
        <f t="shared" si="18"/>
        <v>2組</v>
      </c>
      <c r="N58" s="21">
        <f t="shared" si="19"/>
        <v>0</v>
      </c>
    </row>
    <row r="59" spans="1:14" x14ac:dyDescent="0.15">
      <c r="A59" s="21">
        <f t="shared" si="10"/>
        <v>58</v>
      </c>
      <c r="B59" s="21">
        <f t="shared" si="11"/>
        <v>2</v>
      </c>
      <c r="C59" s="21">
        <f t="shared" si="12"/>
        <v>21</v>
      </c>
      <c r="D59" s="21" t="str">
        <f>INDEX(①データ入力!$B$3:$Y$39,C59,(B59-1)*5+1)&amp;""</f>
        <v/>
      </c>
      <c r="E59" s="21" t="str">
        <f>INDEX(①データ入力!$B$3:$Y$39,C59,(B59-1)*5+2)&amp;""</f>
        <v/>
      </c>
      <c r="F59" s="21" t="str">
        <f t="shared" si="13"/>
        <v/>
      </c>
      <c r="G59" s="21">
        <f>INDEX(①データ入力!$B$3:$Y$39,C59,(B59-1)*5+3)</f>
        <v>0</v>
      </c>
      <c r="H59" s="21" t="str">
        <f>INDEX(①データ入力!$B$3:$Y$39,C59,(B59-1)*5+4)&amp;""</f>
        <v/>
      </c>
      <c r="I59" s="21" t="str">
        <f t="shared" si="14"/>
        <v/>
      </c>
      <c r="J59" s="21" t="str">
        <f t="shared" si="15"/>
        <v/>
      </c>
      <c r="K59" s="21" t="str">
        <f t="shared" si="16"/>
        <v/>
      </c>
      <c r="L59" s="21" t="str">
        <f t="shared" si="17"/>
        <v/>
      </c>
      <c r="M59" s="21" t="str">
        <f t="shared" si="18"/>
        <v>2組</v>
      </c>
      <c r="N59" s="21">
        <f t="shared" si="19"/>
        <v>0</v>
      </c>
    </row>
    <row r="60" spans="1:14" x14ac:dyDescent="0.15">
      <c r="A60" s="21">
        <f t="shared" si="10"/>
        <v>59</v>
      </c>
      <c r="B60" s="21">
        <f t="shared" si="11"/>
        <v>2</v>
      </c>
      <c r="C60" s="21">
        <f t="shared" si="12"/>
        <v>22</v>
      </c>
      <c r="D60" s="21" t="str">
        <f>INDEX(①データ入力!$B$3:$Y$39,C60,(B60-1)*5+1)&amp;""</f>
        <v/>
      </c>
      <c r="E60" s="21" t="str">
        <f>INDEX(①データ入力!$B$3:$Y$39,C60,(B60-1)*5+2)&amp;""</f>
        <v/>
      </c>
      <c r="F60" s="21" t="str">
        <f t="shared" si="13"/>
        <v/>
      </c>
      <c r="G60" s="21">
        <f>INDEX(①データ入力!$B$3:$Y$39,C60,(B60-1)*5+3)</f>
        <v>0</v>
      </c>
      <c r="H60" s="21" t="str">
        <f>INDEX(①データ入力!$B$3:$Y$39,C60,(B60-1)*5+4)&amp;""</f>
        <v/>
      </c>
      <c r="I60" s="21" t="str">
        <f t="shared" si="14"/>
        <v/>
      </c>
      <c r="J60" s="21" t="str">
        <f t="shared" si="15"/>
        <v/>
      </c>
      <c r="K60" s="21" t="str">
        <f t="shared" si="16"/>
        <v/>
      </c>
      <c r="L60" s="21" t="str">
        <f t="shared" si="17"/>
        <v/>
      </c>
      <c r="M60" s="21" t="str">
        <f t="shared" si="18"/>
        <v>2組</v>
      </c>
      <c r="N60" s="21">
        <f t="shared" si="19"/>
        <v>0</v>
      </c>
    </row>
    <row r="61" spans="1:14" x14ac:dyDescent="0.15">
      <c r="A61" s="21">
        <f t="shared" si="10"/>
        <v>60</v>
      </c>
      <c r="B61" s="21">
        <f t="shared" si="11"/>
        <v>2</v>
      </c>
      <c r="C61" s="21">
        <f t="shared" si="12"/>
        <v>23</v>
      </c>
      <c r="D61" s="21" t="str">
        <f>INDEX(①データ入力!$B$3:$Y$39,C61,(B61-1)*5+1)&amp;""</f>
        <v/>
      </c>
      <c r="E61" s="21" t="str">
        <f>INDEX(①データ入力!$B$3:$Y$39,C61,(B61-1)*5+2)&amp;""</f>
        <v/>
      </c>
      <c r="F61" s="21" t="str">
        <f t="shared" si="13"/>
        <v/>
      </c>
      <c r="G61" s="21">
        <f>INDEX(①データ入力!$B$3:$Y$39,C61,(B61-1)*5+3)</f>
        <v>0</v>
      </c>
      <c r="H61" s="21" t="str">
        <f>INDEX(①データ入力!$B$3:$Y$39,C61,(B61-1)*5+4)&amp;""</f>
        <v/>
      </c>
      <c r="I61" s="21" t="str">
        <f t="shared" si="14"/>
        <v/>
      </c>
      <c r="J61" s="21" t="str">
        <f t="shared" si="15"/>
        <v/>
      </c>
      <c r="K61" s="21" t="str">
        <f t="shared" si="16"/>
        <v/>
      </c>
      <c r="L61" s="21" t="str">
        <f t="shared" si="17"/>
        <v/>
      </c>
      <c r="M61" s="21" t="str">
        <f t="shared" si="18"/>
        <v>2組</v>
      </c>
      <c r="N61" s="21">
        <f t="shared" si="19"/>
        <v>0</v>
      </c>
    </row>
    <row r="62" spans="1:14" x14ac:dyDescent="0.15">
      <c r="A62" s="21">
        <f t="shared" si="10"/>
        <v>61</v>
      </c>
      <c r="B62" s="21">
        <f t="shared" si="11"/>
        <v>2</v>
      </c>
      <c r="C62" s="21">
        <f t="shared" si="12"/>
        <v>24</v>
      </c>
      <c r="D62" s="21" t="str">
        <f>INDEX(①データ入力!$B$3:$Y$39,C62,(B62-1)*5+1)&amp;""</f>
        <v/>
      </c>
      <c r="E62" s="21" t="str">
        <f>INDEX(①データ入力!$B$3:$Y$39,C62,(B62-1)*5+2)&amp;""</f>
        <v/>
      </c>
      <c r="F62" s="21" t="str">
        <f t="shared" si="13"/>
        <v/>
      </c>
      <c r="G62" s="21">
        <f>INDEX(①データ入力!$B$3:$Y$39,C62,(B62-1)*5+3)</f>
        <v>0</v>
      </c>
      <c r="H62" s="21" t="str">
        <f>INDEX(①データ入力!$B$3:$Y$39,C62,(B62-1)*5+4)&amp;""</f>
        <v/>
      </c>
      <c r="I62" s="21" t="str">
        <f t="shared" si="14"/>
        <v/>
      </c>
      <c r="J62" s="21" t="str">
        <f t="shared" si="15"/>
        <v/>
      </c>
      <c r="K62" s="21" t="str">
        <f t="shared" si="16"/>
        <v/>
      </c>
      <c r="L62" s="21" t="str">
        <f t="shared" si="17"/>
        <v/>
      </c>
      <c r="M62" s="21" t="str">
        <f t="shared" si="18"/>
        <v>2組</v>
      </c>
      <c r="N62" s="21">
        <f t="shared" si="19"/>
        <v>0</v>
      </c>
    </row>
    <row r="63" spans="1:14" x14ac:dyDescent="0.15">
      <c r="A63" s="21">
        <f t="shared" si="10"/>
        <v>62</v>
      </c>
      <c r="B63" s="21">
        <f t="shared" si="11"/>
        <v>2</v>
      </c>
      <c r="C63" s="21">
        <f t="shared" si="12"/>
        <v>25</v>
      </c>
      <c r="D63" s="21" t="str">
        <f>INDEX(①データ入力!$B$3:$Y$39,C63,(B63-1)*5+1)&amp;""</f>
        <v/>
      </c>
      <c r="E63" s="21" t="str">
        <f>INDEX(①データ入力!$B$3:$Y$39,C63,(B63-1)*5+2)&amp;""</f>
        <v/>
      </c>
      <c r="F63" s="21" t="str">
        <f t="shared" si="13"/>
        <v/>
      </c>
      <c r="G63" s="21">
        <f>INDEX(①データ入力!$B$3:$Y$39,C63,(B63-1)*5+3)</f>
        <v>0</v>
      </c>
      <c r="H63" s="21" t="str">
        <f>INDEX(①データ入力!$B$3:$Y$39,C63,(B63-1)*5+4)&amp;""</f>
        <v/>
      </c>
      <c r="I63" s="21" t="str">
        <f t="shared" si="14"/>
        <v/>
      </c>
      <c r="J63" s="21" t="str">
        <f t="shared" si="15"/>
        <v/>
      </c>
      <c r="K63" s="21" t="str">
        <f t="shared" si="16"/>
        <v/>
      </c>
      <c r="L63" s="21" t="str">
        <f t="shared" si="17"/>
        <v/>
      </c>
      <c r="M63" s="21" t="str">
        <f t="shared" si="18"/>
        <v>2組</v>
      </c>
      <c r="N63" s="21">
        <f t="shared" si="19"/>
        <v>0</v>
      </c>
    </row>
    <row r="64" spans="1:14" x14ac:dyDescent="0.15">
      <c r="A64" s="21">
        <f t="shared" si="10"/>
        <v>63</v>
      </c>
      <c r="B64" s="21">
        <f t="shared" si="11"/>
        <v>2</v>
      </c>
      <c r="C64" s="21">
        <f t="shared" si="12"/>
        <v>26</v>
      </c>
      <c r="D64" s="21" t="str">
        <f>INDEX(①データ入力!$B$3:$Y$39,C64,(B64-1)*5+1)&amp;""</f>
        <v/>
      </c>
      <c r="E64" s="21" t="str">
        <f>INDEX(①データ入力!$B$3:$Y$39,C64,(B64-1)*5+2)&amp;""</f>
        <v/>
      </c>
      <c r="F64" s="21" t="str">
        <f t="shared" si="13"/>
        <v/>
      </c>
      <c r="G64" s="21">
        <f>INDEX(①データ入力!$B$3:$Y$39,C64,(B64-1)*5+3)</f>
        <v>0</v>
      </c>
      <c r="H64" s="21" t="str">
        <f>INDEX(①データ入力!$B$3:$Y$39,C64,(B64-1)*5+4)&amp;""</f>
        <v/>
      </c>
      <c r="I64" s="21" t="str">
        <f t="shared" si="14"/>
        <v/>
      </c>
      <c r="J64" s="21" t="str">
        <f t="shared" si="15"/>
        <v/>
      </c>
      <c r="K64" s="21" t="str">
        <f t="shared" si="16"/>
        <v/>
      </c>
      <c r="L64" s="21" t="str">
        <f t="shared" si="17"/>
        <v/>
      </c>
      <c r="M64" s="21" t="str">
        <f t="shared" si="18"/>
        <v>2組</v>
      </c>
      <c r="N64" s="21">
        <f t="shared" si="19"/>
        <v>0</v>
      </c>
    </row>
    <row r="65" spans="1:14" x14ac:dyDescent="0.15">
      <c r="A65" s="21">
        <f t="shared" si="10"/>
        <v>64</v>
      </c>
      <c r="B65" s="21">
        <f t="shared" si="11"/>
        <v>2</v>
      </c>
      <c r="C65" s="21">
        <f t="shared" si="12"/>
        <v>27</v>
      </c>
      <c r="D65" s="21" t="str">
        <f>INDEX(①データ入力!$B$3:$Y$39,C65,(B65-1)*5+1)&amp;""</f>
        <v/>
      </c>
      <c r="E65" s="21" t="str">
        <f>INDEX(①データ入力!$B$3:$Y$39,C65,(B65-1)*5+2)&amp;""</f>
        <v/>
      </c>
      <c r="F65" s="21" t="str">
        <f t="shared" si="13"/>
        <v/>
      </c>
      <c r="G65" s="21">
        <f>INDEX(①データ入力!$B$3:$Y$39,C65,(B65-1)*5+3)</f>
        <v>0</v>
      </c>
      <c r="H65" s="21" t="str">
        <f>INDEX(①データ入力!$B$3:$Y$39,C65,(B65-1)*5+4)&amp;""</f>
        <v/>
      </c>
      <c r="I65" s="21" t="str">
        <f t="shared" si="14"/>
        <v/>
      </c>
      <c r="J65" s="21" t="str">
        <f t="shared" si="15"/>
        <v/>
      </c>
      <c r="K65" s="21" t="str">
        <f t="shared" si="16"/>
        <v/>
      </c>
      <c r="L65" s="21" t="str">
        <f t="shared" si="17"/>
        <v/>
      </c>
      <c r="M65" s="21" t="str">
        <f t="shared" si="18"/>
        <v>2組</v>
      </c>
      <c r="N65" s="21">
        <f t="shared" si="19"/>
        <v>0</v>
      </c>
    </row>
    <row r="66" spans="1:14" x14ac:dyDescent="0.15">
      <c r="A66" s="21">
        <f t="shared" ref="A66:A97" si="20">ROW()-1</f>
        <v>65</v>
      </c>
      <c r="B66" s="21">
        <f t="shared" ref="B66:B97" si="21">INT((A66-1)/37)+1</f>
        <v>2</v>
      </c>
      <c r="C66" s="21">
        <f t="shared" ref="C66:C97" si="22">MOD(A66-1,37)+1</f>
        <v>28</v>
      </c>
      <c r="D66" s="21" t="str">
        <f>INDEX(①データ入力!$B$3:$Y$39,C66,(B66-1)*5+1)&amp;""</f>
        <v/>
      </c>
      <c r="E66" s="21" t="str">
        <f>INDEX(①データ入力!$B$3:$Y$39,C66,(B66-1)*5+2)&amp;""</f>
        <v/>
      </c>
      <c r="F66" s="21" t="str">
        <f t="shared" ref="F66:F97" si="23">IF(OR(E66="1",E66="１",E66="男"),"男",IF(OR(E66="2",E66="２",E66="女"),"女",""))</f>
        <v/>
      </c>
      <c r="G66" s="21">
        <f>INDEX(①データ入力!$B$3:$Y$39,C66,(B66-1)*5+3)</f>
        <v>0</v>
      </c>
      <c r="H66" s="21" t="str">
        <f>INDEX(①データ入力!$B$3:$Y$39,C66,(B66-1)*5+4)&amp;""</f>
        <v/>
      </c>
      <c r="I66" s="21" t="str">
        <f t="shared" ref="I66:I97" si="24">IF(LEFT(TRIM(H66),1)="赤","赤",IF(LEFT(TRIM(H66),1)="白","白",""))</f>
        <v/>
      </c>
      <c r="J66" s="21" t="str">
        <f t="shared" ref="J66:J97" si="25">IF(AND(D66&lt;&gt;"",F66&lt;&gt;"",I66&lt;&gt;"",ISNUMBER(G66)),F66&amp;I66,"")</f>
        <v/>
      </c>
      <c r="K66" s="21" t="str">
        <f t="shared" ref="K66:K97" si="26">IF(J66="","",COUNTIFS($J$2:$J$186,J66,$G$2:$G$186,"&lt;"&amp;G66)+COUNTIFS($J$2:$J$186,J66,$G$2:$G$186,G66,$A$2:$A$186,"&lt;"&amp;A66)+1)</f>
        <v/>
      </c>
      <c r="L66" s="21" t="str">
        <f t="shared" ref="L66:L97" si="27">IF(J66="","",J66&amp;K66)</f>
        <v/>
      </c>
      <c r="M66" s="21" t="str">
        <f t="shared" ref="M66:M97" si="28">B66&amp;"組"</f>
        <v>2組</v>
      </c>
      <c r="N66" s="21">
        <f t="shared" ref="N66:N97" si="29">IF(AND(D66&lt;&gt;"",J66=""),1,0)</f>
        <v>0</v>
      </c>
    </row>
    <row r="67" spans="1:14" x14ac:dyDescent="0.15">
      <c r="A67" s="21">
        <f t="shared" si="20"/>
        <v>66</v>
      </c>
      <c r="B67" s="21">
        <f t="shared" si="21"/>
        <v>2</v>
      </c>
      <c r="C67" s="21">
        <f t="shared" si="22"/>
        <v>29</v>
      </c>
      <c r="D67" s="21" t="str">
        <f>INDEX(①データ入力!$B$3:$Y$39,C67,(B67-1)*5+1)&amp;""</f>
        <v/>
      </c>
      <c r="E67" s="21" t="str">
        <f>INDEX(①データ入力!$B$3:$Y$39,C67,(B67-1)*5+2)&amp;""</f>
        <v/>
      </c>
      <c r="F67" s="21" t="str">
        <f t="shared" si="23"/>
        <v/>
      </c>
      <c r="G67" s="21">
        <f>INDEX(①データ入力!$B$3:$Y$39,C67,(B67-1)*5+3)</f>
        <v>0</v>
      </c>
      <c r="H67" s="21" t="str">
        <f>INDEX(①データ入力!$B$3:$Y$39,C67,(B67-1)*5+4)&amp;""</f>
        <v/>
      </c>
      <c r="I67" s="21" t="str">
        <f t="shared" si="24"/>
        <v/>
      </c>
      <c r="J67" s="21" t="str">
        <f t="shared" si="25"/>
        <v/>
      </c>
      <c r="K67" s="21" t="str">
        <f t="shared" si="26"/>
        <v/>
      </c>
      <c r="L67" s="21" t="str">
        <f t="shared" si="27"/>
        <v/>
      </c>
      <c r="M67" s="21" t="str">
        <f t="shared" si="28"/>
        <v>2組</v>
      </c>
      <c r="N67" s="21">
        <f t="shared" si="29"/>
        <v>0</v>
      </c>
    </row>
    <row r="68" spans="1:14" x14ac:dyDescent="0.15">
      <c r="A68" s="21">
        <f t="shared" si="20"/>
        <v>67</v>
      </c>
      <c r="B68" s="21">
        <f t="shared" si="21"/>
        <v>2</v>
      </c>
      <c r="C68" s="21">
        <f t="shared" si="22"/>
        <v>30</v>
      </c>
      <c r="D68" s="21" t="str">
        <f>INDEX(①データ入力!$B$3:$Y$39,C68,(B68-1)*5+1)&amp;""</f>
        <v/>
      </c>
      <c r="E68" s="21" t="str">
        <f>INDEX(①データ入力!$B$3:$Y$39,C68,(B68-1)*5+2)&amp;""</f>
        <v/>
      </c>
      <c r="F68" s="21" t="str">
        <f t="shared" si="23"/>
        <v/>
      </c>
      <c r="G68" s="21">
        <f>INDEX(①データ入力!$B$3:$Y$39,C68,(B68-1)*5+3)</f>
        <v>0</v>
      </c>
      <c r="H68" s="21" t="str">
        <f>INDEX(①データ入力!$B$3:$Y$39,C68,(B68-1)*5+4)&amp;""</f>
        <v/>
      </c>
      <c r="I68" s="21" t="str">
        <f t="shared" si="24"/>
        <v/>
      </c>
      <c r="J68" s="21" t="str">
        <f t="shared" si="25"/>
        <v/>
      </c>
      <c r="K68" s="21" t="str">
        <f t="shared" si="26"/>
        <v/>
      </c>
      <c r="L68" s="21" t="str">
        <f t="shared" si="27"/>
        <v/>
      </c>
      <c r="M68" s="21" t="str">
        <f t="shared" si="28"/>
        <v>2組</v>
      </c>
      <c r="N68" s="21">
        <f t="shared" si="29"/>
        <v>0</v>
      </c>
    </row>
    <row r="69" spans="1:14" x14ac:dyDescent="0.15">
      <c r="A69" s="21">
        <f t="shared" si="20"/>
        <v>68</v>
      </c>
      <c r="B69" s="21">
        <f t="shared" si="21"/>
        <v>2</v>
      </c>
      <c r="C69" s="21">
        <f t="shared" si="22"/>
        <v>31</v>
      </c>
      <c r="D69" s="21" t="str">
        <f>INDEX(①データ入力!$B$3:$Y$39,C69,(B69-1)*5+1)&amp;""</f>
        <v/>
      </c>
      <c r="E69" s="21" t="str">
        <f>INDEX(①データ入力!$B$3:$Y$39,C69,(B69-1)*5+2)&amp;""</f>
        <v/>
      </c>
      <c r="F69" s="21" t="str">
        <f t="shared" si="23"/>
        <v/>
      </c>
      <c r="G69" s="21">
        <f>INDEX(①データ入力!$B$3:$Y$39,C69,(B69-1)*5+3)</f>
        <v>0</v>
      </c>
      <c r="H69" s="21" t="str">
        <f>INDEX(①データ入力!$B$3:$Y$39,C69,(B69-1)*5+4)&amp;""</f>
        <v/>
      </c>
      <c r="I69" s="21" t="str">
        <f t="shared" si="24"/>
        <v/>
      </c>
      <c r="J69" s="21" t="str">
        <f t="shared" si="25"/>
        <v/>
      </c>
      <c r="K69" s="21" t="str">
        <f t="shared" si="26"/>
        <v/>
      </c>
      <c r="L69" s="21" t="str">
        <f t="shared" si="27"/>
        <v/>
      </c>
      <c r="M69" s="21" t="str">
        <f t="shared" si="28"/>
        <v>2組</v>
      </c>
      <c r="N69" s="21">
        <f t="shared" si="29"/>
        <v>0</v>
      </c>
    </row>
    <row r="70" spans="1:14" x14ac:dyDescent="0.15">
      <c r="A70" s="21">
        <f t="shared" si="20"/>
        <v>69</v>
      </c>
      <c r="B70" s="21">
        <f t="shared" si="21"/>
        <v>2</v>
      </c>
      <c r="C70" s="21">
        <f t="shared" si="22"/>
        <v>32</v>
      </c>
      <c r="D70" s="21" t="str">
        <f>INDEX(①データ入力!$B$3:$Y$39,C70,(B70-1)*5+1)&amp;""</f>
        <v/>
      </c>
      <c r="E70" s="21" t="str">
        <f>INDEX(①データ入力!$B$3:$Y$39,C70,(B70-1)*5+2)&amp;""</f>
        <v/>
      </c>
      <c r="F70" s="21" t="str">
        <f t="shared" si="23"/>
        <v/>
      </c>
      <c r="G70" s="21">
        <f>INDEX(①データ入力!$B$3:$Y$39,C70,(B70-1)*5+3)</f>
        <v>0</v>
      </c>
      <c r="H70" s="21" t="str">
        <f>INDEX(①データ入力!$B$3:$Y$39,C70,(B70-1)*5+4)&amp;""</f>
        <v/>
      </c>
      <c r="I70" s="21" t="str">
        <f t="shared" si="24"/>
        <v/>
      </c>
      <c r="J70" s="21" t="str">
        <f t="shared" si="25"/>
        <v/>
      </c>
      <c r="K70" s="21" t="str">
        <f t="shared" si="26"/>
        <v/>
      </c>
      <c r="L70" s="21" t="str">
        <f t="shared" si="27"/>
        <v/>
      </c>
      <c r="M70" s="21" t="str">
        <f t="shared" si="28"/>
        <v>2組</v>
      </c>
      <c r="N70" s="21">
        <f t="shared" si="29"/>
        <v>0</v>
      </c>
    </row>
    <row r="71" spans="1:14" x14ac:dyDescent="0.15">
      <c r="A71" s="21">
        <f t="shared" si="20"/>
        <v>70</v>
      </c>
      <c r="B71" s="21">
        <f t="shared" si="21"/>
        <v>2</v>
      </c>
      <c r="C71" s="21">
        <f t="shared" si="22"/>
        <v>33</v>
      </c>
      <c r="D71" s="21" t="str">
        <f>INDEX(①データ入力!$B$3:$Y$39,C71,(B71-1)*5+1)&amp;""</f>
        <v/>
      </c>
      <c r="E71" s="21" t="str">
        <f>INDEX(①データ入力!$B$3:$Y$39,C71,(B71-1)*5+2)&amp;""</f>
        <v/>
      </c>
      <c r="F71" s="21" t="str">
        <f t="shared" si="23"/>
        <v/>
      </c>
      <c r="G71" s="21">
        <f>INDEX(①データ入力!$B$3:$Y$39,C71,(B71-1)*5+3)</f>
        <v>0</v>
      </c>
      <c r="H71" s="21" t="str">
        <f>INDEX(①データ入力!$B$3:$Y$39,C71,(B71-1)*5+4)&amp;""</f>
        <v/>
      </c>
      <c r="I71" s="21" t="str">
        <f t="shared" si="24"/>
        <v/>
      </c>
      <c r="J71" s="21" t="str">
        <f t="shared" si="25"/>
        <v/>
      </c>
      <c r="K71" s="21" t="str">
        <f t="shared" si="26"/>
        <v/>
      </c>
      <c r="L71" s="21" t="str">
        <f t="shared" si="27"/>
        <v/>
      </c>
      <c r="M71" s="21" t="str">
        <f t="shared" si="28"/>
        <v>2組</v>
      </c>
      <c r="N71" s="21">
        <f t="shared" si="29"/>
        <v>0</v>
      </c>
    </row>
    <row r="72" spans="1:14" x14ac:dyDescent="0.15">
      <c r="A72" s="21">
        <f t="shared" si="20"/>
        <v>71</v>
      </c>
      <c r="B72" s="21">
        <f t="shared" si="21"/>
        <v>2</v>
      </c>
      <c r="C72" s="21">
        <f t="shared" si="22"/>
        <v>34</v>
      </c>
      <c r="D72" s="21" t="str">
        <f>INDEX(①データ入力!$B$3:$Y$39,C72,(B72-1)*5+1)&amp;""</f>
        <v/>
      </c>
      <c r="E72" s="21" t="str">
        <f>INDEX(①データ入力!$B$3:$Y$39,C72,(B72-1)*5+2)&amp;""</f>
        <v/>
      </c>
      <c r="F72" s="21" t="str">
        <f t="shared" si="23"/>
        <v/>
      </c>
      <c r="G72" s="21">
        <f>INDEX(①データ入力!$B$3:$Y$39,C72,(B72-1)*5+3)</f>
        <v>0</v>
      </c>
      <c r="H72" s="21" t="str">
        <f>INDEX(①データ入力!$B$3:$Y$39,C72,(B72-1)*5+4)&amp;""</f>
        <v/>
      </c>
      <c r="I72" s="21" t="str">
        <f t="shared" si="24"/>
        <v/>
      </c>
      <c r="J72" s="21" t="str">
        <f t="shared" si="25"/>
        <v/>
      </c>
      <c r="K72" s="21" t="str">
        <f t="shared" si="26"/>
        <v/>
      </c>
      <c r="L72" s="21" t="str">
        <f t="shared" si="27"/>
        <v/>
      </c>
      <c r="M72" s="21" t="str">
        <f t="shared" si="28"/>
        <v>2組</v>
      </c>
      <c r="N72" s="21">
        <f t="shared" si="29"/>
        <v>0</v>
      </c>
    </row>
    <row r="73" spans="1:14" x14ac:dyDescent="0.15">
      <c r="A73" s="21">
        <f t="shared" si="20"/>
        <v>72</v>
      </c>
      <c r="B73" s="21">
        <f t="shared" si="21"/>
        <v>2</v>
      </c>
      <c r="C73" s="21">
        <f t="shared" si="22"/>
        <v>35</v>
      </c>
      <c r="D73" s="21" t="str">
        <f>INDEX(①データ入力!$B$3:$Y$39,C73,(B73-1)*5+1)&amp;""</f>
        <v/>
      </c>
      <c r="E73" s="21" t="str">
        <f>INDEX(①データ入力!$B$3:$Y$39,C73,(B73-1)*5+2)&amp;""</f>
        <v/>
      </c>
      <c r="F73" s="21" t="str">
        <f t="shared" si="23"/>
        <v/>
      </c>
      <c r="G73" s="21">
        <f>INDEX(①データ入力!$B$3:$Y$39,C73,(B73-1)*5+3)</f>
        <v>0</v>
      </c>
      <c r="H73" s="21" t="str">
        <f>INDEX(①データ入力!$B$3:$Y$39,C73,(B73-1)*5+4)&amp;""</f>
        <v/>
      </c>
      <c r="I73" s="21" t="str">
        <f t="shared" si="24"/>
        <v/>
      </c>
      <c r="J73" s="21" t="str">
        <f t="shared" si="25"/>
        <v/>
      </c>
      <c r="K73" s="21" t="str">
        <f t="shared" si="26"/>
        <v/>
      </c>
      <c r="L73" s="21" t="str">
        <f t="shared" si="27"/>
        <v/>
      </c>
      <c r="M73" s="21" t="str">
        <f t="shared" si="28"/>
        <v>2組</v>
      </c>
      <c r="N73" s="21">
        <f t="shared" si="29"/>
        <v>0</v>
      </c>
    </row>
    <row r="74" spans="1:14" x14ac:dyDescent="0.15">
      <c r="A74" s="21">
        <f t="shared" si="20"/>
        <v>73</v>
      </c>
      <c r="B74" s="21">
        <f t="shared" si="21"/>
        <v>2</v>
      </c>
      <c r="C74" s="21">
        <f t="shared" si="22"/>
        <v>36</v>
      </c>
      <c r="D74" s="21" t="str">
        <f>INDEX(①データ入力!$B$3:$Y$39,C74,(B74-1)*5+1)&amp;""</f>
        <v/>
      </c>
      <c r="E74" s="21" t="str">
        <f>INDEX(①データ入力!$B$3:$Y$39,C74,(B74-1)*5+2)&amp;""</f>
        <v/>
      </c>
      <c r="F74" s="21" t="str">
        <f t="shared" si="23"/>
        <v/>
      </c>
      <c r="G74" s="21">
        <f>INDEX(①データ入力!$B$3:$Y$39,C74,(B74-1)*5+3)</f>
        <v>0</v>
      </c>
      <c r="H74" s="21" t="str">
        <f>INDEX(①データ入力!$B$3:$Y$39,C74,(B74-1)*5+4)&amp;""</f>
        <v/>
      </c>
      <c r="I74" s="21" t="str">
        <f t="shared" si="24"/>
        <v/>
      </c>
      <c r="J74" s="21" t="str">
        <f t="shared" si="25"/>
        <v/>
      </c>
      <c r="K74" s="21" t="str">
        <f t="shared" si="26"/>
        <v/>
      </c>
      <c r="L74" s="21" t="str">
        <f t="shared" si="27"/>
        <v/>
      </c>
      <c r="M74" s="21" t="str">
        <f t="shared" si="28"/>
        <v>2組</v>
      </c>
      <c r="N74" s="21">
        <f t="shared" si="29"/>
        <v>0</v>
      </c>
    </row>
    <row r="75" spans="1:14" x14ac:dyDescent="0.15">
      <c r="A75" s="21">
        <f t="shared" si="20"/>
        <v>74</v>
      </c>
      <c r="B75" s="21">
        <f t="shared" si="21"/>
        <v>2</v>
      </c>
      <c r="C75" s="21">
        <f t="shared" si="22"/>
        <v>37</v>
      </c>
      <c r="D75" s="21" t="str">
        <f>INDEX(①データ入力!$B$3:$Y$39,C75,(B75-1)*5+1)&amp;""</f>
        <v/>
      </c>
      <c r="E75" s="21" t="str">
        <f>INDEX(①データ入力!$B$3:$Y$39,C75,(B75-1)*5+2)&amp;""</f>
        <v/>
      </c>
      <c r="F75" s="21" t="str">
        <f t="shared" si="23"/>
        <v/>
      </c>
      <c r="G75" s="21">
        <f>INDEX(①データ入力!$B$3:$Y$39,C75,(B75-1)*5+3)</f>
        <v>0</v>
      </c>
      <c r="H75" s="21" t="str">
        <f>INDEX(①データ入力!$B$3:$Y$39,C75,(B75-1)*5+4)&amp;""</f>
        <v/>
      </c>
      <c r="I75" s="21" t="str">
        <f t="shared" si="24"/>
        <v/>
      </c>
      <c r="J75" s="21" t="str">
        <f t="shared" si="25"/>
        <v/>
      </c>
      <c r="K75" s="21" t="str">
        <f t="shared" si="26"/>
        <v/>
      </c>
      <c r="L75" s="21" t="str">
        <f t="shared" si="27"/>
        <v/>
      </c>
      <c r="M75" s="21" t="str">
        <f t="shared" si="28"/>
        <v>2組</v>
      </c>
      <c r="N75" s="21">
        <f t="shared" si="29"/>
        <v>0</v>
      </c>
    </row>
    <row r="76" spans="1:14" x14ac:dyDescent="0.15">
      <c r="A76" s="21">
        <f t="shared" si="20"/>
        <v>75</v>
      </c>
      <c r="B76" s="21">
        <f t="shared" si="21"/>
        <v>3</v>
      </c>
      <c r="C76" s="21">
        <f t="shared" si="22"/>
        <v>1</v>
      </c>
      <c r="D76" s="21" t="str">
        <f>INDEX(①データ入力!$B$3:$Y$39,C76,(B76-1)*5+1)&amp;""</f>
        <v/>
      </c>
      <c r="E76" s="21" t="str">
        <f>INDEX(①データ入力!$B$3:$Y$39,C76,(B76-1)*5+2)&amp;""</f>
        <v/>
      </c>
      <c r="F76" s="21" t="str">
        <f t="shared" si="23"/>
        <v/>
      </c>
      <c r="G76" s="21">
        <f>INDEX(①データ入力!$B$3:$Y$39,C76,(B76-1)*5+3)</f>
        <v>0</v>
      </c>
      <c r="H76" s="21" t="str">
        <f>INDEX(①データ入力!$B$3:$Y$39,C76,(B76-1)*5+4)&amp;""</f>
        <v/>
      </c>
      <c r="I76" s="21" t="str">
        <f t="shared" si="24"/>
        <v/>
      </c>
      <c r="J76" s="21" t="str">
        <f t="shared" si="25"/>
        <v/>
      </c>
      <c r="K76" s="21" t="str">
        <f t="shared" si="26"/>
        <v/>
      </c>
      <c r="L76" s="21" t="str">
        <f t="shared" si="27"/>
        <v/>
      </c>
      <c r="M76" s="21" t="str">
        <f t="shared" si="28"/>
        <v>3組</v>
      </c>
      <c r="N76" s="21">
        <f t="shared" si="29"/>
        <v>0</v>
      </c>
    </row>
    <row r="77" spans="1:14" x14ac:dyDescent="0.15">
      <c r="A77" s="21">
        <f t="shared" si="20"/>
        <v>76</v>
      </c>
      <c r="B77" s="21">
        <f t="shared" si="21"/>
        <v>3</v>
      </c>
      <c r="C77" s="21">
        <f t="shared" si="22"/>
        <v>2</v>
      </c>
      <c r="D77" s="21" t="str">
        <f>INDEX(①データ入力!$B$3:$Y$39,C77,(B77-1)*5+1)&amp;""</f>
        <v/>
      </c>
      <c r="E77" s="21" t="str">
        <f>INDEX(①データ入力!$B$3:$Y$39,C77,(B77-1)*5+2)&amp;""</f>
        <v/>
      </c>
      <c r="F77" s="21" t="str">
        <f t="shared" si="23"/>
        <v/>
      </c>
      <c r="G77" s="21">
        <f>INDEX(①データ入力!$B$3:$Y$39,C77,(B77-1)*5+3)</f>
        <v>0</v>
      </c>
      <c r="H77" s="21" t="str">
        <f>INDEX(①データ入力!$B$3:$Y$39,C77,(B77-1)*5+4)&amp;""</f>
        <v/>
      </c>
      <c r="I77" s="21" t="str">
        <f t="shared" si="24"/>
        <v/>
      </c>
      <c r="J77" s="21" t="str">
        <f t="shared" si="25"/>
        <v/>
      </c>
      <c r="K77" s="21" t="str">
        <f t="shared" si="26"/>
        <v/>
      </c>
      <c r="L77" s="21" t="str">
        <f t="shared" si="27"/>
        <v/>
      </c>
      <c r="M77" s="21" t="str">
        <f t="shared" si="28"/>
        <v>3組</v>
      </c>
      <c r="N77" s="21">
        <f t="shared" si="29"/>
        <v>0</v>
      </c>
    </row>
    <row r="78" spans="1:14" x14ac:dyDescent="0.15">
      <c r="A78" s="21">
        <f t="shared" si="20"/>
        <v>77</v>
      </c>
      <c r="B78" s="21">
        <f t="shared" si="21"/>
        <v>3</v>
      </c>
      <c r="C78" s="21">
        <f t="shared" si="22"/>
        <v>3</v>
      </c>
      <c r="D78" s="21" t="str">
        <f>INDEX(①データ入力!$B$3:$Y$39,C78,(B78-1)*5+1)&amp;""</f>
        <v/>
      </c>
      <c r="E78" s="21" t="str">
        <f>INDEX(①データ入力!$B$3:$Y$39,C78,(B78-1)*5+2)&amp;""</f>
        <v/>
      </c>
      <c r="F78" s="21" t="str">
        <f t="shared" si="23"/>
        <v/>
      </c>
      <c r="G78" s="21">
        <f>INDEX(①データ入力!$B$3:$Y$39,C78,(B78-1)*5+3)</f>
        <v>0</v>
      </c>
      <c r="H78" s="21" t="str">
        <f>INDEX(①データ入力!$B$3:$Y$39,C78,(B78-1)*5+4)&amp;""</f>
        <v/>
      </c>
      <c r="I78" s="21" t="str">
        <f t="shared" si="24"/>
        <v/>
      </c>
      <c r="J78" s="21" t="str">
        <f t="shared" si="25"/>
        <v/>
      </c>
      <c r="K78" s="21" t="str">
        <f t="shared" si="26"/>
        <v/>
      </c>
      <c r="L78" s="21" t="str">
        <f t="shared" si="27"/>
        <v/>
      </c>
      <c r="M78" s="21" t="str">
        <f t="shared" si="28"/>
        <v>3組</v>
      </c>
      <c r="N78" s="21">
        <f t="shared" si="29"/>
        <v>0</v>
      </c>
    </row>
    <row r="79" spans="1:14" x14ac:dyDescent="0.15">
      <c r="A79" s="21">
        <f t="shared" si="20"/>
        <v>78</v>
      </c>
      <c r="B79" s="21">
        <f t="shared" si="21"/>
        <v>3</v>
      </c>
      <c r="C79" s="21">
        <f t="shared" si="22"/>
        <v>4</v>
      </c>
      <c r="D79" s="21" t="str">
        <f>INDEX(①データ入力!$B$3:$Y$39,C79,(B79-1)*5+1)&amp;""</f>
        <v/>
      </c>
      <c r="E79" s="21" t="str">
        <f>INDEX(①データ入力!$B$3:$Y$39,C79,(B79-1)*5+2)&amp;""</f>
        <v/>
      </c>
      <c r="F79" s="21" t="str">
        <f t="shared" si="23"/>
        <v/>
      </c>
      <c r="G79" s="21">
        <f>INDEX(①データ入力!$B$3:$Y$39,C79,(B79-1)*5+3)</f>
        <v>0</v>
      </c>
      <c r="H79" s="21" t="str">
        <f>INDEX(①データ入力!$B$3:$Y$39,C79,(B79-1)*5+4)&amp;""</f>
        <v/>
      </c>
      <c r="I79" s="21" t="str">
        <f t="shared" si="24"/>
        <v/>
      </c>
      <c r="J79" s="21" t="str">
        <f t="shared" si="25"/>
        <v/>
      </c>
      <c r="K79" s="21" t="str">
        <f t="shared" si="26"/>
        <v/>
      </c>
      <c r="L79" s="21" t="str">
        <f t="shared" si="27"/>
        <v/>
      </c>
      <c r="M79" s="21" t="str">
        <f t="shared" si="28"/>
        <v>3組</v>
      </c>
      <c r="N79" s="21">
        <f t="shared" si="29"/>
        <v>0</v>
      </c>
    </row>
    <row r="80" spans="1:14" x14ac:dyDescent="0.15">
      <c r="A80" s="21">
        <f t="shared" si="20"/>
        <v>79</v>
      </c>
      <c r="B80" s="21">
        <f t="shared" si="21"/>
        <v>3</v>
      </c>
      <c r="C80" s="21">
        <f t="shared" si="22"/>
        <v>5</v>
      </c>
      <c r="D80" s="21" t="str">
        <f>INDEX(①データ入力!$B$3:$Y$39,C80,(B80-1)*5+1)&amp;""</f>
        <v/>
      </c>
      <c r="E80" s="21" t="str">
        <f>INDEX(①データ入力!$B$3:$Y$39,C80,(B80-1)*5+2)&amp;""</f>
        <v/>
      </c>
      <c r="F80" s="21" t="str">
        <f t="shared" si="23"/>
        <v/>
      </c>
      <c r="G80" s="21">
        <f>INDEX(①データ入力!$B$3:$Y$39,C80,(B80-1)*5+3)</f>
        <v>0</v>
      </c>
      <c r="H80" s="21" t="str">
        <f>INDEX(①データ入力!$B$3:$Y$39,C80,(B80-1)*5+4)&amp;""</f>
        <v/>
      </c>
      <c r="I80" s="21" t="str">
        <f t="shared" si="24"/>
        <v/>
      </c>
      <c r="J80" s="21" t="str">
        <f t="shared" si="25"/>
        <v/>
      </c>
      <c r="K80" s="21" t="str">
        <f t="shared" si="26"/>
        <v/>
      </c>
      <c r="L80" s="21" t="str">
        <f t="shared" si="27"/>
        <v/>
      </c>
      <c r="M80" s="21" t="str">
        <f t="shared" si="28"/>
        <v>3組</v>
      </c>
      <c r="N80" s="21">
        <f t="shared" si="29"/>
        <v>0</v>
      </c>
    </row>
    <row r="81" spans="1:14" x14ac:dyDescent="0.15">
      <c r="A81" s="21">
        <f t="shared" si="20"/>
        <v>80</v>
      </c>
      <c r="B81" s="21">
        <f t="shared" si="21"/>
        <v>3</v>
      </c>
      <c r="C81" s="21">
        <f t="shared" si="22"/>
        <v>6</v>
      </c>
      <c r="D81" s="21" t="str">
        <f>INDEX(①データ入力!$B$3:$Y$39,C81,(B81-1)*5+1)&amp;""</f>
        <v/>
      </c>
      <c r="E81" s="21" t="str">
        <f>INDEX(①データ入力!$B$3:$Y$39,C81,(B81-1)*5+2)&amp;""</f>
        <v/>
      </c>
      <c r="F81" s="21" t="str">
        <f t="shared" si="23"/>
        <v/>
      </c>
      <c r="G81" s="21">
        <f>INDEX(①データ入力!$B$3:$Y$39,C81,(B81-1)*5+3)</f>
        <v>0</v>
      </c>
      <c r="H81" s="21" t="str">
        <f>INDEX(①データ入力!$B$3:$Y$39,C81,(B81-1)*5+4)&amp;""</f>
        <v/>
      </c>
      <c r="I81" s="21" t="str">
        <f t="shared" si="24"/>
        <v/>
      </c>
      <c r="J81" s="21" t="str">
        <f t="shared" si="25"/>
        <v/>
      </c>
      <c r="K81" s="21" t="str">
        <f t="shared" si="26"/>
        <v/>
      </c>
      <c r="L81" s="21" t="str">
        <f t="shared" si="27"/>
        <v/>
      </c>
      <c r="M81" s="21" t="str">
        <f t="shared" si="28"/>
        <v>3組</v>
      </c>
      <c r="N81" s="21">
        <f t="shared" si="29"/>
        <v>0</v>
      </c>
    </row>
    <row r="82" spans="1:14" x14ac:dyDescent="0.15">
      <c r="A82" s="21">
        <f t="shared" si="20"/>
        <v>81</v>
      </c>
      <c r="B82" s="21">
        <f t="shared" si="21"/>
        <v>3</v>
      </c>
      <c r="C82" s="21">
        <f t="shared" si="22"/>
        <v>7</v>
      </c>
      <c r="D82" s="21" t="str">
        <f>INDEX(①データ入力!$B$3:$Y$39,C82,(B82-1)*5+1)&amp;""</f>
        <v/>
      </c>
      <c r="E82" s="21" t="str">
        <f>INDEX(①データ入力!$B$3:$Y$39,C82,(B82-1)*5+2)&amp;""</f>
        <v/>
      </c>
      <c r="F82" s="21" t="str">
        <f t="shared" si="23"/>
        <v/>
      </c>
      <c r="G82" s="21">
        <f>INDEX(①データ入力!$B$3:$Y$39,C82,(B82-1)*5+3)</f>
        <v>0</v>
      </c>
      <c r="H82" s="21" t="str">
        <f>INDEX(①データ入力!$B$3:$Y$39,C82,(B82-1)*5+4)&amp;""</f>
        <v/>
      </c>
      <c r="I82" s="21" t="str">
        <f t="shared" si="24"/>
        <v/>
      </c>
      <c r="J82" s="21" t="str">
        <f t="shared" si="25"/>
        <v/>
      </c>
      <c r="K82" s="21" t="str">
        <f t="shared" si="26"/>
        <v/>
      </c>
      <c r="L82" s="21" t="str">
        <f t="shared" si="27"/>
        <v/>
      </c>
      <c r="M82" s="21" t="str">
        <f t="shared" si="28"/>
        <v>3組</v>
      </c>
      <c r="N82" s="21">
        <f t="shared" si="29"/>
        <v>0</v>
      </c>
    </row>
    <row r="83" spans="1:14" x14ac:dyDescent="0.15">
      <c r="A83" s="21">
        <f t="shared" si="20"/>
        <v>82</v>
      </c>
      <c r="B83" s="21">
        <f t="shared" si="21"/>
        <v>3</v>
      </c>
      <c r="C83" s="21">
        <f t="shared" si="22"/>
        <v>8</v>
      </c>
      <c r="D83" s="21" t="str">
        <f>INDEX(①データ入力!$B$3:$Y$39,C83,(B83-1)*5+1)&amp;""</f>
        <v/>
      </c>
      <c r="E83" s="21" t="str">
        <f>INDEX(①データ入力!$B$3:$Y$39,C83,(B83-1)*5+2)&amp;""</f>
        <v/>
      </c>
      <c r="F83" s="21" t="str">
        <f t="shared" si="23"/>
        <v/>
      </c>
      <c r="G83" s="21">
        <f>INDEX(①データ入力!$B$3:$Y$39,C83,(B83-1)*5+3)</f>
        <v>0</v>
      </c>
      <c r="H83" s="21" t="str">
        <f>INDEX(①データ入力!$B$3:$Y$39,C83,(B83-1)*5+4)&amp;""</f>
        <v/>
      </c>
      <c r="I83" s="21" t="str">
        <f t="shared" si="24"/>
        <v/>
      </c>
      <c r="J83" s="21" t="str">
        <f t="shared" si="25"/>
        <v/>
      </c>
      <c r="K83" s="21" t="str">
        <f t="shared" si="26"/>
        <v/>
      </c>
      <c r="L83" s="21" t="str">
        <f t="shared" si="27"/>
        <v/>
      </c>
      <c r="M83" s="21" t="str">
        <f t="shared" si="28"/>
        <v>3組</v>
      </c>
      <c r="N83" s="21">
        <f t="shared" si="29"/>
        <v>0</v>
      </c>
    </row>
    <row r="84" spans="1:14" x14ac:dyDescent="0.15">
      <c r="A84" s="21">
        <f t="shared" si="20"/>
        <v>83</v>
      </c>
      <c r="B84" s="21">
        <f t="shared" si="21"/>
        <v>3</v>
      </c>
      <c r="C84" s="21">
        <f t="shared" si="22"/>
        <v>9</v>
      </c>
      <c r="D84" s="21" t="str">
        <f>INDEX(①データ入力!$B$3:$Y$39,C84,(B84-1)*5+1)&amp;""</f>
        <v/>
      </c>
      <c r="E84" s="21" t="str">
        <f>INDEX(①データ入力!$B$3:$Y$39,C84,(B84-1)*5+2)&amp;""</f>
        <v/>
      </c>
      <c r="F84" s="21" t="str">
        <f t="shared" si="23"/>
        <v/>
      </c>
      <c r="G84" s="21">
        <f>INDEX(①データ入力!$B$3:$Y$39,C84,(B84-1)*5+3)</f>
        <v>0</v>
      </c>
      <c r="H84" s="21" t="str">
        <f>INDEX(①データ入力!$B$3:$Y$39,C84,(B84-1)*5+4)&amp;""</f>
        <v/>
      </c>
      <c r="I84" s="21" t="str">
        <f t="shared" si="24"/>
        <v/>
      </c>
      <c r="J84" s="21" t="str">
        <f t="shared" si="25"/>
        <v/>
      </c>
      <c r="K84" s="21" t="str">
        <f t="shared" si="26"/>
        <v/>
      </c>
      <c r="L84" s="21" t="str">
        <f t="shared" si="27"/>
        <v/>
      </c>
      <c r="M84" s="21" t="str">
        <f t="shared" si="28"/>
        <v>3組</v>
      </c>
      <c r="N84" s="21">
        <f t="shared" si="29"/>
        <v>0</v>
      </c>
    </row>
    <row r="85" spans="1:14" x14ac:dyDescent="0.15">
      <c r="A85" s="21">
        <f t="shared" si="20"/>
        <v>84</v>
      </c>
      <c r="B85" s="21">
        <f t="shared" si="21"/>
        <v>3</v>
      </c>
      <c r="C85" s="21">
        <f t="shared" si="22"/>
        <v>10</v>
      </c>
      <c r="D85" s="21" t="str">
        <f>INDEX(①データ入力!$B$3:$Y$39,C85,(B85-1)*5+1)&amp;""</f>
        <v/>
      </c>
      <c r="E85" s="21" t="str">
        <f>INDEX(①データ入力!$B$3:$Y$39,C85,(B85-1)*5+2)&amp;""</f>
        <v/>
      </c>
      <c r="F85" s="21" t="str">
        <f t="shared" si="23"/>
        <v/>
      </c>
      <c r="G85" s="21">
        <f>INDEX(①データ入力!$B$3:$Y$39,C85,(B85-1)*5+3)</f>
        <v>0</v>
      </c>
      <c r="H85" s="21" t="str">
        <f>INDEX(①データ入力!$B$3:$Y$39,C85,(B85-1)*5+4)&amp;""</f>
        <v/>
      </c>
      <c r="I85" s="21" t="str">
        <f t="shared" si="24"/>
        <v/>
      </c>
      <c r="J85" s="21" t="str">
        <f t="shared" si="25"/>
        <v/>
      </c>
      <c r="K85" s="21" t="str">
        <f t="shared" si="26"/>
        <v/>
      </c>
      <c r="L85" s="21" t="str">
        <f t="shared" si="27"/>
        <v/>
      </c>
      <c r="M85" s="21" t="str">
        <f t="shared" si="28"/>
        <v>3組</v>
      </c>
      <c r="N85" s="21">
        <f t="shared" si="29"/>
        <v>0</v>
      </c>
    </row>
    <row r="86" spans="1:14" x14ac:dyDescent="0.15">
      <c r="A86" s="21">
        <f t="shared" si="20"/>
        <v>85</v>
      </c>
      <c r="B86" s="21">
        <f t="shared" si="21"/>
        <v>3</v>
      </c>
      <c r="C86" s="21">
        <f t="shared" si="22"/>
        <v>11</v>
      </c>
      <c r="D86" s="21" t="str">
        <f>INDEX(①データ入力!$B$3:$Y$39,C86,(B86-1)*5+1)&amp;""</f>
        <v/>
      </c>
      <c r="E86" s="21" t="str">
        <f>INDEX(①データ入力!$B$3:$Y$39,C86,(B86-1)*5+2)&amp;""</f>
        <v/>
      </c>
      <c r="F86" s="21" t="str">
        <f t="shared" si="23"/>
        <v/>
      </c>
      <c r="G86" s="21">
        <f>INDEX(①データ入力!$B$3:$Y$39,C86,(B86-1)*5+3)</f>
        <v>0</v>
      </c>
      <c r="H86" s="21" t="str">
        <f>INDEX(①データ入力!$B$3:$Y$39,C86,(B86-1)*5+4)&amp;""</f>
        <v/>
      </c>
      <c r="I86" s="21" t="str">
        <f t="shared" si="24"/>
        <v/>
      </c>
      <c r="J86" s="21" t="str">
        <f t="shared" si="25"/>
        <v/>
      </c>
      <c r="K86" s="21" t="str">
        <f t="shared" si="26"/>
        <v/>
      </c>
      <c r="L86" s="21" t="str">
        <f t="shared" si="27"/>
        <v/>
      </c>
      <c r="M86" s="21" t="str">
        <f t="shared" si="28"/>
        <v>3組</v>
      </c>
      <c r="N86" s="21">
        <f t="shared" si="29"/>
        <v>0</v>
      </c>
    </row>
    <row r="87" spans="1:14" x14ac:dyDescent="0.15">
      <c r="A87" s="21">
        <f t="shared" si="20"/>
        <v>86</v>
      </c>
      <c r="B87" s="21">
        <f t="shared" si="21"/>
        <v>3</v>
      </c>
      <c r="C87" s="21">
        <f t="shared" si="22"/>
        <v>12</v>
      </c>
      <c r="D87" s="21" t="str">
        <f>INDEX(①データ入力!$B$3:$Y$39,C87,(B87-1)*5+1)&amp;""</f>
        <v/>
      </c>
      <c r="E87" s="21" t="str">
        <f>INDEX(①データ入力!$B$3:$Y$39,C87,(B87-1)*5+2)&amp;""</f>
        <v/>
      </c>
      <c r="F87" s="21" t="str">
        <f t="shared" si="23"/>
        <v/>
      </c>
      <c r="G87" s="21">
        <f>INDEX(①データ入力!$B$3:$Y$39,C87,(B87-1)*5+3)</f>
        <v>0</v>
      </c>
      <c r="H87" s="21" t="str">
        <f>INDEX(①データ入力!$B$3:$Y$39,C87,(B87-1)*5+4)&amp;""</f>
        <v/>
      </c>
      <c r="I87" s="21" t="str">
        <f t="shared" si="24"/>
        <v/>
      </c>
      <c r="J87" s="21" t="str">
        <f t="shared" si="25"/>
        <v/>
      </c>
      <c r="K87" s="21" t="str">
        <f t="shared" si="26"/>
        <v/>
      </c>
      <c r="L87" s="21" t="str">
        <f t="shared" si="27"/>
        <v/>
      </c>
      <c r="M87" s="21" t="str">
        <f t="shared" si="28"/>
        <v>3組</v>
      </c>
      <c r="N87" s="21">
        <f t="shared" si="29"/>
        <v>0</v>
      </c>
    </row>
    <row r="88" spans="1:14" x14ac:dyDescent="0.15">
      <c r="A88" s="21">
        <f t="shared" si="20"/>
        <v>87</v>
      </c>
      <c r="B88" s="21">
        <f t="shared" si="21"/>
        <v>3</v>
      </c>
      <c r="C88" s="21">
        <f t="shared" si="22"/>
        <v>13</v>
      </c>
      <c r="D88" s="21" t="str">
        <f>INDEX(①データ入力!$B$3:$Y$39,C88,(B88-1)*5+1)&amp;""</f>
        <v/>
      </c>
      <c r="E88" s="21" t="str">
        <f>INDEX(①データ入力!$B$3:$Y$39,C88,(B88-1)*5+2)&amp;""</f>
        <v/>
      </c>
      <c r="F88" s="21" t="str">
        <f t="shared" si="23"/>
        <v/>
      </c>
      <c r="G88" s="21">
        <f>INDEX(①データ入力!$B$3:$Y$39,C88,(B88-1)*5+3)</f>
        <v>0</v>
      </c>
      <c r="H88" s="21" t="str">
        <f>INDEX(①データ入力!$B$3:$Y$39,C88,(B88-1)*5+4)&amp;""</f>
        <v/>
      </c>
      <c r="I88" s="21" t="str">
        <f t="shared" si="24"/>
        <v/>
      </c>
      <c r="J88" s="21" t="str">
        <f t="shared" si="25"/>
        <v/>
      </c>
      <c r="K88" s="21" t="str">
        <f t="shared" si="26"/>
        <v/>
      </c>
      <c r="L88" s="21" t="str">
        <f t="shared" si="27"/>
        <v/>
      </c>
      <c r="M88" s="21" t="str">
        <f t="shared" si="28"/>
        <v>3組</v>
      </c>
      <c r="N88" s="21">
        <f t="shared" si="29"/>
        <v>0</v>
      </c>
    </row>
    <row r="89" spans="1:14" x14ac:dyDescent="0.15">
      <c r="A89" s="21">
        <f t="shared" si="20"/>
        <v>88</v>
      </c>
      <c r="B89" s="21">
        <f t="shared" si="21"/>
        <v>3</v>
      </c>
      <c r="C89" s="21">
        <f t="shared" si="22"/>
        <v>14</v>
      </c>
      <c r="D89" s="21" t="str">
        <f>INDEX(①データ入力!$B$3:$Y$39,C89,(B89-1)*5+1)&amp;""</f>
        <v/>
      </c>
      <c r="E89" s="21" t="str">
        <f>INDEX(①データ入力!$B$3:$Y$39,C89,(B89-1)*5+2)&amp;""</f>
        <v/>
      </c>
      <c r="F89" s="21" t="str">
        <f t="shared" si="23"/>
        <v/>
      </c>
      <c r="G89" s="21">
        <f>INDEX(①データ入力!$B$3:$Y$39,C89,(B89-1)*5+3)</f>
        <v>0</v>
      </c>
      <c r="H89" s="21" t="str">
        <f>INDEX(①データ入力!$B$3:$Y$39,C89,(B89-1)*5+4)&amp;""</f>
        <v/>
      </c>
      <c r="I89" s="21" t="str">
        <f t="shared" si="24"/>
        <v/>
      </c>
      <c r="J89" s="21" t="str">
        <f t="shared" si="25"/>
        <v/>
      </c>
      <c r="K89" s="21" t="str">
        <f t="shared" si="26"/>
        <v/>
      </c>
      <c r="L89" s="21" t="str">
        <f t="shared" si="27"/>
        <v/>
      </c>
      <c r="M89" s="21" t="str">
        <f t="shared" si="28"/>
        <v>3組</v>
      </c>
      <c r="N89" s="21">
        <f t="shared" si="29"/>
        <v>0</v>
      </c>
    </row>
    <row r="90" spans="1:14" x14ac:dyDescent="0.15">
      <c r="A90" s="21">
        <f t="shared" si="20"/>
        <v>89</v>
      </c>
      <c r="B90" s="21">
        <f t="shared" si="21"/>
        <v>3</v>
      </c>
      <c r="C90" s="21">
        <f t="shared" si="22"/>
        <v>15</v>
      </c>
      <c r="D90" s="21" t="str">
        <f>INDEX(①データ入力!$B$3:$Y$39,C90,(B90-1)*5+1)&amp;""</f>
        <v/>
      </c>
      <c r="E90" s="21" t="str">
        <f>INDEX(①データ入力!$B$3:$Y$39,C90,(B90-1)*5+2)&amp;""</f>
        <v/>
      </c>
      <c r="F90" s="21" t="str">
        <f t="shared" si="23"/>
        <v/>
      </c>
      <c r="G90" s="21">
        <f>INDEX(①データ入力!$B$3:$Y$39,C90,(B90-1)*5+3)</f>
        <v>0</v>
      </c>
      <c r="H90" s="21" t="str">
        <f>INDEX(①データ入力!$B$3:$Y$39,C90,(B90-1)*5+4)&amp;""</f>
        <v/>
      </c>
      <c r="I90" s="21" t="str">
        <f t="shared" si="24"/>
        <v/>
      </c>
      <c r="J90" s="21" t="str">
        <f t="shared" si="25"/>
        <v/>
      </c>
      <c r="K90" s="21" t="str">
        <f t="shared" si="26"/>
        <v/>
      </c>
      <c r="L90" s="21" t="str">
        <f t="shared" si="27"/>
        <v/>
      </c>
      <c r="M90" s="21" t="str">
        <f t="shared" si="28"/>
        <v>3組</v>
      </c>
      <c r="N90" s="21">
        <f t="shared" si="29"/>
        <v>0</v>
      </c>
    </row>
    <row r="91" spans="1:14" x14ac:dyDescent="0.15">
      <c r="A91" s="21">
        <f t="shared" si="20"/>
        <v>90</v>
      </c>
      <c r="B91" s="21">
        <f t="shared" si="21"/>
        <v>3</v>
      </c>
      <c r="C91" s="21">
        <f t="shared" si="22"/>
        <v>16</v>
      </c>
      <c r="D91" s="21" t="str">
        <f>INDEX(①データ入力!$B$3:$Y$39,C91,(B91-1)*5+1)&amp;""</f>
        <v/>
      </c>
      <c r="E91" s="21" t="str">
        <f>INDEX(①データ入力!$B$3:$Y$39,C91,(B91-1)*5+2)&amp;""</f>
        <v/>
      </c>
      <c r="F91" s="21" t="str">
        <f t="shared" si="23"/>
        <v/>
      </c>
      <c r="G91" s="21">
        <f>INDEX(①データ入力!$B$3:$Y$39,C91,(B91-1)*5+3)</f>
        <v>0</v>
      </c>
      <c r="H91" s="21" t="str">
        <f>INDEX(①データ入力!$B$3:$Y$39,C91,(B91-1)*5+4)&amp;""</f>
        <v/>
      </c>
      <c r="I91" s="21" t="str">
        <f t="shared" si="24"/>
        <v/>
      </c>
      <c r="J91" s="21" t="str">
        <f t="shared" si="25"/>
        <v/>
      </c>
      <c r="K91" s="21" t="str">
        <f t="shared" si="26"/>
        <v/>
      </c>
      <c r="L91" s="21" t="str">
        <f t="shared" si="27"/>
        <v/>
      </c>
      <c r="M91" s="21" t="str">
        <f t="shared" si="28"/>
        <v>3組</v>
      </c>
      <c r="N91" s="21">
        <f t="shared" si="29"/>
        <v>0</v>
      </c>
    </row>
    <row r="92" spans="1:14" x14ac:dyDescent="0.15">
      <c r="A92" s="21">
        <f t="shared" si="20"/>
        <v>91</v>
      </c>
      <c r="B92" s="21">
        <f t="shared" si="21"/>
        <v>3</v>
      </c>
      <c r="C92" s="21">
        <f t="shared" si="22"/>
        <v>17</v>
      </c>
      <c r="D92" s="21" t="str">
        <f>INDEX(①データ入力!$B$3:$Y$39,C92,(B92-1)*5+1)&amp;""</f>
        <v/>
      </c>
      <c r="E92" s="21" t="str">
        <f>INDEX(①データ入力!$B$3:$Y$39,C92,(B92-1)*5+2)&amp;""</f>
        <v/>
      </c>
      <c r="F92" s="21" t="str">
        <f t="shared" si="23"/>
        <v/>
      </c>
      <c r="G92" s="21">
        <f>INDEX(①データ入力!$B$3:$Y$39,C92,(B92-1)*5+3)</f>
        <v>0</v>
      </c>
      <c r="H92" s="21" t="str">
        <f>INDEX(①データ入力!$B$3:$Y$39,C92,(B92-1)*5+4)&amp;""</f>
        <v/>
      </c>
      <c r="I92" s="21" t="str">
        <f t="shared" si="24"/>
        <v/>
      </c>
      <c r="J92" s="21" t="str">
        <f t="shared" si="25"/>
        <v/>
      </c>
      <c r="K92" s="21" t="str">
        <f t="shared" si="26"/>
        <v/>
      </c>
      <c r="L92" s="21" t="str">
        <f t="shared" si="27"/>
        <v/>
      </c>
      <c r="M92" s="21" t="str">
        <f t="shared" si="28"/>
        <v>3組</v>
      </c>
      <c r="N92" s="21">
        <f t="shared" si="29"/>
        <v>0</v>
      </c>
    </row>
    <row r="93" spans="1:14" x14ac:dyDescent="0.15">
      <c r="A93" s="21">
        <f t="shared" si="20"/>
        <v>92</v>
      </c>
      <c r="B93" s="21">
        <f t="shared" si="21"/>
        <v>3</v>
      </c>
      <c r="C93" s="21">
        <f t="shared" si="22"/>
        <v>18</v>
      </c>
      <c r="D93" s="21" t="str">
        <f>INDEX(①データ入力!$B$3:$Y$39,C93,(B93-1)*5+1)&amp;""</f>
        <v/>
      </c>
      <c r="E93" s="21" t="str">
        <f>INDEX(①データ入力!$B$3:$Y$39,C93,(B93-1)*5+2)&amp;""</f>
        <v/>
      </c>
      <c r="F93" s="21" t="str">
        <f t="shared" si="23"/>
        <v/>
      </c>
      <c r="G93" s="21">
        <f>INDEX(①データ入力!$B$3:$Y$39,C93,(B93-1)*5+3)</f>
        <v>0</v>
      </c>
      <c r="H93" s="21" t="str">
        <f>INDEX(①データ入力!$B$3:$Y$39,C93,(B93-1)*5+4)&amp;""</f>
        <v/>
      </c>
      <c r="I93" s="21" t="str">
        <f t="shared" si="24"/>
        <v/>
      </c>
      <c r="J93" s="21" t="str">
        <f t="shared" si="25"/>
        <v/>
      </c>
      <c r="K93" s="21" t="str">
        <f t="shared" si="26"/>
        <v/>
      </c>
      <c r="L93" s="21" t="str">
        <f t="shared" si="27"/>
        <v/>
      </c>
      <c r="M93" s="21" t="str">
        <f t="shared" si="28"/>
        <v>3組</v>
      </c>
      <c r="N93" s="21">
        <f t="shared" si="29"/>
        <v>0</v>
      </c>
    </row>
    <row r="94" spans="1:14" x14ac:dyDescent="0.15">
      <c r="A94" s="21">
        <f t="shared" si="20"/>
        <v>93</v>
      </c>
      <c r="B94" s="21">
        <f t="shared" si="21"/>
        <v>3</v>
      </c>
      <c r="C94" s="21">
        <f t="shared" si="22"/>
        <v>19</v>
      </c>
      <c r="D94" s="21" t="str">
        <f>INDEX(①データ入力!$B$3:$Y$39,C94,(B94-1)*5+1)&amp;""</f>
        <v/>
      </c>
      <c r="E94" s="21" t="str">
        <f>INDEX(①データ入力!$B$3:$Y$39,C94,(B94-1)*5+2)&amp;""</f>
        <v/>
      </c>
      <c r="F94" s="21" t="str">
        <f t="shared" si="23"/>
        <v/>
      </c>
      <c r="G94" s="21">
        <f>INDEX(①データ入力!$B$3:$Y$39,C94,(B94-1)*5+3)</f>
        <v>0</v>
      </c>
      <c r="H94" s="21" t="str">
        <f>INDEX(①データ入力!$B$3:$Y$39,C94,(B94-1)*5+4)&amp;""</f>
        <v/>
      </c>
      <c r="I94" s="21" t="str">
        <f t="shared" si="24"/>
        <v/>
      </c>
      <c r="J94" s="21" t="str">
        <f t="shared" si="25"/>
        <v/>
      </c>
      <c r="K94" s="21" t="str">
        <f t="shared" si="26"/>
        <v/>
      </c>
      <c r="L94" s="21" t="str">
        <f t="shared" si="27"/>
        <v/>
      </c>
      <c r="M94" s="21" t="str">
        <f t="shared" si="28"/>
        <v>3組</v>
      </c>
      <c r="N94" s="21">
        <f t="shared" si="29"/>
        <v>0</v>
      </c>
    </row>
    <row r="95" spans="1:14" x14ac:dyDescent="0.15">
      <c r="A95" s="21">
        <f t="shared" si="20"/>
        <v>94</v>
      </c>
      <c r="B95" s="21">
        <f t="shared" si="21"/>
        <v>3</v>
      </c>
      <c r="C95" s="21">
        <f t="shared" si="22"/>
        <v>20</v>
      </c>
      <c r="D95" s="21" t="str">
        <f>INDEX(①データ入力!$B$3:$Y$39,C95,(B95-1)*5+1)&amp;""</f>
        <v/>
      </c>
      <c r="E95" s="21" t="str">
        <f>INDEX(①データ入力!$B$3:$Y$39,C95,(B95-1)*5+2)&amp;""</f>
        <v/>
      </c>
      <c r="F95" s="21" t="str">
        <f t="shared" si="23"/>
        <v/>
      </c>
      <c r="G95" s="21">
        <f>INDEX(①データ入力!$B$3:$Y$39,C95,(B95-1)*5+3)</f>
        <v>0</v>
      </c>
      <c r="H95" s="21" t="str">
        <f>INDEX(①データ入力!$B$3:$Y$39,C95,(B95-1)*5+4)&amp;""</f>
        <v/>
      </c>
      <c r="I95" s="21" t="str">
        <f t="shared" si="24"/>
        <v/>
      </c>
      <c r="J95" s="21" t="str">
        <f t="shared" si="25"/>
        <v/>
      </c>
      <c r="K95" s="21" t="str">
        <f t="shared" si="26"/>
        <v/>
      </c>
      <c r="L95" s="21" t="str">
        <f t="shared" si="27"/>
        <v/>
      </c>
      <c r="M95" s="21" t="str">
        <f t="shared" si="28"/>
        <v>3組</v>
      </c>
      <c r="N95" s="21">
        <f t="shared" si="29"/>
        <v>0</v>
      </c>
    </row>
    <row r="96" spans="1:14" x14ac:dyDescent="0.15">
      <c r="A96" s="21">
        <f t="shared" si="20"/>
        <v>95</v>
      </c>
      <c r="B96" s="21">
        <f t="shared" si="21"/>
        <v>3</v>
      </c>
      <c r="C96" s="21">
        <f t="shared" si="22"/>
        <v>21</v>
      </c>
      <c r="D96" s="21" t="str">
        <f>INDEX(①データ入力!$B$3:$Y$39,C96,(B96-1)*5+1)&amp;""</f>
        <v/>
      </c>
      <c r="E96" s="21" t="str">
        <f>INDEX(①データ入力!$B$3:$Y$39,C96,(B96-1)*5+2)&amp;""</f>
        <v/>
      </c>
      <c r="F96" s="21" t="str">
        <f t="shared" si="23"/>
        <v/>
      </c>
      <c r="G96" s="21">
        <f>INDEX(①データ入力!$B$3:$Y$39,C96,(B96-1)*5+3)</f>
        <v>0</v>
      </c>
      <c r="H96" s="21" t="str">
        <f>INDEX(①データ入力!$B$3:$Y$39,C96,(B96-1)*5+4)&amp;""</f>
        <v/>
      </c>
      <c r="I96" s="21" t="str">
        <f t="shared" si="24"/>
        <v/>
      </c>
      <c r="J96" s="21" t="str">
        <f t="shared" si="25"/>
        <v/>
      </c>
      <c r="K96" s="21" t="str">
        <f t="shared" si="26"/>
        <v/>
      </c>
      <c r="L96" s="21" t="str">
        <f t="shared" si="27"/>
        <v/>
      </c>
      <c r="M96" s="21" t="str">
        <f t="shared" si="28"/>
        <v>3組</v>
      </c>
      <c r="N96" s="21">
        <f t="shared" si="29"/>
        <v>0</v>
      </c>
    </row>
    <row r="97" spans="1:14" x14ac:dyDescent="0.15">
      <c r="A97" s="21">
        <f t="shared" si="20"/>
        <v>96</v>
      </c>
      <c r="B97" s="21">
        <f t="shared" si="21"/>
        <v>3</v>
      </c>
      <c r="C97" s="21">
        <f t="shared" si="22"/>
        <v>22</v>
      </c>
      <c r="D97" s="21" t="str">
        <f>INDEX(①データ入力!$B$3:$Y$39,C97,(B97-1)*5+1)&amp;""</f>
        <v/>
      </c>
      <c r="E97" s="21" t="str">
        <f>INDEX(①データ入力!$B$3:$Y$39,C97,(B97-1)*5+2)&amp;""</f>
        <v/>
      </c>
      <c r="F97" s="21" t="str">
        <f t="shared" si="23"/>
        <v/>
      </c>
      <c r="G97" s="21">
        <f>INDEX(①データ入力!$B$3:$Y$39,C97,(B97-1)*5+3)</f>
        <v>0</v>
      </c>
      <c r="H97" s="21" t="str">
        <f>INDEX(①データ入力!$B$3:$Y$39,C97,(B97-1)*5+4)&amp;""</f>
        <v/>
      </c>
      <c r="I97" s="21" t="str">
        <f t="shared" si="24"/>
        <v/>
      </c>
      <c r="J97" s="21" t="str">
        <f t="shared" si="25"/>
        <v/>
      </c>
      <c r="K97" s="21" t="str">
        <f t="shared" si="26"/>
        <v/>
      </c>
      <c r="L97" s="21" t="str">
        <f t="shared" si="27"/>
        <v/>
      </c>
      <c r="M97" s="21" t="str">
        <f t="shared" si="28"/>
        <v>3組</v>
      </c>
      <c r="N97" s="21">
        <f t="shared" si="29"/>
        <v>0</v>
      </c>
    </row>
    <row r="98" spans="1:14" x14ac:dyDescent="0.15">
      <c r="A98" s="21">
        <f t="shared" ref="A98:A129" si="30">ROW()-1</f>
        <v>97</v>
      </c>
      <c r="B98" s="21">
        <f t="shared" ref="B98:B129" si="31">INT((A98-1)/37)+1</f>
        <v>3</v>
      </c>
      <c r="C98" s="21">
        <f t="shared" ref="C98:C129" si="32">MOD(A98-1,37)+1</f>
        <v>23</v>
      </c>
      <c r="D98" s="21" t="str">
        <f>INDEX(①データ入力!$B$3:$Y$39,C98,(B98-1)*5+1)&amp;""</f>
        <v/>
      </c>
      <c r="E98" s="21" t="str">
        <f>INDEX(①データ入力!$B$3:$Y$39,C98,(B98-1)*5+2)&amp;""</f>
        <v/>
      </c>
      <c r="F98" s="21" t="str">
        <f t="shared" ref="F98:F129" si="33">IF(OR(E98="1",E98="１",E98="男"),"男",IF(OR(E98="2",E98="２",E98="女"),"女",""))</f>
        <v/>
      </c>
      <c r="G98" s="21">
        <f>INDEX(①データ入力!$B$3:$Y$39,C98,(B98-1)*5+3)</f>
        <v>0</v>
      </c>
      <c r="H98" s="21" t="str">
        <f>INDEX(①データ入力!$B$3:$Y$39,C98,(B98-1)*5+4)&amp;""</f>
        <v/>
      </c>
      <c r="I98" s="21" t="str">
        <f t="shared" ref="I98:I129" si="34">IF(LEFT(TRIM(H98),1)="赤","赤",IF(LEFT(TRIM(H98),1)="白","白",""))</f>
        <v/>
      </c>
      <c r="J98" s="21" t="str">
        <f t="shared" ref="J98:J129" si="35">IF(AND(D98&lt;&gt;"",F98&lt;&gt;"",I98&lt;&gt;"",ISNUMBER(G98)),F98&amp;I98,"")</f>
        <v/>
      </c>
      <c r="K98" s="21" t="str">
        <f t="shared" ref="K98:K129" si="36">IF(J98="","",COUNTIFS($J$2:$J$186,J98,$G$2:$G$186,"&lt;"&amp;G98)+COUNTIFS($J$2:$J$186,J98,$G$2:$G$186,G98,$A$2:$A$186,"&lt;"&amp;A98)+1)</f>
        <v/>
      </c>
      <c r="L98" s="21" t="str">
        <f t="shared" ref="L98:L129" si="37">IF(J98="","",J98&amp;K98)</f>
        <v/>
      </c>
      <c r="M98" s="21" t="str">
        <f t="shared" ref="M98:M129" si="38">B98&amp;"組"</f>
        <v>3組</v>
      </c>
      <c r="N98" s="21">
        <f t="shared" ref="N98:N129" si="39">IF(AND(D98&lt;&gt;"",J98=""),1,0)</f>
        <v>0</v>
      </c>
    </row>
    <row r="99" spans="1:14" x14ac:dyDescent="0.15">
      <c r="A99" s="21">
        <f t="shared" si="30"/>
        <v>98</v>
      </c>
      <c r="B99" s="21">
        <f t="shared" si="31"/>
        <v>3</v>
      </c>
      <c r="C99" s="21">
        <f t="shared" si="32"/>
        <v>24</v>
      </c>
      <c r="D99" s="21" t="str">
        <f>INDEX(①データ入力!$B$3:$Y$39,C99,(B99-1)*5+1)&amp;""</f>
        <v/>
      </c>
      <c r="E99" s="21" t="str">
        <f>INDEX(①データ入力!$B$3:$Y$39,C99,(B99-1)*5+2)&amp;""</f>
        <v/>
      </c>
      <c r="F99" s="21" t="str">
        <f t="shared" si="33"/>
        <v/>
      </c>
      <c r="G99" s="21">
        <f>INDEX(①データ入力!$B$3:$Y$39,C99,(B99-1)*5+3)</f>
        <v>0</v>
      </c>
      <c r="H99" s="21" t="str">
        <f>INDEX(①データ入力!$B$3:$Y$39,C99,(B99-1)*5+4)&amp;""</f>
        <v/>
      </c>
      <c r="I99" s="21" t="str">
        <f t="shared" si="34"/>
        <v/>
      </c>
      <c r="J99" s="21" t="str">
        <f t="shared" si="35"/>
        <v/>
      </c>
      <c r="K99" s="21" t="str">
        <f t="shared" si="36"/>
        <v/>
      </c>
      <c r="L99" s="21" t="str">
        <f t="shared" si="37"/>
        <v/>
      </c>
      <c r="M99" s="21" t="str">
        <f t="shared" si="38"/>
        <v>3組</v>
      </c>
      <c r="N99" s="21">
        <f t="shared" si="39"/>
        <v>0</v>
      </c>
    </row>
    <row r="100" spans="1:14" x14ac:dyDescent="0.15">
      <c r="A100" s="21">
        <f t="shared" si="30"/>
        <v>99</v>
      </c>
      <c r="B100" s="21">
        <f t="shared" si="31"/>
        <v>3</v>
      </c>
      <c r="C100" s="21">
        <f t="shared" si="32"/>
        <v>25</v>
      </c>
      <c r="D100" s="21" t="str">
        <f>INDEX(①データ入力!$B$3:$Y$39,C100,(B100-1)*5+1)&amp;""</f>
        <v/>
      </c>
      <c r="E100" s="21" t="str">
        <f>INDEX(①データ入力!$B$3:$Y$39,C100,(B100-1)*5+2)&amp;""</f>
        <v/>
      </c>
      <c r="F100" s="21" t="str">
        <f t="shared" si="33"/>
        <v/>
      </c>
      <c r="G100" s="21">
        <f>INDEX(①データ入力!$B$3:$Y$39,C100,(B100-1)*5+3)</f>
        <v>0</v>
      </c>
      <c r="H100" s="21" t="str">
        <f>INDEX(①データ入力!$B$3:$Y$39,C100,(B100-1)*5+4)&amp;""</f>
        <v/>
      </c>
      <c r="I100" s="21" t="str">
        <f t="shared" si="34"/>
        <v/>
      </c>
      <c r="J100" s="21" t="str">
        <f t="shared" si="35"/>
        <v/>
      </c>
      <c r="K100" s="21" t="str">
        <f t="shared" si="36"/>
        <v/>
      </c>
      <c r="L100" s="21" t="str">
        <f t="shared" si="37"/>
        <v/>
      </c>
      <c r="M100" s="21" t="str">
        <f t="shared" si="38"/>
        <v>3組</v>
      </c>
      <c r="N100" s="21">
        <f t="shared" si="39"/>
        <v>0</v>
      </c>
    </row>
    <row r="101" spans="1:14" x14ac:dyDescent="0.15">
      <c r="A101" s="21">
        <f t="shared" si="30"/>
        <v>100</v>
      </c>
      <c r="B101" s="21">
        <f t="shared" si="31"/>
        <v>3</v>
      </c>
      <c r="C101" s="21">
        <f t="shared" si="32"/>
        <v>26</v>
      </c>
      <c r="D101" s="21" t="str">
        <f>INDEX(①データ入力!$B$3:$Y$39,C101,(B101-1)*5+1)&amp;""</f>
        <v/>
      </c>
      <c r="E101" s="21" t="str">
        <f>INDEX(①データ入力!$B$3:$Y$39,C101,(B101-1)*5+2)&amp;""</f>
        <v/>
      </c>
      <c r="F101" s="21" t="str">
        <f t="shared" si="33"/>
        <v/>
      </c>
      <c r="G101" s="21">
        <f>INDEX(①データ入力!$B$3:$Y$39,C101,(B101-1)*5+3)</f>
        <v>0</v>
      </c>
      <c r="H101" s="21" t="str">
        <f>INDEX(①データ入力!$B$3:$Y$39,C101,(B101-1)*5+4)&amp;""</f>
        <v/>
      </c>
      <c r="I101" s="21" t="str">
        <f t="shared" si="34"/>
        <v/>
      </c>
      <c r="J101" s="21" t="str">
        <f t="shared" si="35"/>
        <v/>
      </c>
      <c r="K101" s="21" t="str">
        <f t="shared" si="36"/>
        <v/>
      </c>
      <c r="L101" s="21" t="str">
        <f t="shared" si="37"/>
        <v/>
      </c>
      <c r="M101" s="21" t="str">
        <f t="shared" si="38"/>
        <v>3組</v>
      </c>
      <c r="N101" s="21">
        <f t="shared" si="39"/>
        <v>0</v>
      </c>
    </row>
    <row r="102" spans="1:14" x14ac:dyDescent="0.15">
      <c r="A102" s="21">
        <f t="shared" si="30"/>
        <v>101</v>
      </c>
      <c r="B102" s="21">
        <f t="shared" si="31"/>
        <v>3</v>
      </c>
      <c r="C102" s="21">
        <f t="shared" si="32"/>
        <v>27</v>
      </c>
      <c r="D102" s="21" t="str">
        <f>INDEX(①データ入力!$B$3:$Y$39,C102,(B102-1)*5+1)&amp;""</f>
        <v/>
      </c>
      <c r="E102" s="21" t="str">
        <f>INDEX(①データ入力!$B$3:$Y$39,C102,(B102-1)*5+2)&amp;""</f>
        <v/>
      </c>
      <c r="F102" s="21" t="str">
        <f t="shared" si="33"/>
        <v/>
      </c>
      <c r="G102" s="21">
        <f>INDEX(①データ入力!$B$3:$Y$39,C102,(B102-1)*5+3)</f>
        <v>0</v>
      </c>
      <c r="H102" s="21" t="str">
        <f>INDEX(①データ入力!$B$3:$Y$39,C102,(B102-1)*5+4)&amp;""</f>
        <v/>
      </c>
      <c r="I102" s="21" t="str">
        <f t="shared" si="34"/>
        <v/>
      </c>
      <c r="J102" s="21" t="str">
        <f t="shared" si="35"/>
        <v/>
      </c>
      <c r="K102" s="21" t="str">
        <f t="shared" si="36"/>
        <v/>
      </c>
      <c r="L102" s="21" t="str">
        <f t="shared" si="37"/>
        <v/>
      </c>
      <c r="M102" s="21" t="str">
        <f t="shared" si="38"/>
        <v>3組</v>
      </c>
      <c r="N102" s="21">
        <f t="shared" si="39"/>
        <v>0</v>
      </c>
    </row>
    <row r="103" spans="1:14" x14ac:dyDescent="0.15">
      <c r="A103" s="21">
        <f t="shared" si="30"/>
        <v>102</v>
      </c>
      <c r="B103" s="21">
        <f t="shared" si="31"/>
        <v>3</v>
      </c>
      <c r="C103" s="21">
        <f t="shared" si="32"/>
        <v>28</v>
      </c>
      <c r="D103" s="21" t="str">
        <f>INDEX(①データ入力!$B$3:$Y$39,C103,(B103-1)*5+1)&amp;""</f>
        <v/>
      </c>
      <c r="E103" s="21" t="str">
        <f>INDEX(①データ入力!$B$3:$Y$39,C103,(B103-1)*5+2)&amp;""</f>
        <v/>
      </c>
      <c r="F103" s="21" t="str">
        <f t="shared" si="33"/>
        <v/>
      </c>
      <c r="G103" s="21">
        <f>INDEX(①データ入力!$B$3:$Y$39,C103,(B103-1)*5+3)</f>
        <v>0</v>
      </c>
      <c r="H103" s="21" t="str">
        <f>INDEX(①データ入力!$B$3:$Y$39,C103,(B103-1)*5+4)&amp;""</f>
        <v/>
      </c>
      <c r="I103" s="21" t="str">
        <f t="shared" si="34"/>
        <v/>
      </c>
      <c r="J103" s="21" t="str">
        <f t="shared" si="35"/>
        <v/>
      </c>
      <c r="K103" s="21" t="str">
        <f t="shared" si="36"/>
        <v/>
      </c>
      <c r="L103" s="21" t="str">
        <f t="shared" si="37"/>
        <v/>
      </c>
      <c r="M103" s="21" t="str">
        <f t="shared" si="38"/>
        <v>3組</v>
      </c>
      <c r="N103" s="21">
        <f t="shared" si="39"/>
        <v>0</v>
      </c>
    </row>
    <row r="104" spans="1:14" x14ac:dyDescent="0.15">
      <c r="A104" s="21">
        <f t="shared" si="30"/>
        <v>103</v>
      </c>
      <c r="B104" s="21">
        <f t="shared" si="31"/>
        <v>3</v>
      </c>
      <c r="C104" s="21">
        <f t="shared" si="32"/>
        <v>29</v>
      </c>
      <c r="D104" s="21" t="str">
        <f>INDEX(①データ入力!$B$3:$Y$39,C104,(B104-1)*5+1)&amp;""</f>
        <v/>
      </c>
      <c r="E104" s="21" t="str">
        <f>INDEX(①データ入力!$B$3:$Y$39,C104,(B104-1)*5+2)&amp;""</f>
        <v/>
      </c>
      <c r="F104" s="21" t="str">
        <f t="shared" si="33"/>
        <v/>
      </c>
      <c r="G104" s="21">
        <f>INDEX(①データ入力!$B$3:$Y$39,C104,(B104-1)*5+3)</f>
        <v>0</v>
      </c>
      <c r="H104" s="21" t="str">
        <f>INDEX(①データ入力!$B$3:$Y$39,C104,(B104-1)*5+4)&amp;""</f>
        <v/>
      </c>
      <c r="I104" s="21" t="str">
        <f t="shared" si="34"/>
        <v/>
      </c>
      <c r="J104" s="21" t="str">
        <f t="shared" si="35"/>
        <v/>
      </c>
      <c r="K104" s="21" t="str">
        <f t="shared" si="36"/>
        <v/>
      </c>
      <c r="L104" s="21" t="str">
        <f t="shared" si="37"/>
        <v/>
      </c>
      <c r="M104" s="21" t="str">
        <f t="shared" si="38"/>
        <v>3組</v>
      </c>
      <c r="N104" s="21">
        <f t="shared" si="39"/>
        <v>0</v>
      </c>
    </row>
    <row r="105" spans="1:14" x14ac:dyDescent="0.15">
      <c r="A105" s="21">
        <f t="shared" si="30"/>
        <v>104</v>
      </c>
      <c r="B105" s="21">
        <f t="shared" si="31"/>
        <v>3</v>
      </c>
      <c r="C105" s="21">
        <f t="shared" si="32"/>
        <v>30</v>
      </c>
      <c r="D105" s="21" t="str">
        <f>INDEX(①データ入力!$B$3:$Y$39,C105,(B105-1)*5+1)&amp;""</f>
        <v/>
      </c>
      <c r="E105" s="21" t="str">
        <f>INDEX(①データ入力!$B$3:$Y$39,C105,(B105-1)*5+2)&amp;""</f>
        <v/>
      </c>
      <c r="F105" s="21" t="str">
        <f t="shared" si="33"/>
        <v/>
      </c>
      <c r="G105" s="21">
        <f>INDEX(①データ入力!$B$3:$Y$39,C105,(B105-1)*5+3)</f>
        <v>0</v>
      </c>
      <c r="H105" s="21" t="str">
        <f>INDEX(①データ入力!$B$3:$Y$39,C105,(B105-1)*5+4)&amp;""</f>
        <v/>
      </c>
      <c r="I105" s="21" t="str">
        <f t="shared" si="34"/>
        <v/>
      </c>
      <c r="J105" s="21" t="str">
        <f t="shared" si="35"/>
        <v/>
      </c>
      <c r="K105" s="21" t="str">
        <f t="shared" si="36"/>
        <v/>
      </c>
      <c r="L105" s="21" t="str">
        <f t="shared" si="37"/>
        <v/>
      </c>
      <c r="M105" s="21" t="str">
        <f t="shared" si="38"/>
        <v>3組</v>
      </c>
      <c r="N105" s="21">
        <f t="shared" si="39"/>
        <v>0</v>
      </c>
    </row>
    <row r="106" spans="1:14" x14ac:dyDescent="0.15">
      <c r="A106" s="21">
        <f t="shared" si="30"/>
        <v>105</v>
      </c>
      <c r="B106" s="21">
        <f t="shared" si="31"/>
        <v>3</v>
      </c>
      <c r="C106" s="21">
        <f t="shared" si="32"/>
        <v>31</v>
      </c>
      <c r="D106" s="21" t="str">
        <f>INDEX(①データ入力!$B$3:$Y$39,C106,(B106-1)*5+1)&amp;""</f>
        <v/>
      </c>
      <c r="E106" s="21" t="str">
        <f>INDEX(①データ入力!$B$3:$Y$39,C106,(B106-1)*5+2)&amp;""</f>
        <v/>
      </c>
      <c r="F106" s="21" t="str">
        <f t="shared" si="33"/>
        <v/>
      </c>
      <c r="G106" s="21">
        <f>INDEX(①データ入力!$B$3:$Y$39,C106,(B106-1)*5+3)</f>
        <v>0</v>
      </c>
      <c r="H106" s="21" t="str">
        <f>INDEX(①データ入力!$B$3:$Y$39,C106,(B106-1)*5+4)&amp;""</f>
        <v/>
      </c>
      <c r="I106" s="21" t="str">
        <f t="shared" si="34"/>
        <v/>
      </c>
      <c r="J106" s="21" t="str">
        <f t="shared" si="35"/>
        <v/>
      </c>
      <c r="K106" s="21" t="str">
        <f t="shared" si="36"/>
        <v/>
      </c>
      <c r="L106" s="21" t="str">
        <f t="shared" si="37"/>
        <v/>
      </c>
      <c r="M106" s="21" t="str">
        <f t="shared" si="38"/>
        <v>3組</v>
      </c>
      <c r="N106" s="21">
        <f t="shared" si="39"/>
        <v>0</v>
      </c>
    </row>
    <row r="107" spans="1:14" x14ac:dyDescent="0.15">
      <c r="A107" s="21">
        <f t="shared" si="30"/>
        <v>106</v>
      </c>
      <c r="B107" s="21">
        <f t="shared" si="31"/>
        <v>3</v>
      </c>
      <c r="C107" s="21">
        <f t="shared" si="32"/>
        <v>32</v>
      </c>
      <c r="D107" s="21" t="str">
        <f>INDEX(①データ入力!$B$3:$Y$39,C107,(B107-1)*5+1)&amp;""</f>
        <v/>
      </c>
      <c r="E107" s="21" t="str">
        <f>INDEX(①データ入力!$B$3:$Y$39,C107,(B107-1)*5+2)&amp;""</f>
        <v/>
      </c>
      <c r="F107" s="21" t="str">
        <f t="shared" si="33"/>
        <v/>
      </c>
      <c r="G107" s="21">
        <f>INDEX(①データ入力!$B$3:$Y$39,C107,(B107-1)*5+3)</f>
        <v>0</v>
      </c>
      <c r="H107" s="21" t="str">
        <f>INDEX(①データ入力!$B$3:$Y$39,C107,(B107-1)*5+4)&amp;""</f>
        <v/>
      </c>
      <c r="I107" s="21" t="str">
        <f t="shared" si="34"/>
        <v/>
      </c>
      <c r="J107" s="21" t="str">
        <f t="shared" si="35"/>
        <v/>
      </c>
      <c r="K107" s="21" t="str">
        <f t="shared" si="36"/>
        <v/>
      </c>
      <c r="L107" s="21" t="str">
        <f t="shared" si="37"/>
        <v/>
      </c>
      <c r="M107" s="21" t="str">
        <f t="shared" si="38"/>
        <v>3組</v>
      </c>
      <c r="N107" s="21">
        <f t="shared" si="39"/>
        <v>0</v>
      </c>
    </row>
    <row r="108" spans="1:14" x14ac:dyDescent="0.15">
      <c r="A108" s="21">
        <f t="shared" si="30"/>
        <v>107</v>
      </c>
      <c r="B108" s="21">
        <f t="shared" si="31"/>
        <v>3</v>
      </c>
      <c r="C108" s="21">
        <f t="shared" si="32"/>
        <v>33</v>
      </c>
      <c r="D108" s="21" t="str">
        <f>INDEX(①データ入力!$B$3:$Y$39,C108,(B108-1)*5+1)&amp;""</f>
        <v/>
      </c>
      <c r="E108" s="21" t="str">
        <f>INDEX(①データ入力!$B$3:$Y$39,C108,(B108-1)*5+2)&amp;""</f>
        <v/>
      </c>
      <c r="F108" s="21" t="str">
        <f t="shared" si="33"/>
        <v/>
      </c>
      <c r="G108" s="21">
        <f>INDEX(①データ入力!$B$3:$Y$39,C108,(B108-1)*5+3)</f>
        <v>0</v>
      </c>
      <c r="H108" s="21" t="str">
        <f>INDEX(①データ入力!$B$3:$Y$39,C108,(B108-1)*5+4)&amp;""</f>
        <v/>
      </c>
      <c r="I108" s="21" t="str">
        <f t="shared" si="34"/>
        <v/>
      </c>
      <c r="J108" s="21" t="str">
        <f t="shared" si="35"/>
        <v/>
      </c>
      <c r="K108" s="21" t="str">
        <f t="shared" si="36"/>
        <v/>
      </c>
      <c r="L108" s="21" t="str">
        <f t="shared" si="37"/>
        <v/>
      </c>
      <c r="M108" s="21" t="str">
        <f t="shared" si="38"/>
        <v>3組</v>
      </c>
      <c r="N108" s="21">
        <f t="shared" si="39"/>
        <v>0</v>
      </c>
    </row>
    <row r="109" spans="1:14" x14ac:dyDescent="0.15">
      <c r="A109" s="21">
        <f t="shared" si="30"/>
        <v>108</v>
      </c>
      <c r="B109" s="21">
        <f t="shared" si="31"/>
        <v>3</v>
      </c>
      <c r="C109" s="21">
        <f t="shared" si="32"/>
        <v>34</v>
      </c>
      <c r="D109" s="21" t="str">
        <f>INDEX(①データ入力!$B$3:$Y$39,C109,(B109-1)*5+1)&amp;""</f>
        <v/>
      </c>
      <c r="E109" s="21" t="str">
        <f>INDEX(①データ入力!$B$3:$Y$39,C109,(B109-1)*5+2)&amp;""</f>
        <v/>
      </c>
      <c r="F109" s="21" t="str">
        <f t="shared" si="33"/>
        <v/>
      </c>
      <c r="G109" s="21">
        <f>INDEX(①データ入力!$B$3:$Y$39,C109,(B109-1)*5+3)</f>
        <v>0</v>
      </c>
      <c r="H109" s="21" t="str">
        <f>INDEX(①データ入力!$B$3:$Y$39,C109,(B109-1)*5+4)&amp;""</f>
        <v/>
      </c>
      <c r="I109" s="21" t="str">
        <f t="shared" si="34"/>
        <v/>
      </c>
      <c r="J109" s="21" t="str">
        <f t="shared" si="35"/>
        <v/>
      </c>
      <c r="K109" s="21" t="str">
        <f t="shared" si="36"/>
        <v/>
      </c>
      <c r="L109" s="21" t="str">
        <f t="shared" si="37"/>
        <v/>
      </c>
      <c r="M109" s="21" t="str">
        <f t="shared" si="38"/>
        <v>3組</v>
      </c>
      <c r="N109" s="21">
        <f t="shared" si="39"/>
        <v>0</v>
      </c>
    </row>
    <row r="110" spans="1:14" x14ac:dyDescent="0.15">
      <c r="A110" s="21">
        <f t="shared" si="30"/>
        <v>109</v>
      </c>
      <c r="B110" s="21">
        <f t="shared" si="31"/>
        <v>3</v>
      </c>
      <c r="C110" s="21">
        <f t="shared" si="32"/>
        <v>35</v>
      </c>
      <c r="D110" s="21" t="str">
        <f>INDEX(①データ入力!$B$3:$Y$39,C110,(B110-1)*5+1)&amp;""</f>
        <v/>
      </c>
      <c r="E110" s="21" t="str">
        <f>INDEX(①データ入力!$B$3:$Y$39,C110,(B110-1)*5+2)&amp;""</f>
        <v/>
      </c>
      <c r="F110" s="21" t="str">
        <f t="shared" si="33"/>
        <v/>
      </c>
      <c r="G110" s="21">
        <f>INDEX(①データ入力!$B$3:$Y$39,C110,(B110-1)*5+3)</f>
        <v>0</v>
      </c>
      <c r="H110" s="21" t="str">
        <f>INDEX(①データ入力!$B$3:$Y$39,C110,(B110-1)*5+4)&amp;""</f>
        <v/>
      </c>
      <c r="I110" s="21" t="str">
        <f t="shared" si="34"/>
        <v/>
      </c>
      <c r="J110" s="21" t="str">
        <f t="shared" si="35"/>
        <v/>
      </c>
      <c r="K110" s="21" t="str">
        <f t="shared" si="36"/>
        <v/>
      </c>
      <c r="L110" s="21" t="str">
        <f t="shared" si="37"/>
        <v/>
      </c>
      <c r="M110" s="21" t="str">
        <f t="shared" si="38"/>
        <v>3組</v>
      </c>
      <c r="N110" s="21">
        <f t="shared" si="39"/>
        <v>0</v>
      </c>
    </row>
    <row r="111" spans="1:14" x14ac:dyDescent="0.15">
      <c r="A111" s="21">
        <f t="shared" si="30"/>
        <v>110</v>
      </c>
      <c r="B111" s="21">
        <f t="shared" si="31"/>
        <v>3</v>
      </c>
      <c r="C111" s="21">
        <f t="shared" si="32"/>
        <v>36</v>
      </c>
      <c r="D111" s="21" t="str">
        <f>INDEX(①データ入力!$B$3:$Y$39,C111,(B111-1)*5+1)&amp;""</f>
        <v/>
      </c>
      <c r="E111" s="21" t="str">
        <f>INDEX(①データ入力!$B$3:$Y$39,C111,(B111-1)*5+2)&amp;""</f>
        <v/>
      </c>
      <c r="F111" s="21" t="str">
        <f t="shared" si="33"/>
        <v/>
      </c>
      <c r="G111" s="21">
        <f>INDEX(①データ入力!$B$3:$Y$39,C111,(B111-1)*5+3)</f>
        <v>0</v>
      </c>
      <c r="H111" s="21" t="str">
        <f>INDEX(①データ入力!$B$3:$Y$39,C111,(B111-1)*5+4)&amp;""</f>
        <v/>
      </c>
      <c r="I111" s="21" t="str">
        <f t="shared" si="34"/>
        <v/>
      </c>
      <c r="J111" s="21" t="str">
        <f t="shared" si="35"/>
        <v/>
      </c>
      <c r="K111" s="21" t="str">
        <f t="shared" si="36"/>
        <v/>
      </c>
      <c r="L111" s="21" t="str">
        <f t="shared" si="37"/>
        <v/>
      </c>
      <c r="M111" s="21" t="str">
        <f t="shared" si="38"/>
        <v>3組</v>
      </c>
      <c r="N111" s="21">
        <f t="shared" si="39"/>
        <v>0</v>
      </c>
    </row>
    <row r="112" spans="1:14" x14ac:dyDescent="0.15">
      <c r="A112" s="21">
        <f t="shared" si="30"/>
        <v>111</v>
      </c>
      <c r="B112" s="21">
        <f t="shared" si="31"/>
        <v>3</v>
      </c>
      <c r="C112" s="21">
        <f t="shared" si="32"/>
        <v>37</v>
      </c>
      <c r="D112" s="21" t="str">
        <f>INDEX(①データ入力!$B$3:$Y$39,C112,(B112-1)*5+1)&amp;""</f>
        <v/>
      </c>
      <c r="E112" s="21" t="str">
        <f>INDEX(①データ入力!$B$3:$Y$39,C112,(B112-1)*5+2)&amp;""</f>
        <v/>
      </c>
      <c r="F112" s="21" t="str">
        <f t="shared" si="33"/>
        <v/>
      </c>
      <c r="G112" s="21">
        <f>INDEX(①データ入力!$B$3:$Y$39,C112,(B112-1)*5+3)</f>
        <v>0</v>
      </c>
      <c r="H112" s="21" t="str">
        <f>INDEX(①データ入力!$B$3:$Y$39,C112,(B112-1)*5+4)&amp;""</f>
        <v/>
      </c>
      <c r="I112" s="21" t="str">
        <f t="shared" si="34"/>
        <v/>
      </c>
      <c r="J112" s="21" t="str">
        <f t="shared" si="35"/>
        <v/>
      </c>
      <c r="K112" s="21" t="str">
        <f t="shared" si="36"/>
        <v/>
      </c>
      <c r="L112" s="21" t="str">
        <f t="shared" si="37"/>
        <v/>
      </c>
      <c r="M112" s="21" t="str">
        <f t="shared" si="38"/>
        <v>3組</v>
      </c>
      <c r="N112" s="21">
        <f t="shared" si="39"/>
        <v>0</v>
      </c>
    </row>
    <row r="113" spans="1:14" x14ac:dyDescent="0.15">
      <c r="A113" s="21">
        <f t="shared" si="30"/>
        <v>112</v>
      </c>
      <c r="B113" s="21">
        <f t="shared" si="31"/>
        <v>4</v>
      </c>
      <c r="C113" s="21">
        <f t="shared" si="32"/>
        <v>1</v>
      </c>
      <c r="D113" s="21" t="str">
        <f>INDEX(①データ入力!$B$3:$Y$39,C113,(B113-1)*5+1)&amp;""</f>
        <v/>
      </c>
      <c r="E113" s="21" t="str">
        <f>INDEX(①データ入力!$B$3:$Y$39,C113,(B113-1)*5+2)&amp;""</f>
        <v/>
      </c>
      <c r="F113" s="21" t="str">
        <f t="shared" si="33"/>
        <v/>
      </c>
      <c r="G113" s="21">
        <f>INDEX(①データ入力!$B$3:$Y$39,C113,(B113-1)*5+3)</f>
        <v>0</v>
      </c>
      <c r="H113" s="21" t="str">
        <f>INDEX(①データ入力!$B$3:$Y$39,C113,(B113-1)*5+4)&amp;""</f>
        <v/>
      </c>
      <c r="I113" s="21" t="str">
        <f t="shared" si="34"/>
        <v/>
      </c>
      <c r="J113" s="21" t="str">
        <f t="shared" si="35"/>
        <v/>
      </c>
      <c r="K113" s="21" t="str">
        <f t="shared" si="36"/>
        <v/>
      </c>
      <c r="L113" s="21" t="str">
        <f t="shared" si="37"/>
        <v/>
      </c>
      <c r="M113" s="21" t="str">
        <f t="shared" si="38"/>
        <v>4組</v>
      </c>
      <c r="N113" s="21">
        <f t="shared" si="39"/>
        <v>0</v>
      </c>
    </row>
    <row r="114" spans="1:14" x14ac:dyDescent="0.15">
      <c r="A114" s="21">
        <f t="shared" si="30"/>
        <v>113</v>
      </c>
      <c r="B114" s="21">
        <f t="shared" si="31"/>
        <v>4</v>
      </c>
      <c r="C114" s="21">
        <f t="shared" si="32"/>
        <v>2</v>
      </c>
      <c r="D114" s="21" t="str">
        <f>INDEX(①データ入力!$B$3:$Y$39,C114,(B114-1)*5+1)&amp;""</f>
        <v/>
      </c>
      <c r="E114" s="21" t="str">
        <f>INDEX(①データ入力!$B$3:$Y$39,C114,(B114-1)*5+2)&amp;""</f>
        <v/>
      </c>
      <c r="F114" s="21" t="str">
        <f t="shared" si="33"/>
        <v/>
      </c>
      <c r="G114" s="21">
        <f>INDEX(①データ入力!$B$3:$Y$39,C114,(B114-1)*5+3)</f>
        <v>0</v>
      </c>
      <c r="H114" s="21" t="str">
        <f>INDEX(①データ入力!$B$3:$Y$39,C114,(B114-1)*5+4)&amp;""</f>
        <v/>
      </c>
      <c r="I114" s="21" t="str">
        <f t="shared" si="34"/>
        <v/>
      </c>
      <c r="J114" s="21" t="str">
        <f t="shared" si="35"/>
        <v/>
      </c>
      <c r="K114" s="21" t="str">
        <f t="shared" si="36"/>
        <v/>
      </c>
      <c r="L114" s="21" t="str">
        <f t="shared" si="37"/>
        <v/>
      </c>
      <c r="M114" s="21" t="str">
        <f t="shared" si="38"/>
        <v>4組</v>
      </c>
      <c r="N114" s="21">
        <f t="shared" si="39"/>
        <v>0</v>
      </c>
    </row>
    <row r="115" spans="1:14" x14ac:dyDescent="0.15">
      <c r="A115" s="21">
        <f t="shared" si="30"/>
        <v>114</v>
      </c>
      <c r="B115" s="21">
        <f t="shared" si="31"/>
        <v>4</v>
      </c>
      <c r="C115" s="21">
        <f t="shared" si="32"/>
        <v>3</v>
      </c>
      <c r="D115" s="21" t="str">
        <f>INDEX(①データ入力!$B$3:$Y$39,C115,(B115-1)*5+1)&amp;""</f>
        <v/>
      </c>
      <c r="E115" s="21" t="str">
        <f>INDEX(①データ入力!$B$3:$Y$39,C115,(B115-1)*5+2)&amp;""</f>
        <v/>
      </c>
      <c r="F115" s="21" t="str">
        <f t="shared" si="33"/>
        <v/>
      </c>
      <c r="G115" s="21">
        <f>INDEX(①データ入力!$B$3:$Y$39,C115,(B115-1)*5+3)</f>
        <v>0</v>
      </c>
      <c r="H115" s="21" t="str">
        <f>INDEX(①データ入力!$B$3:$Y$39,C115,(B115-1)*5+4)&amp;""</f>
        <v/>
      </c>
      <c r="I115" s="21" t="str">
        <f t="shared" si="34"/>
        <v/>
      </c>
      <c r="J115" s="21" t="str">
        <f t="shared" si="35"/>
        <v/>
      </c>
      <c r="K115" s="21" t="str">
        <f t="shared" si="36"/>
        <v/>
      </c>
      <c r="L115" s="21" t="str">
        <f t="shared" si="37"/>
        <v/>
      </c>
      <c r="M115" s="21" t="str">
        <f t="shared" si="38"/>
        <v>4組</v>
      </c>
      <c r="N115" s="21">
        <f t="shared" si="39"/>
        <v>0</v>
      </c>
    </row>
    <row r="116" spans="1:14" x14ac:dyDescent="0.15">
      <c r="A116" s="21">
        <f t="shared" si="30"/>
        <v>115</v>
      </c>
      <c r="B116" s="21">
        <f t="shared" si="31"/>
        <v>4</v>
      </c>
      <c r="C116" s="21">
        <f t="shared" si="32"/>
        <v>4</v>
      </c>
      <c r="D116" s="21" t="str">
        <f>INDEX(①データ入力!$B$3:$Y$39,C116,(B116-1)*5+1)&amp;""</f>
        <v/>
      </c>
      <c r="E116" s="21" t="str">
        <f>INDEX(①データ入力!$B$3:$Y$39,C116,(B116-1)*5+2)&amp;""</f>
        <v/>
      </c>
      <c r="F116" s="21" t="str">
        <f t="shared" si="33"/>
        <v/>
      </c>
      <c r="G116" s="21">
        <f>INDEX(①データ入力!$B$3:$Y$39,C116,(B116-1)*5+3)</f>
        <v>0</v>
      </c>
      <c r="H116" s="21" t="str">
        <f>INDEX(①データ入力!$B$3:$Y$39,C116,(B116-1)*5+4)&amp;""</f>
        <v/>
      </c>
      <c r="I116" s="21" t="str">
        <f t="shared" si="34"/>
        <v/>
      </c>
      <c r="J116" s="21" t="str">
        <f t="shared" si="35"/>
        <v/>
      </c>
      <c r="K116" s="21" t="str">
        <f t="shared" si="36"/>
        <v/>
      </c>
      <c r="L116" s="21" t="str">
        <f t="shared" si="37"/>
        <v/>
      </c>
      <c r="M116" s="21" t="str">
        <f t="shared" si="38"/>
        <v>4組</v>
      </c>
      <c r="N116" s="21">
        <f t="shared" si="39"/>
        <v>0</v>
      </c>
    </row>
    <row r="117" spans="1:14" x14ac:dyDescent="0.15">
      <c r="A117" s="21">
        <f t="shared" si="30"/>
        <v>116</v>
      </c>
      <c r="B117" s="21">
        <f t="shared" si="31"/>
        <v>4</v>
      </c>
      <c r="C117" s="21">
        <f t="shared" si="32"/>
        <v>5</v>
      </c>
      <c r="D117" s="21" t="str">
        <f>INDEX(①データ入力!$B$3:$Y$39,C117,(B117-1)*5+1)&amp;""</f>
        <v/>
      </c>
      <c r="E117" s="21" t="str">
        <f>INDEX(①データ入力!$B$3:$Y$39,C117,(B117-1)*5+2)&amp;""</f>
        <v/>
      </c>
      <c r="F117" s="21" t="str">
        <f t="shared" si="33"/>
        <v/>
      </c>
      <c r="G117" s="21">
        <f>INDEX(①データ入力!$B$3:$Y$39,C117,(B117-1)*5+3)</f>
        <v>0</v>
      </c>
      <c r="H117" s="21" t="str">
        <f>INDEX(①データ入力!$B$3:$Y$39,C117,(B117-1)*5+4)&amp;""</f>
        <v/>
      </c>
      <c r="I117" s="21" t="str">
        <f t="shared" si="34"/>
        <v/>
      </c>
      <c r="J117" s="21" t="str">
        <f t="shared" si="35"/>
        <v/>
      </c>
      <c r="K117" s="21" t="str">
        <f t="shared" si="36"/>
        <v/>
      </c>
      <c r="L117" s="21" t="str">
        <f t="shared" si="37"/>
        <v/>
      </c>
      <c r="M117" s="21" t="str">
        <f t="shared" si="38"/>
        <v>4組</v>
      </c>
      <c r="N117" s="21">
        <f t="shared" si="39"/>
        <v>0</v>
      </c>
    </row>
    <row r="118" spans="1:14" x14ac:dyDescent="0.15">
      <c r="A118" s="21">
        <f t="shared" si="30"/>
        <v>117</v>
      </c>
      <c r="B118" s="21">
        <f t="shared" si="31"/>
        <v>4</v>
      </c>
      <c r="C118" s="21">
        <f t="shared" si="32"/>
        <v>6</v>
      </c>
      <c r="D118" s="21" t="str">
        <f>INDEX(①データ入力!$B$3:$Y$39,C118,(B118-1)*5+1)&amp;""</f>
        <v/>
      </c>
      <c r="E118" s="21" t="str">
        <f>INDEX(①データ入力!$B$3:$Y$39,C118,(B118-1)*5+2)&amp;""</f>
        <v/>
      </c>
      <c r="F118" s="21" t="str">
        <f t="shared" si="33"/>
        <v/>
      </c>
      <c r="G118" s="21">
        <f>INDEX(①データ入力!$B$3:$Y$39,C118,(B118-1)*5+3)</f>
        <v>0</v>
      </c>
      <c r="H118" s="21" t="str">
        <f>INDEX(①データ入力!$B$3:$Y$39,C118,(B118-1)*5+4)&amp;""</f>
        <v/>
      </c>
      <c r="I118" s="21" t="str">
        <f t="shared" si="34"/>
        <v/>
      </c>
      <c r="J118" s="21" t="str">
        <f t="shared" si="35"/>
        <v/>
      </c>
      <c r="K118" s="21" t="str">
        <f t="shared" si="36"/>
        <v/>
      </c>
      <c r="L118" s="21" t="str">
        <f t="shared" si="37"/>
        <v/>
      </c>
      <c r="M118" s="21" t="str">
        <f t="shared" si="38"/>
        <v>4組</v>
      </c>
      <c r="N118" s="21">
        <f t="shared" si="39"/>
        <v>0</v>
      </c>
    </row>
    <row r="119" spans="1:14" x14ac:dyDescent="0.15">
      <c r="A119" s="21">
        <f t="shared" si="30"/>
        <v>118</v>
      </c>
      <c r="B119" s="21">
        <f t="shared" si="31"/>
        <v>4</v>
      </c>
      <c r="C119" s="21">
        <f t="shared" si="32"/>
        <v>7</v>
      </c>
      <c r="D119" s="21" t="str">
        <f>INDEX(①データ入力!$B$3:$Y$39,C119,(B119-1)*5+1)&amp;""</f>
        <v/>
      </c>
      <c r="E119" s="21" t="str">
        <f>INDEX(①データ入力!$B$3:$Y$39,C119,(B119-1)*5+2)&amp;""</f>
        <v/>
      </c>
      <c r="F119" s="21" t="str">
        <f t="shared" si="33"/>
        <v/>
      </c>
      <c r="G119" s="21">
        <f>INDEX(①データ入力!$B$3:$Y$39,C119,(B119-1)*5+3)</f>
        <v>0</v>
      </c>
      <c r="H119" s="21" t="str">
        <f>INDEX(①データ入力!$B$3:$Y$39,C119,(B119-1)*5+4)&amp;""</f>
        <v/>
      </c>
      <c r="I119" s="21" t="str">
        <f t="shared" si="34"/>
        <v/>
      </c>
      <c r="J119" s="21" t="str">
        <f t="shared" si="35"/>
        <v/>
      </c>
      <c r="K119" s="21" t="str">
        <f t="shared" si="36"/>
        <v/>
      </c>
      <c r="L119" s="21" t="str">
        <f t="shared" si="37"/>
        <v/>
      </c>
      <c r="M119" s="21" t="str">
        <f t="shared" si="38"/>
        <v>4組</v>
      </c>
      <c r="N119" s="21">
        <f t="shared" si="39"/>
        <v>0</v>
      </c>
    </row>
    <row r="120" spans="1:14" x14ac:dyDescent="0.15">
      <c r="A120" s="21">
        <f t="shared" si="30"/>
        <v>119</v>
      </c>
      <c r="B120" s="21">
        <f t="shared" si="31"/>
        <v>4</v>
      </c>
      <c r="C120" s="21">
        <f t="shared" si="32"/>
        <v>8</v>
      </c>
      <c r="D120" s="21" t="str">
        <f>INDEX(①データ入力!$B$3:$Y$39,C120,(B120-1)*5+1)&amp;""</f>
        <v/>
      </c>
      <c r="E120" s="21" t="str">
        <f>INDEX(①データ入力!$B$3:$Y$39,C120,(B120-1)*5+2)&amp;""</f>
        <v/>
      </c>
      <c r="F120" s="21" t="str">
        <f t="shared" si="33"/>
        <v/>
      </c>
      <c r="G120" s="21">
        <f>INDEX(①データ入力!$B$3:$Y$39,C120,(B120-1)*5+3)</f>
        <v>0</v>
      </c>
      <c r="H120" s="21" t="str">
        <f>INDEX(①データ入力!$B$3:$Y$39,C120,(B120-1)*5+4)&amp;""</f>
        <v/>
      </c>
      <c r="I120" s="21" t="str">
        <f t="shared" si="34"/>
        <v/>
      </c>
      <c r="J120" s="21" t="str">
        <f t="shared" si="35"/>
        <v/>
      </c>
      <c r="K120" s="21" t="str">
        <f t="shared" si="36"/>
        <v/>
      </c>
      <c r="L120" s="21" t="str">
        <f t="shared" si="37"/>
        <v/>
      </c>
      <c r="M120" s="21" t="str">
        <f t="shared" si="38"/>
        <v>4組</v>
      </c>
      <c r="N120" s="21">
        <f t="shared" si="39"/>
        <v>0</v>
      </c>
    </row>
    <row r="121" spans="1:14" x14ac:dyDescent="0.15">
      <c r="A121" s="21">
        <f t="shared" si="30"/>
        <v>120</v>
      </c>
      <c r="B121" s="21">
        <f t="shared" si="31"/>
        <v>4</v>
      </c>
      <c r="C121" s="21">
        <f t="shared" si="32"/>
        <v>9</v>
      </c>
      <c r="D121" s="21" t="str">
        <f>INDEX(①データ入力!$B$3:$Y$39,C121,(B121-1)*5+1)&amp;""</f>
        <v/>
      </c>
      <c r="E121" s="21" t="str">
        <f>INDEX(①データ入力!$B$3:$Y$39,C121,(B121-1)*5+2)&amp;""</f>
        <v/>
      </c>
      <c r="F121" s="21" t="str">
        <f t="shared" si="33"/>
        <v/>
      </c>
      <c r="G121" s="21">
        <f>INDEX(①データ入力!$B$3:$Y$39,C121,(B121-1)*5+3)</f>
        <v>0</v>
      </c>
      <c r="H121" s="21" t="str">
        <f>INDEX(①データ入力!$B$3:$Y$39,C121,(B121-1)*5+4)&amp;""</f>
        <v/>
      </c>
      <c r="I121" s="21" t="str">
        <f t="shared" si="34"/>
        <v/>
      </c>
      <c r="J121" s="21" t="str">
        <f t="shared" si="35"/>
        <v/>
      </c>
      <c r="K121" s="21" t="str">
        <f t="shared" si="36"/>
        <v/>
      </c>
      <c r="L121" s="21" t="str">
        <f t="shared" si="37"/>
        <v/>
      </c>
      <c r="M121" s="21" t="str">
        <f t="shared" si="38"/>
        <v>4組</v>
      </c>
      <c r="N121" s="21">
        <f t="shared" si="39"/>
        <v>0</v>
      </c>
    </row>
    <row r="122" spans="1:14" x14ac:dyDescent="0.15">
      <c r="A122" s="21">
        <f t="shared" si="30"/>
        <v>121</v>
      </c>
      <c r="B122" s="21">
        <f t="shared" si="31"/>
        <v>4</v>
      </c>
      <c r="C122" s="21">
        <f t="shared" si="32"/>
        <v>10</v>
      </c>
      <c r="D122" s="21" t="str">
        <f>INDEX(①データ入力!$B$3:$Y$39,C122,(B122-1)*5+1)&amp;""</f>
        <v/>
      </c>
      <c r="E122" s="21" t="str">
        <f>INDEX(①データ入力!$B$3:$Y$39,C122,(B122-1)*5+2)&amp;""</f>
        <v/>
      </c>
      <c r="F122" s="21" t="str">
        <f t="shared" si="33"/>
        <v/>
      </c>
      <c r="G122" s="21">
        <f>INDEX(①データ入力!$B$3:$Y$39,C122,(B122-1)*5+3)</f>
        <v>0</v>
      </c>
      <c r="H122" s="21" t="str">
        <f>INDEX(①データ入力!$B$3:$Y$39,C122,(B122-1)*5+4)&amp;""</f>
        <v/>
      </c>
      <c r="I122" s="21" t="str">
        <f t="shared" si="34"/>
        <v/>
      </c>
      <c r="J122" s="21" t="str">
        <f t="shared" si="35"/>
        <v/>
      </c>
      <c r="K122" s="21" t="str">
        <f t="shared" si="36"/>
        <v/>
      </c>
      <c r="L122" s="21" t="str">
        <f t="shared" si="37"/>
        <v/>
      </c>
      <c r="M122" s="21" t="str">
        <f t="shared" si="38"/>
        <v>4組</v>
      </c>
      <c r="N122" s="21">
        <f t="shared" si="39"/>
        <v>0</v>
      </c>
    </row>
    <row r="123" spans="1:14" x14ac:dyDescent="0.15">
      <c r="A123" s="21">
        <f t="shared" si="30"/>
        <v>122</v>
      </c>
      <c r="B123" s="21">
        <f t="shared" si="31"/>
        <v>4</v>
      </c>
      <c r="C123" s="21">
        <f t="shared" si="32"/>
        <v>11</v>
      </c>
      <c r="D123" s="21" t="str">
        <f>INDEX(①データ入力!$B$3:$Y$39,C123,(B123-1)*5+1)&amp;""</f>
        <v/>
      </c>
      <c r="E123" s="21" t="str">
        <f>INDEX(①データ入力!$B$3:$Y$39,C123,(B123-1)*5+2)&amp;""</f>
        <v/>
      </c>
      <c r="F123" s="21" t="str">
        <f t="shared" si="33"/>
        <v/>
      </c>
      <c r="G123" s="21">
        <f>INDEX(①データ入力!$B$3:$Y$39,C123,(B123-1)*5+3)</f>
        <v>0</v>
      </c>
      <c r="H123" s="21" t="str">
        <f>INDEX(①データ入力!$B$3:$Y$39,C123,(B123-1)*5+4)&amp;""</f>
        <v/>
      </c>
      <c r="I123" s="21" t="str">
        <f t="shared" si="34"/>
        <v/>
      </c>
      <c r="J123" s="21" t="str">
        <f t="shared" si="35"/>
        <v/>
      </c>
      <c r="K123" s="21" t="str">
        <f t="shared" si="36"/>
        <v/>
      </c>
      <c r="L123" s="21" t="str">
        <f t="shared" si="37"/>
        <v/>
      </c>
      <c r="M123" s="21" t="str">
        <f t="shared" si="38"/>
        <v>4組</v>
      </c>
      <c r="N123" s="21">
        <f t="shared" si="39"/>
        <v>0</v>
      </c>
    </row>
    <row r="124" spans="1:14" x14ac:dyDescent="0.15">
      <c r="A124" s="21">
        <f t="shared" si="30"/>
        <v>123</v>
      </c>
      <c r="B124" s="21">
        <f t="shared" si="31"/>
        <v>4</v>
      </c>
      <c r="C124" s="21">
        <f t="shared" si="32"/>
        <v>12</v>
      </c>
      <c r="D124" s="21" t="str">
        <f>INDEX(①データ入力!$B$3:$Y$39,C124,(B124-1)*5+1)&amp;""</f>
        <v/>
      </c>
      <c r="E124" s="21" t="str">
        <f>INDEX(①データ入力!$B$3:$Y$39,C124,(B124-1)*5+2)&amp;""</f>
        <v/>
      </c>
      <c r="F124" s="21" t="str">
        <f t="shared" si="33"/>
        <v/>
      </c>
      <c r="G124" s="21">
        <f>INDEX(①データ入力!$B$3:$Y$39,C124,(B124-1)*5+3)</f>
        <v>0</v>
      </c>
      <c r="H124" s="21" t="str">
        <f>INDEX(①データ入力!$B$3:$Y$39,C124,(B124-1)*5+4)&amp;""</f>
        <v/>
      </c>
      <c r="I124" s="21" t="str">
        <f t="shared" si="34"/>
        <v/>
      </c>
      <c r="J124" s="21" t="str">
        <f t="shared" si="35"/>
        <v/>
      </c>
      <c r="K124" s="21" t="str">
        <f t="shared" si="36"/>
        <v/>
      </c>
      <c r="L124" s="21" t="str">
        <f t="shared" si="37"/>
        <v/>
      </c>
      <c r="M124" s="21" t="str">
        <f t="shared" si="38"/>
        <v>4組</v>
      </c>
      <c r="N124" s="21">
        <f t="shared" si="39"/>
        <v>0</v>
      </c>
    </row>
    <row r="125" spans="1:14" x14ac:dyDescent="0.15">
      <c r="A125" s="21">
        <f t="shared" si="30"/>
        <v>124</v>
      </c>
      <c r="B125" s="21">
        <f t="shared" si="31"/>
        <v>4</v>
      </c>
      <c r="C125" s="21">
        <f t="shared" si="32"/>
        <v>13</v>
      </c>
      <c r="D125" s="21" t="str">
        <f>INDEX(①データ入力!$B$3:$Y$39,C125,(B125-1)*5+1)&amp;""</f>
        <v/>
      </c>
      <c r="E125" s="21" t="str">
        <f>INDEX(①データ入力!$B$3:$Y$39,C125,(B125-1)*5+2)&amp;""</f>
        <v/>
      </c>
      <c r="F125" s="21" t="str">
        <f t="shared" si="33"/>
        <v/>
      </c>
      <c r="G125" s="21">
        <f>INDEX(①データ入力!$B$3:$Y$39,C125,(B125-1)*5+3)</f>
        <v>0</v>
      </c>
      <c r="H125" s="21" t="str">
        <f>INDEX(①データ入力!$B$3:$Y$39,C125,(B125-1)*5+4)&amp;""</f>
        <v/>
      </c>
      <c r="I125" s="21" t="str">
        <f t="shared" si="34"/>
        <v/>
      </c>
      <c r="J125" s="21" t="str">
        <f t="shared" si="35"/>
        <v/>
      </c>
      <c r="K125" s="21" t="str">
        <f t="shared" si="36"/>
        <v/>
      </c>
      <c r="L125" s="21" t="str">
        <f t="shared" si="37"/>
        <v/>
      </c>
      <c r="M125" s="21" t="str">
        <f t="shared" si="38"/>
        <v>4組</v>
      </c>
      <c r="N125" s="21">
        <f t="shared" si="39"/>
        <v>0</v>
      </c>
    </row>
    <row r="126" spans="1:14" x14ac:dyDescent="0.15">
      <c r="A126" s="21">
        <f t="shared" si="30"/>
        <v>125</v>
      </c>
      <c r="B126" s="21">
        <f t="shared" si="31"/>
        <v>4</v>
      </c>
      <c r="C126" s="21">
        <f t="shared" si="32"/>
        <v>14</v>
      </c>
      <c r="D126" s="21" t="str">
        <f>INDEX(①データ入力!$B$3:$Y$39,C126,(B126-1)*5+1)&amp;""</f>
        <v/>
      </c>
      <c r="E126" s="21" t="str">
        <f>INDEX(①データ入力!$B$3:$Y$39,C126,(B126-1)*5+2)&amp;""</f>
        <v/>
      </c>
      <c r="F126" s="21" t="str">
        <f t="shared" si="33"/>
        <v/>
      </c>
      <c r="G126" s="21">
        <f>INDEX(①データ入力!$B$3:$Y$39,C126,(B126-1)*5+3)</f>
        <v>0</v>
      </c>
      <c r="H126" s="21" t="str">
        <f>INDEX(①データ入力!$B$3:$Y$39,C126,(B126-1)*5+4)&amp;""</f>
        <v/>
      </c>
      <c r="I126" s="21" t="str">
        <f t="shared" si="34"/>
        <v/>
      </c>
      <c r="J126" s="21" t="str">
        <f t="shared" si="35"/>
        <v/>
      </c>
      <c r="K126" s="21" t="str">
        <f t="shared" si="36"/>
        <v/>
      </c>
      <c r="L126" s="21" t="str">
        <f t="shared" si="37"/>
        <v/>
      </c>
      <c r="M126" s="21" t="str">
        <f t="shared" si="38"/>
        <v>4組</v>
      </c>
      <c r="N126" s="21">
        <f t="shared" si="39"/>
        <v>0</v>
      </c>
    </row>
    <row r="127" spans="1:14" x14ac:dyDescent="0.15">
      <c r="A127" s="21">
        <f t="shared" si="30"/>
        <v>126</v>
      </c>
      <c r="B127" s="21">
        <f t="shared" si="31"/>
        <v>4</v>
      </c>
      <c r="C127" s="21">
        <f t="shared" si="32"/>
        <v>15</v>
      </c>
      <c r="D127" s="21" t="str">
        <f>INDEX(①データ入力!$B$3:$Y$39,C127,(B127-1)*5+1)&amp;""</f>
        <v/>
      </c>
      <c r="E127" s="21" t="str">
        <f>INDEX(①データ入力!$B$3:$Y$39,C127,(B127-1)*5+2)&amp;""</f>
        <v/>
      </c>
      <c r="F127" s="21" t="str">
        <f t="shared" si="33"/>
        <v/>
      </c>
      <c r="G127" s="21">
        <f>INDEX(①データ入力!$B$3:$Y$39,C127,(B127-1)*5+3)</f>
        <v>0</v>
      </c>
      <c r="H127" s="21" t="str">
        <f>INDEX(①データ入力!$B$3:$Y$39,C127,(B127-1)*5+4)&amp;""</f>
        <v/>
      </c>
      <c r="I127" s="21" t="str">
        <f t="shared" si="34"/>
        <v/>
      </c>
      <c r="J127" s="21" t="str">
        <f t="shared" si="35"/>
        <v/>
      </c>
      <c r="K127" s="21" t="str">
        <f t="shared" si="36"/>
        <v/>
      </c>
      <c r="L127" s="21" t="str">
        <f t="shared" si="37"/>
        <v/>
      </c>
      <c r="M127" s="21" t="str">
        <f t="shared" si="38"/>
        <v>4組</v>
      </c>
      <c r="N127" s="21">
        <f t="shared" si="39"/>
        <v>0</v>
      </c>
    </row>
    <row r="128" spans="1:14" x14ac:dyDescent="0.15">
      <c r="A128" s="21">
        <f t="shared" si="30"/>
        <v>127</v>
      </c>
      <c r="B128" s="21">
        <f t="shared" si="31"/>
        <v>4</v>
      </c>
      <c r="C128" s="21">
        <f t="shared" si="32"/>
        <v>16</v>
      </c>
      <c r="D128" s="21" t="str">
        <f>INDEX(①データ入力!$B$3:$Y$39,C128,(B128-1)*5+1)&amp;""</f>
        <v/>
      </c>
      <c r="E128" s="21" t="str">
        <f>INDEX(①データ入力!$B$3:$Y$39,C128,(B128-1)*5+2)&amp;""</f>
        <v/>
      </c>
      <c r="F128" s="21" t="str">
        <f t="shared" si="33"/>
        <v/>
      </c>
      <c r="G128" s="21">
        <f>INDEX(①データ入力!$B$3:$Y$39,C128,(B128-1)*5+3)</f>
        <v>0</v>
      </c>
      <c r="H128" s="21" t="str">
        <f>INDEX(①データ入力!$B$3:$Y$39,C128,(B128-1)*5+4)&amp;""</f>
        <v/>
      </c>
      <c r="I128" s="21" t="str">
        <f t="shared" si="34"/>
        <v/>
      </c>
      <c r="J128" s="21" t="str">
        <f t="shared" si="35"/>
        <v/>
      </c>
      <c r="K128" s="21" t="str">
        <f t="shared" si="36"/>
        <v/>
      </c>
      <c r="L128" s="21" t="str">
        <f t="shared" si="37"/>
        <v/>
      </c>
      <c r="M128" s="21" t="str">
        <f t="shared" si="38"/>
        <v>4組</v>
      </c>
      <c r="N128" s="21">
        <f t="shared" si="39"/>
        <v>0</v>
      </c>
    </row>
    <row r="129" spans="1:14" x14ac:dyDescent="0.15">
      <c r="A129" s="21">
        <f t="shared" si="30"/>
        <v>128</v>
      </c>
      <c r="B129" s="21">
        <f t="shared" si="31"/>
        <v>4</v>
      </c>
      <c r="C129" s="21">
        <f t="shared" si="32"/>
        <v>17</v>
      </c>
      <c r="D129" s="21" t="str">
        <f>INDEX(①データ入力!$B$3:$Y$39,C129,(B129-1)*5+1)&amp;""</f>
        <v/>
      </c>
      <c r="E129" s="21" t="str">
        <f>INDEX(①データ入力!$B$3:$Y$39,C129,(B129-1)*5+2)&amp;""</f>
        <v/>
      </c>
      <c r="F129" s="21" t="str">
        <f t="shared" si="33"/>
        <v/>
      </c>
      <c r="G129" s="21">
        <f>INDEX(①データ入力!$B$3:$Y$39,C129,(B129-1)*5+3)</f>
        <v>0</v>
      </c>
      <c r="H129" s="21" t="str">
        <f>INDEX(①データ入力!$B$3:$Y$39,C129,(B129-1)*5+4)&amp;""</f>
        <v/>
      </c>
      <c r="I129" s="21" t="str">
        <f t="shared" si="34"/>
        <v/>
      </c>
      <c r="J129" s="21" t="str">
        <f t="shared" si="35"/>
        <v/>
      </c>
      <c r="K129" s="21" t="str">
        <f t="shared" si="36"/>
        <v/>
      </c>
      <c r="L129" s="21" t="str">
        <f t="shared" si="37"/>
        <v/>
      </c>
      <c r="M129" s="21" t="str">
        <f t="shared" si="38"/>
        <v>4組</v>
      </c>
      <c r="N129" s="21">
        <f t="shared" si="39"/>
        <v>0</v>
      </c>
    </row>
    <row r="130" spans="1:14" x14ac:dyDescent="0.15">
      <c r="A130" s="21">
        <f t="shared" ref="A130:A161" si="40">ROW()-1</f>
        <v>129</v>
      </c>
      <c r="B130" s="21">
        <f t="shared" ref="B130:B161" si="41">INT((A130-1)/37)+1</f>
        <v>4</v>
      </c>
      <c r="C130" s="21">
        <f t="shared" ref="C130:C161" si="42">MOD(A130-1,37)+1</f>
        <v>18</v>
      </c>
      <c r="D130" s="21" t="str">
        <f>INDEX(①データ入力!$B$3:$Y$39,C130,(B130-1)*5+1)&amp;""</f>
        <v/>
      </c>
      <c r="E130" s="21" t="str">
        <f>INDEX(①データ入力!$B$3:$Y$39,C130,(B130-1)*5+2)&amp;""</f>
        <v/>
      </c>
      <c r="F130" s="21" t="str">
        <f t="shared" ref="F130:F161" si="43">IF(OR(E130="1",E130="１",E130="男"),"男",IF(OR(E130="2",E130="２",E130="女"),"女",""))</f>
        <v/>
      </c>
      <c r="G130" s="21">
        <f>INDEX(①データ入力!$B$3:$Y$39,C130,(B130-1)*5+3)</f>
        <v>0</v>
      </c>
      <c r="H130" s="21" t="str">
        <f>INDEX(①データ入力!$B$3:$Y$39,C130,(B130-1)*5+4)&amp;""</f>
        <v/>
      </c>
      <c r="I130" s="21" t="str">
        <f t="shared" ref="I130:I161" si="44">IF(LEFT(TRIM(H130),1)="赤","赤",IF(LEFT(TRIM(H130),1)="白","白",""))</f>
        <v/>
      </c>
      <c r="J130" s="21" t="str">
        <f t="shared" ref="J130:J161" si="45">IF(AND(D130&lt;&gt;"",F130&lt;&gt;"",I130&lt;&gt;"",ISNUMBER(G130)),F130&amp;I130,"")</f>
        <v/>
      </c>
      <c r="K130" s="21" t="str">
        <f t="shared" ref="K130:K161" si="46">IF(J130="","",COUNTIFS($J$2:$J$186,J130,$G$2:$G$186,"&lt;"&amp;G130)+COUNTIFS($J$2:$J$186,J130,$G$2:$G$186,G130,$A$2:$A$186,"&lt;"&amp;A130)+1)</f>
        <v/>
      </c>
      <c r="L130" s="21" t="str">
        <f t="shared" ref="L130:L161" si="47">IF(J130="","",J130&amp;K130)</f>
        <v/>
      </c>
      <c r="M130" s="21" t="str">
        <f t="shared" ref="M130:M161" si="48">B130&amp;"組"</f>
        <v>4組</v>
      </c>
      <c r="N130" s="21">
        <f t="shared" ref="N130:N161" si="49">IF(AND(D130&lt;&gt;"",J130=""),1,0)</f>
        <v>0</v>
      </c>
    </row>
    <row r="131" spans="1:14" x14ac:dyDescent="0.15">
      <c r="A131" s="21">
        <f t="shared" si="40"/>
        <v>130</v>
      </c>
      <c r="B131" s="21">
        <f t="shared" si="41"/>
        <v>4</v>
      </c>
      <c r="C131" s="21">
        <f t="shared" si="42"/>
        <v>19</v>
      </c>
      <c r="D131" s="21" t="str">
        <f>INDEX(①データ入力!$B$3:$Y$39,C131,(B131-1)*5+1)&amp;""</f>
        <v/>
      </c>
      <c r="E131" s="21" t="str">
        <f>INDEX(①データ入力!$B$3:$Y$39,C131,(B131-1)*5+2)&amp;""</f>
        <v/>
      </c>
      <c r="F131" s="21" t="str">
        <f t="shared" si="43"/>
        <v/>
      </c>
      <c r="G131" s="21">
        <f>INDEX(①データ入力!$B$3:$Y$39,C131,(B131-1)*5+3)</f>
        <v>0</v>
      </c>
      <c r="H131" s="21" t="str">
        <f>INDEX(①データ入力!$B$3:$Y$39,C131,(B131-1)*5+4)&amp;""</f>
        <v/>
      </c>
      <c r="I131" s="21" t="str">
        <f t="shared" si="44"/>
        <v/>
      </c>
      <c r="J131" s="21" t="str">
        <f t="shared" si="45"/>
        <v/>
      </c>
      <c r="K131" s="21" t="str">
        <f t="shared" si="46"/>
        <v/>
      </c>
      <c r="L131" s="21" t="str">
        <f t="shared" si="47"/>
        <v/>
      </c>
      <c r="M131" s="21" t="str">
        <f t="shared" si="48"/>
        <v>4組</v>
      </c>
      <c r="N131" s="21">
        <f t="shared" si="49"/>
        <v>0</v>
      </c>
    </row>
    <row r="132" spans="1:14" x14ac:dyDescent="0.15">
      <c r="A132" s="21">
        <f t="shared" si="40"/>
        <v>131</v>
      </c>
      <c r="B132" s="21">
        <f t="shared" si="41"/>
        <v>4</v>
      </c>
      <c r="C132" s="21">
        <f t="shared" si="42"/>
        <v>20</v>
      </c>
      <c r="D132" s="21" t="str">
        <f>INDEX(①データ入力!$B$3:$Y$39,C132,(B132-1)*5+1)&amp;""</f>
        <v/>
      </c>
      <c r="E132" s="21" t="str">
        <f>INDEX(①データ入力!$B$3:$Y$39,C132,(B132-1)*5+2)&amp;""</f>
        <v/>
      </c>
      <c r="F132" s="21" t="str">
        <f t="shared" si="43"/>
        <v/>
      </c>
      <c r="G132" s="21">
        <f>INDEX(①データ入力!$B$3:$Y$39,C132,(B132-1)*5+3)</f>
        <v>0</v>
      </c>
      <c r="H132" s="21" t="str">
        <f>INDEX(①データ入力!$B$3:$Y$39,C132,(B132-1)*5+4)&amp;""</f>
        <v/>
      </c>
      <c r="I132" s="21" t="str">
        <f t="shared" si="44"/>
        <v/>
      </c>
      <c r="J132" s="21" t="str">
        <f t="shared" si="45"/>
        <v/>
      </c>
      <c r="K132" s="21" t="str">
        <f t="shared" si="46"/>
        <v/>
      </c>
      <c r="L132" s="21" t="str">
        <f t="shared" si="47"/>
        <v/>
      </c>
      <c r="M132" s="21" t="str">
        <f t="shared" si="48"/>
        <v>4組</v>
      </c>
      <c r="N132" s="21">
        <f t="shared" si="49"/>
        <v>0</v>
      </c>
    </row>
    <row r="133" spans="1:14" x14ac:dyDescent="0.15">
      <c r="A133" s="21">
        <f t="shared" si="40"/>
        <v>132</v>
      </c>
      <c r="B133" s="21">
        <f t="shared" si="41"/>
        <v>4</v>
      </c>
      <c r="C133" s="21">
        <f t="shared" si="42"/>
        <v>21</v>
      </c>
      <c r="D133" s="21" t="str">
        <f>INDEX(①データ入力!$B$3:$Y$39,C133,(B133-1)*5+1)&amp;""</f>
        <v/>
      </c>
      <c r="E133" s="21" t="str">
        <f>INDEX(①データ入力!$B$3:$Y$39,C133,(B133-1)*5+2)&amp;""</f>
        <v/>
      </c>
      <c r="F133" s="21" t="str">
        <f t="shared" si="43"/>
        <v/>
      </c>
      <c r="G133" s="21">
        <f>INDEX(①データ入力!$B$3:$Y$39,C133,(B133-1)*5+3)</f>
        <v>0</v>
      </c>
      <c r="H133" s="21" t="str">
        <f>INDEX(①データ入力!$B$3:$Y$39,C133,(B133-1)*5+4)&amp;""</f>
        <v/>
      </c>
      <c r="I133" s="21" t="str">
        <f t="shared" si="44"/>
        <v/>
      </c>
      <c r="J133" s="21" t="str">
        <f t="shared" si="45"/>
        <v/>
      </c>
      <c r="K133" s="21" t="str">
        <f t="shared" si="46"/>
        <v/>
      </c>
      <c r="L133" s="21" t="str">
        <f t="shared" si="47"/>
        <v/>
      </c>
      <c r="M133" s="21" t="str">
        <f t="shared" si="48"/>
        <v>4組</v>
      </c>
      <c r="N133" s="21">
        <f t="shared" si="49"/>
        <v>0</v>
      </c>
    </row>
    <row r="134" spans="1:14" x14ac:dyDescent="0.15">
      <c r="A134" s="21">
        <f t="shared" si="40"/>
        <v>133</v>
      </c>
      <c r="B134" s="21">
        <f t="shared" si="41"/>
        <v>4</v>
      </c>
      <c r="C134" s="21">
        <f t="shared" si="42"/>
        <v>22</v>
      </c>
      <c r="D134" s="21" t="str">
        <f>INDEX(①データ入力!$B$3:$Y$39,C134,(B134-1)*5+1)&amp;""</f>
        <v/>
      </c>
      <c r="E134" s="21" t="str">
        <f>INDEX(①データ入力!$B$3:$Y$39,C134,(B134-1)*5+2)&amp;""</f>
        <v/>
      </c>
      <c r="F134" s="21" t="str">
        <f t="shared" si="43"/>
        <v/>
      </c>
      <c r="G134" s="21">
        <f>INDEX(①データ入力!$B$3:$Y$39,C134,(B134-1)*5+3)</f>
        <v>0</v>
      </c>
      <c r="H134" s="21" t="str">
        <f>INDEX(①データ入力!$B$3:$Y$39,C134,(B134-1)*5+4)&amp;""</f>
        <v/>
      </c>
      <c r="I134" s="21" t="str">
        <f t="shared" si="44"/>
        <v/>
      </c>
      <c r="J134" s="21" t="str">
        <f t="shared" si="45"/>
        <v/>
      </c>
      <c r="K134" s="21" t="str">
        <f t="shared" si="46"/>
        <v/>
      </c>
      <c r="L134" s="21" t="str">
        <f t="shared" si="47"/>
        <v/>
      </c>
      <c r="M134" s="21" t="str">
        <f t="shared" si="48"/>
        <v>4組</v>
      </c>
      <c r="N134" s="21">
        <f t="shared" si="49"/>
        <v>0</v>
      </c>
    </row>
    <row r="135" spans="1:14" x14ac:dyDescent="0.15">
      <c r="A135" s="21">
        <f t="shared" si="40"/>
        <v>134</v>
      </c>
      <c r="B135" s="21">
        <f t="shared" si="41"/>
        <v>4</v>
      </c>
      <c r="C135" s="21">
        <f t="shared" si="42"/>
        <v>23</v>
      </c>
      <c r="D135" s="21" t="str">
        <f>INDEX(①データ入力!$B$3:$Y$39,C135,(B135-1)*5+1)&amp;""</f>
        <v/>
      </c>
      <c r="E135" s="21" t="str">
        <f>INDEX(①データ入力!$B$3:$Y$39,C135,(B135-1)*5+2)&amp;""</f>
        <v/>
      </c>
      <c r="F135" s="21" t="str">
        <f t="shared" si="43"/>
        <v/>
      </c>
      <c r="G135" s="21">
        <f>INDEX(①データ入力!$B$3:$Y$39,C135,(B135-1)*5+3)</f>
        <v>0</v>
      </c>
      <c r="H135" s="21" t="str">
        <f>INDEX(①データ入力!$B$3:$Y$39,C135,(B135-1)*5+4)&amp;""</f>
        <v/>
      </c>
      <c r="I135" s="21" t="str">
        <f t="shared" si="44"/>
        <v/>
      </c>
      <c r="J135" s="21" t="str">
        <f t="shared" si="45"/>
        <v/>
      </c>
      <c r="K135" s="21" t="str">
        <f t="shared" si="46"/>
        <v/>
      </c>
      <c r="L135" s="21" t="str">
        <f t="shared" si="47"/>
        <v/>
      </c>
      <c r="M135" s="21" t="str">
        <f t="shared" si="48"/>
        <v>4組</v>
      </c>
      <c r="N135" s="21">
        <f t="shared" si="49"/>
        <v>0</v>
      </c>
    </row>
    <row r="136" spans="1:14" x14ac:dyDescent="0.15">
      <c r="A136" s="21">
        <f t="shared" si="40"/>
        <v>135</v>
      </c>
      <c r="B136" s="21">
        <f t="shared" si="41"/>
        <v>4</v>
      </c>
      <c r="C136" s="21">
        <f t="shared" si="42"/>
        <v>24</v>
      </c>
      <c r="D136" s="21" t="str">
        <f>INDEX(①データ入力!$B$3:$Y$39,C136,(B136-1)*5+1)&amp;""</f>
        <v/>
      </c>
      <c r="E136" s="21" t="str">
        <f>INDEX(①データ入力!$B$3:$Y$39,C136,(B136-1)*5+2)&amp;""</f>
        <v/>
      </c>
      <c r="F136" s="21" t="str">
        <f t="shared" si="43"/>
        <v/>
      </c>
      <c r="G136" s="21">
        <f>INDEX(①データ入力!$B$3:$Y$39,C136,(B136-1)*5+3)</f>
        <v>0</v>
      </c>
      <c r="H136" s="21" t="str">
        <f>INDEX(①データ入力!$B$3:$Y$39,C136,(B136-1)*5+4)&amp;""</f>
        <v/>
      </c>
      <c r="I136" s="21" t="str">
        <f t="shared" si="44"/>
        <v/>
      </c>
      <c r="J136" s="21" t="str">
        <f t="shared" si="45"/>
        <v/>
      </c>
      <c r="K136" s="21" t="str">
        <f t="shared" si="46"/>
        <v/>
      </c>
      <c r="L136" s="21" t="str">
        <f t="shared" si="47"/>
        <v/>
      </c>
      <c r="M136" s="21" t="str">
        <f t="shared" si="48"/>
        <v>4組</v>
      </c>
      <c r="N136" s="21">
        <f t="shared" si="49"/>
        <v>0</v>
      </c>
    </row>
    <row r="137" spans="1:14" x14ac:dyDescent="0.15">
      <c r="A137" s="21">
        <f t="shared" si="40"/>
        <v>136</v>
      </c>
      <c r="B137" s="21">
        <f t="shared" si="41"/>
        <v>4</v>
      </c>
      <c r="C137" s="21">
        <f t="shared" si="42"/>
        <v>25</v>
      </c>
      <c r="D137" s="21" t="str">
        <f>INDEX(①データ入力!$B$3:$Y$39,C137,(B137-1)*5+1)&amp;""</f>
        <v/>
      </c>
      <c r="E137" s="21" t="str">
        <f>INDEX(①データ入力!$B$3:$Y$39,C137,(B137-1)*5+2)&amp;""</f>
        <v/>
      </c>
      <c r="F137" s="21" t="str">
        <f t="shared" si="43"/>
        <v/>
      </c>
      <c r="G137" s="21">
        <f>INDEX(①データ入力!$B$3:$Y$39,C137,(B137-1)*5+3)</f>
        <v>0</v>
      </c>
      <c r="H137" s="21" t="str">
        <f>INDEX(①データ入力!$B$3:$Y$39,C137,(B137-1)*5+4)&amp;""</f>
        <v/>
      </c>
      <c r="I137" s="21" t="str">
        <f t="shared" si="44"/>
        <v/>
      </c>
      <c r="J137" s="21" t="str">
        <f t="shared" si="45"/>
        <v/>
      </c>
      <c r="K137" s="21" t="str">
        <f t="shared" si="46"/>
        <v/>
      </c>
      <c r="L137" s="21" t="str">
        <f t="shared" si="47"/>
        <v/>
      </c>
      <c r="M137" s="21" t="str">
        <f t="shared" si="48"/>
        <v>4組</v>
      </c>
      <c r="N137" s="21">
        <f t="shared" si="49"/>
        <v>0</v>
      </c>
    </row>
    <row r="138" spans="1:14" x14ac:dyDescent="0.15">
      <c r="A138" s="21">
        <f t="shared" si="40"/>
        <v>137</v>
      </c>
      <c r="B138" s="21">
        <f t="shared" si="41"/>
        <v>4</v>
      </c>
      <c r="C138" s="21">
        <f t="shared" si="42"/>
        <v>26</v>
      </c>
      <c r="D138" s="21" t="str">
        <f>INDEX(①データ入力!$B$3:$Y$39,C138,(B138-1)*5+1)&amp;""</f>
        <v/>
      </c>
      <c r="E138" s="21" t="str">
        <f>INDEX(①データ入力!$B$3:$Y$39,C138,(B138-1)*5+2)&amp;""</f>
        <v/>
      </c>
      <c r="F138" s="21" t="str">
        <f t="shared" si="43"/>
        <v/>
      </c>
      <c r="G138" s="21">
        <f>INDEX(①データ入力!$B$3:$Y$39,C138,(B138-1)*5+3)</f>
        <v>0</v>
      </c>
      <c r="H138" s="21" t="str">
        <f>INDEX(①データ入力!$B$3:$Y$39,C138,(B138-1)*5+4)&amp;""</f>
        <v/>
      </c>
      <c r="I138" s="21" t="str">
        <f t="shared" si="44"/>
        <v/>
      </c>
      <c r="J138" s="21" t="str">
        <f t="shared" si="45"/>
        <v/>
      </c>
      <c r="K138" s="21" t="str">
        <f t="shared" si="46"/>
        <v/>
      </c>
      <c r="L138" s="21" t="str">
        <f t="shared" si="47"/>
        <v/>
      </c>
      <c r="M138" s="21" t="str">
        <f t="shared" si="48"/>
        <v>4組</v>
      </c>
      <c r="N138" s="21">
        <f t="shared" si="49"/>
        <v>0</v>
      </c>
    </row>
    <row r="139" spans="1:14" x14ac:dyDescent="0.15">
      <c r="A139" s="21">
        <f t="shared" si="40"/>
        <v>138</v>
      </c>
      <c r="B139" s="21">
        <f t="shared" si="41"/>
        <v>4</v>
      </c>
      <c r="C139" s="21">
        <f t="shared" si="42"/>
        <v>27</v>
      </c>
      <c r="D139" s="21" t="str">
        <f>INDEX(①データ入力!$B$3:$Y$39,C139,(B139-1)*5+1)&amp;""</f>
        <v/>
      </c>
      <c r="E139" s="21" t="str">
        <f>INDEX(①データ入力!$B$3:$Y$39,C139,(B139-1)*5+2)&amp;""</f>
        <v/>
      </c>
      <c r="F139" s="21" t="str">
        <f t="shared" si="43"/>
        <v/>
      </c>
      <c r="G139" s="21">
        <f>INDEX(①データ入力!$B$3:$Y$39,C139,(B139-1)*5+3)</f>
        <v>0</v>
      </c>
      <c r="H139" s="21" t="str">
        <f>INDEX(①データ入力!$B$3:$Y$39,C139,(B139-1)*5+4)&amp;""</f>
        <v/>
      </c>
      <c r="I139" s="21" t="str">
        <f t="shared" si="44"/>
        <v/>
      </c>
      <c r="J139" s="21" t="str">
        <f t="shared" si="45"/>
        <v/>
      </c>
      <c r="K139" s="21" t="str">
        <f t="shared" si="46"/>
        <v/>
      </c>
      <c r="L139" s="21" t="str">
        <f t="shared" si="47"/>
        <v/>
      </c>
      <c r="M139" s="21" t="str">
        <f t="shared" si="48"/>
        <v>4組</v>
      </c>
      <c r="N139" s="21">
        <f t="shared" si="49"/>
        <v>0</v>
      </c>
    </row>
    <row r="140" spans="1:14" x14ac:dyDescent="0.15">
      <c r="A140" s="21">
        <f t="shared" si="40"/>
        <v>139</v>
      </c>
      <c r="B140" s="21">
        <f t="shared" si="41"/>
        <v>4</v>
      </c>
      <c r="C140" s="21">
        <f t="shared" si="42"/>
        <v>28</v>
      </c>
      <c r="D140" s="21" t="str">
        <f>INDEX(①データ入力!$B$3:$Y$39,C140,(B140-1)*5+1)&amp;""</f>
        <v/>
      </c>
      <c r="E140" s="21" t="str">
        <f>INDEX(①データ入力!$B$3:$Y$39,C140,(B140-1)*5+2)&amp;""</f>
        <v/>
      </c>
      <c r="F140" s="21" t="str">
        <f t="shared" si="43"/>
        <v/>
      </c>
      <c r="G140" s="21">
        <f>INDEX(①データ入力!$B$3:$Y$39,C140,(B140-1)*5+3)</f>
        <v>0</v>
      </c>
      <c r="H140" s="21" t="str">
        <f>INDEX(①データ入力!$B$3:$Y$39,C140,(B140-1)*5+4)&amp;""</f>
        <v/>
      </c>
      <c r="I140" s="21" t="str">
        <f t="shared" si="44"/>
        <v/>
      </c>
      <c r="J140" s="21" t="str">
        <f t="shared" si="45"/>
        <v/>
      </c>
      <c r="K140" s="21" t="str">
        <f t="shared" si="46"/>
        <v/>
      </c>
      <c r="L140" s="21" t="str">
        <f t="shared" si="47"/>
        <v/>
      </c>
      <c r="M140" s="21" t="str">
        <f t="shared" si="48"/>
        <v>4組</v>
      </c>
      <c r="N140" s="21">
        <f t="shared" si="49"/>
        <v>0</v>
      </c>
    </row>
    <row r="141" spans="1:14" x14ac:dyDescent="0.15">
      <c r="A141" s="21">
        <f t="shared" si="40"/>
        <v>140</v>
      </c>
      <c r="B141" s="21">
        <f t="shared" si="41"/>
        <v>4</v>
      </c>
      <c r="C141" s="21">
        <f t="shared" si="42"/>
        <v>29</v>
      </c>
      <c r="D141" s="21" t="str">
        <f>INDEX(①データ入力!$B$3:$Y$39,C141,(B141-1)*5+1)&amp;""</f>
        <v/>
      </c>
      <c r="E141" s="21" t="str">
        <f>INDEX(①データ入力!$B$3:$Y$39,C141,(B141-1)*5+2)&amp;""</f>
        <v/>
      </c>
      <c r="F141" s="21" t="str">
        <f t="shared" si="43"/>
        <v/>
      </c>
      <c r="G141" s="21">
        <f>INDEX(①データ入力!$B$3:$Y$39,C141,(B141-1)*5+3)</f>
        <v>0</v>
      </c>
      <c r="H141" s="21" t="str">
        <f>INDEX(①データ入力!$B$3:$Y$39,C141,(B141-1)*5+4)&amp;""</f>
        <v/>
      </c>
      <c r="I141" s="21" t="str">
        <f t="shared" si="44"/>
        <v/>
      </c>
      <c r="J141" s="21" t="str">
        <f t="shared" si="45"/>
        <v/>
      </c>
      <c r="K141" s="21" t="str">
        <f t="shared" si="46"/>
        <v/>
      </c>
      <c r="L141" s="21" t="str">
        <f t="shared" si="47"/>
        <v/>
      </c>
      <c r="M141" s="21" t="str">
        <f t="shared" si="48"/>
        <v>4組</v>
      </c>
      <c r="N141" s="21">
        <f t="shared" si="49"/>
        <v>0</v>
      </c>
    </row>
    <row r="142" spans="1:14" x14ac:dyDescent="0.15">
      <c r="A142" s="21">
        <f t="shared" si="40"/>
        <v>141</v>
      </c>
      <c r="B142" s="21">
        <f t="shared" si="41"/>
        <v>4</v>
      </c>
      <c r="C142" s="21">
        <f t="shared" si="42"/>
        <v>30</v>
      </c>
      <c r="D142" s="21" t="str">
        <f>INDEX(①データ入力!$B$3:$Y$39,C142,(B142-1)*5+1)&amp;""</f>
        <v/>
      </c>
      <c r="E142" s="21" t="str">
        <f>INDEX(①データ入力!$B$3:$Y$39,C142,(B142-1)*5+2)&amp;""</f>
        <v/>
      </c>
      <c r="F142" s="21" t="str">
        <f t="shared" si="43"/>
        <v/>
      </c>
      <c r="G142" s="21">
        <f>INDEX(①データ入力!$B$3:$Y$39,C142,(B142-1)*5+3)</f>
        <v>0</v>
      </c>
      <c r="H142" s="21" t="str">
        <f>INDEX(①データ入力!$B$3:$Y$39,C142,(B142-1)*5+4)&amp;""</f>
        <v/>
      </c>
      <c r="I142" s="21" t="str">
        <f t="shared" si="44"/>
        <v/>
      </c>
      <c r="J142" s="21" t="str">
        <f t="shared" si="45"/>
        <v/>
      </c>
      <c r="K142" s="21" t="str">
        <f t="shared" si="46"/>
        <v/>
      </c>
      <c r="L142" s="21" t="str">
        <f t="shared" si="47"/>
        <v/>
      </c>
      <c r="M142" s="21" t="str">
        <f t="shared" si="48"/>
        <v>4組</v>
      </c>
      <c r="N142" s="21">
        <f t="shared" si="49"/>
        <v>0</v>
      </c>
    </row>
    <row r="143" spans="1:14" x14ac:dyDescent="0.15">
      <c r="A143" s="21">
        <f t="shared" si="40"/>
        <v>142</v>
      </c>
      <c r="B143" s="21">
        <f t="shared" si="41"/>
        <v>4</v>
      </c>
      <c r="C143" s="21">
        <f t="shared" si="42"/>
        <v>31</v>
      </c>
      <c r="D143" s="21" t="str">
        <f>INDEX(①データ入力!$B$3:$Y$39,C143,(B143-1)*5+1)&amp;""</f>
        <v/>
      </c>
      <c r="E143" s="21" t="str">
        <f>INDEX(①データ入力!$B$3:$Y$39,C143,(B143-1)*5+2)&amp;""</f>
        <v/>
      </c>
      <c r="F143" s="21" t="str">
        <f t="shared" si="43"/>
        <v/>
      </c>
      <c r="G143" s="21">
        <f>INDEX(①データ入力!$B$3:$Y$39,C143,(B143-1)*5+3)</f>
        <v>0</v>
      </c>
      <c r="H143" s="21" t="str">
        <f>INDEX(①データ入力!$B$3:$Y$39,C143,(B143-1)*5+4)&amp;""</f>
        <v/>
      </c>
      <c r="I143" s="21" t="str">
        <f t="shared" si="44"/>
        <v/>
      </c>
      <c r="J143" s="21" t="str">
        <f t="shared" si="45"/>
        <v/>
      </c>
      <c r="K143" s="21" t="str">
        <f t="shared" si="46"/>
        <v/>
      </c>
      <c r="L143" s="21" t="str">
        <f t="shared" si="47"/>
        <v/>
      </c>
      <c r="M143" s="21" t="str">
        <f t="shared" si="48"/>
        <v>4組</v>
      </c>
      <c r="N143" s="21">
        <f t="shared" si="49"/>
        <v>0</v>
      </c>
    </row>
    <row r="144" spans="1:14" x14ac:dyDescent="0.15">
      <c r="A144" s="21">
        <f t="shared" si="40"/>
        <v>143</v>
      </c>
      <c r="B144" s="21">
        <f t="shared" si="41"/>
        <v>4</v>
      </c>
      <c r="C144" s="21">
        <f t="shared" si="42"/>
        <v>32</v>
      </c>
      <c r="D144" s="21" t="str">
        <f>INDEX(①データ入力!$B$3:$Y$39,C144,(B144-1)*5+1)&amp;""</f>
        <v/>
      </c>
      <c r="E144" s="21" t="str">
        <f>INDEX(①データ入力!$B$3:$Y$39,C144,(B144-1)*5+2)&amp;""</f>
        <v/>
      </c>
      <c r="F144" s="21" t="str">
        <f t="shared" si="43"/>
        <v/>
      </c>
      <c r="G144" s="21">
        <f>INDEX(①データ入力!$B$3:$Y$39,C144,(B144-1)*5+3)</f>
        <v>0</v>
      </c>
      <c r="H144" s="21" t="str">
        <f>INDEX(①データ入力!$B$3:$Y$39,C144,(B144-1)*5+4)&amp;""</f>
        <v/>
      </c>
      <c r="I144" s="21" t="str">
        <f t="shared" si="44"/>
        <v/>
      </c>
      <c r="J144" s="21" t="str">
        <f t="shared" si="45"/>
        <v/>
      </c>
      <c r="K144" s="21" t="str">
        <f t="shared" si="46"/>
        <v/>
      </c>
      <c r="L144" s="21" t="str">
        <f t="shared" si="47"/>
        <v/>
      </c>
      <c r="M144" s="21" t="str">
        <f t="shared" si="48"/>
        <v>4組</v>
      </c>
      <c r="N144" s="21">
        <f t="shared" si="49"/>
        <v>0</v>
      </c>
    </row>
    <row r="145" spans="1:14" x14ac:dyDescent="0.15">
      <c r="A145" s="21">
        <f t="shared" si="40"/>
        <v>144</v>
      </c>
      <c r="B145" s="21">
        <f t="shared" si="41"/>
        <v>4</v>
      </c>
      <c r="C145" s="21">
        <f t="shared" si="42"/>
        <v>33</v>
      </c>
      <c r="D145" s="21" t="str">
        <f>INDEX(①データ入力!$B$3:$Y$39,C145,(B145-1)*5+1)&amp;""</f>
        <v/>
      </c>
      <c r="E145" s="21" t="str">
        <f>INDEX(①データ入力!$B$3:$Y$39,C145,(B145-1)*5+2)&amp;""</f>
        <v/>
      </c>
      <c r="F145" s="21" t="str">
        <f t="shared" si="43"/>
        <v/>
      </c>
      <c r="G145" s="21">
        <f>INDEX(①データ入力!$B$3:$Y$39,C145,(B145-1)*5+3)</f>
        <v>0</v>
      </c>
      <c r="H145" s="21" t="str">
        <f>INDEX(①データ入力!$B$3:$Y$39,C145,(B145-1)*5+4)&amp;""</f>
        <v/>
      </c>
      <c r="I145" s="21" t="str">
        <f t="shared" si="44"/>
        <v/>
      </c>
      <c r="J145" s="21" t="str">
        <f t="shared" si="45"/>
        <v/>
      </c>
      <c r="K145" s="21" t="str">
        <f t="shared" si="46"/>
        <v/>
      </c>
      <c r="L145" s="21" t="str">
        <f t="shared" si="47"/>
        <v/>
      </c>
      <c r="M145" s="21" t="str">
        <f t="shared" si="48"/>
        <v>4組</v>
      </c>
      <c r="N145" s="21">
        <f t="shared" si="49"/>
        <v>0</v>
      </c>
    </row>
    <row r="146" spans="1:14" x14ac:dyDescent="0.15">
      <c r="A146" s="21">
        <f t="shared" si="40"/>
        <v>145</v>
      </c>
      <c r="B146" s="21">
        <f t="shared" si="41"/>
        <v>4</v>
      </c>
      <c r="C146" s="21">
        <f t="shared" si="42"/>
        <v>34</v>
      </c>
      <c r="D146" s="21" t="str">
        <f>INDEX(①データ入力!$B$3:$Y$39,C146,(B146-1)*5+1)&amp;""</f>
        <v/>
      </c>
      <c r="E146" s="21" t="str">
        <f>INDEX(①データ入力!$B$3:$Y$39,C146,(B146-1)*5+2)&amp;""</f>
        <v/>
      </c>
      <c r="F146" s="21" t="str">
        <f t="shared" si="43"/>
        <v/>
      </c>
      <c r="G146" s="21">
        <f>INDEX(①データ入力!$B$3:$Y$39,C146,(B146-1)*5+3)</f>
        <v>0</v>
      </c>
      <c r="H146" s="21" t="str">
        <f>INDEX(①データ入力!$B$3:$Y$39,C146,(B146-1)*5+4)&amp;""</f>
        <v/>
      </c>
      <c r="I146" s="21" t="str">
        <f t="shared" si="44"/>
        <v/>
      </c>
      <c r="J146" s="21" t="str">
        <f t="shared" si="45"/>
        <v/>
      </c>
      <c r="K146" s="21" t="str">
        <f t="shared" si="46"/>
        <v/>
      </c>
      <c r="L146" s="21" t="str">
        <f t="shared" si="47"/>
        <v/>
      </c>
      <c r="M146" s="21" t="str">
        <f t="shared" si="48"/>
        <v>4組</v>
      </c>
      <c r="N146" s="21">
        <f t="shared" si="49"/>
        <v>0</v>
      </c>
    </row>
    <row r="147" spans="1:14" x14ac:dyDescent="0.15">
      <c r="A147" s="21">
        <f t="shared" si="40"/>
        <v>146</v>
      </c>
      <c r="B147" s="21">
        <f t="shared" si="41"/>
        <v>4</v>
      </c>
      <c r="C147" s="21">
        <f t="shared" si="42"/>
        <v>35</v>
      </c>
      <c r="D147" s="21" t="str">
        <f>INDEX(①データ入力!$B$3:$Y$39,C147,(B147-1)*5+1)&amp;""</f>
        <v/>
      </c>
      <c r="E147" s="21" t="str">
        <f>INDEX(①データ入力!$B$3:$Y$39,C147,(B147-1)*5+2)&amp;""</f>
        <v/>
      </c>
      <c r="F147" s="21" t="str">
        <f t="shared" si="43"/>
        <v/>
      </c>
      <c r="G147" s="21">
        <f>INDEX(①データ入力!$B$3:$Y$39,C147,(B147-1)*5+3)</f>
        <v>0</v>
      </c>
      <c r="H147" s="21" t="str">
        <f>INDEX(①データ入力!$B$3:$Y$39,C147,(B147-1)*5+4)&amp;""</f>
        <v/>
      </c>
      <c r="I147" s="21" t="str">
        <f t="shared" si="44"/>
        <v/>
      </c>
      <c r="J147" s="21" t="str">
        <f t="shared" si="45"/>
        <v/>
      </c>
      <c r="K147" s="21" t="str">
        <f t="shared" si="46"/>
        <v/>
      </c>
      <c r="L147" s="21" t="str">
        <f t="shared" si="47"/>
        <v/>
      </c>
      <c r="M147" s="21" t="str">
        <f t="shared" si="48"/>
        <v>4組</v>
      </c>
      <c r="N147" s="21">
        <f t="shared" si="49"/>
        <v>0</v>
      </c>
    </row>
    <row r="148" spans="1:14" x14ac:dyDescent="0.15">
      <c r="A148" s="21">
        <f t="shared" si="40"/>
        <v>147</v>
      </c>
      <c r="B148" s="21">
        <f t="shared" si="41"/>
        <v>4</v>
      </c>
      <c r="C148" s="21">
        <f t="shared" si="42"/>
        <v>36</v>
      </c>
      <c r="D148" s="21" t="str">
        <f>INDEX(①データ入力!$B$3:$Y$39,C148,(B148-1)*5+1)&amp;""</f>
        <v/>
      </c>
      <c r="E148" s="21" t="str">
        <f>INDEX(①データ入力!$B$3:$Y$39,C148,(B148-1)*5+2)&amp;""</f>
        <v/>
      </c>
      <c r="F148" s="21" t="str">
        <f t="shared" si="43"/>
        <v/>
      </c>
      <c r="G148" s="21">
        <f>INDEX(①データ入力!$B$3:$Y$39,C148,(B148-1)*5+3)</f>
        <v>0</v>
      </c>
      <c r="H148" s="21" t="str">
        <f>INDEX(①データ入力!$B$3:$Y$39,C148,(B148-1)*5+4)&amp;""</f>
        <v/>
      </c>
      <c r="I148" s="21" t="str">
        <f t="shared" si="44"/>
        <v/>
      </c>
      <c r="J148" s="21" t="str">
        <f t="shared" si="45"/>
        <v/>
      </c>
      <c r="K148" s="21" t="str">
        <f t="shared" si="46"/>
        <v/>
      </c>
      <c r="L148" s="21" t="str">
        <f t="shared" si="47"/>
        <v/>
      </c>
      <c r="M148" s="21" t="str">
        <f t="shared" si="48"/>
        <v>4組</v>
      </c>
      <c r="N148" s="21">
        <f t="shared" si="49"/>
        <v>0</v>
      </c>
    </row>
    <row r="149" spans="1:14" x14ac:dyDescent="0.15">
      <c r="A149" s="21">
        <f t="shared" si="40"/>
        <v>148</v>
      </c>
      <c r="B149" s="21">
        <f t="shared" si="41"/>
        <v>4</v>
      </c>
      <c r="C149" s="21">
        <f t="shared" si="42"/>
        <v>37</v>
      </c>
      <c r="D149" s="21" t="str">
        <f>INDEX(①データ入力!$B$3:$Y$39,C149,(B149-1)*5+1)&amp;""</f>
        <v/>
      </c>
      <c r="E149" s="21" t="str">
        <f>INDEX(①データ入力!$B$3:$Y$39,C149,(B149-1)*5+2)&amp;""</f>
        <v/>
      </c>
      <c r="F149" s="21" t="str">
        <f t="shared" si="43"/>
        <v/>
      </c>
      <c r="G149" s="21">
        <f>INDEX(①データ入力!$B$3:$Y$39,C149,(B149-1)*5+3)</f>
        <v>0</v>
      </c>
      <c r="H149" s="21" t="str">
        <f>INDEX(①データ入力!$B$3:$Y$39,C149,(B149-1)*5+4)&amp;""</f>
        <v/>
      </c>
      <c r="I149" s="21" t="str">
        <f t="shared" si="44"/>
        <v/>
      </c>
      <c r="J149" s="21" t="str">
        <f t="shared" si="45"/>
        <v/>
      </c>
      <c r="K149" s="21" t="str">
        <f t="shared" si="46"/>
        <v/>
      </c>
      <c r="L149" s="21" t="str">
        <f t="shared" si="47"/>
        <v/>
      </c>
      <c r="M149" s="21" t="str">
        <f t="shared" si="48"/>
        <v>4組</v>
      </c>
      <c r="N149" s="21">
        <f t="shared" si="49"/>
        <v>0</v>
      </c>
    </row>
    <row r="150" spans="1:14" x14ac:dyDescent="0.15">
      <c r="A150" s="21">
        <f t="shared" si="40"/>
        <v>149</v>
      </c>
      <c r="B150" s="21">
        <f t="shared" si="41"/>
        <v>5</v>
      </c>
      <c r="C150" s="21">
        <f t="shared" si="42"/>
        <v>1</v>
      </c>
      <c r="D150" s="21" t="str">
        <f>INDEX(①データ入力!$B$3:$Y$39,C150,(B150-1)*5+1)&amp;""</f>
        <v/>
      </c>
      <c r="E150" s="21" t="str">
        <f>INDEX(①データ入力!$B$3:$Y$39,C150,(B150-1)*5+2)&amp;""</f>
        <v/>
      </c>
      <c r="F150" s="21" t="str">
        <f t="shared" si="43"/>
        <v/>
      </c>
      <c r="G150" s="21">
        <f>INDEX(①データ入力!$B$3:$Y$39,C150,(B150-1)*5+3)</f>
        <v>0</v>
      </c>
      <c r="H150" s="21" t="str">
        <f>INDEX(①データ入力!$B$3:$Y$39,C150,(B150-1)*5+4)&amp;""</f>
        <v/>
      </c>
      <c r="I150" s="21" t="str">
        <f t="shared" si="44"/>
        <v/>
      </c>
      <c r="J150" s="21" t="str">
        <f t="shared" si="45"/>
        <v/>
      </c>
      <c r="K150" s="21" t="str">
        <f t="shared" si="46"/>
        <v/>
      </c>
      <c r="L150" s="21" t="str">
        <f t="shared" si="47"/>
        <v/>
      </c>
      <c r="M150" s="21" t="str">
        <f t="shared" si="48"/>
        <v>5組</v>
      </c>
      <c r="N150" s="21">
        <f t="shared" si="49"/>
        <v>0</v>
      </c>
    </row>
    <row r="151" spans="1:14" x14ac:dyDescent="0.15">
      <c r="A151" s="21">
        <f t="shared" si="40"/>
        <v>150</v>
      </c>
      <c r="B151" s="21">
        <f t="shared" si="41"/>
        <v>5</v>
      </c>
      <c r="C151" s="21">
        <f t="shared" si="42"/>
        <v>2</v>
      </c>
      <c r="D151" s="21" t="str">
        <f>INDEX(①データ入力!$B$3:$Y$39,C151,(B151-1)*5+1)&amp;""</f>
        <v/>
      </c>
      <c r="E151" s="21" t="str">
        <f>INDEX(①データ入力!$B$3:$Y$39,C151,(B151-1)*5+2)&amp;""</f>
        <v/>
      </c>
      <c r="F151" s="21" t="str">
        <f t="shared" si="43"/>
        <v/>
      </c>
      <c r="G151" s="21">
        <f>INDEX(①データ入力!$B$3:$Y$39,C151,(B151-1)*5+3)</f>
        <v>0</v>
      </c>
      <c r="H151" s="21" t="str">
        <f>INDEX(①データ入力!$B$3:$Y$39,C151,(B151-1)*5+4)&amp;""</f>
        <v/>
      </c>
      <c r="I151" s="21" t="str">
        <f t="shared" si="44"/>
        <v/>
      </c>
      <c r="J151" s="21" t="str">
        <f t="shared" si="45"/>
        <v/>
      </c>
      <c r="K151" s="21" t="str">
        <f t="shared" si="46"/>
        <v/>
      </c>
      <c r="L151" s="21" t="str">
        <f t="shared" si="47"/>
        <v/>
      </c>
      <c r="M151" s="21" t="str">
        <f t="shared" si="48"/>
        <v>5組</v>
      </c>
      <c r="N151" s="21">
        <f t="shared" si="49"/>
        <v>0</v>
      </c>
    </row>
    <row r="152" spans="1:14" x14ac:dyDescent="0.15">
      <c r="A152" s="21">
        <f t="shared" si="40"/>
        <v>151</v>
      </c>
      <c r="B152" s="21">
        <f t="shared" si="41"/>
        <v>5</v>
      </c>
      <c r="C152" s="21">
        <f t="shared" si="42"/>
        <v>3</v>
      </c>
      <c r="D152" s="21" t="str">
        <f>INDEX(①データ入力!$B$3:$Y$39,C152,(B152-1)*5+1)&amp;""</f>
        <v/>
      </c>
      <c r="E152" s="21" t="str">
        <f>INDEX(①データ入力!$B$3:$Y$39,C152,(B152-1)*5+2)&amp;""</f>
        <v/>
      </c>
      <c r="F152" s="21" t="str">
        <f t="shared" si="43"/>
        <v/>
      </c>
      <c r="G152" s="21">
        <f>INDEX(①データ入力!$B$3:$Y$39,C152,(B152-1)*5+3)</f>
        <v>0</v>
      </c>
      <c r="H152" s="21" t="str">
        <f>INDEX(①データ入力!$B$3:$Y$39,C152,(B152-1)*5+4)&amp;""</f>
        <v/>
      </c>
      <c r="I152" s="21" t="str">
        <f t="shared" si="44"/>
        <v/>
      </c>
      <c r="J152" s="21" t="str">
        <f t="shared" si="45"/>
        <v/>
      </c>
      <c r="K152" s="21" t="str">
        <f t="shared" si="46"/>
        <v/>
      </c>
      <c r="L152" s="21" t="str">
        <f t="shared" si="47"/>
        <v/>
      </c>
      <c r="M152" s="21" t="str">
        <f t="shared" si="48"/>
        <v>5組</v>
      </c>
      <c r="N152" s="21">
        <f t="shared" si="49"/>
        <v>0</v>
      </c>
    </row>
    <row r="153" spans="1:14" x14ac:dyDescent="0.15">
      <c r="A153" s="21">
        <f t="shared" si="40"/>
        <v>152</v>
      </c>
      <c r="B153" s="21">
        <f t="shared" si="41"/>
        <v>5</v>
      </c>
      <c r="C153" s="21">
        <f t="shared" si="42"/>
        <v>4</v>
      </c>
      <c r="D153" s="21" t="str">
        <f>INDEX(①データ入力!$B$3:$Y$39,C153,(B153-1)*5+1)&amp;""</f>
        <v/>
      </c>
      <c r="E153" s="21" t="str">
        <f>INDEX(①データ入力!$B$3:$Y$39,C153,(B153-1)*5+2)&amp;""</f>
        <v/>
      </c>
      <c r="F153" s="21" t="str">
        <f t="shared" si="43"/>
        <v/>
      </c>
      <c r="G153" s="21">
        <f>INDEX(①データ入力!$B$3:$Y$39,C153,(B153-1)*5+3)</f>
        <v>0</v>
      </c>
      <c r="H153" s="21" t="str">
        <f>INDEX(①データ入力!$B$3:$Y$39,C153,(B153-1)*5+4)&amp;""</f>
        <v/>
      </c>
      <c r="I153" s="21" t="str">
        <f t="shared" si="44"/>
        <v/>
      </c>
      <c r="J153" s="21" t="str">
        <f t="shared" si="45"/>
        <v/>
      </c>
      <c r="K153" s="21" t="str">
        <f t="shared" si="46"/>
        <v/>
      </c>
      <c r="L153" s="21" t="str">
        <f t="shared" si="47"/>
        <v/>
      </c>
      <c r="M153" s="21" t="str">
        <f t="shared" si="48"/>
        <v>5組</v>
      </c>
      <c r="N153" s="21">
        <f t="shared" si="49"/>
        <v>0</v>
      </c>
    </row>
    <row r="154" spans="1:14" x14ac:dyDescent="0.15">
      <c r="A154" s="21">
        <f t="shared" si="40"/>
        <v>153</v>
      </c>
      <c r="B154" s="21">
        <f t="shared" si="41"/>
        <v>5</v>
      </c>
      <c r="C154" s="21">
        <f t="shared" si="42"/>
        <v>5</v>
      </c>
      <c r="D154" s="21" t="str">
        <f>INDEX(①データ入力!$B$3:$Y$39,C154,(B154-1)*5+1)&amp;""</f>
        <v/>
      </c>
      <c r="E154" s="21" t="str">
        <f>INDEX(①データ入力!$B$3:$Y$39,C154,(B154-1)*5+2)&amp;""</f>
        <v/>
      </c>
      <c r="F154" s="21" t="str">
        <f t="shared" si="43"/>
        <v/>
      </c>
      <c r="G154" s="21">
        <f>INDEX(①データ入力!$B$3:$Y$39,C154,(B154-1)*5+3)</f>
        <v>0</v>
      </c>
      <c r="H154" s="21" t="str">
        <f>INDEX(①データ入力!$B$3:$Y$39,C154,(B154-1)*5+4)&amp;""</f>
        <v/>
      </c>
      <c r="I154" s="21" t="str">
        <f t="shared" si="44"/>
        <v/>
      </c>
      <c r="J154" s="21" t="str">
        <f t="shared" si="45"/>
        <v/>
      </c>
      <c r="K154" s="21" t="str">
        <f t="shared" si="46"/>
        <v/>
      </c>
      <c r="L154" s="21" t="str">
        <f t="shared" si="47"/>
        <v/>
      </c>
      <c r="M154" s="21" t="str">
        <f t="shared" si="48"/>
        <v>5組</v>
      </c>
      <c r="N154" s="21">
        <f t="shared" si="49"/>
        <v>0</v>
      </c>
    </row>
    <row r="155" spans="1:14" x14ac:dyDescent="0.15">
      <c r="A155" s="21">
        <f t="shared" si="40"/>
        <v>154</v>
      </c>
      <c r="B155" s="21">
        <f t="shared" si="41"/>
        <v>5</v>
      </c>
      <c r="C155" s="21">
        <f t="shared" si="42"/>
        <v>6</v>
      </c>
      <c r="D155" s="21" t="str">
        <f>INDEX(①データ入力!$B$3:$Y$39,C155,(B155-1)*5+1)&amp;""</f>
        <v/>
      </c>
      <c r="E155" s="21" t="str">
        <f>INDEX(①データ入力!$B$3:$Y$39,C155,(B155-1)*5+2)&amp;""</f>
        <v/>
      </c>
      <c r="F155" s="21" t="str">
        <f t="shared" si="43"/>
        <v/>
      </c>
      <c r="G155" s="21">
        <f>INDEX(①データ入力!$B$3:$Y$39,C155,(B155-1)*5+3)</f>
        <v>0</v>
      </c>
      <c r="H155" s="21" t="str">
        <f>INDEX(①データ入力!$B$3:$Y$39,C155,(B155-1)*5+4)&amp;""</f>
        <v/>
      </c>
      <c r="I155" s="21" t="str">
        <f t="shared" si="44"/>
        <v/>
      </c>
      <c r="J155" s="21" t="str">
        <f t="shared" si="45"/>
        <v/>
      </c>
      <c r="K155" s="21" t="str">
        <f t="shared" si="46"/>
        <v/>
      </c>
      <c r="L155" s="21" t="str">
        <f t="shared" si="47"/>
        <v/>
      </c>
      <c r="M155" s="21" t="str">
        <f t="shared" si="48"/>
        <v>5組</v>
      </c>
      <c r="N155" s="21">
        <f t="shared" si="49"/>
        <v>0</v>
      </c>
    </row>
    <row r="156" spans="1:14" x14ac:dyDescent="0.15">
      <c r="A156" s="21">
        <f t="shared" si="40"/>
        <v>155</v>
      </c>
      <c r="B156" s="21">
        <f t="shared" si="41"/>
        <v>5</v>
      </c>
      <c r="C156" s="21">
        <f t="shared" si="42"/>
        <v>7</v>
      </c>
      <c r="D156" s="21" t="str">
        <f>INDEX(①データ入力!$B$3:$Y$39,C156,(B156-1)*5+1)&amp;""</f>
        <v/>
      </c>
      <c r="E156" s="21" t="str">
        <f>INDEX(①データ入力!$B$3:$Y$39,C156,(B156-1)*5+2)&amp;""</f>
        <v/>
      </c>
      <c r="F156" s="21" t="str">
        <f t="shared" si="43"/>
        <v/>
      </c>
      <c r="G156" s="21">
        <f>INDEX(①データ入力!$B$3:$Y$39,C156,(B156-1)*5+3)</f>
        <v>0</v>
      </c>
      <c r="H156" s="21" t="str">
        <f>INDEX(①データ入力!$B$3:$Y$39,C156,(B156-1)*5+4)&amp;""</f>
        <v/>
      </c>
      <c r="I156" s="21" t="str">
        <f t="shared" si="44"/>
        <v/>
      </c>
      <c r="J156" s="21" t="str">
        <f t="shared" si="45"/>
        <v/>
      </c>
      <c r="K156" s="21" t="str">
        <f t="shared" si="46"/>
        <v/>
      </c>
      <c r="L156" s="21" t="str">
        <f t="shared" si="47"/>
        <v/>
      </c>
      <c r="M156" s="21" t="str">
        <f t="shared" si="48"/>
        <v>5組</v>
      </c>
      <c r="N156" s="21">
        <f t="shared" si="49"/>
        <v>0</v>
      </c>
    </row>
    <row r="157" spans="1:14" x14ac:dyDescent="0.15">
      <c r="A157" s="21">
        <f t="shared" si="40"/>
        <v>156</v>
      </c>
      <c r="B157" s="21">
        <f t="shared" si="41"/>
        <v>5</v>
      </c>
      <c r="C157" s="21">
        <f t="shared" si="42"/>
        <v>8</v>
      </c>
      <c r="D157" s="21" t="str">
        <f>INDEX(①データ入力!$B$3:$Y$39,C157,(B157-1)*5+1)&amp;""</f>
        <v/>
      </c>
      <c r="E157" s="21" t="str">
        <f>INDEX(①データ入力!$B$3:$Y$39,C157,(B157-1)*5+2)&amp;""</f>
        <v/>
      </c>
      <c r="F157" s="21" t="str">
        <f t="shared" si="43"/>
        <v/>
      </c>
      <c r="G157" s="21">
        <f>INDEX(①データ入力!$B$3:$Y$39,C157,(B157-1)*5+3)</f>
        <v>0</v>
      </c>
      <c r="H157" s="21" t="str">
        <f>INDEX(①データ入力!$B$3:$Y$39,C157,(B157-1)*5+4)&amp;""</f>
        <v/>
      </c>
      <c r="I157" s="21" t="str">
        <f t="shared" si="44"/>
        <v/>
      </c>
      <c r="J157" s="21" t="str">
        <f t="shared" si="45"/>
        <v/>
      </c>
      <c r="K157" s="21" t="str">
        <f t="shared" si="46"/>
        <v/>
      </c>
      <c r="L157" s="21" t="str">
        <f t="shared" si="47"/>
        <v/>
      </c>
      <c r="M157" s="21" t="str">
        <f t="shared" si="48"/>
        <v>5組</v>
      </c>
      <c r="N157" s="21">
        <f t="shared" si="49"/>
        <v>0</v>
      </c>
    </row>
    <row r="158" spans="1:14" x14ac:dyDescent="0.15">
      <c r="A158" s="21">
        <f t="shared" si="40"/>
        <v>157</v>
      </c>
      <c r="B158" s="21">
        <f t="shared" si="41"/>
        <v>5</v>
      </c>
      <c r="C158" s="21">
        <f t="shared" si="42"/>
        <v>9</v>
      </c>
      <c r="D158" s="21" t="str">
        <f>INDEX(①データ入力!$B$3:$Y$39,C158,(B158-1)*5+1)&amp;""</f>
        <v/>
      </c>
      <c r="E158" s="21" t="str">
        <f>INDEX(①データ入力!$B$3:$Y$39,C158,(B158-1)*5+2)&amp;""</f>
        <v/>
      </c>
      <c r="F158" s="21" t="str">
        <f t="shared" si="43"/>
        <v/>
      </c>
      <c r="G158" s="21">
        <f>INDEX(①データ入力!$B$3:$Y$39,C158,(B158-1)*5+3)</f>
        <v>0</v>
      </c>
      <c r="H158" s="21" t="str">
        <f>INDEX(①データ入力!$B$3:$Y$39,C158,(B158-1)*5+4)&amp;""</f>
        <v/>
      </c>
      <c r="I158" s="21" t="str">
        <f t="shared" si="44"/>
        <v/>
      </c>
      <c r="J158" s="21" t="str">
        <f t="shared" si="45"/>
        <v/>
      </c>
      <c r="K158" s="21" t="str">
        <f t="shared" si="46"/>
        <v/>
      </c>
      <c r="L158" s="21" t="str">
        <f t="shared" si="47"/>
        <v/>
      </c>
      <c r="M158" s="21" t="str">
        <f t="shared" si="48"/>
        <v>5組</v>
      </c>
      <c r="N158" s="21">
        <f t="shared" si="49"/>
        <v>0</v>
      </c>
    </row>
    <row r="159" spans="1:14" x14ac:dyDescent="0.15">
      <c r="A159" s="21">
        <f t="shared" si="40"/>
        <v>158</v>
      </c>
      <c r="B159" s="21">
        <f t="shared" si="41"/>
        <v>5</v>
      </c>
      <c r="C159" s="21">
        <f t="shared" si="42"/>
        <v>10</v>
      </c>
      <c r="D159" s="21" t="str">
        <f>INDEX(①データ入力!$B$3:$Y$39,C159,(B159-1)*5+1)&amp;""</f>
        <v/>
      </c>
      <c r="E159" s="21" t="str">
        <f>INDEX(①データ入力!$B$3:$Y$39,C159,(B159-1)*5+2)&amp;""</f>
        <v/>
      </c>
      <c r="F159" s="21" t="str">
        <f t="shared" si="43"/>
        <v/>
      </c>
      <c r="G159" s="21">
        <f>INDEX(①データ入力!$B$3:$Y$39,C159,(B159-1)*5+3)</f>
        <v>0</v>
      </c>
      <c r="H159" s="21" t="str">
        <f>INDEX(①データ入力!$B$3:$Y$39,C159,(B159-1)*5+4)&amp;""</f>
        <v/>
      </c>
      <c r="I159" s="21" t="str">
        <f t="shared" si="44"/>
        <v/>
      </c>
      <c r="J159" s="21" t="str">
        <f t="shared" si="45"/>
        <v/>
      </c>
      <c r="K159" s="21" t="str">
        <f t="shared" si="46"/>
        <v/>
      </c>
      <c r="L159" s="21" t="str">
        <f t="shared" si="47"/>
        <v/>
      </c>
      <c r="M159" s="21" t="str">
        <f t="shared" si="48"/>
        <v>5組</v>
      </c>
      <c r="N159" s="21">
        <f t="shared" si="49"/>
        <v>0</v>
      </c>
    </row>
    <row r="160" spans="1:14" x14ac:dyDescent="0.15">
      <c r="A160" s="21">
        <f t="shared" si="40"/>
        <v>159</v>
      </c>
      <c r="B160" s="21">
        <f t="shared" si="41"/>
        <v>5</v>
      </c>
      <c r="C160" s="21">
        <f t="shared" si="42"/>
        <v>11</v>
      </c>
      <c r="D160" s="21" t="str">
        <f>INDEX(①データ入力!$B$3:$Y$39,C160,(B160-1)*5+1)&amp;""</f>
        <v/>
      </c>
      <c r="E160" s="21" t="str">
        <f>INDEX(①データ入力!$B$3:$Y$39,C160,(B160-1)*5+2)&amp;""</f>
        <v/>
      </c>
      <c r="F160" s="21" t="str">
        <f t="shared" si="43"/>
        <v/>
      </c>
      <c r="G160" s="21">
        <f>INDEX(①データ入力!$B$3:$Y$39,C160,(B160-1)*5+3)</f>
        <v>0</v>
      </c>
      <c r="H160" s="21" t="str">
        <f>INDEX(①データ入力!$B$3:$Y$39,C160,(B160-1)*5+4)&amp;""</f>
        <v/>
      </c>
      <c r="I160" s="21" t="str">
        <f t="shared" si="44"/>
        <v/>
      </c>
      <c r="J160" s="21" t="str">
        <f t="shared" si="45"/>
        <v/>
      </c>
      <c r="K160" s="21" t="str">
        <f t="shared" si="46"/>
        <v/>
      </c>
      <c r="L160" s="21" t="str">
        <f t="shared" si="47"/>
        <v/>
      </c>
      <c r="M160" s="21" t="str">
        <f t="shared" si="48"/>
        <v>5組</v>
      </c>
      <c r="N160" s="21">
        <f t="shared" si="49"/>
        <v>0</v>
      </c>
    </row>
    <row r="161" spans="1:14" x14ac:dyDescent="0.15">
      <c r="A161" s="21">
        <f t="shared" si="40"/>
        <v>160</v>
      </c>
      <c r="B161" s="21">
        <f t="shared" si="41"/>
        <v>5</v>
      </c>
      <c r="C161" s="21">
        <f t="shared" si="42"/>
        <v>12</v>
      </c>
      <c r="D161" s="21" t="str">
        <f>INDEX(①データ入力!$B$3:$Y$39,C161,(B161-1)*5+1)&amp;""</f>
        <v/>
      </c>
      <c r="E161" s="21" t="str">
        <f>INDEX(①データ入力!$B$3:$Y$39,C161,(B161-1)*5+2)&amp;""</f>
        <v/>
      </c>
      <c r="F161" s="21" t="str">
        <f t="shared" si="43"/>
        <v/>
      </c>
      <c r="G161" s="21">
        <f>INDEX(①データ入力!$B$3:$Y$39,C161,(B161-1)*5+3)</f>
        <v>0</v>
      </c>
      <c r="H161" s="21" t="str">
        <f>INDEX(①データ入力!$B$3:$Y$39,C161,(B161-1)*5+4)&amp;""</f>
        <v/>
      </c>
      <c r="I161" s="21" t="str">
        <f t="shared" si="44"/>
        <v/>
      </c>
      <c r="J161" s="21" t="str">
        <f t="shared" si="45"/>
        <v/>
      </c>
      <c r="K161" s="21" t="str">
        <f t="shared" si="46"/>
        <v/>
      </c>
      <c r="L161" s="21" t="str">
        <f t="shared" si="47"/>
        <v/>
      </c>
      <c r="M161" s="21" t="str">
        <f t="shared" si="48"/>
        <v>5組</v>
      </c>
      <c r="N161" s="21">
        <f t="shared" si="49"/>
        <v>0</v>
      </c>
    </row>
    <row r="162" spans="1:14" x14ac:dyDescent="0.15">
      <c r="A162" s="21">
        <f t="shared" ref="A162:A186" si="50">ROW()-1</f>
        <v>161</v>
      </c>
      <c r="B162" s="21">
        <f t="shared" ref="B162:B193" si="51">INT((A162-1)/37)+1</f>
        <v>5</v>
      </c>
      <c r="C162" s="21">
        <f t="shared" ref="C162:C186" si="52">MOD(A162-1,37)+1</f>
        <v>13</v>
      </c>
      <c r="D162" s="21" t="str">
        <f>INDEX(①データ入力!$B$3:$Y$39,C162,(B162-1)*5+1)&amp;""</f>
        <v/>
      </c>
      <c r="E162" s="21" t="str">
        <f>INDEX(①データ入力!$B$3:$Y$39,C162,(B162-1)*5+2)&amp;""</f>
        <v/>
      </c>
      <c r="F162" s="21" t="str">
        <f t="shared" ref="F162:F193" si="53">IF(OR(E162="1",E162="１",E162="男"),"男",IF(OR(E162="2",E162="２",E162="女"),"女",""))</f>
        <v/>
      </c>
      <c r="G162" s="21">
        <f>INDEX(①データ入力!$B$3:$Y$39,C162,(B162-1)*5+3)</f>
        <v>0</v>
      </c>
      <c r="H162" s="21" t="str">
        <f>INDEX(①データ入力!$B$3:$Y$39,C162,(B162-1)*5+4)&amp;""</f>
        <v/>
      </c>
      <c r="I162" s="21" t="str">
        <f t="shared" ref="I162:I193" si="54">IF(LEFT(TRIM(H162),1)="赤","赤",IF(LEFT(TRIM(H162),1)="白","白",""))</f>
        <v/>
      </c>
      <c r="J162" s="21" t="str">
        <f t="shared" ref="J162:J193" si="55">IF(AND(D162&lt;&gt;"",F162&lt;&gt;"",I162&lt;&gt;"",ISNUMBER(G162)),F162&amp;I162,"")</f>
        <v/>
      </c>
      <c r="K162" s="21" t="str">
        <f t="shared" ref="K162:K193" si="56">IF(J162="","",COUNTIFS($J$2:$J$186,J162,$G$2:$G$186,"&lt;"&amp;G162)+COUNTIFS($J$2:$J$186,J162,$G$2:$G$186,G162,$A$2:$A$186,"&lt;"&amp;A162)+1)</f>
        <v/>
      </c>
      <c r="L162" s="21" t="str">
        <f t="shared" ref="L162:L193" si="57">IF(J162="","",J162&amp;K162)</f>
        <v/>
      </c>
      <c r="M162" s="21" t="str">
        <f t="shared" ref="M162:M186" si="58">B162&amp;"組"</f>
        <v>5組</v>
      </c>
      <c r="N162" s="21">
        <f t="shared" ref="N162:N186" si="59">IF(AND(D162&lt;&gt;"",J162=""),1,0)</f>
        <v>0</v>
      </c>
    </row>
    <row r="163" spans="1:14" x14ac:dyDescent="0.15">
      <c r="A163" s="21">
        <f t="shared" si="50"/>
        <v>162</v>
      </c>
      <c r="B163" s="21">
        <f t="shared" si="51"/>
        <v>5</v>
      </c>
      <c r="C163" s="21">
        <f t="shared" si="52"/>
        <v>14</v>
      </c>
      <c r="D163" s="21" t="str">
        <f>INDEX(①データ入力!$B$3:$Y$39,C163,(B163-1)*5+1)&amp;""</f>
        <v/>
      </c>
      <c r="E163" s="21" t="str">
        <f>INDEX(①データ入力!$B$3:$Y$39,C163,(B163-1)*5+2)&amp;""</f>
        <v/>
      </c>
      <c r="F163" s="21" t="str">
        <f t="shared" si="53"/>
        <v/>
      </c>
      <c r="G163" s="21">
        <f>INDEX(①データ入力!$B$3:$Y$39,C163,(B163-1)*5+3)</f>
        <v>0</v>
      </c>
      <c r="H163" s="21" t="str">
        <f>INDEX(①データ入力!$B$3:$Y$39,C163,(B163-1)*5+4)&amp;""</f>
        <v/>
      </c>
      <c r="I163" s="21" t="str">
        <f t="shared" si="54"/>
        <v/>
      </c>
      <c r="J163" s="21" t="str">
        <f t="shared" si="55"/>
        <v/>
      </c>
      <c r="K163" s="21" t="str">
        <f t="shared" si="56"/>
        <v/>
      </c>
      <c r="L163" s="21" t="str">
        <f t="shared" si="57"/>
        <v/>
      </c>
      <c r="M163" s="21" t="str">
        <f t="shared" si="58"/>
        <v>5組</v>
      </c>
      <c r="N163" s="21">
        <f t="shared" si="59"/>
        <v>0</v>
      </c>
    </row>
    <row r="164" spans="1:14" x14ac:dyDescent="0.15">
      <c r="A164" s="21">
        <f t="shared" si="50"/>
        <v>163</v>
      </c>
      <c r="B164" s="21">
        <f t="shared" si="51"/>
        <v>5</v>
      </c>
      <c r="C164" s="21">
        <f t="shared" si="52"/>
        <v>15</v>
      </c>
      <c r="D164" s="21" t="str">
        <f>INDEX(①データ入力!$B$3:$Y$39,C164,(B164-1)*5+1)&amp;""</f>
        <v/>
      </c>
      <c r="E164" s="21" t="str">
        <f>INDEX(①データ入力!$B$3:$Y$39,C164,(B164-1)*5+2)&amp;""</f>
        <v/>
      </c>
      <c r="F164" s="21" t="str">
        <f t="shared" si="53"/>
        <v/>
      </c>
      <c r="G164" s="21">
        <f>INDEX(①データ入力!$B$3:$Y$39,C164,(B164-1)*5+3)</f>
        <v>0</v>
      </c>
      <c r="H164" s="21" t="str">
        <f>INDEX(①データ入力!$B$3:$Y$39,C164,(B164-1)*5+4)&amp;""</f>
        <v/>
      </c>
      <c r="I164" s="21" t="str">
        <f t="shared" si="54"/>
        <v/>
      </c>
      <c r="J164" s="21" t="str">
        <f t="shared" si="55"/>
        <v/>
      </c>
      <c r="K164" s="21" t="str">
        <f t="shared" si="56"/>
        <v/>
      </c>
      <c r="L164" s="21" t="str">
        <f t="shared" si="57"/>
        <v/>
      </c>
      <c r="M164" s="21" t="str">
        <f t="shared" si="58"/>
        <v>5組</v>
      </c>
      <c r="N164" s="21">
        <f t="shared" si="59"/>
        <v>0</v>
      </c>
    </row>
    <row r="165" spans="1:14" x14ac:dyDescent="0.15">
      <c r="A165" s="21">
        <f t="shared" si="50"/>
        <v>164</v>
      </c>
      <c r="B165" s="21">
        <f t="shared" si="51"/>
        <v>5</v>
      </c>
      <c r="C165" s="21">
        <f t="shared" si="52"/>
        <v>16</v>
      </c>
      <c r="D165" s="21" t="str">
        <f>INDEX(①データ入力!$B$3:$Y$39,C165,(B165-1)*5+1)&amp;""</f>
        <v/>
      </c>
      <c r="E165" s="21" t="str">
        <f>INDEX(①データ入力!$B$3:$Y$39,C165,(B165-1)*5+2)&amp;""</f>
        <v/>
      </c>
      <c r="F165" s="21" t="str">
        <f t="shared" si="53"/>
        <v/>
      </c>
      <c r="G165" s="21">
        <f>INDEX(①データ入力!$B$3:$Y$39,C165,(B165-1)*5+3)</f>
        <v>0</v>
      </c>
      <c r="H165" s="21" t="str">
        <f>INDEX(①データ入力!$B$3:$Y$39,C165,(B165-1)*5+4)&amp;""</f>
        <v/>
      </c>
      <c r="I165" s="21" t="str">
        <f t="shared" si="54"/>
        <v/>
      </c>
      <c r="J165" s="21" t="str">
        <f t="shared" si="55"/>
        <v/>
      </c>
      <c r="K165" s="21" t="str">
        <f t="shared" si="56"/>
        <v/>
      </c>
      <c r="L165" s="21" t="str">
        <f t="shared" si="57"/>
        <v/>
      </c>
      <c r="M165" s="21" t="str">
        <f t="shared" si="58"/>
        <v>5組</v>
      </c>
      <c r="N165" s="21">
        <f t="shared" si="59"/>
        <v>0</v>
      </c>
    </row>
    <row r="166" spans="1:14" x14ac:dyDescent="0.15">
      <c r="A166" s="21">
        <f t="shared" si="50"/>
        <v>165</v>
      </c>
      <c r="B166" s="21">
        <f t="shared" si="51"/>
        <v>5</v>
      </c>
      <c r="C166" s="21">
        <f t="shared" si="52"/>
        <v>17</v>
      </c>
      <c r="D166" s="21" t="str">
        <f>INDEX(①データ入力!$B$3:$Y$39,C166,(B166-1)*5+1)&amp;""</f>
        <v/>
      </c>
      <c r="E166" s="21" t="str">
        <f>INDEX(①データ入力!$B$3:$Y$39,C166,(B166-1)*5+2)&amp;""</f>
        <v/>
      </c>
      <c r="F166" s="21" t="str">
        <f t="shared" si="53"/>
        <v/>
      </c>
      <c r="G166" s="21">
        <f>INDEX(①データ入力!$B$3:$Y$39,C166,(B166-1)*5+3)</f>
        <v>0</v>
      </c>
      <c r="H166" s="21" t="str">
        <f>INDEX(①データ入力!$B$3:$Y$39,C166,(B166-1)*5+4)&amp;""</f>
        <v/>
      </c>
      <c r="I166" s="21" t="str">
        <f t="shared" si="54"/>
        <v/>
      </c>
      <c r="J166" s="21" t="str">
        <f t="shared" si="55"/>
        <v/>
      </c>
      <c r="K166" s="21" t="str">
        <f t="shared" si="56"/>
        <v/>
      </c>
      <c r="L166" s="21" t="str">
        <f t="shared" si="57"/>
        <v/>
      </c>
      <c r="M166" s="21" t="str">
        <f t="shared" si="58"/>
        <v>5組</v>
      </c>
      <c r="N166" s="21">
        <f t="shared" si="59"/>
        <v>0</v>
      </c>
    </row>
    <row r="167" spans="1:14" x14ac:dyDescent="0.15">
      <c r="A167" s="21">
        <f t="shared" si="50"/>
        <v>166</v>
      </c>
      <c r="B167" s="21">
        <f t="shared" si="51"/>
        <v>5</v>
      </c>
      <c r="C167" s="21">
        <f t="shared" si="52"/>
        <v>18</v>
      </c>
      <c r="D167" s="21" t="str">
        <f>INDEX(①データ入力!$B$3:$Y$39,C167,(B167-1)*5+1)&amp;""</f>
        <v/>
      </c>
      <c r="E167" s="21" t="str">
        <f>INDEX(①データ入力!$B$3:$Y$39,C167,(B167-1)*5+2)&amp;""</f>
        <v/>
      </c>
      <c r="F167" s="21" t="str">
        <f t="shared" si="53"/>
        <v/>
      </c>
      <c r="G167" s="21">
        <f>INDEX(①データ入力!$B$3:$Y$39,C167,(B167-1)*5+3)</f>
        <v>0</v>
      </c>
      <c r="H167" s="21" t="str">
        <f>INDEX(①データ入力!$B$3:$Y$39,C167,(B167-1)*5+4)&amp;""</f>
        <v/>
      </c>
      <c r="I167" s="21" t="str">
        <f t="shared" si="54"/>
        <v/>
      </c>
      <c r="J167" s="21" t="str">
        <f t="shared" si="55"/>
        <v/>
      </c>
      <c r="K167" s="21" t="str">
        <f t="shared" si="56"/>
        <v/>
      </c>
      <c r="L167" s="21" t="str">
        <f t="shared" si="57"/>
        <v/>
      </c>
      <c r="M167" s="21" t="str">
        <f t="shared" si="58"/>
        <v>5組</v>
      </c>
      <c r="N167" s="21">
        <f t="shared" si="59"/>
        <v>0</v>
      </c>
    </row>
    <row r="168" spans="1:14" x14ac:dyDescent="0.15">
      <c r="A168" s="21">
        <f t="shared" si="50"/>
        <v>167</v>
      </c>
      <c r="B168" s="21">
        <f t="shared" si="51"/>
        <v>5</v>
      </c>
      <c r="C168" s="21">
        <f t="shared" si="52"/>
        <v>19</v>
      </c>
      <c r="D168" s="21" t="str">
        <f>INDEX(①データ入力!$B$3:$Y$39,C168,(B168-1)*5+1)&amp;""</f>
        <v/>
      </c>
      <c r="E168" s="21" t="str">
        <f>INDEX(①データ入力!$B$3:$Y$39,C168,(B168-1)*5+2)&amp;""</f>
        <v/>
      </c>
      <c r="F168" s="21" t="str">
        <f t="shared" si="53"/>
        <v/>
      </c>
      <c r="G168" s="21">
        <f>INDEX(①データ入力!$B$3:$Y$39,C168,(B168-1)*5+3)</f>
        <v>0</v>
      </c>
      <c r="H168" s="21" t="str">
        <f>INDEX(①データ入力!$B$3:$Y$39,C168,(B168-1)*5+4)&amp;""</f>
        <v/>
      </c>
      <c r="I168" s="21" t="str">
        <f t="shared" si="54"/>
        <v/>
      </c>
      <c r="J168" s="21" t="str">
        <f t="shared" si="55"/>
        <v/>
      </c>
      <c r="K168" s="21" t="str">
        <f t="shared" si="56"/>
        <v/>
      </c>
      <c r="L168" s="21" t="str">
        <f t="shared" si="57"/>
        <v/>
      </c>
      <c r="M168" s="21" t="str">
        <f t="shared" si="58"/>
        <v>5組</v>
      </c>
      <c r="N168" s="21">
        <f t="shared" si="59"/>
        <v>0</v>
      </c>
    </row>
    <row r="169" spans="1:14" x14ac:dyDescent="0.15">
      <c r="A169" s="21">
        <f t="shared" si="50"/>
        <v>168</v>
      </c>
      <c r="B169" s="21">
        <f t="shared" si="51"/>
        <v>5</v>
      </c>
      <c r="C169" s="21">
        <f t="shared" si="52"/>
        <v>20</v>
      </c>
      <c r="D169" s="21" t="str">
        <f>INDEX(①データ入力!$B$3:$Y$39,C169,(B169-1)*5+1)&amp;""</f>
        <v/>
      </c>
      <c r="E169" s="21" t="str">
        <f>INDEX(①データ入力!$B$3:$Y$39,C169,(B169-1)*5+2)&amp;""</f>
        <v/>
      </c>
      <c r="F169" s="21" t="str">
        <f t="shared" si="53"/>
        <v/>
      </c>
      <c r="G169" s="21">
        <f>INDEX(①データ入力!$B$3:$Y$39,C169,(B169-1)*5+3)</f>
        <v>0</v>
      </c>
      <c r="H169" s="21" t="str">
        <f>INDEX(①データ入力!$B$3:$Y$39,C169,(B169-1)*5+4)&amp;""</f>
        <v/>
      </c>
      <c r="I169" s="21" t="str">
        <f t="shared" si="54"/>
        <v/>
      </c>
      <c r="J169" s="21" t="str">
        <f t="shared" si="55"/>
        <v/>
      </c>
      <c r="K169" s="21" t="str">
        <f t="shared" si="56"/>
        <v/>
      </c>
      <c r="L169" s="21" t="str">
        <f t="shared" si="57"/>
        <v/>
      </c>
      <c r="M169" s="21" t="str">
        <f t="shared" si="58"/>
        <v>5組</v>
      </c>
      <c r="N169" s="21">
        <f t="shared" si="59"/>
        <v>0</v>
      </c>
    </row>
    <row r="170" spans="1:14" x14ac:dyDescent="0.15">
      <c r="A170" s="21">
        <f t="shared" si="50"/>
        <v>169</v>
      </c>
      <c r="B170" s="21">
        <f t="shared" si="51"/>
        <v>5</v>
      </c>
      <c r="C170" s="21">
        <f t="shared" si="52"/>
        <v>21</v>
      </c>
      <c r="D170" s="21" t="str">
        <f>INDEX(①データ入力!$B$3:$Y$39,C170,(B170-1)*5+1)&amp;""</f>
        <v/>
      </c>
      <c r="E170" s="21" t="str">
        <f>INDEX(①データ入力!$B$3:$Y$39,C170,(B170-1)*5+2)&amp;""</f>
        <v/>
      </c>
      <c r="F170" s="21" t="str">
        <f t="shared" si="53"/>
        <v/>
      </c>
      <c r="G170" s="21">
        <f>INDEX(①データ入力!$B$3:$Y$39,C170,(B170-1)*5+3)</f>
        <v>0</v>
      </c>
      <c r="H170" s="21" t="str">
        <f>INDEX(①データ入力!$B$3:$Y$39,C170,(B170-1)*5+4)&amp;""</f>
        <v/>
      </c>
      <c r="I170" s="21" t="str">
        <f t="shared" si="54"/>
        <v/>
      </c>
      <c r="J170" s="21" t="str">
        <f t="shared" si="55"/>
        <v/>
      </c>
      <c r="K170" s="21" t="str">
        <f t="shared" si="56"/>
        <v/>
      </c>
      <c r="L170" s="21" t="str">
        <f t="shared" si="57"/>
        <v/>
      </c>
      <c r="M170" s="21" t="str">
        <f t="shared" si="58"/>
        <v>5組</v>
      </c>
      <c r="N170" s="21">
        <f t="shared" si="59"/>
        <v>0</v>
      </c>
    </row>
    <row r="171" spans="1:14" x14ac:dyDescent="0.15">
      <c r="A171" s="21">
        <f t="shared" si="50"/>
        <v>170</v>
      </c>
      <c r="B171" s="21">
        <f t="shared" si="51"/>
        <v>5</v>
      </c>
      <c r="C171" s="21">
        <f t="shared" si="52"/>
        <v>22</v>
      </c>
      <c r="D171" s="21" t="str">
        <f>INDEX(①データ入力!$B$3:$Y$39,C171,(B171-1)*5+1)&amp;""</f>
        <v/>
      </c>
      <c r="E171" s="21" t="str">
        <f>INDEX(①データ入力!$B$3:$Y$39,C171,(B171-1)*5+2)&amp;""</f>
        <v/>
      </c>
      <c r="F171" s="21" t="str">
        <f t="shared" si="53"/>
        <v/>
      </c>
      <c r="G171" s="21">
        <f>INDEX(①データ入力!$B$3:$Y$39,C171,(B171-1)*5+3)</f>
        <v>0</v>
      </c>
      <c r="H171" s="21" t="str">
        <f>INDEX(①データ入力!$B$3:$Y$39,C171,(B171-1)*5+4)&amp;""</f>
        <v/>
      </c>
      <c r="I171" s="21" t="str">
        <f t="shared" si="54"/>
        <v/>
      </c>
      <c r="J171" s="21" t="str">
        <f t="shared" si="55"/>
        <v/>
      </c>
      <c r="K171" s="21" t="str">
        <f t="shared" si="56"/>
        <v/>
      </c>
      <c r="L171" s="21" t="str">
        <f t="shared" si="57"/>
        <v/>
      </c>
      <c r="M171" s="21" t="str">
        <f t="shared" si="58"/>
        <v>5組</v>
      </c>
      <c r="N171" s="21">
        <f t="shared" si="59"/>
        <v>0</v>
      </c>
    </row>
    <row r="172" spans="1:14" x14ac:dyDescent="0.15">
      <c r="A172" s="21">
        <f t="shared" si="50"/>
        <v>171</v>
      </c>
      <c r="B172" s="21">
        <f t="shared" si="51"/>
        <v>5</v>
      </c>
      <c r="C172" s="21">
        <f t="shared" si="52"/>
        <v>23</v>
      </c>
      <c r="D172" s="21" t="str">
        <f>INDEX(①データ入力!$B$3:$Y$39,C172,(B172-1)*5+1)&amp;""</f>
        <v/>
      </c>
      <c r="E172" s="21" t="str">
        <f>INDEX(①データ入力!$B$3:$Y$39,C172,(B172-1)*5+2)&amp;""</f>
        <v/>
      </c>
      <c r="F172" s="21" t="str">
        <f t="shared" si="53"/>
        <v/>
      </c>
      <c r="G172" s="21">
        <f>INDEX(①データ入力!$B$3:$Y$39,C172,(B172-1)*5+3)</f>
        <v>0</v>
      </c>
      <c r="H172" s="21" t="str">
        <f>INDEX(①データ入力!$B$3:$Y$39,C172,(B172-1)*5+4)&amp;""</f>
        <v/>
      </c>
      <c r="I172" s="21" t="str">
        <f t="shared" si="54"/>
        <v/>
      </c>
      <c r="J172" s="21" t="str">
        <f t="shared" si="55"/>
        <v/>
      </c>
      <c r="K172" s="21" t="str">
        <f t="shared" si="56"/>
        <v/>
      </c>
      <c r="L172" s="21" t="str">
        <f t="shared" si="57"/>
        <v/>
      </c>
      <c r="M172" s="21" t="str">
        <f t="shared" si="58"/>
        <v>5組</v>
      </c>
      <c r="N172" s="21">
        <f t="shared" si="59"/>
        <v>0</v>
      </c>
    </row>
    <row r="173" spans="1:14" x14ac:dyDescent="0.15">
      <c r="A173" s="21">
        <f t="shared" si="50"/>
        <v>172</v>
      </c>
      <c r="B173" s="21">
        <f t="shared" si="51"/>
        <v>5</v>
      </c>
      <c r="C173" s="21">
        <f t="shared" si="52"/>
        <v>24</v>
      </c>
      <c r="D173" s="21" t="str">
        <f>INDEX(①データ入力!$B$3:$Y$39,C173,(B173-1)*5+1)&amp;""</f>
        <v/>
      </c>
      <c r="E173" s="21" t="str">
        <f>INDEX(①データ入力!$B$3:$Y$39,C173,(B173-1)*5+2)&amp;""</f>
        <v/>
      </c>
      <c r="F173" s="21" t="str">
        <f t="shared" si="53"/>
        <v/>
      </c>
      <c r="G173" s="21">
        <f>INDEX(①データ入力!$B$3:$Y$39,C173,(B173-1)*5+3)</f>
        <v>0</v>
      </c>
      <c r="H173" s="21" t="str">
        <f>INDEX(①データ入力!$B$3:$Y$39,C173,(B173-1)*5+4)&amp;""</f>
        <v/>
      </c>
      <c r="I173" s="21" t="str">
        <f t="shared" si="54"/>
        <v/>
      </c>
      <c r="J173" s="21" t="str">
        <f t="shared" si="55"/>
        <v/>
      </c>
      <c r="K173" s="21" t="str">
        <f t="shared" si="56"/>
        <v/>
      </c>
      <c r="L173" s="21" t="str">
        <f t="shared" si="57"/>
        <v/>
      </c>
      <c r="M173" s="21" t="str">
        <f t="shared" si="58"/>
        <v>5組</v>
      </c>
      <c r="N173" s="21">
        <f t="shared" si="59"/>
        <v>0</v>
      </c>
    </row>
    <row r="174" spans="1:14" x14ac:dyDescent="0.15">
      <c r="A174" s="21">
        <f t="shared" si="50"/>
        <v>173</v>
      </c>
      <c r="B174" s="21">
        <f t="shared" si="51"/>
        <v>5</v>
      </c>
      <c r="C174" s="21">
        <f t="shared" si="52"/>
        <v>25</v>
      </c>
      <c r="D174" s="21" t="str">
        <f>INDEX(①データ入力!$B$3:$Y$39,C174,(B174-1)*5+1)&amp;""</f>
        <v/>
      </c>
      <c r="E174" s="21" t="str">
        <f>INDEX(①データ入力!$B$3:$Y$39,C174,(B174-1)*5+2)&amp;""</f>
        <v/>
      </c>
      <c r="F174" s="21" t="str">
        <f t="shared" si="53"/>
        <v/>
      </c>
      <c r="G174" s="21">
        <f>INDEX(①データ入力!$B$3:$Y$39,C174,(B174-1)*5+3)</f>
        <v>0</v>
      </c>
      <c r="H174" s="21" t="str">
        <f>INDEX(①データ入力!$B$3:$Y$39,C174,(B174-1)*5+4)&amp;""</f>
        <v/>
      </c>
      <c r="I174" s="21" t="str">
        <f t="shared" si="54"/>
        <v/>
      </c>
      <c r="J174" s="21" t="str">
        <f t="shared" si="55"/>
        <v/>
      </c>
      <c r="K174" s="21" t="str">
        <f t="shared" si="56"/>
        <v/>
      </c>
      <c r="L174" s="21" t="str">
        <f t="shared" si="57"/>
        <v/>
      </c>
      <c r="M174" s="21" t="str">
        <f t="shared" si="58"/>
        <v>5組</v>
      </c>
      <c r="N174" s="21">
        <f t="shared" si="59"/>
        <v>0</v>
      </c>
    </row>
    <row r="175" spans="1:14" x14ac:dyDescent="0.15">
      <c r="A175" s="21">
        <f t="shared" si="50"/>
        <v>174</v>
      </c>
      <c r="B175" s="21">
        <f t="shared" si="51"/>
        <v>5</v>
      </c>
      <c r="C175" s="21">
        <f t="shared" si="52"/>
        <v>26</v>
      </c>
      <c r="D175" s="21" t="str">
        <f>INDEX(①データ入力!$B$3:$Y$39,C175,(B175-1)*5+1)&amp;""</f>
        <v/>
      </c>
      <c r="E175" s="21" t="str">
        <f>INDEX(①データ入力!$B$3:$Y$39,C175,(B175-1)*5+2)&amp;""</f>
        <v/>
      </c>
      <c r="F175" s="21" t="str">
        <f t="shared" si="53"/>
        <v/>
      </c>
      <c r="G175" s="21">
        <f>INDEX(①データ入力!$B$3:$Y$39,C175,(B175-1)*5+3)</f>
        <v>0</v>
      </c>
      <c r="H175" s="21" t="str">
        <f>INDEX(①データ入力!$B$3:$Y$39,C175,(B175-1)*5+4)&amp;""</f>
        <v/>
      </c>
      <c r="I175" s="21" t="str">
        <f t="shared" si="54"/>
        <v/>
      </c>
      <c r="J175" s="21" t="str">
        <f t="shared" si="55"/>
        <v/>
      </c>
      <c r="K175" s="21" t="str">
        <f t="shared" si="56"/>
        <v/>
      </c>
      <c r="L175" s="21" t="str">
        <f t="shared" si="57"/>
        <v/>
      </c>
      <c r="M175" s="21" t="str">
        <f t="shared" si="58"/>
        <v>5組</v>
      </c>
      <c r="N175" s="21">
        <f t="shared" si="59"/>
        <v>0</v>
      </c>
    </row>
    <row r="176" spans="1:14" x14ac:dyDescent="0.15">
      <c r="A176" s="21">
        <f t="shared" si="50"/>
        <v>175</v>
      </c>
      <c r="B176" s="21">
        <f t="shared" si="51"/>
        <v>5</v>
      </c>
      <c r="C176" s="21">
        <f t="shared" si="52"/>
        <v>27</v>
      </c>
      <c r="D176" s="21" t="str">
        <f>INDEX(①データ入力!$B$3:$Y$39,C176,(B176-1)*5+1)&amp;""</f>
        <v/>
      </c>
      <c r="E176" s="21" t="str">
        <f>INDEX(①データ入力!$B$3:$Y$39,C176,(B176-1)*5+2)&amp;""</f>
        <v/>
      </c>
      <c r="F176" s="21" t="str">
        <f t="shared" si="53"/>
        <v/>
      </c>
      <c r="G176" s="21">
        <f>INDEX(①データ入力!$B$3:$Y$39,C176,(B176-1)*5+3)</f>
        <v>0</v>
      </c>
      <c r="H176" s="21" t="str">
        <f>INDEX(①データ入力!$B$3:$Y$39,C176,(B176-1)*5+4)&amp;""</f>
        <v/>
      </c>
      <c r="I176" s="21" t="str">
        <f t="shared" si="54"/>
        <v/>
      </c>
      <c r="J176" s="21" t="str">
        <f t="shared" si="55"/>
        <v/>
      </c>
      <c r="K176" s="21" t="str">
        <f t="shared" si="56"/>
        <v/>
      </c>
      <c r="L176" s="21" t="str">
        <f t="shared" si="57"/>
        <v/>
      </c>
      <c r="M176" s="21" t="str">
        <f t="shared" si="58"/>
        <v>5組</v>
      </c>
      <c r="N176" s="21">
        <f t="shared" si="59"/>
        <v>0</v>
      </c>
    </row>
    <row r="177" spans="1:14" x14ac:dyDescent="0.15">
      <c r="A177" s="21">
        <f t="shared" si="50"/>
        <v>176</v>
      </c>
      <c r="B177" s="21">
        <f t="shared" si="51"/>
        <v>5</v>
      </c>
      <c r="C177" s="21">
        <f t="shared" si="52"/>
        <v>28</v>
      </c>
      <c r="D177" s="21" t="str">
        <f>INDEX(①データ入力!$B$3:$Y$39,C177,(B177-1)*5+1)&amp;""</f>
        <v/>
      </c>
      <c r="E177" s="21" t="str">
        <f>INDEX(①データ入力!$B$3:$Y$39,C177,(B177-1)*5+2)&amp;""</f>
        <v/>
      </c>
      <c r="F177" s="21" t="str">
        <f t="shared" si="53"/>
        <v/>
      </c>
      <c r="G177" s="21">
        <f>INDEX(①データ入力!$B$3:$Y$39,C177,(B177-1)*5+3)</f>
        <v>0</v>
      </c>
      <c r="H177" s="21" t="str">
        <f>INDEX(①データ入力!$B$3:$Y$39,C177,(B177-1)*5+4)&amp;""</f>
        <v/>
      </c>
      <c r="I177" s="21" t="str">
        <f t="shared" si="54"/>
        <v/>
      </c>
      <c r="J177" s="21" t="str">
        <f t="shared" si="55"/>
        <v/>
      </c>
      <c r="K177" s="21" t="str">
        <f t="shared" si="56"/>
        <v/>
      </c>
      <c r="L177" s="21" t="str">
        <f t="shared" si="57"/>
        <v/>
      </c>
      <c r="M177" s="21" t="str">
        <f t="shared" si="58"/>
        <v>5組</v>
      </c>
      <c r="N177" s="21">
        <f t="shared" si="59"/>
        <v>0</v>
      </c>
    </row>
    <row r="178" spans="1:14" x14ac:dyDescent="0.15">
      <c r="A178" s="21">
        <f t="shared" si="50"/>
        <v>177</v>
      </c>
      <c r="B178" s="21">
        <f t="shared" si="51"/>
        <v>5</v>
      </c>
      <c r="C178" s="21">
        <f t="shared" si="52"/>
        <v>29</v>
      </c>
      <c r="D178" s="21" t="str">
        <f>INDEX(①データ入力!$B$3:$Y$39,C178,(B178-1)*5+1)&amp;""</f>
        <v/>
      </c>
      <c r="E178" s="21" t="str">
        <f>INDEX(①データ入力!$B$3:$Y$39,C178,(B178-1)*5+2)&amp;""</f>
        <v/>
      </c>
      <c r="F178" s="21" t="str">
        <f t="shared" si="53"/>
        <v/>
      </c>
      <c r="G178" s="21">
        <f>INDEX(①データ入力!$B$3:$Y$39,C178,(B178-1)*5+3)</f>
        <v>0</v>
      </c>
      <c r="H178" s="21" t="str">
        <f>INDEX(①データ入力!$B$3:$Y$39,C178,(B178-1)*5+4)&amp;""</f>
        <v/>
      </c>
      <c r="I178" s="21" t="str">
        <f t="shared" si="54"/>
        <v/>
      </c>
      <c r="J178" s="21" t="str">
        <f t="shared" si="55"/>
        <v/>
      </c>
      <c r="K178" s="21" t="str">
        <f t="shared" si="56"/>
        <v/>
      </c>
      <c r="L178" s="21" t="str">
        <f t="shared" si="57"/>
        <v/>
      </c>
      <c r="M178" s="21" t="str">
        <f t="shared" si="58"/>
        <v>5組</v>
      </c>
      <c r="N178" s="21">
        <f t="shared" si="59"/>
        <v>0</v>
      </c>
    </row>
    <row r="179" spans="1:14" x14ac:dyDescent="0.15">
      <c r="A179" s="21">
        <f t="shared" si="50"/>
        <v>178</v>
      </c>
      <c r="B179" s="21">
        <f t="shared" si="51"/>
        <v>5</v>
      </c>
      <c r="C179" s="21">
        <f t="shared" si="52"/>
        <v>30</v>
      </c>
      <c r="D179" s="21" t="str">
        <f>INDEX(①データ入力!$B$3:$Y$39,C179,(B179-1)*5+1)&amp;""</f>
        <v/>
      </c>
      <c r="E179" s="21" t="str">
        <f>INDEX(①データ入力!$B$3:$Y$39,C179,(B179-1)*5+2)&amp;""</f>
        <v/>
      </c>
      <c r="F179" s="21" t="str">
        <f t="shared" si="53"/>
        <v/>
      </c>
      <c r="G179" s="21">
        <f>INDEX(①データ入力!$B$3:$Y$39,C179,(B179-1)*5+3)</f>
        <v>0</v>
      </c>
      <c r="H179" s="21" t="str">
        <f>INDEX(①データ入力!$B$3:$Y$39,C179,(B179-1)*5+4)&amp;""</f>
        <v/>
      </c>
      <c r="I179" s="21" t="str">
        <f t="shared" si="54"/>
        <v/>
      </c>
      <c r="J179" s="21" t="str">
        <f t="shared" si="55"/>
        <v/>
      </c>
      <c r="K179" s="21" t="str">
        <f t="shared" si="56"/>
        <v/>
      </c>
      <c r="L179" s="21" t="str">
        <f t="shared" si="57"/>
        <v/>
      </c>
      <c r="M179" s="21" t="str">
        <f t="shared" si="58"/>
        <v>5組</v>
      </c>
      <c r="N179" s="21">
        <f t="shared" si="59"/>
        <v>0</v>
      </c>
    </row>
    <row r="180" spans="1:14" x14ac:dyDescent="0.15">
      <c r="A180" s="21">
        <f t="shared" si="50"/>
        <v>179</v>
      </c>
      <c r="B180" s="21">
        <f t="shared" si="51"/>
        <v>5</v>
      </c>
      <c r="C180" s="21">
        <f t="shared" si="52"/>
        <v>31</v>
      </c>
      <c r="D180" s="21" t="str">
        <f>INDEX(①データ入力!$B$3:$Y$39,C180,(B180-1)*5+1)&amp;""</f>
        <v/>
      </c>
      <c r="E180" s="21" t="str">
        <f>INDEX(①データ入力!$B$3:$Y$39,C180,(B180-1)*5+2)&amp;""</f>
        <v/>
      </c>
      <c r="F180" s="21" t="str">
        <f t="shared" si="53"/>
        <v/>
      </c>
      <c r="G180" s="21">
        <f>INDEX(①データ入力!$B$3:$Y$39,C180,(B180-1)*5+3)</f>
        <v>0</v>
      </c>
      <c r="H180" s="21" t="str">
        <f>INDEX(①データ入力!$B$3:$Y$39,C180,(B180-1)*5+4)&amp;""</f>
        <v/>
      </c>
      <c r="I180" s="21" t="str">
        <f t="shared" si="54"/>
        <v/>
      </c>
      <c r="J180" s="21" t="str">
        <f t="shared" si="55"/>
        <v/>
      </c>
      <c r="K180" s="21" t="str">
        <f t="shared" si="56"/>
        <v/>
      </c>
      <c r="L180" s="21" t="str">
        <f t="shared" si="57"/>
        <v/>
      </c>
      <c r="M180" s="21" t="str">
        <f t="shared" si="58"/>
        <v>5組</v>
      </c>
      <c r="N180" s="21">
        <f t="shared" si="59"/>
        <v>0</v>
      </c>
    </row>
    <row r="181" spans="1:14" x14ac:dyDescent="0.15">
      <c r="A181" s="21">
        <f t="shared" si="50"/>
        <v>180</v>
      </c>
      <c r="B181" s="21">
        <f t="shared" si="51"/>
        <v>5</v>
      </c>
      <c r="C181" s="21">
        <f t="shared" si="52"/>
        <v>32</v>
      </c>
      <c r="D181" s="21" t="str">
        <f>INDEX(①データ入力!$B$3:$Y$39,C181,(B181-1)*5+1)&amp;""</f>
        <v/>
      </c>
      <c r="E181" s="21" t="str">
        <f>INDEX(①データ入力!$B$3:$Y$39,C181,(B181-1)*5+2)&amp;""</f>
        <v/>
      </c>
      <c r="F181" s="21" t="str">
        <f t="shared" si="53"/>
        <v/>
      </c>
      <c r="G181" s="21">
        <f>INDEX(①データ入力!$B$3:$Y$39,C181,(B181-1)*5+3)</f>
        <v>0</v>
      </c>
      <c r="H181" s="21" t="str">
        <f>INDEX(①データ入力!$B$3:$Y$39,C181,(B181-1)*5+4)&amp;""</f>
        <v/>
      </c>
      <c r="I181" s="21" t="str">
        <f t="shared" si="54"/>
        <v/>
      </c>
      <c r="J181" s="21" t="str">
        <f t="shared" si="55"/>
        <v/>
      </c>
      <c r="K181" s="21" t="str">
        <f t="shared" si="56"/>
        <v/>
      </c>
      <c r="L181" s="21" t="str">
        <f t="shared" si="57"/>
        <v/>
      </c>
      <c r="M181" s="21" t="str">
        <f t="shared" si="58"/>
        <v>5組</v>
      </c>
      <c r="N181" s="21">
        <f t="shared" si="59"/>
        <v>0</v>
      </c>
    </row>
    <row r="182" spans="1:14" x14ac:dyDescent="0.15">
      <c r="A182" s="21">
        <f t="shared" si="50"/>
        <v>181</v>
      </c>
      <c r="B182" s="21">
        <f t="shared" si="51"/>
        <v>5</v>
      </c>
      <c r="C182" s="21">
        <f t="shared" si="52"/>
        <v>33</v>
      </c>
      <c r="D182" s="21" t="str">
        <f>INDEX(①データ入力!$B$3:$Y$39,C182,(B182-1)*5+1)&amp;""</f>
        <v/>
      </c>
      <c r="E182" s="21" t="str">
        <f>INDEX(①データ入力!$B$3:$Y$39,C182,(B182-1)*5+2)&amp;""</f>
        <v/>
      </c>
      <c r="F182" s="21" t="str">
        <f t="shared" si="53"/>
        <v/>
      </c>
      <c r="G182" s="21">
        <f>INDEX(①データ入力!$B$3:$Y$39,C182,(B182-1)*5+3)</f>
        <v>0</v>
      </c>
      <c r="H182" s="21" t="str">
        <f>INDEX(①データ入力!$B$3:$Y$39,C182,(B182-1)*5+4)&amp;""</f>
        <v/>
      </c>
      <c r="I182" s="21" t="str">
        <f t="shared" si="54"/>
        <v/>
      </c>
      <c r="J182" s="21" t="str">
        <f t="shared" si="55"/>
        <v/>
      </c>
      <c r="K182" s="21" t="str">
        <f t="shared" si="56"/>
        <v/>
      </c>
      <c r="L182" s="21" t="str">
        <f t="shared" si="57"/>
        <v/>
      </c>
      <c r="M182" s="21" t="str">
        <f t="shared" si="58"/>
        <v>5組</v>
      </c>
      <c r="N182" s="21">
        <f t="shared" si="59"/>
        <v>0</v>
      </c>
    </row>
    <row r="183" spans="1:14" x14ac:dyDescent="0.15">
      <c r="A183" s="21">
        <f t="shared" si="50"/>
        <v>182</v>
      </c>
      <c r="B183" s="21">
        <f t="shared" si="51"/>
        <v>5</v>
      </c>
      <c r="C183" s="21">
        <f t="shared" si="52"/>
        <v>34</v>
      </c>
      <c r="D183" s="21" t="str">
        <f>INDEX(①データ入力!$B$3:$Y$39,C183,(B183-1)*5+1)&amp;""</f>
        <v/>
      </c>
      <c r="E183" s="21" t="str">
        <f>INDEX(①データ入力!$B$3:$Y$39,C183,(B183-1)*5+2)&amp;""</f>
        <v/>
      </c>
      <c r="F183" s="21" t="str">
        <f t="shared" si="53"/>
        <v/>
      </c>
      <c r="G183" s="21">
        <f>INDEX(①データ入力!$B$3:$Y$39,C183,(B183-1)*5+3)</f>
        <v>0</v>
      </c>
      <c r="H183" s="21" t="str">
        <f>INDEX(①データ入力!$B$3:$Y$39,C183,(B183-1)*5+4)&amp;""</f>
        <v/>
      </c>
      <c r="I183" s="21" t="str">
        <f t="shared" si="54"/>
        <v/>
      </c>
      <c r="J183" s="21" t="str">
        <f t="shared" si="55"/>
        <v/>
      </c>
      <c r="K183" s="21" t="str">
        <f t="shared" si="56"/>
        <v/>
      </c>
      <c r="L183" s="21" t="str">
        <f t="shared" si="57"/>
        <v/>
      </c>
      <c r="M183" s="21" t="str">
        <f t="shared" si="58"/>
        <v>5組</v>
      </c>
      <c r="N183" s="21">
        <f t="shared" si="59"/>
        <v>0</v>
      </c>
    </row>
    <row r="184" spans="1:14" x14ac:dyDescent="0.15">
      <c r="A184" s="21">
        <f t="shared" si="50"/>
        <v>183</v>
      </c>
      <c r="B184" s="21">
        <f t="shared" si="51"/>
        <v>5</v>
      </c>
      <c r="C184" s="21">
        <f t="shared" si="52"/>
        <v>35</v>
      </c>
      <c r="D184" s="21" t="str">
        <f>INDEX(①データ入力!$B$3:$Y$39,C184,(B184-1)*5+1)&amp;""</f>
        <v/>
      </c>
      <c r="E184" s="21" t="str">
        <f>INDEX(①データ入力!$B$3:$Y$39,C184,(B184-1)*5+2)&amp;""</f>
        <v/>
      </c>
      <c r="F184" s="21" t="str">
        <f t="shared" si="53"/>
        <v/>
      </c>
      <c r="G184" s="21">
        <f>INDEX(①データ入力!$B$3:$Y$39,C184,(B184-1)*5+3)</f>
        <v>0</v>
      </c>
      <c r="H184" s="21" t="str">
        <f>INDEX(①データ入力!$B$3:$Y$39,C184,(B184-1)*5+4)&amp;""</f>
        <v/>
      </c>
      <c r="I184" s="21" t="str">
        <f t="shared" si="54"/>
        <v/>
      </c>
      <c r="J184" s="21" t="str">
        <f t="shared" si="55"/>
        <v/>
      </c>
      <c r="K184" s="21" t="str">
        <f t="shared" si="56"/>
        <v/>
      </c>
      <c r="L184" s="21" t="str">
        <f t="shared" si="57"/>
        <v/>
      </c>
      <c r="M184" s="21" t="str">
        <f t="shared" si="58"/>
        <v>5組</v>
      </c>
      <c r="N184" s="21">
        <f t="shared" si="59"/>
        <v>0</v>
      </c>
    </row>
    <row r="185" spans="1:14" x14ac:dyDescent="0.15">
      <c r="A185" s="21">
        <f t="shared" si="50"/>
        <v>184</v>
      </c>
      <c r="B185" s="21">
        <f t="shared" si="51"/>
        <v>5</v>
      </c>
      <c r="C185" s="21">
        <f t="shared" si="52"/>
        <v>36</v>
      </c>
      <c r="D185" s="21" t="str">
        <f>INDEX(①データ入力!$B$3:$Y$39,C185,(B185-1)*5+1)&amp;""</f>
        <v/>
      </c>
      <c r="E185" s="21" t="str">
        <f>INDEX(①データ入力!$B$3:$Y$39,C185,(B185-1)*5+2)&amp;""</f>
        <v/>
      </c>
      <c r="F185" s="21" t="str">
        <f t="shared" si="53"/>
        <v/>
      </c>
      <c r="G185" s="21">
        <f>INDEX(①データ入力!$B$3:$Y$39,C185,(B185-1)*5+3)</f>
        <v>0</v>
      </c>
      <c r="H185" s="21" t="str">
        <f>INDEX(①データ入力!$B$3:$Y$39,C185,(B185-1)*5+4)&amp;""</f>
        <v/>
      </c>
      <c r="I185" s="21" t="str">
        <f t="shared" si="54"/>
        <v/>
      </c>
      <c r="J185" s="21" t="str">
        <f t="shared" si="55"/>
        <v/>
      </c>
      <c r="K185" s="21" t="str">
        <f t="shared" si="56"/>
        <v/>
      </c>
      <c r="L185" s="21" t="str">
        <f t="shared" si="57"/>
        <v/>
      </c>
      <c r="M185" s="21" t="str">
        <f t="shared" si="58"/>
        <v>5組</v>
      </c>
      <c r="N185" s="21">
        <f t="shared" si="59"/>
        <v>0</v>
      </c>
    </row>
    <row r="186" spans="1:14" x14ac:dyDescent="0.15">
      <c r="A186" s="21">
        <f t="shared" si="50"/>
        <v>185</v>
      </c>
      <c r="B186" s="21">
        <f t="shared" si="51"/>
        <v>5</v>
      </c>
      <c r="C186" s="21">
        <f t="shared" si="52"/>
        <v>37</v>
      </c>
      <c r="D186" s="21" t="str">
        <f>INDEX(①データ入力!$B$3:$Y$39,C186,(B186-1)*5+1)&amp;""</f>
        <v/>
      </c>
      <c r="E186" s="21" t="str">
        <f>INDEX(①データ入力!$B$3:$Y$39,C186,(B186-1)*5+2)&amp;""</f>
        <v/>
      </c>
      <c r="F186" s="21" t="str">
        <f t="shared" si="53"/>
        <v/>
      </c>
      <c r="G186" s="21">
        <f>INDEX(①データ入力!$B$3:$Y$39,C186,(B186-1)*5+3)</f>
        <v>0</v>
      </c>
      <c r="H186" s="21" t="str">
        <f>INDEX(①データ入力!$B$3:$Y$39,C186,(B186-1)*5+4)&amp;""</f>
        <v/>
      </c>
      <c r="I186" s="21" t="str">
        <f t="shared" si="54"/>
        <v/>
      </c>
      <c r="J186" s="21" t="str">
        <f t="shared" si="55"/>
        <v/>
      </c>
      <c r="K186" s="21" t="str">
        <f t="shared" si="56"/>
        <v/>
      </c>
      <c r="L186" s="21" t="str">
        <f t="shared" si="57"/>
        <v/>
      </c>
      <c r="M186" s="21" t="str">
        <f t="shared" si="58"/>
        <v>5組</v>
      </c>
      <c r="N186" s="21">
        <f t="shared" si="59"/>
        <v>0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e909044-a8c1-4e1b-8a86-a75e59ce9c85}" enabled="1" method="Privileged" siteId="{73f30c58-e03f-4d77-9879-2aad38db48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①データ入力</vt:lpstr>
      <vt:lpstr>組ごとタイム順</vt:lpstr>
      <vt:lpstr>4人組</vt:lpstr>
      <vt:lpstr>計算用</vt:lpstr>
      <vt:lpstr>'4人組'!Print_Titles</vt:lpstr>
      <vt:lpstr>組ごとタイム順!Print_Titles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yudai kobayasi</dc:creator>
  <cp:lastModifiedBy>馬場　久寿</cp:lastModifiedBy>
  <cp:revision>0</cp:revision>
  <cp:lastPrinted>2026-09-12T09:14:17Z</cp:lastPrinted>
  <dcterms:created xsi:type="dcterms:W3CDTF">2021-09-14T13:54:20Z</dcterms:created>
  <dcterms:modified xsi:type="dcterms:W3CDTF">2026-09-29T14:35:27Z</dcterms:modified>
  <dc:language>en-US</dc:language>
</cp:coreProperties>
</file>