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調整・決定"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'自動案'!$C$6:$L$29</definedName>
    <definedName name="決定の表">'調整・決定'!$C$6:$L$29</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0">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3">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84">
    <xf numFmtId="0" fontId="0" fillId="0" borderId="0" pivotButton="0" quotePrefix="0" xfId="0"/>
    <xf numFmtId="0" fontId="32" fillId="20" borderId="0" applyAlignment="1" pivotButton="0" quotePrefix="0" xfId="0">
      <alignment vertical="center" indent="1"/>
    </xf>
    <xf numFmtId="0" fontId="0" fillId="20" borderId="0" pivotButton="0" quotePrefix="0" xfId="0"/>
    <xf numFmtId="0" fontId="33"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4" fillId="6" borderId="9" applyAlignment="1" pivotButton="0" quotePrefix="0" xfId="0">
      <alignment horizontal="center" vertical="center" wrapText="1"/>
    </xf>
    <xf numFmtId="0" fontId="35" fillId="21" borderId="9" applyAlignment="1" pivotButton="0" quotePrefix="0" xfId="0">
      <alignment horizontal="center" vertical="center" wrapText="1"/>
    </xf>
    <xf numFmtId="0" fontId="0" fillId="0" borderId="12" pivotButton="0" quotePrefix="0" xfId="0"/>
    <xf numFmtId="0" fontId="38" fillId="0" borderId="0" pivotButton="0" quotePrefix="0" xfId="0"/>
    <xf numFmtId="20"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1" fontId="1" fillId="7" borderId="4" applyAlignment="1" pivotButton="0" quotePrefix="0" xfId="0">
      <alignment horizontal="center" vertical="center" wrapText="1"/>
    </xf>
    <xf numFmtId="0" fontId="13"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17" fillId="0" borderId="0" applyAlignment="1" pivotButton="0" quotePrefix="0" xfId="0">
      <alignment horizontal="right" vertical="center"/>
    </xf>
    <xf numFmtId="0" fontId="18" fillId="9" borderId="0" applyAlignment="1" pivotButton="0" quotePrefix="0" xfId="0">
      <alignment horizontal="center" vertical="center" wrapText="1"/>
    </xf>
    <xf numFmtId="0" fontId="36" fillId="4" borderId="4" applyAlignment="1" pivotButton="0" quotePrefix="0" xfId="0">
      <alignment horizontal="center" vertical="center" wrapText="1"/>
    </xf>
    <xf numFmtId="0" fontId="17" fillId="8" borderId="4" applyAlignment="1" pivotButton="0" quotePrefix="0" xfId="0">
      <alignment horizontal="center" vertical="center" wrapText="1"/>
    </xf>
    <xf numFmtId="0" fontId="1" fillId="8" borderId="0" pivotButton="0" quotePrefix="0" xfId="0"/>
    <xf numFmtId="0" fontId="36" fillId="4" borderId="0" applyAlignment="1" pivotButton="0" quotePrefix="0" xfId="0">
      <alignment horizontal="center" vertical="center" wrapText="1"/>
    </xf>
    <xf numFmtId="166"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5" fillId="8" borderId="0" applyAlignment="1" pivotButton="0" quotePrefix="0" xfId="0">
      <alignment horizontal="center" vertical="center" wrapText="1"/>
    </xf>
    <xf numFmtId="0" fontId="18" fillId="0" borderId="0" applyAlignment="1" pivotButton="0" quotePrefix="0" xfId="0">
      <alignment horizontal="center" vertical="center" wrapText="1"/>
    </xf>
    <xf numFmtId="0" fontId="13" fillId="0" borderId="0" applyAlignment="1" pivotButton="0" quotePrefix="0" xfId="0">
      <alignment vertical="top" wrapText="1"/>
    </xf>
    <xf numFmtId="0" fontId="19" fillId="0" borderId="0" pivotButton="0" quotePrefix="0" xfId="0"/>
    <xf numFmtId="0" fontId="37" fillId="22" borderId="4" applyAlignment="1" pivotButton="0" quotePrefix="0" xfId="0">
      <alignment horizontal="center" vertical="center" wrapText="1"/>
    </xf>
    <xf numFmtId="0" fontId="37"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20" fillId="0" borderId="0" applyAlignment="1" pivotButton="0" quotePrefix="0" xfId="0">
      <alignment horizontal="center" vertical="center" wrapText="1"/>
    </xf>
    <xf numFmtId="0" fontId="32" fillId="20" borderId="0" applyAlignment="1" pivotButton="0" quotePrefix="0" xfId="0">
      <alignment vertical="center"/>
    </xf>
    <xf numFmtId="0" fontId="33" fillId="2" borderId="0" applyAlignment="1" pivotButton="0" quotePrefix="0" xfId="0">
      <alignment vertical="center"/>
    </xf>
    <xf numFmtId="0" fontId="39"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5" fillId="2" borderId="0" applyAlignment="1" pivotButton="0" quotePrefix="0" xfId="0">
      <alignment horizontal="left"/>
    </xf>
    <xf numFmtId="0" fontId="22" fillId="2" borderId="0" applyAlignment="1" pivotButton="0" quotePrefix="0" xfId="0">
      <alignment horizontal="center" vertical="center" wrapText="1"/>
    </xf>
    <xf numFmtId="0" fontId="23" fillId="9" borderId="0" applyAlignment="1" pivotButton="0" quotePrefix="0" xfId="0">
      <alignment horizontal="center" vertical="center" wrapText="1"/>
    </xf>
    <xf numFmtId="0" fontId="24" fillId="0" borderId="0" applyAlignment="1" pivotButton="0" quotePrefix="0" xfId="0">
      <alignment horizontal="center" vertical="center" wrapText="1"/>
    </xf>
    <xf numFmtId="0" fontId="28" fillId="11" borderId="4" applyAlignment="1" pivotButton="0" quotePrefix="0" xfId="0">
      <alignment horizontal="center" vertical="center" wrapText="1"/>
    </xf>
    <xf numFmtId="0" fontId="28" fillId="18" borderId="4" applyAlignment="1" pivotButton="0" quotePrefix="0" xfId="0">
      <alignment horizontal="center" vertical="center" wrapText="1"/>
    </xf>
    <xf numFmtId="0" fontId="28" fillId="19" borderId="4" applyAlignment="1" pivotButton="0" quotePrefix="0" xfId="0">
      <alignment horizontal="center" vertical="center" wrapText="1"/>
    </xf>
    <xf numFmtId="0" fontId="28" fillId="17" borderId="4" applyAlignment="1" pivotButton="0" quotePrefix="0" xfId="0">
      <alignment horizontal="center" vertical="center" wrapText="1"/>
    </xf>
    <xf numFmtId="0" fontId="25" fillId="0" borderId="0" pivotButton="0" quotePrefix="0" xfId="0"/>
    <xf numFmtId="0" fontId="15" fillId="0" borderId="0" pivotButton="0" quotePrefix="0" xfId="0"/>
    <xf numFmtId="0" fontId="30" fillId="0" borderId="0" pivotButton="0" quotePrefix="0" xfId="0"/>
    <xf numFmtId="0" fontId="30" fillId="0" borderId="0" applyAlignment="1" pivotButton="0" quotePrefix="0" xfId="0">
      <alignment vertical="top" wrapText="1"/>
    </xf>
    <xf numFmtId="0" fontId="31" fillId="0" borderId="0" pivotButton="0" quotePrefix="0" xfId="0"/>
    <xf numFmtId="0" fontId="1" fillId="0" borderId="0" applyAlignment="1" pivotButton="0" quotePrefix="0" xfId="0">
      <alignment vertical="top" wrapText="1"/>
    </xf>
    <xf numFmtId="0" fontId="26" fillId="10" borderId="4" applyAlignment="1" pivotButton="0" quotePrefix="0" xfId="0">
      <alignment horizontal="center" vertical="center" wrapText="1"/>
    </xf>
    <xf numFmtId="0" fontId="26" fillId="11" borderId="4" applyAlignment="1" pivotButton="0" quotePrefix="0" xfId="0">
      <alignment horizontal="center" vertical="center" wrapText="1"/>
    </xf>
    <xf numFmtId="0" fontId="26" fillId="12" borderId="4" applyAlignment="1" pivotButton="0" quotePrefix="0" xfId="0">
      <alignment horizontal="center" vertical="center" wrapText="1"/>
    </xf>
    <xf numFmtId="0" fontId="26" fillId="13" borderId="4" applyAlignment="1" pivotButton="0" quotePrefix="0" xfId="0">
      <alignment horizontal="center" vertical="center" wrapText="1"/>
    </xf>
    <xf numFmtId="0" fontId="27" fillId="14" borderId="4" applyAlignment="1" pivotButton="0" quotePrefix="0" xfId="0">
      <alignment horizontal="center" vertical="center" wrapText="1"/>
    </xf>
    <xf numFmtId="0" fontId="26" fillId="15" borderId="4" applyAlignment="1" pivotButton="0" quotePrefix="0" xfId="0">
      <alignment horizontal="center" vertical="center" wrapText="1"/>
    </xf>
    <xf numFmtId="0" fontId="26" fillId="16" borderId="4" applyAlignment="1" pivotButton="0" quotePrefix="0" xfId="0">
      <alignment horizontal="center" vertical="center" wrapText="1"/>
    </xf>
    <xf numFmtId="0" fontId="26" fillId="17"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9" fillId="0" borderId="0" applyAlignment="1" pivotButton="0" quotePrefix="0" xfId="0">
      <alignment vertical="top" wrapText="1"/>
    </xf>
    <xf numFmtId="0" fontId="1" fillId="0" borderId="0" pivotButton="0" quotePrefix="0" xfId="0"/>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COUNTIF('名簿'!$H$5:$H$49,"入力済み")+COUNTIF('名簿'!$H$5:$H$49,"×なし")</f>
        <v/>
      </c>
      <c r="E6" s="9" t="n"/>
      <c r="F6" s="8">
        <f>COUNTIF('名簿'!$H$5:$H$49,"未入力")</f>
        <v/>
      </c>
      <c r="G6" s="9" t="n"/>
      <c r="H6" s="8">
        <f>COUNTIF('名簿'!$H$5:$H$49,"未提出")</f>
        <v/>
      </c>
      <c r="I6" s="9" t="n"/>
      <c r="J6" s="8">
        <f>SUMPRODUCT(('名簿'!$L$5:$L$49&lt;&gt;"")*1)</f>
        <v/>
      </c>
      <c r="K6" s="9" t="n"/>
      <c r="L6" s="8">
        <f>COUNTIF('名簿'!$N$5:$N$49,"未決定")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row r="25"/>
    <row r="26">
      <c r="B26" s="5" t="inlineStr">
        <is>
          <t>くわしい使い方</t>
        </is>
      </c>
    </row>
    <row r="27">
      <c r="B27" s="15" t="inlineStr">
        <is>
          <t>1. 「設定」シート</t>
        </is>
      </c>
    </row>
    <row r="28">
      <c r="B28" s="16" t="inlineStr">
        <is>
          <t>・面談の日付（上から順に、最大10日）、時間帯（午前と午後に分けるときは2つ）と1枠の長さを入れます（1日最大24枠）。</t>
        </is>
      </c>
    </row>
    <row r="29">
      <c r="B29" s="16" t="inlineStr">
        <is>
          <t>・空けたい日や休憩の時刻には「〇」を選びます。自動案では、ほかに入る枠がないときだけ使われます。</t>
        </is>
      </c>
    </row>
    <row r="30" ht="30" customHeight="1">
      <c r="B30" s="16" t="inlineStr">
        <is>
          <t>・出張や会議などで面談を組まない日・時間・枠は、右の「先生の都合で使えない枠」で「×」を選びます。止めた枠は、×入力・自動案・調整・決定で灰色になり、使われません。</t>
        </is>
      </c>
    </row>
    <row r="31">
      <c r="B31" s="15" t="inlineStr">
        <is>
          <t>2. 「名簿」シート</t>
        </is>
      </c>
    </row>
    <row r="32">
      <c r="B32" s="16" t="inlineStr">
        <is>
          <t>・Excelの名簿から「出席番号」と「名前」をコピーして、「番号」の列のいちばん上のマスに貼り付けます（最大45人）。</t>
        </is>
      </c>
    </row>
    <row r="33">
      <c r="B33" s="16" t="inlineStr">
        <is>
          <t>・他のクラスに兄弟がいる家庭は、「兄弟」の列で「〇」を選び、「兄弟メモ」に兄弟のクラスなどをメモします。</t>
        </is>
      </c>
    </row>
    <row r="34" ht="30" customHeight="1">
      <c r="B34" s="16" t="inlineStr">
        <is>
          <t>・「希望」：早い時刻／遅い時刻／早い日／遅い日 から選べます。自動案で、×のない枠の中からできるだけ希望に合う枠を選びます（希望なので、合わないこともあります）。</t>
        </is>
      </c>
    </row>
    <row r="35" ht="30" customHeight="1">
      <c r="B35"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6">
      <c r="B36" s="16" t="inlineStr">
        <is>
          <t>・名簿の行は並べ替えないでください（×入力の内容とずれてしまいます）。絞り込み（フィルター）は使えます。</t>
        </is>
      </c>
    </row>
    <row r="37">
      <c r="B37" s="16" t="inlineStr">
        <is>
          <t>・自動案や調整・決定には名前だけが出ます。同じ名前の児童がいるときだけ、「番号 名前」で区別して表示します。</t>
        </is>
      </c>
    </row>
    <row r="38">
      <c r="B38" s="15" t="inlineStr">
        <is>
          <t>3. 「×入力」シート</t>
        </is>
      </c>
    </row>
    <row r="39">
      <c r="B39" s="16" t="inlineStr">
        <is>
          <t>・1人ずつ、予定表と同じ形の表があります。名簿の「×入力へ」をクリックすると、その人の表に移動します。</t>
        </is>
      </c>
    </row>
    <row r="40">
      <c r="B40" s="16" t="inlineStr">
        <is>
          <t>・都合の悪い枠に「×」を入れます（何か文字が入っていれば×として扱います）。消すときは Delete キー。</t>
        </is>
      </c>
    </row>
    <row r="41">
      <c r="B41" s="16" t="inlineStr">
        <is>
          <t>・まとめて入れるとき：マウスでなぞって範囲を選び、「×」と打って Ctrl + Enter を押すと、選んだ枠が全部×になります。</t>
        </is>
      </c>
    </row>
    <row r="42" ht="30" customHeight="1">
      <c r="B42" s="16" t="inlineStr">
        <is>
          <t>・その日全部：日付の上の「この日全部」の欄で「×」を選びます。その時間全部：時刻の左の「この時間全部」の欄で「×」を選びます（表のマスはピンクになります）。</t>
        </is>
      </c>
    </row>
    <row r="43">
      <c r="B43" s="16" t="inlineStr">
        <is>
          <t>・×が1つもない家庭は「提出状況」で「×なし（どこでもOK）」、提出していない家庭は「未提出」を選びます。</t>
        </is>
      </c>
    </row>
    <row r="44">
      <c r="B44" s="15" t="inlineStr">
        <is>
          <t>4. 「自動案」シート</t>
        </is>
      </c>
    </row>
    <row r="45">
      <c r="B45" s="16" t="inlineStr">
        <is>
          <t>・入れられる枠が少ない家庭から順に、自動で組んだ案が表示されます（未入力・未提出の家庭は外れます）。</t>
        </is>
      </c>
    </row>
    <row r="46" ht="30" customHeight="1">
      <c r="B46" s="16" t="inlineStr">
        <is>
          <t>・案でよければ、表をコピーして、「調整・決定」シートの表の左上（いちばん早い日・時刻のマス）に［値の貼り付け］をします。左上の名前ボックスで「自動案の表」を選ぶと、表全体をまとめて選べます。</t>
        </is>
      </c>
    </row>
    <row r="47">
      <c r="B47" s="16" t="inlineStr">
        <is>
          <t>・「調整・決定」シートですでに決めた人はそのまま残り、残りの人だけで案が作られます。やり直したいときは調整・決定の表を消します。</t>
        </is>
      </c>
    </row>
    <row r="48">
      <c r="B48" s="15" t="inlineStr">
        <is>
          <t>5. 「調整・決定」シート</t>
        </is>
      </c>
    </row>
    <row r="49">
      <c r="B49" s="16" t="inlineStr">
        <is>
          <t>・各枠のセルで、プルダウンから児童を選びます。</t>
        </is>
      </c>
    </row>
    <row r="50" ht="30" customHeight="1">
      <c r="B50" s="16" t="inlineStr">
        <is>
          <t>・右の「児童を選ぶ」で児童を選ぶと、表の色が変わります：緑＝入れられる空き枠／黄＝入れられる（ほかの人がいる）／ピンク＝×の枠／青＝今いる枠。</t>
        </is>
      </c>
    </row>
    <row r="51">
      <c r="B51" s="16" t="inlineStr">
        <is>
          <t>・赤い枠は「×の枠に入れてしまった」、オレンジの枠は「同じ人が2か所に入っている」です。</t>
        </is>
      </c>
    </row>
    <row r="52">
      <c r="B52" s="16" t="inlineStr">
        <is>
          <t>・青い斜線の枠は「前の人の後ろを空ける枠」です。紫の枠は、空けるはずの枠に人が入っています。</t>
        </is>
      </c>
    </row>
    <row r="53">
      <c r="B53" s="16" t="inlineStr">
        <is>
          <t>・下の「候補」の表には、その枠に入れられる、まだ決まっていない児童が表示されます。「1人」の枠は先に決めると楽です。</t>
        </is>
      </c>
    </row>
    <row r="54">
      <c r="B54" s="15" t="inlineStr">
        <is>
          <t>6. 結果</t>
        </is>
      </c>
    </row>
    <row r="55">
      <c r="B55" s="16" t="inlineStr">
        <is>
          <t>・「名簿」シートの右側に、決まった日時・注意（×の枠／2か所／後ろが空いていない／使えない枠／未決定）・自動案が表示されます。</t>
        </is>
      </c>
    </row>
    <row r="56">
      <c r="B56" s="16" t="inlineStr">
        <is>
          <t>・CSVが必要なときは「名簿」シートを開いて［ファイル］→［名前を付けて保存］→ 種類を「CSV UTF-8」にします。</t>
        </is>
      </c>
    </row>
    <row r="57">
      <c r="B57" s="16" t="inlineStr">
        <is>
          <t>・兄弟ありの家庭だけ見たいときは、名簿の「兄弟」の列でフィルターをかけます。</t>
        </is>
      </c>
    </row>
    <row r="58">
      <c r="B58" s="16" t="inlineStr"/>
    </row>
    <row r="59">
      <c r="B59" s="17" t="inlineStr">
        <is>
          <t>※ 「計算A」「計算B」は計算用の隠しシートです。さわらないでください。</t>
        </is>
      </c>
    </row>
  </sheetData>
  <mergeCells count="65">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9:M59"/>
    <mergeCell ref="B5:C5"/>
    <mergeCell ref="B31:M31"/>
    <mergeCell ref="D5:E5"/>
    <mergeCell ref="B46:M46"/>
    <mergeCell ref="H5:I5"/>
    <mergeCell ref="C13:J13"/>
    <mergeCell ref="C19:J19"/>
    <mergeCell ref="B27:M27"/>
    <mergeCell ref="B52:M52"/>
    <mergeCell ref="B56:M56"/>
    <mergeCell ref="B21:B22"/>
    <mergeCell ref="B43:M43"/>
    <mergeCell ref="B58:M58"/>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2" t="n"/>
      <c r="K1" s="18">
        <f>HYPERLINK("#'調整・決定'!A1","⑤ 調整・決定")</f>
        <v/>
      </c>
      <c r="L1" s="20" t="n"/>
      <c r="M1" s="2" t="n"/>
      <c r="N1" s="2" t="n"/>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1" t="inlineStr">
        <is>
          <t>時間帯1</t>
        </is>
      </c>
      <c r="B3" s="22" t="n">
        <v>0.5625</v>
      </c>
      <c r="C3" s="23" t="inlineStr">
        <is>
          <t>〜</t>
        </is>
      </c>
      <c r="D3" s="22" t="n">
        <v>0.6458333333333334</v>
      </c>
      <c r="E3" s="24">
        <f>IF(OR(NOT(ISNUMBER(B3)),NOT(ISNUMBER(D3))),"← 始まりと終わりの時刻を入れてください",IF(D3&lt;B3,"← 終わりは始まりより後の時刻にしてください",""))</f>
        <v/>
      </c>
    </row>
    <row r="4">
      <c r="A4" s="21" t="inlineStr">
        <is>
          <t>時間帯2（なければ空欄）</t>
        </is>
      </c>
      <c r="B4" s="22" t="n"/>
      <c r="C4" s="23" t="inlineStr">
        <is>
          <t>〜</t>
        </is>
      </c>
      <c r="D4" s="22" t="n"/>
      <c r="E4" s="24">
        <f>IF(AND(B4="",D4=""),"",IF(OR(NOT(ISNUMBER(B4)),NOT(ISNUMBER(D4))),"← 始まりと終わりの両方を入れてください",IF(D4&lt;B4,"← 終わりは始まりより後の時刻にしてください",IF(AND(ISNUMBER(D3),B4&lt;=D3),"← 時間帯1より後の時刻にしてください",""))))</f>
        <v/>
      </c>
    </row>
    <row r="5">
      <c r="A5" s="21" t="inlineStr">
        <is>
          <t>1枠の長さ（分）</t>
        </is>
      </c>
      <c r="B5" s="25" t="n">
        <v>15</v>
      </c>
      <c r="E5" s="24">
        <f>IF(AND(ISNUMBER(B5),B5&gt;0),"","← 5〜120の数字を入れてください")</f>
        <v/>
      </c>
    </row>
    <row r="6">
      <c r="A6" s="21" t="inlineStr">
        <is>
          <t>1日の枠の数</t>
        </is>
      </c>
      <c r="B6" s="23">
        <f>MIN(24,'計算A'!$A$3+'計算A'!$A$4)</f>
        <v/>
      </c>
      <c r="D6" s="26" t="inlineStr">
        <is>
          <t>（最大24枠）</t>
        </is>
      </c>
      <c r="E6" s="24">
        <f>IF('計算A'!$A$3+'計算A'!$A$4&gt;24,"← 枠が24をこえています。こえた分は使いません","")</f>
        <v/>
      </c>
    </row>
    <row r="7">
      <c r="K7" s="5" t="inlineStr">
        <is>
          <t>先生の都合で使えない枠（出張・会議など）</t>
        </is>
      </c>
    </row>
    <row r="8">
      <c r="A8" s="21" t="inlineStr">
        <is>
          <t>自動案の詰め方</t>
        </is>
      </c>
      <c r="B8" s="27" t="inlineStr">
        <is>
          <t>早い時間から（各日の最後を空ける）</t>
        </is>
      </c>
      <c r="C8" s="28" t="n"/>
      <c r="D8" s="28" t="n"/>
      <c r="E8" s="29" t="n"/>
      <c r="K8" s="26" t="inlineStr">
        <is>
          <t>「×」を選んだ日・時間・枠は、自動案にも調整・決定にも使いません。</t>
        </is>
      </c>
    </row>
    <row r="9">
      <c r="K9" s="30" t="inlineStr">
        <is>
          <t>この日は組まない ▶</t>
        </is>
      </c>
      <c r="M9" s="31" t="n"/>
      <c r="N9" s="31" t="n"/>
      <c r="O9" s="31" t="n"/>
      <c r="P9" s="31" t="n"/>
      <c r="Q9" s="31" t="n"/>
      <c r="R9" s="31" t="n"/>
      <c r="S9" s="31" t="n"/>
      <c r="T9" s="31" t="n"/>
      <c r="U9" s="31" t="n"/>
      <c r="V9" s="31" t="n"/>
    </row>
    <row r="10" ht="44" customHeight="1">
      <c r="B10" s="32" t="inlineStr">
        <is>
          <t>日付</t>
        </is>
      </c>
      <c r="C10" s="32" t="inlineStr">
        <is>
          <t>曜日</t>
        </is>
      </c>
      <c r="D10" s="32" t="inlineStr">
        <is>
          <t>なるべく空ける</t>
        </is>
      </c>
      <c r="E10" s="32" t="inlineStr">
        <is>
          <t>表示</t>
        </is>
      </c>
      <c r="G10" s="32" t="inlineStr">
        <is>
          <t>時刻</t>
        </is>
      </c>
      <c r="H10" s="32" t="inlineStr">
        <is>
          <t>休憩（なるべく空ける）</t>
        </is>
      </c>
      <c r="I10" s="32" t="inlineStr">
        <is>
          <t>表示</t>
        </is>
      </c>
      <c r="K10" s="33" t="inlineStr">
        <is>
          <t>この時間は
組まない ▼</t>
        </is>
      </c>
      <c r="L10" s="34" t="inlineStr"/>
      <c r="M10" s="35">
        <f>'設定'!$E$11</f>
        <v/>
      </c>
      <c r="N10" s="35">
        <f>'設定'!$E$12</f>
        <v/>
      </c>
      <c r="O10" s="35">
        <f>'設定'!$E$13</f>
        <v/>
      </c>
      <c r="P10" s="35">
        <f>'設定'!$E$14</f>
        <v/>
      </c>
      <c r="Q10" s="35">
        <f>'設定'!$E$15</f>
        <v/>
      </c>
      <c r="R10" s="35">
        <f>'設定'!$E$16</f>
        <v/>
      </c>
      <c r="S10" s="35">
        <f>'設定'!$E$17</f>
        <v/>
      </c>
      <c r="T10" s="35">
        <f>'設定'!$E$18</f>
        <v/>
      </c>
      <c r="U10" s="35">
        <f>'設定'!$E$19</f>
        <v/>
      </c>
      <c r="V10" s="35">
        <f>'設定'!$E$20</f>
        <v/>
      </c>
    </row>
    <row r="11">
      <c r="A11" s="23" t="inlineStr">
        <is>
          <t>1日目</t>
        </is>
      </c>
      <c r="B11" s="36" t="n">
        <v>46350</v>
      </c>
      <c r="C11" s="37">
        <f>IF(B11="","",CHOOSE(WEEKDAY(B11),"日","月","火","水","木","金","土"))</f>
        <v/>
      </c>
      <c r="D11" s="38" t="n"/>
      <c r="E11" s="39">
        <f>IF(B11="","",MONTH(B11)&amp;"月"&amp;DAY(B11)&amp;"日（"&amp;C11&amp;"）")</f>
        <v/>
      </c>
      <c r="F11" s="40" t="n">
        <v>1</v>
      </c>
      <c r="G11" s="41">
        <f>IF(F11&lt;=MIN('計算A'!$A$3,24),$B$3+(F11-1)*$B$5/1440,IF(F11&lt;=$B$6,$B$4+(F11-'計算A'!$A$3-1)*$B$5/1440,""))</f>
        <v/>
      </c>
      <c r="H11" s="38" t="n"/>
      <c r="I11" s="37">
        <f>IF(G11="","",TEXT(G11,"h:mm")&amp;"〜")</f>
        <v/>
      </c>
      <c r="K11" s="31" t="n"/>
      <c r="L11" s="42">
        <f>$I$11</f>
        <v/>
      </c>
      <c r="M11" s="43" t="n"/>
      <c r="N11" s="43" t="n"/>
      <c r="O11" s="43" t="n"/>
      <c r="P11" s="43" t="n"/>
      <c r="Q11" s="43" t="n"/>
      <c r="R11" s="43" t="n"/>
      <c r="S11" s="43" t="n"/>
      <c r="T11" s="43" t="n"/>
      <c r="U11" s="43" t="n"/>
      <c r="V11" s="43" t="n"/>
    </row>
    <row r="12">
      <c r="A12" s="23" t="inlineStr">
        <is>
          <t>2日目</t>
        </is>
      </c>
      <c r="B12" s="36" t="n">
        <v>46351</v>
      </c>
      <c r="C12" s="37">
        <f>IF(B12="","",CHOOSE(WEEKDAY(B12),"日","月","火","水","木","金","土"))</f>
        <v/>
      </c>
      <c r="D12" s="38" t="n"/>
      <c r="E12" s="39">
        <f>IF(B12="","",MONTH(B12)&amp;"月"&amp;DAY(B12)&amp;"日（"&amp;C12&amp;"）")</f>
        <v/>
      </c>
      <c r="F12" s="40" t="n">
        <v>2</v>
      </c>
      <c r="G12" s="41">
        <f>IF(F12&lt;=MIN('計算A'!$A$3,24),$B$3+(F12-1)*$B$5/1440,IF(F12&lt;=$B$6,$B$4+(F12-'計算A'!$A$3-1)*$B$5/1440,""))</f>
        <v/>
      </c>
      <c r="H12" s="38" t="n"/>
      <c r="I12" s="37">
        <f>IF(G12="","",TEXT(G12,"h:mm")&amp;"〜")</f>
        <v/>
      </c>
      <c r="K12" s="31" t="n"/>
      <c r="L12" s="42">
        <f>$I$12</f>
        <v/>
      </c>
      <c r="M12" s="43" t="n"/>
      <c r="N12" s="43" t="n"/>
      <c r="O12" s="43" t="n"/>
      <c r="P12" s="43" t="n"/>
      <c r="Q12" s="43" t="n"/>
      <c r="R12" s="43" t="n"/>
      <c r="S12" s="43" t="n"/>
      <c r="T12" s="43" t="n"/>
      <c r="U12" s="43" t="n"/>
      <c r="V12" s="43" t="n"/>
    </row>
    <row r="13">
      <c r="A13" s="23" t="inlineStr">
        <is>
          <t>3日目</t>
        </is>
      </c>
      <c r="B13" s="36" t="n">
        <v>46352</v>
      </c>
      <c r="C13" s="37">
        <f>IF(B13="","",CHOOSE(WEEKDAY(B13),"日","月","火","水","木","金","土"))</f>
        <v/>
      </c>
      <c r="D13" s="38" t="n"/>
      <c r="E13" s="39">
        <f>IF(B13="","",MONTH(B13)&amp;"月"&amp;DAY(B13)&amp;"日（"&amp;C13&amp;"）")</f>
        <v/>
      </c>
      <c r="F13" s="40" t="n">
        <v>3</v>
      </c>
      <c r="G13" s="41">
        <f>IF(F13&lt;=MIN('計算A'!$A$3,24),$B$3+(F13-1)*$B$5/1440,IF(F13&lt;=$B$6,$B$4+(F13-'計算A'!$A$3-1)*$B$5/1440,""))</f>
        <v/>
      </c>
      <c r="H13" s="38" t="n"/>
      <c r="I13" s="37">
        <f>IF(G13="","",TEXT(G13,"h:mm")&amp;"〜")</f>
        <v/>
      </c>
      <c r="K13" s="31" t="n"/>
      <c r="L13" s="42">
        <f>$I$13</f>
        <v/>
      </c>
      <c r="M13" s="43" t="n"/>
      <c r="N13" s="43" t="n"/>
      <c r="O13" s="43" t="n"/>
      <c r="P13" s="43" t="n"/>
      <c r="Q13" s="43" t="n"/>
      <c r="R13" s="43" t="n"/>
      <c r="S13" s="43" t="n"/>
      <c r="T13" s="43" t="n"/>
      <c r="U13" s="43" t="n"/>
      <c r="V13" s="43" t="n"/>
    </row>
    <row r="14">
      <c r="A14" s="23" t="inlineStr">
        <is>
          <t>4日目</t>
        </is>
      </c>
      <c r="B14" s="36" t="n">
        <v>46353</v>
      </c>
      <c r="C14" s="37">
        <f>IF(B14="","",CHOOSE(WEEKDAY(B14),"日","月","火","水","木","金","土"))</f>
        <v/>
      </c>
      <c r="D14" s="38" t="n"/>
      <c r="E14" s="39">
        <f>IF(B14="","",MONTH(B14)&amp;"月"&amp;DAY(B14)&amp;"日（"&amp;C14&amp;"）")</f>
        <v/>
      </c>
      <c r="F14" s="40" t="n">
        <v>4</v>
      </c>
      <c r="G14" s="41">
        <f>IF(F14&lt;=MIN('計算A'!$A$3,24),$B$3+(F14-1)*$B$5/1440,IF(F14&lt;=$B$6,$B$4+(F14-'計算A'!$A$3-1)*$B$5/1440,""))</f>
        <v/>
      </c>
      <c r="H14" s="38" t="n"/>
      <c r="I14" s="37">
        <f>IF(G14="","",TEXT(G14,"h:mm")&amp;"〜")</f>
        <v/>
      </c>
      <c r="K14" s="31" t="n"/>
      <c r="L14" s="42">
        <f>$I$14</f>
        <v/>
      </c>
      <c r="M14" s="43" t="n"/>
      <c r="N14" s="43" t="n"/>
      <c r="O14" s="43" t="n"/>
      <c r="P14" s="43" t="n"/>
      <c r="Q14" s="43" t="n"/>
      <c r="R14" s="43" t="n"/>
      <c r="S14" s="43" t="n"/>
      <c r="T14" s="43" t="n"/>
      <c r="U14" s="43" t="n"/>
      <c r="V14" s="43" t="n"/>
    </row>
    <row r="15">
      <c r="A15" s="23" t="inlineStr">
        <is>
          <t>5日目</t>
        </is>
      </c>
      <c r="B15" s="36" t="n">
        <v>46356</v>
      </c>
      <c r="C15" s="37">
        <f>IF(B15="","",CHOOSE(WEEKDAY(B15),"日","月","火","水","木","金","土"))</f>
        <v/>
      </c>
      <c r="D15" s="38" t="n"/>
      <c r="E15" s="39">
        <f>IF(B15="","",MONTH(B15)&amp;"月"&amp;DAY(B15)&amp;"日（"&amp;C15&amp;"）")</f>
        <v/>
      </c>
      <c r="F15" s="40" t="n">
        <v>5</v>
      </c>
      <c r="G15" s="41">
        <f>IF(F15&lt;=MIN('計算A'!$A$3,24),$B$3+(F15-1)*$B$5/1440,IF(F15&lt;=$B$6,$B$4+(F15-'計算A'!$A$3-1)*$B$5/1440,""))</f>
        <v/>
      </c>
      <c r="H15" s="38" t="n"/>
      <c r="I15" s="37">
        <f>IF(G15="","",TEXT(G15,"h:mm")&amp;"〜")</f>
        <v/>
      </c>
      <c r="K15" s="31" t="n"/>
      <c r="L15" s="42">
        <f>$I$15</f>
        <v/>
      </c>
      <c r="M15" s="43" t="n"/>
      <c r="N15" s="43" t="n"/>
      <c r="O15" s="43" t="n"/>
      <c r="P15" s="43" t="n"/>
      <c r="Q15" s="43" t="n"/>
      <c r="R15" s="43" t="n"/>
      <c r="S15" s="43" t="n"/>
      <c r="T15" s="43" t="n"/>
      <c r="U15" s="43" t="n"/>
      <c r="V15" s="43" t="n"/>
    </row>
    <row r="16">
      <c r="A16" s="23" t="inlineStr">
        <is>
          <t>6日目</t>
        </is>
      </c>
      <c r="B16" s="36" t="n"/>
      <c r="C16" s="37">
        <f>IF(B16="","",CHOOSE(WEEKDAY(B16),"日","月","火","水","木","金","土"))</f>
        <v/>
      </c>
      <c r="D16" s="38" t="n"/>
      <c r="E16" s="39">
        <f>IF(B16="","",MONTH(B16)&amp;"月"&amp;DAY(B16)&amp;"日（"&amp;C16&amp;"）")</f>
        <v/>
      </c>
      <c r="F16" s="40" t="n">
        <v>6</v>
      </c>
      <c r="G16" s="41">
        <f>IF(F16&lt;=MIN('計算A'!$A$3,24),$B$3+(F16-1)*$B$5/1440,IF(F16&lt;=$B$6,$B$4+(F16-'計算A'!$A$3-1)*$B$5/1440,""))</f>
        <v/>
      </c>
      <c r="H16" s="38" t="n"/>
      <c r="I16" s="37">
        <f>IF(G16="","",TEXT(G16,"h:mm")&amp;"〜")</f>
        <v/>
      </c>
      <c r="K16" s="31" t="n"/>
      <c r="L16" s="42">
        <f>$I$16</f>
        <v/>
      </c>
      <c r="M16" s="43" t="n"/>
      <c r="N16" s="43" t="n"/>
      <c r="O16" s="43" t="n"/>
      <c r="P16" s="43" t="n"/>
      <c r="Q16" s="43" t="n"/>
      <c r="R16" s="43" t="n"/>
      <c r="S16" s="43" t="n"/>
      <c r="T16" s="43" t="n"/>
      <c r="U16" s="43" t="n"/>
      <c r="V16" s="43" t="n"/>
    </row>
    <row r="17">
      <c r="A17" s="23" t="inlineStr">
        <is>
          <t>7日目</t>
        </is>
      </c>
      <c r="B17" s="36" t="n"/>
      <c r="C17" s="37">
        <f>IF(B17="","",CHOOSE(WEEKDAY(B17),"日","月","火","水","木","金","土"))</f>
        <v/>
      </c>
      <c r="D17" s="38" t="n"/>
      <c r="E17" s="39">
        <f>IF(B17="","",MONTH(B17)&amp;"月"&amp;DAY(B17)&amp;"日（"&amp;C17&amp;"）")</f>
        <v/>
      </c>
      <c r="F17" s="40" t="n">
        <v>7</v>
      </c>
      <c r="G17" s="41">
        <f>IF(F17&lt;=MIN('計算A'!$A$3,24),$B$3+(F17-1)*$B$5/1440,IF(F17&lt;=$B$6,$B$4+(F17-'計算A'!$A$3-1)*$B$5/1440,""))</f>
        <v/>
      </c>
      <c r="H17" s="38" t="n"/>
      <c r="I17" s="37">
        <f>IF(G17="","",TEXT(G17,"h:mm")&amp;"〜")</f>
        <v/>
      </c>
      <c r="K17" s="31" t="n"/>
      <c r="L17" s="42">
        <f>$I$17</f>
        <v/>
      </c>
      <c r="M17" s="43" t="n"/>
      <c r="N17" s="43" t="n"/>
      <c r="O17" s="43" t="n"/>
      <c r="P17" s="43" t="n"/>
      <c r="Q17" s="43" t="n"/>
      <c r="R17" s="43" t="n"/>
      <c r="S17" s="43" t="n"/>
      <c r="T17" s="43" t="n"/>
      <c r="U17" s="43" t="n"/>
      <c r="V17" s="43" t="n"/>
    </row>
    <row r="18">
      <c r="A18" s="23" t="inlineStr">
        <is>
          <t>8日目</t>
        </is>
      </c>
      <c r="B18" s="36" t="n"/>
      <c r="C18" s="37">
        <f>IF(B18="","",CHOOSE(WEEKDAY(B18),"日","月","火","水","木","金","土"))</f>
        <v/>
      </c>
      <c r="D18" s="38" t="n"/>
      <c r="E18" s="39">
        <f>IF(B18="","",MONTH(B18)&amp;"月"&amp;DAY(B18)&amp;"日（"&amp;C18&amp;"）")</f>
        <v/>
      </c>
      <c r="F18" s="40" t="n">
        <v>8</v>
      </c>
      <c r="G18" s="41">
        <f>IF(F18&lt;=MIN('計算A'!$A$3,24),$B$3+(F18-1)*$B$5/1440,IF(F18&lt;=$B$6,$B$4+(F18-'計算A'!$A$3-1)*$B$5/1440,""))</f>
        <v/>
      </c>
      <c r="H18" s="38" t="n"/>
      <c r="I18" s="37">
        <f>IF(G18="","",TEXT(G18,"h:mm")&amp;"〜")</f>
        <v/>
      </c>
      <c r="K18" s="31" t="n"/>
      <c r="L18" s="42">
        <f>$I$18</f>
        <v/>
      </c>
      <c r="M18" s="43" t="n"/>
      <c r="N18" s="43" t="n"/>
      <c r="O18" s="43" t="n"/>
      <c r="P18" s="43" t="n"/>
      <c r="Q18" s="43" t="n"/>
      <c r="R18" s="43" t="n"/>
      <c r="S18" s="43" t="n"/>
      <c r="T18" s="43" t="n"/>
      <c r="U18" s="43" t="n"/>
      <c r="V18" s="43" t="n"/>
    </row>
    <row r="19">
      <c r="A19" s="23" t="inlineStr">
        <is>
          <t>9日目</t>
        </is>
      </c>
      <c r="B19" s="36" t="n"/>
      <c r="C19" s="37">
        <f>IF(B19="","",CHOOSE(WEEKDAY(B19),"日","月","火","水","木","金","土"))</f>
        <v/>
      </c>
      <c r="D19" s="38" t="n"/>
      <c r="E19" s="39">
        <f>IF(B19="","",MONTH(B19)&amp;"月"&amp;DAY(B19)&amp;"日（"&amp;C19&amp;"）")</f>
        <v/>
      </c>
      <c r="F19" s="40" t="n">
        <v>9</v>
      </c>
      <c r="G19" s="41">
        <f>IF(F19&lt;=MIN('計算A'!$A$3,24),$B$3+(F19-1)*$B$5/1440,IF(F19&lt;=$B$6,$B$4+(F19-'計算A'!$A$3-1)*$B$5/1440,""))</f>
        <v/>
      </c>
      <c r="H19" s="38" t="n"/>
      <c r="I19" s="37">
        <f>IF(G19="","",TEXT(G19,"h:mm")&amp;"〜")</f>
        <v/>
      </c>
      <c r="K19" s="31" t="n"/>
      <c r="L19" s="42">
        <f>$I$19</f>
        <v/>
      </c>
      <c r="M19" s="43" t="n"/>
      <c r="N19" s="43" t="n"/>
      <c r="O19" s="43" t="n"/>
      <c r="P19" s="43" t="n"/>
      <c r="Q19" s="43" t="n"/>
      <c r="R19" s="43" t="n"/>
      <c r="S19" s="43" t="n"/>
      <c r="T19" s="43" t="n"/>
      <c r="U19" s="43" t="n"/>
      <c r="V19" s="43" t="n"/>
    </row>
    <row r="20">
      <c r="A20" s="23" t="inlineStr">
        <is>
          <t>10日目</t>
        </is>
      </c>
      <c r="B20" s="36" t="n"/>
      <c r="C20" s="37">
        <f>IF(B20="","",CHOOSE(WEEKDAY(B20),"日","月","火","水","木","金","土"))</f>
        <v/>
      </c>
      <c r="D20" s="38" t="n"/>
      <c r="E20" s="39">
        <f>IF(B20="","",MONTH(B20)&amp;"月"&amp;DAY(B20)&amp;"日（"&amp;C20&amp;"）")</f>
        <v/>
      </c>
      <c r="F20" s="40" t="n">
        <v>10</v>
      </c>
      <c r="G20" s="41">
        <f>IF(F20&lt;=MIN('計算A'!$A$3,24),$B$3+(F20-1)*$B$5/1440,IF(F20&lt;=$B$6,$B$4+(F20-'計算A'!$A$3-1)*$B$5/1440,""))</f>
        <v/>
      </c>
      <c r="H20" s="38" t="n"/>
      <c r="I20" s="37">
        <f>IF(G20="","",TEXT(G20,"h:mm")&amp;"〜")</f>
        <v/>
      </c>
      <c r="K20" s="31" t="n"/>
      <c r="L20" s="42">
        <f>$I$20</f>
        <v/>
      </c>
      <c r="M20" s="43" t="n"/>
      <c r="N20" s="43" t="n"/>
      <c r="O20" s="43" t="n"/>
      <c r="P20" s="43" t="n"/>
      <c r="Q20" s="43" t="n"/>
      <c r="R20" s="43" t="n"/>
      <c r="S20" s="43" t="n"/>
      <c r="T20" s="43" t="n"/>
      <c r="U20" s="43" t="n"/>
      <c r="V20" s="43" t="n"/>
    </row>
    <row r="21">
      <c r="F21" s="40" t="n">
        <v>11</v>
      </c>
      <c r="G21" s="41">
        <f>IF(F21&lt;=MIN('計算A'!$A$3,24),$B$3+(F21-1)*$B$5/1440,IF(F21&lt;=$B$6,$B$4+(F21-'計算A'!$A$3-1)*$B$5/1440,""))</f>
        <v/>
      </c>
      <c r="H21" s="38" t="n"/>
      <c r="I21" s="37">
        <f>IF(G21="","",TEXT(G21,"h:mm")&amp;"〜")</f>
        <v/>
      </c>
      <c r="K21" s="31" t="n"/>
      <c r="L21" s="42">
        <f>$I$21</f>
        <v/>
      </c>
      <c r="M21" s="43" t="n"/>
      <c r="N21" s="43" t="n"/>
      <c r="O21" s="43" t="n"/>
      <c r="P21" s="43" t="n"/>
      <c r="Q21" s="43" t="n"/>
      <c r="R21" s="43" t="n"/>
      <c r="S21" s="43" t="n"/>
      <c r="T21" s="43" t="n"/>
      <c r="U21" s="43" t="n"/>
      <c r="V21" s="43" t="n"/>
    </row>
    <row r="22">
      <c r="A22" s="44" t="inlineStr">
        <is>
          <t>※ 日付は上から詰めて入れてください。曜日・表示・時刻は自動で出ます。午前と午後に分けるときは、時間帯2も入れます（昼休みは表に出ません）。</t>
        </is>
      </c>
      <c r="F22" s="40" t="n">
        <v>12</v>
      </c>
      <c r="G22" s="41">
        <f>IF(F22&lt;=MIN('計算A'!$A$3,24),$B$3+(F22-1)*$B$5/1440,IF(F22&lt;=$B$6,$B$4+(F22-'計算A'!$A$3-1)*$B$5/1440,""))</f>
        <v/>
      </c>
      <c r="H22" s="38" t="n"/>
      <c r="I22" s="37">
        <f>IF(G22="","",TEXT(G22,"h:mm")&amp;"〜")</f>
        <v/>
      </c>
      <c r="K22" s="31" t="n"/>
      <c r="L22" s="42">
        <f>$I$22</f>
        <v/>
      </c>
      <c r="M22" s="43" t="n"/>
      <c r="N22" s="43" t="n"/>
      <c r="O22" s="43" t="n"/>
      <c r="P22" s="43" t="n"/>
      <c r="Q22" s="43" t="n"/>
      <c r="R22" s="43" t="n"/>
      <c r="S22" s="43" t="n"/>
      <c r="T22" s="43" t="n"/>
      <c r="U22" s="43" t="n"/>
      <c r="V22" s="43" t="n"/>
    </row>
    <row r="23">
      <c r="F23" s="40" t="n">
        <v>13</v>
      </c>
      <c r="G23" s="41">
        <f>IF(F23&lt;=MIN('計算A'!$A$3,24),$B$3+(F23-1)*$B$5/1440,IF(F23&lt;=$B$6,$B$4+(F23-'計算A'!$A$3-1)*$B$5/1440,""))</f>
        <v/>
      </c>
      <c r="H23" s="38" t="n"/>
      <c r="I23" s="37">
        <f>IF(G23="","",TEXT(G23,"h:mm")&amp;"〜")</f>
        <v/>
      </c>
      <c r="K23" s="31" t="n"/>
      <c r="L23" s="42">
        <f>$I$23</f>
        <v/>
      </c>
      <c r="M23" s="43" t="n"/>
      <c r="N23" s="43" t="n"/>
      <c r="O23" s="43" t="n"/>
      <c r="P23" s="43" t="n"/>
      <c r="Q23" s="43" t="n"/>
      <c r="R23" s="43" t="n"/>
      <c r="S23" s="43" t="n"/>
      <c r="T23" s="43" t="n"/>
      <c r="U23" s="43" t="n"/>
      <c r="V23" s="43" t="n"/>
    </row>
    <row r="24">
      <c r="F24" s="40" t="n">
        <v>14</v>
      </c>
      <c r="G24" s="41">
        <f>IF(F24&lt;=MIN('計算A'!$A$3,24),$B$3+(F24-1)*$B$5/1440,IF(F24&lt;=$B$6,$B$4+(F24-'計算A'!$A$3-1)*$B$5/1440,""))</f>
        <v/>
      </c>
      <c r="H24" s="38" t="n"/>
      <c r="I24" s="37">
        <f>IF(G24="","",TEXT(G24,"h:mm")&amp;"〜")</f>
        <v/>
      </c>
      <c r="K24" s="31" t="n"/>
      <c r="L24" s="42">
        <f>$I$24</f>
        <v/>
      </c>
      <c r="M24" s="43" t="n"/>
      <c r="N24" s="43" t="n"/>
      <c r="O24" s="43" t="n"/>
      <c r="P24" s="43" t="n"/>
      <c r="Q24" s="43" t="n"/>
      <c r="R24" s="43" t="n"/>
      <c r="S24" s="43" t="n"/>
      <c r="T24" s="43" t="n"/>
      <c r="U24" s="43" t="n"/>
      <c r="V24" s="43" t="n"/>
    </row>
    <row r="25">
      <c r="A25" s="44" t="inlineStr">
        <is>
          <t>※「なるべく空ける」「休憩」は、ほかに入る枠がないときだけ使います。必ず使わない枠は、右の「先生の都合で使えない枠」で止めてください。</t>
        </is>
      </c>
      <c r="F25" s="40" t="n">
        <v>15</v>
      </c>
      <c r="G25" s="41">
        <f>IF(F25&lt;=MIN('計算A'!$A$3,24),$B$3+(F25-1)*$B$5/1440,IF(F25&lt;=$B$6,$B$4+(F25-'計算A'!$A$3-1)*$B$5/1440,""))</f>
        <v/>
      </c>
      <c r="H25" s="38" t="n"/>
      <c r="I25" s="37">
        <f>IF(G25="","",TEXT(G25,"h:mm")&amp;"〜")</f>
        <v/>
      </c>
      <c r="K25" s="31" t="n"/>
      <c r="L25" s="42">
        <f>$I$25</f>
        <v/>
      </c>
      <c r="M25" s="43" t="n"/>
      <c r="N25" s="43" t="n"/>
      <c r="O25" s="43" t="n"/>
      <c r="P25" s="43" t="n"/>
      <c r="Q25" s="43" t="n"/>
      <c r="R25" s="43" t="n"/>
      <c r="S25" s="43" t="n"/>
      <c r="T25" s="43" t="n"/>
      <c r="U25" s="43" t="n"/>
      <c r="V25" s="43" t="n"/>
    </row>
    <row r="26">
      <c r="F26" s="40" t="n">
        <v>16</v>
      </c>
      <c r="G26" s="41">
        <f>IF(F26&lt;=MIN('計算A'!$A$3,24),$B$3+(F26-1)*$B$5/1440,IF(F26&lt;=$B$6,$B$4+(F26-'計算A'!$A$3-1)*$B$5/1440,""))</f>
        <v/>
      </c>
      <c r="H26" s="38" t="n"/>
      <c r="I26" s="37">
        <f>IF(G26="","",TEXT(G26,"h:mm")&amp;"〜")</f>
        <v/>
      </c>
      <c r="K26" s="31" t="n"/>
      <c r="L26" s="42">
        <f>$I$26</f>
        <v/>
      </c>
      <c r="M26" s="43" t="n"/>
      <c r="N26" s="43" t="n"/>
      <c r="O26" s="43" t="n"/>
      <c r="P26" s="43" t="n"/>
      <c r="Q26" s="43" t="n"/>
      <c r="R26" s="43" t="n"/>
      <c r="S26" s="43" t="n"/>
      <c r="T26" s="43" t="n"/>
      <c r="U26" s="43" t="n"/>
      <c r="V26" s="43" t="n"/>
    </row>
    <row r="27">
      <c r="F27" s="40" t="n">
        <v>17</v>
      </c>
      <c r="G27" s="41">
        <f>IF(F27&lt;=MIN('計算A'!$A$3,24),$B$3+(F27-1)*$B$5/1440,IF(F27&lt;=$B$6,$B$4+(F27-'計算A'!$A$3-1)*$B$5/1440,""))</f>
        <v/>
      </c>
      <c r="H27" s="38" t="n"/>
      <c r="I27" s="37">
        <f>IF(G27="","",TEXT(G27,"h:mm")&amp;"〜")</f>
        <v/>
      </c>
      <c r="K27" s="31" t="n"/>
      <c r="L27" s="42">
        <f>$I$27</f>
        <v/>
      </c>
      <c r="M27" s="43" t="n"/>
      <c r="N27" s="43" t="n"/>
      <c r="O27" s="43" t="n"/>
      <c r="P27" s="43" t="n"/>
      <c r="Q27" s="43" t="n"/>
      <c r="R27" s="43" t="n"/>
      <c r="S27" s="43" t="n"/>
      <c r="T27" s="43" t="n"/>
      <c r="U27" s="43" t="n"/>
      <c r="V27" s="43" t="n"/>
    </row>
    <row r="28">
      <c r="F28" s="40" t="n">
        <v>18</v>
      </c>
      <c r="G28" s="41">
        <f>IF(F28&lt;=MIN('計算A'!$A$3,24),$B$3+(F28-1)*$B$5/1440,IF(F28&lt;=$B$6,$B$4+(F28-'計算A'!$A$3-1)*$B$5/1440,""))</f>
        <v/>
      </c>
      <c r="H28" s="38" t="n"/>
      <c r="I28" s="37">
        <f>IF(G28="","",TEXT(G28,"h:mm")&amp;"〜")</f>
        <v/>
      </c>
      <c r="K28" s="31" t="n"/>
      <c r="L28" s="42">
        <f>$I$28</f>
        <v/>
      </c>
      <c r="M28" s="43" t="n"/>
      <c r="N28" s="43" t="n"/>
      <c r="O28" s="43" t="n"/>
      <c r="P28" s="43" t="n"/>
      <c r="Q28" s="43" t="n"/>
      <c r="R28" s="43" t="n"/>
      <c r="S28" s="43" t="n"/>
      <c r="T28" s="43" t="n"/>
      <c r="U28" s="43" t="n"/>
      <c r="V28" s="43" t="n"/>
    </row>
    <row r="29">
      <c r="F29" s="40" t="n">
        <v>19</v>
      </c>
      <c r="G29" s="41">
        <f>IF(F29&lt;=MIN('計算A'!$A$3,24),$B$3+(F29-1)*$B$5/1440,IF(F29&lt;=$B$6,$B$4+(F29-'計算A'!$A$3-1)*$B$5/1440,""))</f>
        <v/>
      </c>
      <c r="H29" s="38" t="n"/>
      <c r="I29" s="37">
        <f>IF(G29="","",TEXT(G29,"h:mm")&amp;"〜")</f>
        <v/>
      </c>
      <c r="K29" s="31" t="n"/>
      <c r="L29" s="42">
        <f>$I$29</f>
        <v/>
      </c>
      <c r="M29" s="43" t="n"/>
      <c r="N29" s="43" t="n"/>
      <c r="O29" s="43" t="n"/>
      <c r="P29" s="43" t="n"/>
      <c r="Q29" s="43" t="n"/>
      <c r="R29" s="43" t="n"/>
      <c r="S29" s="43" t="n"/>
      <c r="T29" s="43" t="n"/>
      <c r="U29" s="43" t="n"/>
      <c r="V29" s="43" t="n"/>
    </row>
    <row r="30">
      <c r="F30" s="40" t="n">
        <v>20</v>
      </c>
      <c r="G30" s="41">
        <f>IF(F30&lt;=MIN('計算A'!$A$3,24),$B$3+(F30-1)*$B$5/1440,IF(F30&lt;=$B$6,$B$4+(F30-'計算A'!$A$3-1)*$B$5/1440,""))</f>
        <v/>
      </c>
      <c r="H30" s="38" t="n"/>
      <c r="I30" s="37">
        <f>IF(G30="","",TEXT(G30,"h:mm")&amp;"〜")</f>
        <v/>
      </c>
      <c r="K30" s="31" t="n"/>
      <c r="L30" s="42">
        <f>$I$30</f>
        <v/>
      </c>
      <c r="M30" s="43" t="n"/>
      <c r="N30" s="43" t="n"/>
      <c r="O30" s="43" t="n"/>
      <c r="P30" s="43" t="n"/>
      <c r="Q30" s="43" t="n"/>
      <c r="R30" s="43" t="n"/>
      <c r="S30" s="43" t="n"/>
      <c r="T30" s="43" t="n"/>
      <c r="U30" s="43" t="n"/>
      <c r="V30" s="43" t="n"/>
    </row>
    <row r="31">
      <c r="F31" s="40" t="n">
        <v>21</v>
      </c>
      <c r="G31" s="41">
        <f>IF(F31&lt;=MIN('計算A'!$A$3,24),$B$3+(F31-1)*$B$5/1440,IF(F31&lt;=$B$6,$B$4+(F31-'計算A'!$A$3-1)*$B$5/1440,""))</f>
        <v/>
      </c>
      <c r="H31" s="38" t="n"/>
      <c r="I31" s="37">
        <f>IF(G31="","",TEXT(G31,"h:mm")&amp;"〜")</f>
        <v/>
      </c>
      <c r="K31" s="31" t="n"/>
      <c r="L31" s="42">
        <f>$I$31</f>
        <v/>
      </c>
      <c r="M31" s="43" t="n"/>
      <c r="N31" s="43" t="n"/>
      <c r="O31" s="43" t="n"/>
      <c r="P31" s="43" t="n"/>
      <c r="Q31" s="43" t="n"/>
      <c r="R31" s="43" t="n"/>
      <c r="S31" s="43" t="n"/>
      <c r="T31" s="43" t="n"/>
      <c r="U31" s="43" t="n"/>
      <c r="V31" s="43" t="n"/>
    </row>
    <row r="32">
      <c r="F32" s="40" t="n">
        <v>22</v>
      </c>
      <c r="G32" s="41">
        <f>IF(F32&lt;=MIN('計算A'!$A$3,24),$B$3+(F32-1)*$B$5/1440,IF(F32&lt;=$B$6,$B$4+(F32-'計算A'!$A$3-1)*$B$5/1440,""))</f>
        <v/>
      </c>
      <c r="H32" s="38" t="n"/>
      <c r="I32" s="37">
        <f>IF(G32="","",TEXT(G32,"h:mm")&amp;"〜")</f>
        <v/>
      </c>
      <c r="K32" s="31" t="n"/>
      <c r="L32" s="42">
        <f>$I$32</f>
        <v/>
      </c>
      <c r="M32" s="43" t="n"/>
      <c r="N32" s="43" t="n"/>
      <c r="O32" s="43" t="n"/>
      <c r="P32" s="43" t="n"/>
      <c r="Q32" s="43" t="n"/>
      <c r="R32" s="43" t="n"/>
      <c r="S32" s="43" t="n"/>
      <c r="T32" s="43" t="n"/>
      <c r="U32" s="43" t="n"/>
      <c r="V32" s="43" t="n"/>
    </row>
    <row r="33">
      <c r="F33" s="40" t="n">
        <v>23</v>
      </c>
      <c r="G33" s="41">
        <f>IF(F33&lt;=MIN('計算A'!$A$3,24),$B$3+(F33-1)*$B$5/1440,IF(F33&lt;=$B$6,$B$4+(F33-'計算A'!$A$3-1)*$B$5/1440,""))</f>
        <v/>
      </c>
      <c r="H33" s="38" t="n"/>
      <c r="I33" s="37">
        <f>IF(G33="","",TEXT(G33,"h:mm")&amp;"〜")</f>
        <v/>
      </c>
      <c r="K33" s="31" t="n"/>
      <c r="L33" s="42">
        <f>$I$33</f>
        <v/>
      </c>
      <c r="M33" s="43" t="n"/>
      <c r="N33" s="43" t="n"/>
      <c r="O33" s="43" t="n"/>
      <c r="P33" s="43" t="n"/>
      <c r="Q33" s="43" t="n"/>
      <c r="R33" s="43" t="n"/>
      <c r="S33" s="43" t="n"/>
      <c r="T33" s="43" t="n"/>
      <c r="U33" s="43" t="n"/>
      <c r="V33" s="43" t="n"/>
    </row>
    <row r="34">
      <c r="F34" s="40" t="n">
        <v>24</v>
      </c>
      <c r="G34" s="41">
        <f>IF(F34&lt;=MIN('計算A'!$A$3,24),$B$3+(F34-1)*$B$5/1440,IF(F34&lt;=$B$6,$B$4+(F34-'計算A'!$A$3-1)*$B$5/1440,""))</f>
        <v/>
      </c>
      <c r="H34" s="38" t="n"/>
      <c r="I34" s="37">
        <f>IF(G34="","",TEXT(G34,"h:mm")&amp;"〜")</f>
        <v/>
      </c>
      <c r="K34" s="31" t="n"/>
      <c r="L34" s="42">
        <f>$I$34</f>
        <v/>
      </c>
      <c r="M34" s="43" t="n"/>
      <c r="N34" s="43" t="n"/>
      <c r="O34" s="43" t="n"/>
      <c r="P34" s="43" t="n"/>
      <c r="Q34" s="43" t="n"/>
      <c r="R34" s="43" t="n"/>
      <c r="S34" s="43" t="n"/>
      <c r="T34" s="43" t="n"/>
      <c r="U34" s="43" t="n"/>
      <c r="V34" s="43"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HYPERLINK("#'調整・決定'!A1","⑤ 調整・決定")</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45" t="inlineStr">
        <is>
          <t>希望：早い時刻／遅い時刻／早い日／遅い日。後ろを空ける：必ず空けたい／出来れば空けたい（同じ日のすぐ次の枠を空けます）。</t>
        </is>
      </c>
    </row>
    <row r="4" ht="32" customHeight="1">
      <c r="A4" s="46" t="inlineStr">
        <is>
          <t>番号</t>
        </is>
      </c>
      <c r="B4" s="46" t="inlineStr">
        <is>
          <t>名前</t>
        </is>
      </c>
      <c r="C4" s="46" t="inlineStr">
        <is>
          <t>兄弟</t>
        </is>
      </c>
      <c r="D4" s="46" t="inlineStr">
        <is>
          <t>兄弟メモ</t>
        </is>
      </c>
      <c r="E4" s="46" t="inlineStr">
        <is>
          <t>希望</t>
        </is>
      </c>
      <c r="F4" s="46" t="inlineStr">
        <is>
          <t>後ろを空ける</t>
        </is>
      </c>
      <c r="G4" s="47" t="inlineStr">
        <is>
          <t>表示名</t>
        </is>
      </c>
      <c r="H4" s="47" t="inlineStr">
        <is>
          <t>状況</t>
        </is>
      </c>
      <c r="I4" s="47" t="inlineStr">
        <is>
          <t>×の数</t>
        </is>
      </c>
      <c r="J4" s="47" t="inlineStr">
        <is>
          <t>入れられる空き枠</t>
        </is>
      </c>
      <c r="K4" s="47" t="inlineStr">
        <is>
          <t>決める順</t>
        </is>
      </c>
      <c r="L4" s="47" t="inlineStr">
        <is>
          <t>日付</t>
        </is>
      </c>
      <c r="M4" s="47" t="inlineStr">
        <is>
          <t>時刻</t>
        </is>
      </c>
      <c r="N4" s="47" t="inlineStr">
        <is>
          <t>注意</t>
        </is>
      </c>
      <c r="O4" s="47" t="inlineStr">
        <is>
          <t>自動案</t>
        </is>
      </c>
    </row>
    <row r="5" ht="19" customHeight="1">
      <c r="A5" s="48" t="n"/>
      <c r="B5" s="49" t="n"/>
      <c r="C5" s="48" t="n"/>
      <c r="D5" s="49" t="n"/>
      <c r="E5" s="48" t="n"/>
      <c r="F5" s="48" t="n"/>
      <c r="G5" s="39">
        <f>IF(B5="","",IF(COUNTIF($B$5:$B$49,B5)&gt;1,IF(A5="","",A5&amp;" ")&amp;B5,B5))</f>
        <v/>
      </c>
      <c r="H5" s="37">
        <f>IF(B5="","",IF('×入力'!F5="未提出","未提出",IF(I5&gt;0,"入力済み",IF('×入力'!F5="×なし（どこでもOK）","×なし","未入力"))))</f>
        <v/>
      </c>
      <c r="I5" s="37">
        <f>IF(B5="","",'計算A'!IN10)</f>
        <v/>
      </c>
      <c r="J5" s="37">
        <f>IF(OR(H5="入力済み",H5="×なし"),'計算A'!IM10,"")</f>
        <v/>
      </c>
      <c r="K5" s="37">
        <f>IF('計算A'!C10=1,COUNTIFS('計算A'!$C$10:$C$54,1,'計算A'!$IM$10:$IM$54,"&lt;"&amp;'計算A'!IM10)+1,"")</f>
        <v/>
      </c>
      <c r="L5" s="39">
        <f>IF('計算A'!IO10=0,"",INDEX('設定'!$E$11:$E$20,INDEX('計算A'!$D$2:$II$2,'計算A'!IO10)))</f>
        <v/>
      </c>
      <c r="M5" s="37">
        <f>IF('計算A'!IO10=0,"",INDEX('設定'!$I$11:$I$34,INDEX('計算A'!$D$3:$II$3,'計算A'!IO10)))</f>
        <v/>
      </c>
      <c r="N5" s="39">
        <f>IF(G5="","",IF(COUNTIF('調整・決定'!$C$6:$L$29,G5)&gt;1,"2か所以上に入っています",IF('計算A'!IO10&gt;0,IF(INDEX('計算A'!$D$4:$II$4,'計算A'!IO10)=0,"使えない枠に入っています",IF(INDEX('計算A'!$D$10:$II$10,'計算A'!IO10)=1,"×の枠に入っています",IF(AND(F5&lt;&gt;"",INDEX('計算A'!$D$106:$II$106,'計算A'!IO10)=1,INDEX('計算A'!$D$109:$II$109,'計算A'!IO10+1)=1),IF(F5="必ず空けたい","後ろの枠が空いていません","（出来れば）後ろが空いていません"),""))),IF(OR(H5="入力済み",H5="×なし"),"未決定",""))))</f>
        <v/>
      </c>
      <c r="O5" s="39">
        <f>IF('計算A'!IK10=0,IF('計算A'!IL10=1,"入る枠がありません",""),INDEX('計算A'!$D$8:$II$8,'計算A'!IK10))</f>
        <v/>
      </c>
      <c r="P5" s="50">
        <f>HYPERLINK("#'×入力'!B5","×入力へ")</f>
        <v/>
      </c>
    </row>
    <row r="6" ht="19" customHeight="1">
      <c r="A6" s="48" t="n"/>
      <c r="B6" s="49" t="n"/>
      <c r="C6" s="48" t="n"/>
      <c r="D6" s="49" t="n"/>
      <c r="E6" s="48" t="n"/>
      <c r="F6" s="48" t="n"/>
      <c r="G6" s="39">
        <f>IF(B6="","",IF(COUNTIF($B$5:$B$49,B6)&gt;1,IF(A6="","",A6&amp;" ")&amp;B6,B6))</f>
        <v/>
      </c>
      <c r="H6" s="37">
        <f>IF(B6="","",IF('×入力'!F33="未提出","未提出",IF(I6&gt;0,"入力済み",IF('×入力'!F33="×なし（どこでもOK）","×なし","未入力"))))</f>
        <v/>
      </c>
      <c r="I6" s="37">
        <f>IF(B6="","",'計算A'!IN11)</f>
        <v/>
      </c>
      <c r="J6" s="37">
        <f>IF(OR(H6="入力済み",H6="×なし"),'計算A'!IM11,"")</f>
        <v/>
      </c>
      <c r="K6" s="37">
        <f>IF('計算A'!C11=1,COUNTIFS('計算A'!$C$10:$C$54,1,'計算A'!$IM$10:$IM$54,"&lt;"&amp;'計算A'!IM11)+1,"")</f>
        <v/>
      </c>
      <c r="L6" s="39">
        <f>IF('計算A'!IO11=0,"",INDEX('設定'!$E$11:$E$20,INDEX('計算A'!$D$2:$II$2,'計算A'!IO11)))</f>
        <v/>
      </c>
      <c r="M6" s="37">
        <f>IF('計算A'!IO11=0,"",INDEX('設定'!$I$11:$I$34,INDEX('計算A'!$D$3:$II$3,'計算A'!IO11)))</f>
        <v/>
      </c>
      <c r="N6" s="39">
        <f>IF(G6="","",IF(COUNTIF('調整・決定'!$C$6:$L$29,G6)&gt;1,"2か所以上に入っています",IF('計算A'!IO11&gt;0,IF(INDEX('計算A'!$D$4:$II$4,'計算A'!IO11)=0,"使えない枠に入っています",IF(INDEX('計算A'!$D$11:$II$11,'計算A'!IO11)=1,"×の枠に入っています",IF(AND(F6&lt;&gt;"",INDEX('計算A'!$D$106:$II$106,'計算A'!IO11)=1,INDEX('計算A'!$D$109:$II$109,'計算A'!IO11+1)=1),IF(F6="必ず空けたい","後ろの枠が空いていません","（出来れば）後ろが空いていません"),""))),IF(OR(H6="入力済み",H6="×なし"),"未決定",""))))</f>
        <v/>
      </c>
      <c r="O6" s="39">
        <f>IF('計算A'!IK11=0,IF('計算A'!IL11=1,"入る枠がありません",""),INDEX('計算A'!$D$8:$II$8,'計算A'!IK11))</f>
        <v/>
      </c>
      <c r="P6" s="50">
        <f>HYPERLINK("#'×入力'!B33","×入力へ")</f>
        <v/>
      </c>
    </row>
    <row r="7" ht="19" customHeight="1">
      <c r="A7" s="48" t="n"/>
      <c r="B7" s="49" t="n"/>
      <c r="C7" s="48" t="n"/>
      <c r="D7" s="49" t="n"/>
      <c r="E7" s="48" t="n"/>
      <c r="F7" s="48" t="n"/>
      <c r="G7" s="39">
        <f>IF(B7="","",IF(COUNTIF($B$5:$B$49,B7)&gt;1,IF(A7="","",A7&amp;" ")&amp;B7,B7))</f>
        <v/>
      </c>
      <c r="H7" s="37">
        <f>IF(B7="","",IF('×入力'!F61="未提出","未提出",IF(I7&gt;0,"入力済み",IF('×入力'!F61="×なし（どこでもOK）","×なし","未入力"))))</f>
        <v/>
      </c>
      <c r="I7" s="37">
        <f>IF(B7="","",'計算A'!IN12)</f>
        <v/>
      </c>
      <c r="J7" s="37">
        <f>IF(OR(H7="入力済み",H7="×なし"),'計算A'!IM12,"")</f>
        <v/>
      </c>
      <c r="K7" s="37">
        <f>IF('計算A'!C12=1,COUNTIFS('計算A'!$C$10:$C$54,1,'計算A'!$IM$10:$IM$54,"&lt;"&amp;'計算A'!IM12)+1,"")</f>
        <v/>
      </c>
      <c r="L7" s="39">
        <f>IF('計算A'!IO12=0,"",INDEX('設定'!$E$11:$E$20,INDEX('計算A'!$D$2:$II$2,'計算A'!IO12)))</f>
        <v/>
      </c>
      <c r="M7" s="37">
        <f>IF('計算A'!IO12=0,"",INDEX('設定'!$I$11:$I$34,INDEX('計算A'!$D$3:$II$3,'計算A'!IO12)))</f>
        <v/>
      </c>
      <c r="N7" s="39">
        <f>IF(G7="","",IF(COUNTIF('調整・決定'!$C$6:$L$29,G7)&gt;1,"2か所以上に入っています",IF('計算A'!IO12&gt;0,IF(INDEX('計算A'!$D$4:$II$4,'計算A'!IO12)=0,"使えない枠に入っています",IF(INDEX('計算A'!$D$12:$II$12,'計算A'!IO12)=1,"×の枠に入っています",IF(AND(F7&lt;&gt;"",INDEX('計算A'!$D$106:$II$106,'計算A'!IO12)=1,INDEX('計算A'!$D$109:$II$109,'計算A'!IO12+1)=1),IF(F7="必ず空けたい","後ろの枠が空いていません","（出来れば）後ろが空いていません"),""))),IF(OR(H7="入力済み",H7="×なし"),"未決定",""))))</f>
        <v/>
      </c>
      <c r="O7" s="39">
        <f>IF('計算A'!IK12=0,IF('計算A'!IL12=1,"入る枠がありません",""),INDEX('計算A'!$D$8:$II$8,'計算A'!IK12))</f>
        <v/>
      </c>
      <c r="P7" s="50">
        <f>HYPERLINK("#'×入力'!B61","×入力へ")</f>
        <v/>
      </c>
    </row>
    <row r="8" ht="19" customHeight="1">
      <c r="A8" s="48" t="n"/>
      <c r="B8" s="49" t="n"/>
      <c r="C8" s="48" t="n"/>
      <c r="D8" s="49" t="n"/>
      <c r="E8" s="48" t="n"/>
      <c r="F8" s="48" t="n"/>
      <c r="G8" s="39">
        <f>IF(B8="","",IF(COUNTIF($B$5:$B$49,B8)&gt;1,IF(A8="","",A8&amp;" ")&amp;B8,B8))</f>
        <v/>
      </c>
      <c r="H8" s="37">
        <f>IF(B8="","",IF('×入力'!F89="未提出","未提出",IF(I8&gt;0,"入力済み",IF('×入力'!F89="×なし（どこでもOK）","×なし","未入力"))))</f>
        <v/>
      </c>
      <c r="I8" s="37">
        <f>IF(B8="","",'計算A'!IN13)</f>
        <v/>
      </c>
      <c r="J8" s="37">
        <f>IF(OR(H8="入力済み",H8="×なし"),'計算A'!IM13,"")</f>
        <v/>
      </c>
      <c r="K8" s="37">
        <f>IF('計算A'!C13=1,COUNTIFS('計算A'!$C$10:$C$54,1,'計算A'!$IM$10:$IM$54,"&lt;"&amp;'計算A'!IM13)+1,"")</f>
        <v/>
      </c>
      <c r="L8" s="39">
        <f>IF('計算A'!IO13=0,"",INDEX('設定'!$E$11:$E$20,INDEX('計算A'!$D$2:$II$2,'計算A'!IO13)))</f>
        <v/>
      </c>
      <c r="M8" s="37">
        <f>IF('計算A'!IO13=0,"",INDEX('設定'!$I$11:$I$34,INDEX('計算A'!$D$3:$II$3,'計算A'!IO13)))</f>
        <v/>
      </c>
      <c r="N8" s="39">
        <f>IF(G8="","",IF(COUNTIF('調整・決定'!$C$6:$L$29,G8)&gt;1,"2か所以上に入っています",IF('計算A'!IO13&gt;0,IF(INDEX('計算A'!$D$4:$II$4,'計算A'!IO13)=0,"使えない枠に入っています",IF(INDEX('計算A'!$D$13:$II$13,'計算A'!IO13)=1,"×の枠に入っています",IF(AND(F8&lt;&gt;"",INDEX('計算A'!$D$106:$II$106,'計算A'!IO13)=1,INDEX('計算A'!$D$109:$II$109,'計算A'!IO13+1)=1),IF(F8="必ず空けたい","後ろの枠が空いていません","（出来れば）後ろが空いていません"),""))),IF(OR(H8="入力済み",H8="×なし"),"未決定",""))))</f>
        <v/>
      </c>
      <c r="O8" s="39">
        <f>IF('計算A'!IK13=0,IF('計算A'!IL13=1,"入る枠がありません",""),INDEX('計算A'!$D$8:$II$8,'計算A'!IK13))</f>
        <v/>
      </c>
      <c r="P8" s="50">
        <f>HYPERLINK("#'×入力'!B89","×入力へ")</f>
        <v/>
      </c>
    </row>
    <row r="9" ht="19" customHeight="1">
      <c r="A9" s="48" t="n"/>
      <c r="B9" s="49" t="n"/>
      <c r="C9" s="48" t="n"/>
      <c r="D9" s="49" t="n"/>
      <c r="E9" s="48" t="n"/>
      <c r="F9" s="48" t="n"/>
      <c r="G9" s="39">
        <f>IF(B9="","",IF(COUNTIF($B$5:$B$49,B9)&gt;1,IF(A9="","",A9&amp;" ")&amp;B9,B9))</f>
        <v/>
      </c>
      <c r="H9" s="37">
        <f>IF(B9="","",IF('×入力'!F117="未提出","未提出",IF(I9&gt;0,"入力済み",IF('×入力'!F117="×なし（どこでもOK）","×なし","未入力"))))</f>
        <v/>
      </c>
      <c r="I9" s="37">
        <f>IF(B9="","",'計算A'!IN14)</f>
        <v/>
      </c>
      <c r="J9" s="37">
        <f>IF(OR(H9="入力済み",H9="×なし"),'計算A'!IM14,"")</f>
        <v/>
      </c>
      <c r="K9" s="37">
        <f>IF('計算A'!C14=1,COUNTIFS('計算A'!$C$10:$C$54,1,'計算A'!$IM$10:$IM$54,"&lt;"&amp;'計算A'!IM14)+1,"")</f>
        <v/>
      </c>
      <c r="L9" s="39">
        <f>IF('計算A'!IO14=0,"",INDEX('設定'!$E$11:$E$20,INDEX('計算A'!$D$2:$II$2,'計算A'!IO14)))</f>
        <v/>
      </c>
      <c r="M9" s="37">
        <f>IF('計算A'!IO14=0,"",INDEX('設定'!$I$11:$I$34,INDEX('計算A'!$D$3:$II$3,'計算A'!IO14)))</f>
        <v/>
      </c>
      <c r="N9" s="39">
        <f>IF(G9="","",IF(COUNTIF('調整・決定'!$C$6:$L$29,G9)&gt;1,"2か所以上に入っています",IF('計算A'!IO14&gt;0,IF(INDEX('計算A'!$D$4:$II$4,'計算A'!IO14)=0,"使えない枠に入っています",IF(INDEX('計算A'!$D$14:$II$14,'計算A'!IO14)=1,"×の枠に入っています",IF(AND(F9&lt;&gt;"",INDEX('計算A'!$D$106:$II$106,'計算A'!IO14)=1,INDEX('計算A'!$D$109:$II$109,'計算A'!IO14+1)=1),IF(F9="必ず空けたい","後ろの枠が空いていません","（出来れば）後ろが空いていません"),""))),IF(OR(H9="入力済み",H9="×なし"),"未決定",""))))</f>
        <v/>
      </c>
      <c r="O9" s="39">
        <f>IF('計算A'!IK14=0,IF('計算A'!IL14=1,"入る枠がありません",""),INDEX('計算A'!$D$8:$II$8,'計算A'!IK14))</f>
        <v/>
      </c>
      <c r="P9" s="50">
        <f>HYPERLINK("#'×入力'!B117","×入力へ")</f>
        <v/>
      </c>
    </row>
    <row r="10" ht="19" customHeight="1">
      <c r="A10" s="48" t="n"/>
      <c r="B10" s="49" t="n"/>
      <c r="C10" s="48" t="n"/>
      <c r="D10" s="49" t="n"/>
      <c r="E10" s="48" t="n"/>
      <c r="F10" s="48" t="n"/>
      <c r="G10" s="39">
        <f>IF(B10="","",IF(COUNTIF($B$5:$B$49,B10)&gt;1,IF(A10="","",A10&amp;" ")&amp;B10,B10))</f>
        <v/>
      </c>
      <c r="H10" s="37">
        <f>IF(B10="","",IF('×入力'!F145="未提出","未提出",IF(I10&gt;0,"入力済み",IF('×入力'!F145="×なし（どこでもOK）","×なし","未入力"))))</f>
        <v/>
      </c>
      <c r="I10" s="37">
        <f>IF(B10="","",'計算A'!IN15)</f>
        <v/>
      </c>
      <c r="J10" s="37">
        <f>IF(OR(H10="入力済み",H10="×なし"),'計算A'!IM15,"")</f>
        <v/>
      </c>
      <c r="K10" s="37">
        <f>IF('計算A'!C15=1,COUNTIFS('計算A'!$C$10:$C$54,1,'計算A'!$IM$10:$IM$54,"&lt;"&amp;'計算A'!IM15)+1,"")</f>
        <v/>
      </c>
      <c r="L10" s="39">
        <f>IF('計算A'!IO15=0,"",INDEX('設定'!$E$11:$E$20,INDEX('計算A'!$D$2:$II$2,'計算A'!IO15)))</f>
        <v/>
      </c>
      <c r="M10" s="37">
        <f>IF('計算A'!IO15=0,"",INDEX('設定'!$I$11:$I$34,INDEX('計算A'!$D$3:$II$3,'計算A'!IO15)))</f>
        <v/>
      </c>
      <c r="N10" s="39">
        <f>IF(G10="","",IF(COUNTIF('調整・決定'!$C$6:$L$29,G10)&gt;1,"2か所以上に入っています",IF('計算A'!IO15&gt;0,IF(INDEX('計算A'!$D$4:$II$4,'計算A'!IO15)=0,"使えない枠に入っています",IF(INDEX('計算A'!$D$15:$II$15,'計算A'!IO15)=1,"×の枠に入っています",IF(AND(F10&lt;&gt;"",INDEX('計算A'!$D$106:$II$106,'計算A'!IO15)=1,INDEX('計算A'!$D$109:$II$109,'計算A'!IO15+1)=1),IF(F10="必ず空けたい","後ろの枠が空いていません","（出来れば）後ろが空いていません"),""))),IF(OR(H10="入力済み",H10="×なし"),"未決定",""))))</f>
        <v/>
      </c>
      <c r="O10" s="39">
        <f>IF('計算A'!IK15=0,IF('計算A'!IL15=1,"入る枠がありません",""),INDEX('計算A'!$D$8:$II$8,'計算A'!IK15))</f>
        <v/>
      </c>
      <c r="P10" s="50">
        <f>HYPERLINK("#'×入力'!B145","×入力へ")</f>
        <v/>
      </c>
    </row>
    <row r="11" ht="19" customHeight="1">
      <c r="A11" s="48" t="n"/>
      <c r="B11" s="49" t="n"/>
      <c r="C11" s="48" t="n"/>
      <c r="D11" s="49" t="n"/>
      <c r="E11" s="48" t="n"/>
      <c r="F11" s="48" t="n"/>
      <c r="G11" s="39">
        <f>IF(B11="","",IF(COUNTIF($B$5:$B$49,B11)&gt;1,IF(A11="","",A11&amp;" ")&amp;B11,B11))</f>
        <v/>
      </c>
      <c r="H11" s="37">
        <f>IF(B11="","",IF('×入力'!F173="未提出","未提出",IF(I11&gt;0,"入力済み",IF('×入力'!F173="×なし（どこでもOK）","×なし","未入力"))))</f>
        <v/>
      </c>
      <c r="I11" s="37">
        <f>IF(B11="","",'計算A'!IN16)</f>
        <v/>
      </c>
      <c r="J11" s="37">
        <f>IF(OR(H11="入力済み",H11="×なし"),'計算A'!IM16,"")</f>
        <v/>
      </c>
      <c r="K11" s="37">
        <f>IF('計算A'!C16=1,COUNTIFS('計算A'!$C$10:$C$54,1,'計算A'!$IM$10:$IM$54,"&lt;"&amp;'計算A'!IM16)+1,"")</f>
        <v/>
      </c>
      <c r="L11" s="39">
        <f>IF('計算A'!IO16=0,"",INDEX('設定'!$E$11:$E$20,INDEX('計算A'!$D$2:$II$2,'計算A'!IO16)))</f>
        <v/>
      </c>
      <c r="M11" s="37">
        <f>IF('計算A'!IO16=0,"",INDEX('設定'!$I$11:$I$34,INDEX('計算A'!$D$3:$II$3,'計算A'!IO16)))</f>
        <v/>
      </c>
      <c r="N11" s="39">
        <f>IF(G11="","",IF(COUNTIF('調整・決定'!$C$6:$L$29,G11)&gt;1,"2か所以上に入っています",IF('計算A'!IO16&gt;0,IF(INDEX('計算A'!$D$4:$II$4,'計算A'!IO16)=0,"使えない枠に入っています",IF(INDEX('計算A'!$D$16:$II$16,'計算A'!IO16)=1,"×の枠に入っています",IF(AND(F11&lt;&gt;"",INDEX('計算A'!$D$106:$II$106,'計算A'!IO16)=1,INDEX('計算A'!$D$109:$II$109,'計算A'!IO16+1)=1),IF(F11="必ず空けたい","後ろの枠が空いていません","（出来れば）後ろが空いていません"),""))),IF(OR(H11="入力済み",H11="×なし"),"未決定",""))))</f>
        <v/>
      </c>
      <c r="O11" s="39">
        <f>IF('計算A'!IK16=0,IF('計算A'!IL16=1,"入る枠がありません",""),INDEX('計算A'!$D$8:$II$8,'計算A'!IK16))</f>
        <v/>
      </c>
      <c r="P11" s="50">
        <f>HYPERLINK("#'×入力'!B173","×入力へ")</f>
        <v/>
      </c>
    </row>
    <row r="12" ht="19" customHeight="1">
      <c r="A12" s="48" t="n"/>
      <c r="B12" s="49" t="n"/>
      <c r="C12" s="48" t="n"/>
      <c r="D12" s="49" t="n"/>
      <c r="E12" s="48" t="n"/>
      <c r="F12" s="48" t="n"/>
      <c r="G12" s="39">
        <f>IF(B12="","",IF(COUNTIF($B$5:$B$49,B12)&gt;1,IF(A12="","",A12&amp;" ")&amp;B12,B12))</f>
        <v/>
      </c>
      <c r="H12" s="37">
        <f>IF(B12="","",IF('×入力'!F201="未提出","未提出",IF(I12&gt;0,"入力済み",IF('×入力'!F201="×なし（どこでもOK）","×なし","未入力"))))</f>
        <v/>
      </c>
      <c r="I12" s="37">
        <f>IF(B12="","",'計算A'!IN17)</f>
        <v/>
      </c>
      <c r="J12" s="37">
        <f>IF(OR(H12="入力済み",H12="×なし"),'計算A'!IM17,"")</f>
        <v/>
      </c>
      <c r="K12" s="37">
        <f>IF('計算A'!C17=1,COUNTIFS('計算A'!$C$10:$C$54,1,'計算A'!$IM$10:$IM$54,"&lt;"&amp;'計算A'!IM17)+1,"")</f>
        <v/>
      </c>
      <c r="L12" s="39">
        <f>IF('計算A'!IO17=0,"",INDEX('設定'!$E$11:$E$20,INDEX('計算A'!$D$2:$II$2,'計算A'!IO17)))</f>
        <v/>
      </c>
      <c r="M12" s="37">
        <f>IF('計算A'!IO17=0,"",INDEX('設定'!$I$11:$I$34,INDEX('計算A'!$D$3:$II$3,'計算A'!IO17)))</f>
        <v/>
      </c>
      <c r="N12" s="39">
        <f>IF(G12="","",IF(COUNTIF('調整・決定'!$C$6:$L$29,G12)&gt;1,"2か所以上に入っています",IF('計算A'!IO17&gt;0,IF(INDEX('計算A'!$D$4:$II$4,'計算A'!IO17)=0,"使えない枠に入っています",IF(INDEX('計算A'!$D$17:$II$17,'計算A'!IO17)=1,"×の枠に入っています",IF(AND(F12&lt;&gt;"",INDEX('計算A'!$D$106:$II$106,'計算A'!IO17)=1,INDEX('計算A'!$D$109:$II$109,'計算A'!IO17+1)=1),IF(F12="必ず空けたい","後ろの枠が空いていません","（出来れば）後ろが空いていません"),""))),IF(OR(H12="入力済み",H12="×なし"),"未決定",""))))</f>
        <v/>
      </c>
      <c r="O12" s="39">
        <f>IF('計算A'!IK17=0,IF('計算A'!IL17=1,"入る枠がありません",""),INDEX('計算A'!$D$8:$II$8,'計算A'!IK17))</f>
        <v/>
      </c>
      <c r="P12" s="50">
        <f>HYPERLINK("#'×入力'!B201","×入力へ")</f>
        <v/>
      </c>
    </row>
    <row r="13" ht="19" customHeight="1">
      <c r="A13" s="48" t="n"/>
      <c r="B13" s="49" t="n"/>
      <c r="C13" s="48" t="n"/>
      <c r="D13" s="49" t="n"/>
      <c r="E13" s="48" t="n"/>
      <c r="F13" s="48" t="n"/>
      <c r="G13" s="39">
        <f>IF(B13="","",IF(COUNTIF($B$5:$B$49,B13)&gt;1,IF(A13="","",A13&amp;" ")&amp;B13,B13))</f>
        <v/>
      </c>
      <c r="H13" s="37">
        <f>IF(B13="","",IF('×入力'!F229="未提出","未提出",IF(I13&gt;0,"入力済み",IF('×入力'!F229="×なし（どこでもOK）","×なし","未入力"))))</f>
        <v/>
      </c>
      <c r="I13" s="37">
        <f>IF(B13="","",'計算A'!IN18)</f>
        <v/>
      </c>
      <c r="J13" s="37">
        <f>IF(OR(H13="入力済み",H13="×なし"),'計算A'!IM18,"")</f>
        <v/>
      </c>
      <c r="K13" s="37">
        <f>IF('計算A'!C18=1,COUNTIFS('計算A'!$C$10:$C$54,1,'計算A'!$IM$10:$IM$54,"&lt;"&amp;'計算A'!IM18)+1,"")</f>
        <v/>
      </c>
      <c r="L13" s="39">
        <f>IF('計算A'!IO18=0,"",INDEX('設定'!$E$11:$E$20,INDEX('計算A'!$D$2:$II$2,'計算A'!IO18)))</f>
        <v/>
      </c>
      <c r="M13" s="37">
        <f>IF('計算A'!IO18=0,"",INDEX('設定'!$I$11:$I$34,INDEX('計算A'!$D$3:$II$3,'計算A'!IO18)))</f>
        <v/>
      </c>
      <c r="N13" s="39">
        <f>IF(G13="","",IF(COUNTIF('調整・決定'!$C$6:$L$29,G13)&gt;1,"2か所以上に入っています",IF('計算A'!IO18&gt;0,IF(INDEX('計算A'!$D$4:$II$4,'計算A'!IO18)=0,"使えない枠に入っています",IF(INDEX('計算A'!$D$18:$II$18,'計算A'!IO18)=1,"×の枠に入っています",IF(AND(F13&lt;&gt;"",INDEX('計算A'!$D$106:$II$106,'計算A'!IO18)=1,INDEX('計算A'!$D$109:$II$109,'計算A'!IO18+1)=1),IF(F13="必ず空けたい","後ろの枠が空いていません","（出来れば）後ろが空いていません"),""))),IF(OR(H13="入力済み",H13="×なし"),"未決定",""))))</f>
        <v/>
      </c>
      <c r="O13" s="39">
        <f>IF('計算A'!IK18=0,IF('計算A'!IL18=1,"入る枠がありません",""),INDEX('計算A'!$D$8:$II$8,'計算A'!IK18))</f>
        <v/>
      </c>
      <c r="P13" s="50">
        <f>HYPERLINK("#'×入力'!B229","×入力へ")</f>
        <v/>
      </c>
    </row>
    <row r="14" ht="19" customHeight="1">
      <c r="A14" s="48" t="n"/>
      <c r="B14" s="49" t="n"/>
      <c r="C14" s="48" t="n"/>
      <c r="D14" s="49" t="n"/>
      <c r="E14" s="48" t="n"/>
      <c r="F14" s="48" t="n"/>
      <c r="G14" s="39">
        <f>IF(B14="","",IF(COUNTIF($B$5:$B$49,B14)&gt;1,IF(A14="","",A14&amp;" ")&amp;B14,B14))</f>
        <v/>
      </c>
      <c r="H14" s="37">
        <f>IF(B14="","",IF('×入力'!F257="未提出","未提出",IF(I14&gt;0,"入力済み",IF('×入力'!F257="×なし（どこでもOK）","×なし","未入力"))))</f>
        <v/>
      </c>
      <c r="I14" s="37">
        <f>IF(B14="","",'計算A'!IN19)</f>
        <v/>
      </c>
      <c r="J14" s="37">
        <f>IF(OR(H14="入力済み",H14="×なし"),'計算A'!IM19,"")</f>
        <v/>
      </c>
      <c r="K14" s="37">
        <f>IF('計算A'!C19=1,COUNTIFS('計算A'!$C$10:$C$54,1,'計算A'!$IM$10:$IM$54,"&lt;"&amp;'計算A'!IM19)+1,"")</f>
        <v/>
      </c>
      <c r="L14" s="39">
        <f>IF('計算A'!IO19=0,"",INDEX('設定'!$E$11:$E$20,INDEX('計算A'!$D$2:$II$2,'計算A'!IO19)))</f>
        <v/>
      </c>
      <c r="M14" s="37">
        <f>IF('計算A'!IO19=0,"",INDEX('設定'!$I$11:$I$34,INDEX('計算A'!$D$3:$II$3,'計算A'!IO19)))</f>
        <v/>
      </c>
      <c r="N14" s="39">
        <f>IF(G14="","",IF(COUNTIF('調整・決定'!$C$6:$L$29,G14)&gt;1,"2か所以上に入っています",IF('計算A'!IO19&gt;0,IF(INDEX('計算A'!$D$4:$II$4,'計算A'!IO19)=0,"使えない枠に入っています",IF(INDEX('計算A'!$D$19:$II$19,'計算A'!IO19)=1,"×の枠に入っています",IF(AND(F14&lt;&gt;"",INDEX('計算A'!$D$106:$II$106,'計算A'!IO19)=1,INDEX('計算A'!$D$109:$II$109,'計算A'!IO19+1)=1),IF(F14="必ず空けたい","後ろの枠が空いていません","（出来れば）後ろが空いていません"),""))),IF(OR(H14="入力済み",H14="×なし"),"未決定",""))))</f>
        <v/>
      </c>
      <c r="O14" s="39">
        <f>IF('計算A'!IK19=0,IF('計算A'!IL19=1,"入る枠がありません",""),INDEX('計算A'!$D$8:$II$8,'計算A'!IK19))</f>
        <v/>
      </c>
      <c r="P14" s="50">
        <f>HYPERLINK("#'×入力'!B257","×入力へ")</f>
        <v/>
      </c>
    </row>
    <row r="15" ht="19" customHeight="1">
      <c r="A15" s="48" t="n"/>
      <c r="B15" s="49" t="n"/>
      <c r="C15" s="48" t="n"/>
      <c r="D15" s="49" t="n"/>
      <c r="E15" s="48" t="n"/>
      <c r="F15" s="48" t="n"/>
      <c r="G15" s="39">
        <f>IF(B15="","",IF(COUNTIF($B$5:$B$49,B15)&gt;1,IF(A15="","",A15&amp;" ")&amp;B15,B15))</f>
        <v/>
      </c>
      <c r="H15" s="37">
        <f>IF(B15="","",IF('×入力'!F285="未提出","未提出",IF(I15&gt;0,"入力済み",IF('×入力'!F285="×なし（どこでもOK）","×なし","未入力"))))</f>
        <v/>
      </c>
      <c r="I15" s="37">
        <f>IF(B15="","",'計算A'!IN20)</f>
        <v/>
      </c>
      <c r="J15" s="37">
        <f>IF(OR(H15="入力済み",H15="×なし"),'計算A'!IM20,"")</f>
        <v/>
      </c>
      <c r="K15" s="37">
        <f>IF('計算A'!C20=1,COUNTIFS('計算A'!$C$10:$C$54,1,'計算A'!$IM$10:$IM$54,"&lt;"&amp;'計算A'!IM20)+1,"")</f>
        <v/>
      </c>
      <c r="L15" s="39">
        <f>IF('計算A'!IO20=0,"",INDEX('設定'!$E$11:$E$20,INDEX('計算A'!$D$2:$II$2,'計算A'!IO20)))</f>
        <v/>
      </c>
      <c r="M15" s="37">
        <f>IF('計算A'!IO20=0,"",INDEX('設定'!$I$11:$I$34,INDEX('計算A'!$D$3:$II$3,'計算A'!IO20)))</f>
        <v/>
      </c>
      <c r="N15" s="39">
        <f>IF(G15="","",IF(COUNTIF('調整・決定'!$C$6:$L$29,G15)&gt;1,"2か所以上に入っています",IF('計算A'!IO20&gt;0,IF(INDEX('計算A'!$D$4:$II$4,'計算A'!IO20)=0,"使えない枠に入っています",IF(INDEX('計算A'!$D$20:$II$20,'計算A'!IO20)=1,"×の枠に入っています",IF(AND(F15&lt;&gt;"",INDEX('計算A'!$D$106:$II$106,'計算A'!IO20)=1,INDEX('計算A'!$D$109:$II$109,'計算A'!IO20+1)=1),IF(F15="必ず空けたい","後ろの枠が空いていません","（出来れば）後ろが空いていません"),""))),IF(OR(H15="入力済み",H15="×なし"),"未決定",""))))</f>
        <v/>
      </c>
      <c r="O15" s="39">
        <f>IF('計算A'!IK20=0,IF('計算A'!IL20=1,"入る枠がありません",""),INDEX('計算A'!$D$8:$II$8,'計算A'!IK20))</f>
        <v/>
      </c>
      <c r="P15" s="50">
        <f>HYPERLINK("#'×入力'!B285","×入力へ")</f>
        <v/>
      </c>
    </row>
    <row r="16" ht="19" customHeight="1">
      <c r="A16" s="48" t="n"/>
      <c r="B16" s="49" t="n"/>
      <c r="C16" s="48" t="n"/>
      <c r="D16" s="49" t="n"/>
      <c r="E16" s="48" t="n"/>
      <c r="F16" s="48" t="n"/>
      <c r="G16" s="39">
        <f>IF(B16="","",IF(COUNTIF($B$5:$B$49,B16)&gt;1,IF(A16="","",A16&amp;" ")&amp;B16,B16))</f>
        <v/>
      </c>
      <c r="H16" s="37">
        <f>IF(B16="","",IF('×入力'!F313="未提出","未提出",IF(I16&gt;0,"入力済み",IF('×入力'!F313="×なし（どこでもOK）","×なし","未入力"))))</f>
        <v/>
      </c>
      <c r="I16" s="37">
        <f>IF(B16="","",'計算A'!IN21)</f>
        <v/>
      </c>
      <c r="J16" s="37">
        <f>IF(OR(H16="入力済み",H16="×なし"),'計算A'!IM21,"")</f>
        <v/>
      </c>
      <c r="K16" s="37">
        <f>IF('計算A'!C21=1,COUNTIFS('計算A'!$C$10:$C$54,1,'計算A'!$IM$10:$IM$54,"&lt;"&amp;'計算A'!IM21)+1,"")</f>
        <v/>
      </c>
      <c r="L16" s="39">
        <f>IF('計算A'!IO21=0,"",INDEX('設定'!$E$11:$E$20,INDEX('計算A'!$D$2:$II$2,'計算A'!IO21)))</f>
        <v/>
      </c>
      <c r="M16" s="37">
        <f>IF('計算A'!IO21=0,"",INDEX('設定'!$I$11:$I$34,INDEX('計算A'!$D$3:$II$3,'計算A'!IO21)))</f>
        <v/>
      </c>
      <c r="N16" s="39">
        <f>IF(G16="","",IF(COUNTIF('調整・決定'!$C$6:$L$29,G16)&gt;1,"2か所以上に入っています",IF('計算A'!IO21&gt;0,IF(INDEX('計算A'!$D$4:$II$4,'計算A'!IO21)=0,"使えない枠に入っています",IF(INDEX('計算A'!$D$21:$II$21,'計算A'!IO21)=1,"×の枠に入っています",IF(AND(F16&lt;&gt;"",INDEX('計算A'!$D$106:$II$106,'計算A'!IO21)=1,INDEX('計算A'!$D$109:$II$109,'計算A'!IO21+1)=1),IF(F16="必ず空けたい","後ろの枠が空いていません","（出来れば）後ろが空いていません"),""))),IF(OR(H16="入力済み",H16="×なし"),"未決定",""))))</f>
        <v/>
      </c>
      <c r="O16" s="39">
        <f>IF('計算A'!IK21=0,IF('計算A'!IL21=1,"入る枠がありません",""),INDEX('計算A'!$D$8:$II$8,'計算A'!IK21))</f>
        <v/>
      </c>
      <c r="P16" s="50">
        <f>HYPERLINK("#'×入力'!B313","×入力へ")</f>
        <v/>
      </c>
    </row>
    <row r="17" ht="19" customHeight="1">
      <c r="A17" s="48" t="n"/>
      <c r="B17" s="49" t="n"/>
      <c r="C17" s="48" t="n"/>
      <c r="D17" s="49" t="n"/>
      <c r="E17" s="48" t="n"/>
      <c r="F17" s="48" t="n"/>
      <c r="G17" s="39">
        <f>IF(B17="","",IF(COUNTIF($B$5:$B$49,B17)&gt;1,IF(A17="","",A17&amp;" ")&amp;B17,B17))</f>
        <v/>
      </c>
      <c r="H17" s="37">
        <f>IF(B17="","",IF('×入力'!F341="未提出","未提出",IF(I17&gt;0,"入力済み",IF('×入力'!F341="×なし（どこでもOK）","×なし","未入力"))))</f>
        <v/>
      </c>
      <c r="I17" s="37">
        <f>IF(B17="","",'計算A'!IN22)</f>
        <v/>
      </c>
      <c r="J17" s="37">
        <f>IF(OR(H17="入力済み",H17="×なし"),'計算A'!IM22,"")</f>
        <v/>
      </c>
      <c r="K17" s="37">
        <f>IF('計算A'!C22=1,COUNTIFS('計算A'!$C$10:$C$54,1,'計算A'!$IM$10:$IM$54,"&lt;"&amp;'計算A'!IM22)+1,"")</f>
        <v/>
      </c>
      <c r="L17" s="39">
        <f>IF('計算A'!IO22=0,"",INDEX('設定'!$E$11:$E$20,INDEX('計算A'!$D$2:$II$2,'計算A'!IO22)))</f>
        <v/>
      </c>
      <c r="M17" s="37">
        <f>IF('計算A'!IO22=0,"",INDEX('設定'!$I$11:$I$34,INDEX('計算A'!$D$3:$II$3,'計算A'!IO22)))</f>
        <v/>
      </c>
      <c r="N17" s="39">
        <f>IF(G17="","",IF(COUNTIF('調整・決定'!$C$6:$L$29,G17)&gt;1,"2か所以上に入っています",IF('計算A'!IO22&gt;0,IF(INDEX('計算A'!$D$4:$II$4,'計算A'!IO22)=0,"使えない枠に入っています",IF(INDEX('計算A'!$D$22:$II$22,'計算A'!IO22)=1,"×の枠に入っています",IF(AND(F17&lt;&gt;"",INDEX('計算A'!$D$106:$II$106,'計算A'!IO22)=1,INDEX('計算A'!$D$109:$II$109,'計算A'!IO22+1)=1),IF(F17="必ず空けたい","後ろの枠が空いていません","（出来れば）後ろが空いていません"),""))),IF(OR(H17="入力済み",H17="×なし"),"未決定",""))))</f>
        <v/>
      </c>
      <c r="O17" s="39">
        <f>IF('計算A'!IK22=0,IF('計算A'!IL22=1,"入る枠がありません",""),INDEX('計算A'!$D$8:$II$8,'計算A'!IK22))</f>
        <v/>
      </c>
      <c r="P17" s="50">
        <f>HYPERLINK("#'×入力'!B341","×入力へ")</f>
        <v/>
      </c>
    </row>
    <row r="18" ht="19" customHeight="1">
      <c r="A18" s="48" t="n"/>
      <c r="B18" s="49" t="n"/>
      <c r="C18" s="48" t="n"/>
      <c r="D18" s="49" t="n"/>
      <c r="E18" s="48" t="n"/>
      <c r="F18" s="48" t="n"/>
      <c r="G18" s="39">
        <f>IF(B18="","",IF(COUNTIF($B$5:$B$49,B18)&gt;1,IF(A18="","",A18&amp;" ")&amp;B18,B18))</f>
        <v/>
      </c>
      <c r="H18" s="37">
        <f>IF(B18="","",IF('×入力'!F369="未提出","未提出",IF(I18&gt;0,"入力済み",IF('×入力'!F369="×なし（どこでもOK）","×なし","未入力"))))</f>
        <v/>
      </c>
      <c r="I18" s="37">
        <f>IF(B18="","",'計算A'!IN23)</f>
        <v/>
      </c>
      <c r="J18" s="37">
        <f>IF(OR(H18="入力済み",H18="×なし"),'計算A'!IM23,"")</f>
        <v/>
      </c>
      <c r="K18" s="37">
        <f>IF('計算A'!C23=1,COUNTIFS('計算A'!$C$10:$C$54,1,'計算A'!$IM$10:$IM$54,"&lt;"&amp;'計算A'!IM23)+1,"")</f>
        <v/>
      </c>
      <c r="L18" s="39">
        <f>IF('計算A'!IO23=0,"",INDEX('設定'!$E$11:$E$20,INDEX('計算A'!$D$2:$II$2,'計算A'!IO23)))</f>
        <v/>
      </c>
      <c r="M18" s="37">
        <f>IF('計算A'!IO23=0,"",INDEX('設定'!$I$11:$I$34,INDEX('計算A'!$D$3:$II$3,'計算A'!IO23)))</f>
        <v/>
      </c>
      <c r="N18" s="39">
        <f>IF(G18="","",IF(COUNTIF('調整・決定'!$C$6:$L$29,G18)&gt;1,"2か所以上に入っています",IF('計算A'!IO23&gt;0,IF(INDEX('計算A'!$D$4:$II$4,'計算A'!IO23)=0,"使えない枠に入っています",IF(INDEX('計算A'!$D$23:$II$23,'計算A'!IO23)=1,"×の枠に入っています",IF(AND(F18&lt;&gt;"",INDEX('計算A'!$D$106:$II$106,'計算A'!IO23)=1,INDEX('計算A'!$D$109:$II$109,'計算A'!IO23+1)=1),IF(F18="必ず空けたい","後ろの枠が空いていません","（出来れば）後ろが空いていません"),""))),IF(OR(H18="入力済み",H18="×なし"),"未決定",""))))</f>
        <v/>
      </c>
      <c r="O18" s="39">
        <f>IF('計算A'!IK23=0,IF('計算A'!IL23=1,"入る枠がありません",""),INDEX('計算A'!$D$8:$II$8,'計算A'!IK23))</f>
        <v/>
      </c>
      <c r="P18" s="50">
        <f>HYPERLINK("#'×入力'!B369","×入力へ")</f>
        <v/>
      </c>
    </row>
    <row r="19" ht="19" customHeight="1">
      <c r="A19" s="48" t="n"/>
      <c r="B19" s="49" t="n"/>
      <c r="C19" s="48" t="n"/>
      <c r="D19" s="49" t="n"/>
      <c r="E19" s="48" t="n"/>
      <c r="F19" s="48" t="n"/>
      <c r="G19" s="39">
        <f>IF(B19="","",IF(COUNTIF($B$5:$B$49,B19)&gt;1,IF(A19="","",A19&amp;" ")&amp;B19,B19))</f>
        <v/>
      </c>
      <c r="H19" s="37">
        <f>IF(B19="","",IF('×入力'!F397="未提出","未提出",IF(I19&gt;0,"入力済み",IF('×入力'!F397="×なし（どこでもOK）","×なし","未入力"))))</f>
        <v/>
      </c>
      <c r="I19" s="37">
        <f>IF(B19="","",'計算A'!IN24)</f>
        <v/>
      </c>
      <c r="J19" s="37">
        <f>IF(OR(H19="入力済み",H19="×なし"),'計算A'!IM24,"")</f>
        <v/>
      </c>
      <c r="K19" s="37">
        <f>IF('計算A'!C24=1,COUNTIFS('計算A'!$C$10:$C$54,1,'計算A'!$IM$10:$IM$54,"&lt;"&amp;'計算A'!IM24)+1,"")</f>
        <v/>
      </c>
      <c r="L19" s="39">
        <f>IF('計算A'!IO24=0,"",INDEX('設定'!$E$11:$E$20,INDEX('計算A'!$D$2:$II$2,'計算A'!IO24)))</f>
        <v/>
      </c>
      <c r="M19" s="37">
        <f>IF('計算A'!IO24=0,"",INDEX('設定'!$I$11:$I$34,INDEX('計算A'!$D$3:$II$3,'計算A'!IO24)))</f>
        <v/>
      </c>
      <c r="N19" s="39">
        <f>IF(G19="","",IF(COUNTIF('調整・決定'!$C$6:$L$29,G19)&gt;1,"2か所以上に入っています",IF('計算A'!IO24&gt;0,IF(INDEX('計算A'!$D$4:$II$4,'計算A'!IO24)=0,"使えない枠に入っています",IF(INDEX('計算A'!$D$24:$II$24,'計算A'!IO24)=1,"×の枠に入っています",IF(AND(F19&lt;&gt;"",INDEX('計算A'!$D$106:$II$106,'計算A'!IO24)=1,INDEX('計算A'!$D$109:$II$109,'計算A'!IO24+1)=1),IF(F19="必ず空けたい","後ろの枠が空いていません","（出来れば）後ろが空いていません"),""))),IF(OR(H19="入力済み",H19="×なし"),"未決定",""))))</f>
        <v/>
      </c>
      <c r="O19" s="39">
        <f>IF('計算A'!IK24=0,IF('計算A'!IL24=1,"入る枠がありません",""),INDEX('計算A'!$D$8:$II$8,'計算A'!IK24))</f>
        <v/>
      </c>
      <c r="P19" s="50">
        <f>HYPERLINK("#'×入力'!B397","×入力へ")</f>
        <v/>
      </c>
    </row>
    <row r="20" ht="19" customHeight="1">
      <c r="A20" s="48" t="n"/>
      <c r="B20" s="49" t="n"/>
      <c r="C20" s="48" t="n"/>
      <c r="D20" s="49" t="n"/>
      <c r="E20" s="48" t="n"/>
      <c r="F20" s="48" t="n"/>
      <c r="G20" s="39">
        <f>IF(B20="","",IF(COUNTIF($B$5:$B$49,B20)&gt;1,IF(A20="","",A20&amp;" ")&amp;B20,B20))</f>
        <v/>
      </c>
      <c r="H20" s="37">
        <f>IF(B20="","",IF('×入力'!F425="未提出","未提出",IF(I20&gt;0,"入力済み",IF('×入力'!F425="×なし（どこでもOK）","×なし","未入力"))))</f>
        <v/>
      </c>
      <c r="I20" s="37">
        <f>IF(B20="","",'計算A'!IN25)</f>
        <v/>
      </c>
      <c r="J20" s="37">
        <f>IF(OR(H20="入力済み",H20="×なし"),'計算A'!IM25,"")</f>
        <v/>
      </c>
      <c r="K20" s="37">
        <f>IF('計算A'!C25=1,COUNTIFS('計算A'!$C$10:$C$54,1,'計算A'!$IM$10:$IM$54,"&lt;"&amp;'計算A'!IM25)+1,"")</f>
        <v/>
      </c>
      <c r="L20" s="39">
        <f>IF('計算A'!IO25=0,"",INDEX('設定'!$E$11:$E$20,INDEX('計算A'!$D$2:$II$2,'計算A'!IO25)))</f>
        <v/>
      </c>
      <c r="M20" s="37">
        <f>IF('計算A'!IO25=0,"",INDEX('設定'!$I$11:$I$34,INDEX('計算A'!$D$3:$II$3,'計算A'!IO25)))</f>
        <v/>
      </c>
      <c r="N20" s="39">
        <f>IF(G20="","",IF(COUNTIF('調整・決定'!$C$6:$L$29,G20)&gt;1,"2か所以上に入っています",IF('計算A'!IO25&gt;0,IF(INDEX('計算A'!$D$4:$II$4,'計算A'!IO25)=0,"使えない枠に入っています",IF(INDEX('計算A'!$D$25:$II$25,'計算A'!IO25)=1,"×の枠に入っています",IF(AND(F20&lt;&gt;"",INDEX('計算A'!$D$106:$II$106,'計算A'!IO25)=1,INDEX('計算A'!$D$109:$II$109,'計算A'!IO25+1)=1),IF(F20="必ず空けたい","後ろの枠が空いていません","（出来れば）後ろが空いていません"),""))),IF(OR(H20="入力済み",H20="×なし"),"未決定",""))))</f>
        <v/>
      </c>
      <c r="O20" s="39">
        <f>IF('計算A'!IK25=0,IF('計算A'!IL25=1,"入る枠がありません",""),INDEX('計算A'!$D$8:$II$8,'計算A'!IK25))</f>
        <v/>
      </c>
      <c r="P20" s="50">
        <f>HYPERLINK("#'×入力'!B425","×入力へ")</f>
        <v/>
      </c>
    </row>
    <row r="21" ht="19" customHeight="1">
      <c r="A21" s="48" t="n"/>
      <c r="B21" s="49" t="n"/>
      <c r="C21" s="48" t="n"/>
      <c r="D21" s="49" t="n"/>
      <c r="E21" s="48" t="n"/>
      <c r="F21" s="48" t="n"/>
      <c r="G21" s="39">
        <f>IF(B21="","",IF(COUNTIF($B$5:$B$49,B21)&gt;1,IF(A21="","",A21&amp;" ")&amp;B21,B21))</f>
        <v/>
      </c>
      <c r="H21" s="37">
        <f>IF(B21="","",IF('×入力'!F453="未提出","未提出",IF(I21&gt;0,"入力済み",IF('×入力'!F453="×なし（どこでもOK）","×なし","未入力"))))</f>
        <v/>
      </c>
      <c r="I21" s="37">
        <f>IF(B21="","",'計算A'!IN26)</f>
        <v/>
      </c>
      <c r="J21" s="37">
        <f>IF(OR(H21="入力済み",H21="×なし"),'計算A'!IM26,"")</f>
        <v/>
      </c>
      <c r="K21" s="37">
        <f>IF('計算A'!C26=1,COUNTIFS('計算A'!$C$10:$C$54,1,'計算A'!$IM$10:$IM$54,"&lt;"&amp;'計算A'!IM26)+1,"")</f>
        <v/>
      </c>
      <c r="L21" s="39">
        <f>IF('計算A'!IO26=0,"",INDEX('設定'!$E$11:$E$20,INDEX('計算A'!$D$2:$II$2,'計算A'!IO26)))</f>
        <v/>
      </c>
      <c r="M21" s="37">
        <f>IF('計算A'!IO26=0,"",INDEX('設定'!$I$11:$I$34,INDEX('計算A'!$D$3:$II$3,'計算A'!IO26)))</f>
        <v/>
      </c>
      <c r="N21" s="39">
        <f>IF(G21="","",IF(COUNTIF('調整・決定'!$C$6:$L$29,G21)&gt;1,"2か所以上に入っています",IF('計算A'!IO26&gt;0,IF(INDEX('計算A'!$D$4:$II$4,'計算A'!IO26)=0,"使えない枠に入っています",IF(INDEX('計算A'!$D$26:$II$26,'計算A'!IO26)=1,"×の枠に入っています",IF(AND(F21&lt;&gt;"",INDEX('計算A'!$D$106:$II$106,'計算A'!IO26)=1,INDEX('計算A'!$D$109:$II$109,'計算A'!IO26+1)=1),IF(F21="必ず空けたい","後ろの枠が空いていません","（出来れば）後ろが空いていません"),""))),IF(OR(H21="入力済み",H21="×なし"),"未決定",""))))</f>
        <v/>
      </c>
      <c r="O21" s="39">
        <f>IF('計算A'!IK26=0,IF('計算A'!IL26=1,"入る枠がありません",""),INDEX('計算A'!$D$8:$II$8,'計算A'!IK26))</f>
        <v/>
      </c>
      <c r="P21" s="50">
        <f>HYPERLINK("#'×入力'!B453","×入力へ")</f>
        <v/>
      </c>
    </row>
    <row r="22" ht="19" customHeight="1">
      <c r="A22" s="48" t="n"/>
      <c r="B22" s="49" t="n"/>
      <c r="C22" s="48" t="n"/>
      <c r="D22" s="49" t="n"/>
      <c r="E22" s="48" t="n"/>
      <c r="F22" s="48" t="n"/>
      <c r="G22" s="39">
        <f>IF(B22="","",IF(COUNTIF($B$5:$B$49,B22)&gt;1,IF(A22="","",A22&amp;" ")&amp;B22,B22))</f>
        <v/>
      </c>
      <c r="H22" s="37">
        <f>IF(B22="","",IF('×入力'!F481="未提出","未提出",IF(I22&gt;0,"入力済み",IF('×入力'!F481="×なし（どこでもOK）","×なし","未入力"))))</f>
        <v/>
      </c>
      <c r="I22" s="37">
        <f>IF(B22="","",'計算A'!IN27)</f>
        <v/>
      </c>
      <c r="J22" s="37">
        <f>IF(OR(H22="入力済み",H22="×なし"),'計算A'!IM27,"")</f>
        <v/>
      </c>
      <c r="K22" s="37">
        <f>IF('計算A'!C27=1,COUNTIFS('計算A'!$C$10:$C$54,1,'計算A'!$IM$10:$IM$54,"&lt;"&amp;'計算A'!IM27)+1,"")</f>
        <v/>
      </c>
      <c r="L22" s="39">
        <f>IF('計算A'!IO27=0,"",INDEX('設定'!$E$11:$E$20,INDEX('計算A'!$D$2:$II$2,'計算A'!IO27)))</f>
        <v/>
      </c>
      <c r="M22" s="37">
        <f>IF('計算A'!IO27=0,"",INDEX('設定'!$I$11:$I$34,INDEX('計算A'!$D$3:$II$3,'計算A'!IO27)))</f>
        <v/>
      </c>
      <c r="N22" s="39">
        <f>IF(G22="","",IF(COUNTIF('調整・決定'!$C$6:$L$29,G22)&gt;1,"2か所以上に入っています",IF('計算A'!IO27&gt;0,IF(INDEX('計算A'!$D$4:$II$4,'計算A'!IO27)=0,"使えない枠に入っています",IF(INDEX('計算A'!$D$27:$II$27,'計算A'!IO27)=1,"×の枠に入っています",IF(AND(F22&lt;&gt;"",INDEX('計算A'!$D$106:$II$106,'計算A'!IO27)=1,INDEX('計算A'!$D$109:$II$109,'計算A'!IO27+1)=1),IF(F22="必ず空けたい","後ろの枠が空いていません","（出来れば）後ろが空いていません"),""))),IF(OR(H22="入力済み",H22="×なし"),"未決定",""))))</f>
        <v/>
      </c>
      <c r="O22" s="39">
        <f>IF('計算A'!IK27=0,IF('計算A'!IL27=1,"入る枠がありません",""),INDEX('計算A'!$D$8:$II$8,'計算A'!IK27))</f>
        <v/>
      </c>
      <c r="P22" s="50">
        <f>HYPERLINK("#'×入力'!B481","×入力へ")</f>
        <v/>
      </c>
    </row>
    <row r="23" ht="19" customHeight="1">
      <c r="A23" s="48" t="n"/>
      <c r="B23" s="49" t="n"/>
      <c r="C23" s="48" t="n"/>
      <c r="D23" s="49" t="n"/>
      <c r="E23" s="48" t="n"/>
      <c r="F23" s="48" t="n"/>
      <c r="G23" s="39">
        <f>IF(B23="","",IF(COUNTIF($B$5:$B$49,B23)&gt;1,IF(A23="","",A23&amp;" ")&amp;B23,B23))</f>
        <v/>
      </c>
      <c r="H23" s="37">
        <f>IF(B23="","",IF('×入力'!F509="未提出","未提出",IF(I23&gt;0,"入力済み",IF('×入力'!F509="×なし（どこでもOK）","×なし","未入力"))))</f>
        <v/>
      </c>
      <c r="I23" s="37">
        <f>IF(B23="","",'計算A'!IN28)</f>
        <v/>
      </c>
      <c r="J23" s="37">
        <f>IF(OR(H23="入力済み",H23="×なし"),'計算A'!IM28,"")</f>
        <v/>
      </c>
      <c r="K23" s="37">
        <f>IF('計算A'!C28=1,COUNTIFS('計算A'!$C$10:$C$54,1,'計算A'!$IM$10:$IM$54,"&lt;"&amp;'計算A'!IM28)+1,"")</f>
        <v/>
      </c>
      <c r="L23" s="39">
        <f>IF('計算A'!IO28=0,"",INDEX('設定'!$E$11:$E$20,INDEX('計算A'!$D$2:$II$2,'計算A'!IO28)))</f>
        <v/>
      </c>
      <c r="M23" s="37">
        <f>IF('計算A'!IO28=0,"",INDEX('設定'!$I$11:$I$34,INDEX('計算A'!$D$3:$II$3,'計算A'!IO28)))</f>
        <v/>
      </c>
      <c r="N23" s="39">
        <f>IF(G23="","",IF(COUNTIF('調整・決定'!$C$6:$L$29,G23)&gt;1,"2か所以上に入っています",IF('計算A'!IO28&gt;0,IF(INDEX('計算A'!$D$4:$II$4,'計算A'!IO28)=0,"使えない枠に入っています",IF(INDEX('計算A'!$D$28:$II$28,'計算A'!IO28)=1,"×の枠に入っています",IF(AND(F23&lt;&gt;"",INDEX('計算A'!$D$106:$II$106,'計算A'!IO28)=1,INDEX('計算A'!$D$109:$II$109,'計算A'!IO28+1)=1),IF(F23="必ず空けたい","後ろの枠が空いていません","（出来れば）後ろが空いていません"),""))),IF(OR(H23="入力済み",H23="×なし"),"未決定",""))))</f>
        <v/>
      </c>
      <c r="O23" s="39">
        <f>IF('計算A'!IK28=0,IF('計算A'!IL28=1,"入る枠がありません",""),INDEX('計算A'!$D$8:$II$8,'計算A'!IK28))</f>
        <v/>
      </c>
      <c r="P23" s="50">
        <f>HYPERLINK("#'×入力'!B509","×入力へ")</f>
        <v/>
      </c>
    </row>
    <row r="24" ht="19" customHeight="1">
      <c r="A24" s="48" t="n"/>
      <c r="B24" s="49" t="n"/>
      <c r="C24" s="48" t="n"/>
      <c r="D24" s="49" t="n"/>
      <c r="E24" s="48" t="n"/>
      <c r="F24" s="48" t="n"/>
      <c r="G24" s="39">
        <f>IF(B24="","",IF(COUNTIF($B$5:$B$49,B24)&gt;1,IF(A24="","",A24&amp;" ")&amp;B24,B24))</f>
        <v/>
      </c>
      <c r="H24" s="37">
        <f>IF(B24="","",IF('×入力'!F537="未提出","未提出",IF(I24&gt;0,"入力済み",IF('×入力'!F537="×なし（どこでもOK）","×なし","未入力"))))</f>
        <v/>
      </c>
      <c r="I24" s="37">
        <f>IF(B24="","",'計算A'!IN29)</f>
        <v/>
      </c>
      <c r="J24" s="37">
        <f>IF(OR(H24="入力済み",H24="×なし"),'計算A'!IM29,"")</f>
        <v/>
      </c>
      <c r="K24" s="37">
        <f>IF('計算A'!C29=1,COUNTIFS('計算A'!$C$10:$C$54,1,'計算A'!$IM$10:$IM$54,"&lt;"&amp;'計算A'!IM29)+1,"")</f>
        <v/>
      </c>
      <c r="L24" s="39">
        <f>IF('計算A'!IO29=0,"",INDEX('設定'!$E$11:$E$20,INDEX('計算A'!$D$2:$II$2,'計算A'!IO29)))</f>
        <v/>
      </c>
      <c r="M24" s="37">
        <f>IF('計算A'!IO29=0,"",INDEX('設定'!$I$11:$I$34,INDEX('計算A'!$D$3:$II$3,'計算A'!IO29)))</f>
        <v/>
      </c>
      <c r="N24" s="39">
        <f>IF(G24="","",IF(COUNTIF('調整・決定'!$C$6:$L$29,G24)&gt;1,"2か所以上に入っています",IF('計算A'!IO29&gt;0,IF(INDEX('計算A'!$D$4:$II$4,'計算A'!IO29)=0,"使えない枠に入っています",IF(INDEX('計算A'!$D$29:$II$29,'計算A'!IO29)=1,"×の枠に入っています",IF(AND(F24&lt;&gt;"",INDEX('計算A'!$D$106:$II$106,'計算A'!IO29)=1,INDEX('計算A'!$D$109:$II$109,'計算A'!IO29+1)=1),IF(F24="必ず空けたい","後ろの枠が空いていません","（出来れば）後ろが空いていません"),""))),IF(OR(H24="入力済み",H24="×なし"),"未決定",""))))</f>
        <v/>
      </c>
      <c r="O24" s="39">
        <f>IF('計算A'!IK29=0,IF('計算A'!IL29=1,"入る枠がありません",""),INDEX('計算A'!$D$8:$II$8,'計算A'!IK29))</f>
        <v/>
      </c>
      <c r="P24" s="50">
        <f>HYPERLINK("#'×入力'!B537","×入力へ")</f>
        <v/>
      </c>
    </row>
    <row r="25" ht="19" customHeight="1">
      <c r="A25" s="48" t="n"/>
      <c r="B25" s="49" t="n"/>
      <c r="C25" s="48" t="n"/>
      <c r="D25" s="49" t="n"/>
      <c r="E25" s="48" t="n"/>
      <c r="F25" s="48" t="n"/>
      <c r="G25" s="39">
        <f>IF(B25="","",IF(COUNTIF($B$5:$B$49,B25)&gt;1,IF(A25="","",A25&amp;" ")&amp;B25,B25))</f>
        <v/>
      </c>
      <c r="H25" s="37">
        <f>IF(B25="","",IF('×入力'!F565="未提出","未提出",IF(I25&gt;0,"入力済み",IF('×入力'!F565="×なし（どこでもOK）","×なし","未入力"))))</f>
        <v/>
      </c>
      <c r="I25" s="37">
        <f>IF(B25="","",'計算A'!IN30)</f>
        <v/>
      </c>
      <c r="J25" s="37">
        <f>IF(OR(H25="入力済み",H25="×なし"),'計算A'!IM30,"")</f>
        <v/>
      </c>
      <c r="K25" s="37">
        <f>IF('計算A'!C30=1,COUNTIFS('計算A'!$C$10:$C$54,1,'計算A'!$IM$10:$IM$54,"&lt;"&amp;'計算A'!IM30)+1,"")</f>
        <v/>
      </c>
      <c r="L25" s="39">
        <f>IF('計算A'!IO30=0,"",INDEX('設定'!$E$11:$E$20,INDEX('計算A'!$D$2:$II$2,'計算A'!IO30)))</f>
        <v/>
      </c>
      <c r="M25" s="37">
        <f>IF('計算A'!IO30=0,"",INDEX('設定'!$I$11:$I$34,INDEX('計算A'!$D$3:$II$3,'計算A'!IO30)))</f>
        <v/>
      </c>
      <c r="N25" s="39">
        <f>IF(G25="","",IF(COUNTIF('調整・決定'!$C$6:$L$29,G25)&gt;1,"2か所以上に入っています",IF('計算A'!IO30&gt;0,IF(INDEX('計算A'!$D$4:$II$4,'計算A'!IO30)=0,"使えない枠に入っています",IF(INDEX('計算A'!$D$30:$II$30,'計算A'!IO30)=1,"×の枠に入っています",IF(AND(F25&lt;&gt;"",INDEX('計算A'!$D$106:$II$106,'計算A'!IO30)=1,INDEX('計算A'!$D$109:$II$109,'計算A'!IO30+1)=1),IF(F25="必ず空けたい","後ろの枠が空いていません","（出来れば）後ろが空いていません"),""))),IF(OR(H25="入力済み",H25="×なし"),"未決定",""))))</f>
        <v/>
      </c>
      <c r="O25" s="39">
        <f>IF('計算A'!IK30=0,IF('計算A'!IL30=1,"入る枠がありません",""),INDEX('計算A'!$D$8:$II$8,'計算A'!IK30))</f>
        <v/>
      </c>
      <c r="P25" s="50">
        <f>HYPERLINK("#'×入力'!B565","×入力へ")</f>
        <v/>
      </c>
    </row>
    <row r="26" ht="19" customHeight="1">
      <c r="A26" s="48" t="n"/>
      <c r="B26" s="49" t="n"/>
      <c r="C26" s="48" t="n"/>
      <c r="D26" s="49" t="n"/>
      <c r="E26" s="48" t="n"/>
      <c r="F26" s="48" t="n"/>
      <c r="G26" s="39">
        <f>IF(B26="","",IF(COUNTIF($B$5:$B$49,B26)&gt;1,IF(A26="","",A26&amp;" ")&amp;B26,B26))</f>
        <v/>
      </c>
      <c r="H26" s="37">
        <f>IF(B26="","",IF('×入力'!F593="未提出","未提出",IF(I26&gt;0,"入力済み",IF('×入力'!F593="×なし（どこでもOK）","×なし","未入力"))))</f>
        <v/>
      </c>
      <c r="I26" s="37">
        <f>IF(B26="","",'計算A'!IN31)</f>
        <v/>
      </c>
      <c r="J26" s="37">
        <f>IF(OR(H26="入力済み",H26="×なし"),'計算A'!IM31,"")</f>
        <v/>
      </c>
      <c r="K26" s="37">
        <f>IF('計算A'!C31=1,COUNTIFS('計算A'!$C$10:$C$54,1,'計算A'!$IM$10:$IM$54,"&lt;"&amp;'計算A'!IM31)+1,"")</f>
        <v/>
      </c>
      <c r="L26" s="39">
        <f>IF('計算A'!IO31=0,"",INDEX('設定'!$E$11:$E$20,INDEX('計算A'!$D$2:$II$2,'計算A'!IO31)))</f>
        <v/>
      </c>
      <c r="M26" s="37">
        <f>IF('計算A'!IO31=0,"",INDEX('設定'!$I$11:$I$34,INDEX('計算A'!$D$3:$II$3,'計算A'!IO31)))</f>
        <v/>
      </c>
      <c r="N26" s="39">
        <f>IF(G26="","",IF(COUNTIF('調整・決定'!$C$6:$L$29,G26)&gt;1,"2か所以上に入っています",IF('計算A'!IO31&gt;0,IF(INDEX('計算A'!$D$4:$II$4,'計算A'!IO31)=0,"使えない枠に入っています",IF(INDEX('計算A'!$D$31:$II$31,'計算A'!IO31)=1,"×の枠に入っています",IF(AND(F26&lt;&gt;"",INDEX('計算A'!$D$106:$II$106,'計算A'!IO31)=1,INDEX('計算A'!$D$109:$II$109,'計算A'!IO31+1)=1),IF(F26="必ず空けたい","後ろの枠が空いていません","（出来れば）後ろが空いていません"),""))),IF(OR(H26="入力済み",H26="×なし"),"未決定",""))))</f>
        <v/>
      </c>
      <c r="O26" s="39">
        <f>IF('計算A'!IK31=0,IF('計算A'!IL31=1,"入る枠がありません",""),INDEX('計算A'!$D$8:$II$8,'計算A'!IK31))</f>
        <v/>
      </c>
      <c r="P26" s="50">
        <f>HYPERLINK("#'×入力'!B593","×入力へ")</f>
        <v/>
      </c>
    </row>
    <row r="27" ht="19" customHeight="1">
      <c r="A27" s="48" t="n"/>
      <c r="B27" s="49" t="n"/>
      <c r="C27" s="48" t="n"/>
      <c r="D27" s="49" t="n"/>
      <c r="E27" s="48" t="n"/>
      <c r="F27" s="48" t="n"/>
      <c r="G27" s="39">
        <f>IF(B27="","",IF(COUNTIF($B$5:$B$49,B27)&gt;1,IF(A27="","",A27&amp;" ")&amp;B27,B27))</f>
        <v/>
      </c>
      <c r="H27" s="37">
        <f>IF(B27="","",IF('×入力'!F621="未提出","未提出",IF(I27&gt;0,"入力済み",IF('×入力'!F621="×なし（どこでもOK）","×なし","未入力"))))</f>
        <v/>
      </c>
      <c r="I27" s="37">
        <f>IF(B27="","",'計算A'!IN32)</f>
        <v/>
      </c>
      <c r="J27" s="37">
        <f>IF(OR(H27="入力済み",H27="×なし"),'計算A'!IM32,"")</f>
        <v/>
      </c>
      <c r="K27" s="37">
        <f>IF('計算A'!C32=1,COUNTIFS('計算A'!$C$10:$C$54,1,'計算A'!$IM$10:$IM$54,"&lt;"&amp;'計算A'!IM32)+1,"")</f>
        <v/>
      </c>
      <c r="L27" s="39">
        <f>IF('計算A'!IO32=0,"",INDEX('設定'!$E$11:$E$20,INDEX('計算A'!$D$2:$II$2,'計算A'!IO32)))</f>
        <v/>
      </c>
      <c r="M27" s="37">
        <f>IF('計算A'!IO32=0,"",INDEX('設定'!$I$11:$I$34,INDEX('計算A'!$D$3:$II$3,'計算A'!IO32)))</f>
        <v/>
      </c>
      <c r="N27" s="39">
        <f>IF(G27="","",IF(COUNTIF('調整・決定'!$C$6:$L$29,G27)&gt;1,"2か所以上に入っています",IF('計算A'!IO32&gt;0,IF(INDEX('計算A'!$D$4:$II$4,'計算A'!IO32)=0,"使えない枠に入っています",IF(INDEX('計算A'!$D$32:$II$32,'計算A'!IO32)=1,"×の枠に入っています",IF(AND(F27&lt;&gt;"",INDEX('計算A'!$D$106:$II$106,'計算A'!IO32)=1,INDEX('計算A'!$D$109:$II$109,'計算A'!IO32+1)=1),IF(F27="必ず空けたい","後ろの枠が空いていません","（出来れば）後ろが空いていません"),""))),IF(OR(H27="入力済み",H27="×なし"),"未決定",""))))</f>
        <v/>
      </c>
      <c r="O27" s="39">
        <f>IF('計算A'!IK32=0,IF('計算A'!IL32=1,"入る枠がありません",""),INDEX('計算A'!$D$8:$II$8,'計算A'!IK32))</f>
        <v/>
      </c>
      <c r="P27" s="50">
        <f>HYPERLINK("#'×入力'!B621","×入力へ")</f>
        <v/>
      </c>
    </row>
    <row r="28" ht="19" customHeight="1">
      <c r="A28" s="48" t="n"/>
      <c r="B28" s="49" t="n"/>
      <c r="C28" s="48" t="n"/>
      <c r="D28" s="49" t="n"/>
      <c r="E28" s="48" t="n"/>
      <c r="F28" s="48" t="n"/>
      <c r="G28" s="39">
        <f>IF(B28="","",IF(COUNTIF($B$5:$B$49,B28)&gt;1,IF(A28="","",A28&amp;" ")&amp;B28,B28))</f>
        <v/>
      </c>
      <c r="H28" s="37">
        <f>IF(B28="","",IF('×入力'!F649="未提出","未提出",IF(I28&gt;0,"入力済み",IF('×入力'!F649="×なし（どこでもOK）","×なし","未入力"))))</f>
        <v/>
      </c>
      <c r="I28" s="37">
        <f>IF(B28="","",'計算A'!IN33)</f>
        <v/>
      </c>
      <c r="J28" s="37">
        <f>IF(OR(H28="入力済み",H28="×なし"),'計算A'!IM33,"")</f>
        <v/>
      </c>
      <c r="K28" s="37">
        <f>IF('計算A'!C33=1,COUNTIFS('計算A'!$C$10:$C$54,1,'計算A'!$IM$10:$IM$54,"&lt;"&amp;'計算A'!IM33)+1,"")</f>
        <v/>
      </c>
      <c r="L28" s="39">
        <f>IF('計算A'!IO33=0,"",INDEX('設定'!$E$11:$E$20,INDEX('計算A'!$D$2:$II$2,'計算A'!IO33)))</f>
        <v/>
      </c>
      <c r="M28" s="37">
        <f>IF('計算A'!IO33=0,"",INDEX('設定'!$I$11:$I$34,INDEX('計算A'!$D$3:$II$3,'計算A'!IO33)))</f>
        <v/>
      </c>
      <c r="N28" s="39">
        <f>IF(G28="","",IF(COUNTIF('調整・決定'!$C$6:$L$29,G28)&gt;1,"2か所以上に入っています",IF('計算A'!IO33&gt;0,IF(INDEX('計算A'!$D$4:$II$4,'計算A'!IO33)=0,"使えない枠に入っています",IF(INDEX('計算A'!$D$33:$II$33,'計算A'!IO33)=1,"×の枠に入っています",IF(AND(F28&lt;&gt;"",INDEX('計算A'!$D$106:$II$106,'計算A'!IO33)=1,INDEX('計算A'!$D$109:$II$109,'計算A'!IO33+1)=1),IF(F28="必ず空けたい","後ろの枠が空いていません","（出来れば）後ろが空いていません"),""))),IF(OR(H28="入力済み",H28="×なし"),"未決定",""))))</f>
        <v/>
      </c>
      <c r="O28" s="39">
        <f>IF('計算A'!IK33=0,IF('計算A'!IL33=1,"入る枠がありません",""),INDEX('計算A'!$D$8:$II$8,'計算A'!IK33))</f>
        <v/>
      </c>
      <c r="P28" s="50">
        <f>HYPERLINK("#'×入力'!B649","×入力へ")</f>
        <v/>
      </c>
    </row>
    <row r="29" ht="19" customHeight="1">
      <c r="A29" s="48" t="n"/>
      <c r="B29" s="49" t="n"/>
      <c r="C29" s="48" t="n"/>
      <c r="D29" s="49" t="n"/>
      <c r="E29" s="48" t="n"/>
      <c r="F29" s="48" t="n"/>
      <c r="G29" s="39">
        <f>IF(B29="","",IF(COUNTIF($B$5:$B$49,B29)&gt;1,IF(A29="","",A29&amp;" ")&amp;B29,B29))</f>
        <v/>
      </c>
      <c r="H29" s="37">
        <f>IF(B29="","",IF('×入力'!F677="未提出","未提出",IF(I29&gt;0,"入力済み",IF('×入力'!F677="×なし（どこでもOK）","×なし","未入力"))))</f>
        <v/>
      </c>
      <c r="I29" s="37">
        <f>IF(B29="","",'計算A'!IN34)</f>
        <v/>
      </c>
      <c r="J29" s="37">
        <f>IF(OR(H29="入力済み",H29="×なし"),'計算A'!IM34,"")</f>
        <v/>
      </c>
      <c r="K29" s="37">
        <f>IF('計算A'!C34=1,COUNTIFS('計算A'!$C$10:$C$54,1,'計算A'!$IM$10:$IM$54,"&lt;"&amp;'計算A'!IM34)+1,"")</f>
        <v/>
      </c>
      <c r="L29" s="39">
        <f>IF('計算A'!IO34=0,"",INDEX('設定'!$E$11:$E$20,INDEX('計算A'!$D$2:$II$2,'計算A'!IO34)))</f>
        <v/>
      </c>
      <c r="M29" s="37">
        <f>IF('計算A'!IO34=0,"",INDEX('設定'!$I$11:$I$34,INDEX('計算A'!$D$3:$II$3,'計算A'!IO34)))</f>
        <v/>
      </c>
      <c r="N29" s="39">
        <f>IF(G29="","",IF(COUNTIF('調整・決定'!$C$6:$L$29,G29)&gt;1,"2か所以上に入っています",IF('計算A'!IO34&gt;0,IF(INDEX('計算A'!$D$4:$II$4,'計算A'!IO34)=0,"使えない枠に入っています",IF(INDEX('計算A'!$D$34:$II$34,'計算A'!IO34)=1,"×の枠に入っています",IF(AND(F29&lt;&gt;"",INDEX('計算A'!$D$106:$II$106,'計算A'!IO34)=1,INDEX('計算A'!$D$109:$II$109,'計算A'!IO34+1)=1),IF(F29="必ず空けたい","後ろの枠が空いていません","（出来れば）後ろが空いていません"),""))),IF(OR(H29="入力済み",H29="×なし"),"未決定",""))))</f>
        <v/>
      </c>
      <c r="O29" s="39">
        <f>IF('計算A'!IK34=0,IF('計算A'!IL34=1,"入る枠がありません",""),INDEX('計算A'!$D$8:$II$8,'計算A'!IK34))</f>
        <v/>
      </c>
      <c r="P29" s="50">
        <f>HYPERLINK("#'×入力'!B677","×入力へ")</f>
        <v/>
      </c>
    </row>
    <row r="30" ht="19" customHeight="1">
      <c r="A30" s="48" t="n"/>
      <c r="B30" s="49" t="n"/>
      <c r="C30" s="48" t="n"/>
      <c r="D30" s="49" t="n"/>
      <c r="E30" s="48" t="n"/>
      <c r="F30" s="48" t="n"/>
      <c r="G30" s="39">
        <f>IF(B30="","",IF(COUNTIF($B$5:$B$49,B30)&gt;1,IF(A30="","",A30&amp;" ")&amp;B30,B30))</f>
        <v/>
      </c>
      <c r="H30" s="37">
        <f>IF(B30="","",IF('×入力'!F705="未提出","未提出",IF(I30&gt;0,"入力済み",IF('×入力'!F705="×なし（どこでもOK）","×なし","未入力"))))</f>
        <v/>
      </c>
      <c r="I30" s="37">
        <f>IF(B30="","",'計算A'!IN35)</f>
        <v/>
      </c>
      <c r="J30" s="37">
        <f>IF(OR(H30="入力済み",H30="×なし"),'計算A'!IM35,"")</f>
        <v/>
      </c>
      <c r="K30" s="37">
        <f>IF('計算A'!C35=1,COUNTIFS('計算A'!$C$10:$C$54,1,'計算A'!$IM$10:$IM$54,"&lt;"&amp;'計算A'!IM35)+1,"")</f>
        <v/>
      </c>
      <c r="L30" s="39">
        <f>IF('計算A'!IO35=0,"",INDEX('設定'!$E$11:$E$20,INDEX('計算A'!$D$2:$II$2,'計算A'!IO35)))</f>
        <v/>
      </c>
      <c r="M30" s="37">
        <f>IF('計算A'!IO35=0,"",INDEX('設定'!$I$11:$I$34,INDEX('計算A'!$D$3:$II$3,'計算A'!IO35)))</f>
        <v/>
      </c>
      <c r="N30" s="39">
        <f>IF(G30="","",IF(COUNTIF('調整・決定'!$C$6:$L$29,G30)&gt;1,"2か所以上に入っています",IF('計算A'!IO35&gt;0,IF(INDEX('計算A'!$D$4:$II$4,'計算A'!IO35)=0,"使えない枠に入っています",IF(INDEX('計算A'!$D$35:$II$35,'計算A'!IO35)=1,"×の枠に入っています",IF(AND(F30&lt;&gt;"",INDEX('計算A'!$D$106:$II$106,'計算A'!IO35)=1,INDEX('計算A'!$D$109:$II$109,'計算A'!IO35+1)=1),IF(F30="必ず空けたい","後ろの枠が空いていません","（出来れば）後ろが空いていません"),""))),IF(OR(H30="入力済み",H30="×なし"),"未決定",""))))</f>
        <v/>
      </c>
      <c r="O30" s="39">
        <f>IF('計算A'!IK35=0,IF('計算A'!IL35=1,"入る枠がありません",""),INDEX('計算A'!$D$8:$II$8,'計算A'!IK35))</f>
        <v/>
      </c>
      <c r="P30" s="50">
        <f>HYPERLINK("#'×入力'!B705","×入力へ")</f>
        <v/>
      </c>
    </row>
    <row r="31" ht="19" customHeight="1">
      <c r="A31" s="48" t="n"/>
      <c r="B31" s="49" t="n"/>
      <c r="C31" s="48" t="n"/>
      <c r="D31" s="49" t="n"/>
      <c r="E31" s="48" t="n"/>
      <c r="F31" s="48" t="n"/>
      <c r="G31" s="39">
        <f>IF(B31="","",IF(COUNTIF($B$5:$B$49,B31)&gt;1,IF(A31="","",A31&amp;" ")&amp;B31,B31))</f>
        <v/>
      </c>
      <c r="H31" s="37">
        <f>IF(B31="","",IF('×入力'!F733="未提出","未提出",IF(I31&gt;0,"入力済み",IF('×入力'!F733="×なし（どこでもOK）","×なし","未入力"))))</f>
        <v/>
      </c>
      <c r="I31" s="37">
        <f>IF(B31="","",'計算A'!IN36)</f>
        <v/>
      </c>
      <c r="J31" s="37">
        <f>IF(OR(H31="入力済み",H31="×なし"),'計算A'!IM36,"")</f>
        <v/>
      </c>
      <c r="K31" s="37">
        <f>IF('計算A'!C36=1,COUNTIFS('計算A'!$C$10:$C$54,1,'計算A'!$IM$10:$IM$54,"&lt;"&amp;'計算A'!IM36)+1,"")</f>
        <v/>
      </c>
      <c r="L31" s="39">
        <f>IF('計算A'!IO36=0,"",INDEX('設定'!$E$11:$E$20,INDEX('計算A'!$D$2:$II$2,'計算A'!IO36)))</f>
        <v/>
      </c>
      <c r="M31" s="37">
        <f>IF('計算A'!IO36=0,"",INDEX('設定'!$I$11:$I$34,INDEX('計算A'!$D$3:$II$3,'計算A'!IO36)))</f>
        <v/>
      </c>
      <c r="N31" s="39">
        <f>IF(G31="","",IF(COUNTIF('調整・決定'!$C$6:$L$29,G31)&gt;1,"2か所以上に入っています",IF('計算A'!IO36&gt;0,IF(INDEX('計算A'!$D$4:$II$4,'計算A'!IO36)=0,"使えない枠に入っています",IF(INDEX('計算A'!$D$36:$II$36,'計算A'!IO36)=1,"×の枠に入っています",IF(AND(F31&lt;&gt;"",INDEX('計算A'!$D$106:$II$106,'計算A'!IO36)=1,INDEX('計算A'!$D$109:$II$109,'計算A'!IO36+1)=1),IF(F31="必ず空けたい","後ろの枠が空いていません","（出来れば）後ろが空いていません"),""))),IF(OR(H31="入力済み",H31="×なし"),"未決定",""))))</f>
        <v/>
      </c>
      <c r="O31" s="39">
        <f>IF('計算A'!IK36=0,IF('計算A'!IL36=1,"入る枠がありません",""),INDEX('計算A'!$D$8:$II$8,'計算A'!IK36))</f>
        <v/>
      </c>
      <c r="P31" s="50">
        <f>HYPERLINK("#'×入力'!B733","×入力へ")</f>
        <v/>
      </c>
    </row>
    <row r="32" ht="19" customHeight="1">
      <c r="A32" s="48" t="n"/>
      <c r="B32" s="49" t="n"/>
      <c r="C32" s="48" t="n"/>
      <c r="D32" s="49" t="n"/>
      <c r="E32" s="48" t="n"/>
      <c r="F32" s="48" t="n"/>
      <c r="G32" s="39">
        <f>IF(B32="","",IF(COUNTIF($B$5:$B$49,B32)&gt;1,IF(A32="","",A32&amp;" ")&amp;B32,B32))</f>
        <v/>
      </c>
      <c r="H32" s="37">
        <f>IF(B32="","",IF('×入力'!F761="未提出","未提出",IF(I32&gt;0,"入力済み",IF('×入力'!F761="×なし（どこでもOK）","×なし","未入力"))))</f>
        <v/>
      </c>
      <c r="I32" s="37">
        <f>IF(B32="","",'計算A'!IN37)</f>
        <v/>
      </c>
      <c r="J32" s="37">
        <f>IF(OR(H32="入力済み",H32="×なし"),'計算A'!IM37,"")</f>
        <v/>
      </c>
      <c r="K32" s="37">
        <f>IF('計算A'!C37=1,COUNTIFS('計算A'!$C$10:$C$54,1,'計算A'!$IM$10:$IM$54,"&lt;"&amp;'計算A'!IM37)+1,"")</f>
        <v/>
      </c>
      <c r="L32" s="39">
        <f>IF('計算A'!IO37=0,"",INDEX('設定'!$E$11:$E$20,INDEX('計算A'!$D$2:$II$2,'計算A'!IO37)))</f>
        <v/>
      </c>
      <c r="M32" s="37">
        <f>IF('計算A'!IO37=0,"",INDEX('設定'!$I$11:$I$34,INDEX('計算A'!$D$3:$II$3,'計算A'!IO37)))</f>
        <v/>
      </c>
      <c r="N32" s="39">
        <f>IF(G32="","",IF(COUNTIF('調整・決定'!$C$6:$L$29,G32)&gt;1,"2か所以上に入っています",IF('計算A'!IO37&gt;0,IF(INDEX('計算A'!$D$4:$II$4,'計算A'!IO37)=0,"使えない枠に入っています",IF(INDEX('計算A'!$D$37:$II$37,'計算A'!IO37)=1,"×の枠に入っています",IF(AND(F32&lt;&gt;"",INDEX('計算A'!$D$106:$II$106,'計算A'!IO37)=1,INDEX('計算A'!$D$109:$II$109,'計算A'!IO37+1)=1),IF(F32="必ず空けたい","後ろの枠が空いていません","（出来れば）後ろが空いていません"),""))),IF(OR(H32="入力済み",H32="×なし"),"未決定",""))))</f>
        <v/>
      </c>
      <c r="O32" s="39">
        <f>IF('計算A'!IK37=0,IF('計算A'!IL37=1,"入る枠がありません",""),INDEX('計算A'!$D$8:$II$8,'計算A'!IK37))</f>
        <v/>
      </c>
      <c r="P32" s="50">
        <f>HYPERLINK("#'×入力'!B761","×入力へ")</f>
        <v/>
      </c>
    </row>
    <row r="33" ht="19" customHeight="1">
      <c r="A33" s="48" t="n"/>
      <c r="B33" s="49" t="n"/>
      <c r="C33" s="48" t="n"/>
      <c r="D33" s="49" t="n"/>
      <c r="E33" s="48" t="n"/>
      <c r="F33" s="48" t="n"/>
      <c r="G33" s="39">
        <f>IF(B33="","",IF(COUNTIF($B$5:$B$49,B33)&gt;1,IF(A33="","",A33&amp;" ")&amp;B33,B33))</f>
        <v/>
      </c>
      <c r="H33" s="37">
        <f>IF(B33="","",IF('×入力'!F789="未提出","未提出",IF(I33&gt;0,"入力済み",IF('×入力'!F789="×なし（どこでもOK）","×なし","未入力"))))</f>
        <v/>
      </c>
      <c r="I33" s="37">
        <f>IF(B33="","",'計算A'!IN38)</f>
        <v/>
      </c>
      <c r="J33" s="37">
        <f>IF(OR(H33="入力済み",H33="×なし"),'計算A'!IM38,"")</f>
        <v/>
      </c>
      <c r="K33" s="37">
        <f>IF('計算A'!C38=1,COUNTIFS('計算A'!$C$10:$C$54,1,'計算A'!$IM$10:$IM$54,"&lt;"&amp;'計算A'!IM38)+1,"")</f>
        <v/>
      </c>
      <c r="L33" s="39">
        <f>IF('計算A'!IO38=0,"",INDEX('設定'!$E$11:$E$20,INDEX('計算A'!$D$2:$II$2,'計算A'!IO38)))</f>
        <v/>
      </c>
      <c r="M33" s="37">
        <f>IF('計算A'!IO38=0,"",INDEX('設定'!$I$11:$I$34,INDEX('計算A'!$D$3:$II$3,'計算A'!IO38)))</f>
        <v/>
      </c>
      <c r="N33" s="39">
        <f>IF(G33="","",IF(COUNTIF('調整・決定'!$C$6:$L$29,G33)&gt;1,"2か所以上に入っています",IF('計算A'!IO38&gt;0,IF(INDEX('計算A'!$D$4:$II$4,'計算A'!IO38)=0,"使えない枠に入っています",IF(INDEX('計算A'!$D$38:$II$38,'計算A'!IO38)=1,"×の枠に入っています",IF(AND(F33&lt;&gt;"",INDEX('計算A'!$D$106:$II$106,'計算A'!IO38)=1,INDEX('計算A'!$D$109:$II$109,'計算A'!IO38+1)=1),IF(F33="必ず空けたい","後ろの枠が空いていません","（出来れば）後ろが空いていません"),""))),IF(OR(H33="入力済み",H33="×なし"),"未決定",""))))</f>
        <v/>
      </c>
      <c r="O33" s="39">
        <f>IF('計算A'!IK38=0,IF('計算A'!IL38=1,"入る枠がありません",""),INDEX('計算A'!$D$8:$II$8,'計算A'!IK38))</f>
        <v/>
      </c>
      <c r="P33" s="50">
        <f>HYPERLINK("#'×入力'!B789","×入力へ")</f>
        <v/>
      </c>
    </row>
    <row r="34" ht="19" customHeight="1">
      <c r="A34" s="48" t="n"/>
      <c r="B34" s="49" t="n"/>
      <c r="C34" s="48" t="n"/>
      <c r="D34" s="49" t="n"/>
      <c r="E34" s="48" t="n"/>
      <c r="F34" s="48" t="n"/>
      <c r="G34" s="39">
        <f>IF(B34="","",IF(COUNTIF($B$5:$B$49,B34)&gt;1,IF(A34="","",A34&amp;" ")&amp;B34,B34))</f>
        <v/>
      </c>
      <c r="H34" s="37">
        <f>IF(B34="","",IF('×入力'!F817="未提出","未提出",IF(I34&gt;0,"入力済み",IF('×入力'!F817="×なし（どこでもOK）","×なし","未入力"))))</f>
        <v/>
      </c>
      <c r="I34" s="37">
        <f>IF(B34="","",'計算A'!IN39)</f>
        <v/>
      </c>
      <c r="J34" s="37">
        <f>IF(OR(H34="入力済み",H34="×なし"),'計算A'!IM39,"")</f>
        <v/>
      </c>
      <c r="K34" s="37">
        <f>IF('計算A'!C39=1,COUNTIFS('計算A'!$C$10:$C$54,1,'計算A'!$IM$10:$IM$54,"&lt;"&amp;'計算A'!IM39)+1,"")</f>
        <v/>
      </c>
      <c r="L34" s="39">
        <f>IF('計算A'!IO39=0,"",INDEX('設定'!$E$11:$E$20,INDEX('計算A'!$D$2:$II$2,'計算A'!IO39)))</f>
        <v/>
      </c>
      <c r="M34" s="37">
        <f>IF('計算A'!IO39=0,"",INDEX('設定'!$I$11:$I$34,INDEX('計算A'!$D$3:$II$3,'計算A'!IO39)))</f>
        <v/>
      </c>
      <c r="N34" s="39">
        <f>IF(G34="","",IF(COUNTIF('調整・決定'!$C$6:$L$29,G34)&gt;1,"2か所以上に入っています",IF('計算A'!IO39&gt;0,IF(INDEX('計算A'!$D$4:$II$4,'計算A'!IO39)=0,"使えない枠に入っています",IF(INDEX('計算A'!$D$39:$II$39,'計算A'!IO39)=1,"×の枠に入っています",IF(AND(F34&lt;&gt;"",INDEX('計算A'!$D$106:$II$106,'計算A'!IO39)=1,INDEX('計算A'!$D$109:$II$109,'計算A'!IO39+1)=1),IF(F34="必ず空けたい","後ろの枠が空いていません","（出来れば）後ろが空いていません"),""))),IF(OR(H34="入力済み",H34="×なし"),"未決定",""))))</f>
        <v/>
      </c>
      <c r="O34" s="39">
        <f>IF('計算A'!IK39=0,IF('計算A'!IL39=1,"入る枠がありません",""),INDEX('計算A'!$D$8:$II$8,'計算A'!IK39))</f>
        <v/>
      </c>
      <c r="P34" s="50">
        <f>HYPERLINK("#'×入力'!B817","×入力へ")</f>
        <v/>
      </c>
    </row>
    <row r="35" ht="19" customHeight="1">
      <c r="A35" s="48" t="n"/>
      <c r="B35" s="49" t="n"/>
      <c r="C35" s="48" t="n"/>
      <c r="D35" s="49" t="n"/>
      <c r="E35" s="48" t="n"/>
      <c r="F35" s="48" t="n"/>
      <c r="G35" s="39">
        <f>IF(B35="","",IF(COUNTIF($B$5:$B$49,B35)&gt;1,IF(A35="","",A35&amp;" ")&amp;B35,B35))</f>
        <v/>
      </c>
      <c r="H35" s="37">
        <f>IF(B35="","",IF('×入力'!F845="未提出","未提出",IF(I35&gt;0,"入力済み",IF('×入力'!F845="×なし（どこでもOK）","×なし","未入力"))))</f>
        <v/>
      </c>
      <c r="I35" s="37">
        <f>IF(B35="","",'計算A'!IN40)</f>
        <v/>
      </c>
      <c r="J35" s="37">
        <f>IF(OR(H35="入力済み",H35="×なし"),'計算A'!IM40,"")</f>
        <v/>
      </c>
      <c r="K35" s="37">
        <f>IF('計算A'!C40=1,COUNTIFS('計算A'!$C$10:$C$54,1,'計算A'!$IM$10:$IM$54,"&lt;"&amp;'計算A'!IM40)+1,"")</f>
        <v/>
      </c>
      <c r="L35" s="39">
        <f>IF('計算A'!IO40=0,"",INDEX('設定'!$E$11:$E$20,INDEX('計算A'!$D$2:$II$2,'計算A'!IO40)))</f>
        <v/>
      </c>
      <c r="M35" s="37">
        <f>IF('計算A'!IO40=0,"",INDEX('設定'!$I$11:$I$34,INDEX('計算A'!$D$3:$II$3,'計算A'!IO40)))</f>
        <v/>
      </c>
      <c r="N35" s="39">
        <f>IF(G35="","",IF(COUNTIF('調整・決定'!$C$6:$L$29,G35)&gt;1,"2か所以上に入っています",IF('計算A'!IO40&gt;0,IF(INDEX('計算A'!$D$4:$II$4,'計算A'!IO40)=0,"使えない枠に入っています",IF(INDEX('計算A'!$D$40:$II$40,'計算A'!IO40)=1,"×の枠に入っています",IF(AND(F35&lt;&gt;"",INDEX('計算A'!$D$106:$II$106,'計算A'!IO40)=1,INDEX('計算A'!$D$109:$II$109,'計算A'!IO40+1)=1),IF(F35="必ず空けたい","後ろの枠が空いていません","（出来れば）後ろが空いていません"),""))),IF(OR(H35="入力済み",H35="×なし"),"未決定",""))))</f>
        <v/>
      </c>
      <c r="O35" s="39">
        <f>IF('計算A'!IK40=0,IF('計算A'!IL40=1,"入る枠がありません",""),INDEX('計算A'!$D$8:$II$8,'計算A'!IK40))</f>
        <v/>
      </c>
      <c r="P35" s="50">
        <f>HYPERLINK("#'×入力'!B845","×入力へ")</f>
        <v/>
      </c>
    </row>
    <row r="36" ht="19" customHeight="1">
      <c r="A36" s="48" t="n"/>
      <c r="B36" s="49" t="n"/>
      <c r="C36" s="48" t="n"/>
      <c r="D36" s="49" t="n"/>
      <c r="E36" s="48" t="n"/>
      <c r="F36" s="48" t="n"/>
      <c r="G36" s="39">
        <f>IF(B36="","",IF(COUNTIF($B$5:$B$49,B36)&gt;1,IF(A36="","",A36&amp;" ")&amp;B36,B36))</f>
        <v/>
      </c>
      <c r="H36" s="37">
        <f>IF(B36="","",IF('×入力'!F873="未提出","未提出",IF(I36&gt;0,"入力済み",IF('×入力'!F873="×なし（どこでもOK）","×なし","未入力"))))</f>
        <v/>
      </c>
      <c r="I36" s="37">
        <f>IF(B36="","",'計算A'!IN41)</f>
        <v/>
      </c>
      <c r="J36" s="37">
        <f>IF(OR(H36="入力済み",H36="×なし"),'計算A'!IM41,"")</f>
        <v/>
      </c>
      <c r="K36" s="37">
        <f>IF('計算A'!C41=1,COUNTIFS('計算A'!$C$10:$C$54,1,'計算A'!$IM$10:$IM$54,"&lt;"&amp;'計算A'!IM41)+1,"")</f>
        <v/>
      </c>
      <c r="L36" s="39">
        <f>IF('計算A'!IO41=0,"",INDEX('設定'!$E$11:$E$20,INDEX('計算A'!$D$2:$II$2,'計算A'!IO41)))</f>
        <v/>
      </c>
      <c r="M36" s="37">
        <f>IF('計算A'!IO41=0,"",INDEX('設定'!$I$11:$I$34,INDEX('計算A'!$D$3:$II$3,'計算A'!IO41)))</f>
        <v/>
      </c>
      <c r="N36" s="39">
        <f>IF(G36="","",IF(COUNTIF('調整・決定'!$C$6:$L$29,G36)&gt;1,"2か所以上に入っています",IF('計算A'!IO41&gt;0,IF(INDEX('計算A'!$D$4:$II$4,'計算A'!IO41)=0,"使えない枠に入っています",IF(INDEX('計算A'!$D$41:$II$41,'計算A'!IO41)=1,"×の枠に入っています",IF(AND(F36&lt;&gt;"",INDEX('計算A'!$D$106:$II$106,'計算A'!IO41)=1,INDEX('計算A'!$D$109:$II$109,'計算A'!IO41+1)=1),IF(F36="必ず空けたい","後ろの枠が空いていません","（出来れば）後ろが空いていません"),""))),IF(OR(H36="入力済み",H36="×なし"),"未決定",""))))</f>
        <v/>
      </c>
      <c r="O36" s="39">
        <f>IF('計算A'!IK41=0,IF('計算A'!IL41=1,"入る枠がありません",""),INDEX('計算A'!$D$8:$II$8,'計算A'!IK41))</f>
        <v/>
      </c>
      <c r="P36" s="50">
        <f>HYPERLINK("#'×入力'!B873","×入力へ")</f>
        <v/>
      </c>
    </row>
    <row r="37" ht="19" customHeight="1">
      <c r="A37" s="48" t="n"/>
      <c r="B37" s="49" t="n"/>
      <c r="C37" s="48" t="n"/>
      <c r="D37" s="49" t="n"/>
      <c r="E37" s="48" t="n"/>
      <c r="F37" s="48" t="n"/>
      <c r="G37" s="39">
        <f>IF(B37="","",IF(COUNTIF($B$5:$B$49,B37)&gt;1,IF(A37="","",A37&amp;" ")&amp;B37,B37))</f>
        <v/>
      </c>
      <c r="H37" s="37">
        <f>IF(B37="","",IF('×入力'!F901="未提出","未提出",IF(I37&gt;0,"入力済み",IF('×入力'!F901="×なし（どこでもOK）","×なし","未入力"))))</f>
        <v/>
      </c>
      <c r="I37" s="37">
        <f>IF(B37="","",'計算A'!IN42)</f>
        <v/>
      </c>
      <c r="J37" s="37">
        <f>IF(OR(H37="入力済み",H37="×なし"),'計算A'!IM42,"")</f>
        <v/>
      </c>
      <c r="K37" s="37">
        <f>IF('計算A'!C42=1,COUNTIFS('計算A'!$C$10:$C$54,1,'計算A'!$IM$10:$IM$54,"&lt;"&amp;'計算A'!IM42)+1,"")</f>
        <v/>
      </c>
      <c r="L37" s="39">
        <f>IF('計算A'!IO42=0,"",INDEX('設定'!$E$11:$E$20,INDEX('計算A'!$D$2:$II$2,'計算A'!IO42)))</f>
        <v/>
      </c>
      <c r="M37" s="37">
        <f>IF('計算A'!IO42=0,"",INDEX('設定'!$I$11:$I$34,INDEX('計算A'!$D$3:$II$3,'計算A'!IO42)))</f>
        <v/>
      </c>
      <c r="N37" s="39">
        <f>IF(G37="","",IF(COUNTIF('調整・決定'!$C$6:$L$29,G37)&gt;1,"2か所以上に入っています",IF('計算A'!IO42&gt;0,IF(INDEX('計算A'!$D$4:$II$4,'計算A'!IO42)=0,"使えない枠に入っています",IF(INDEX('計算A'!$D$42:$II$42,'計算A'!IO42)=1,"×の枠に入っています",IF(AND(F37&lt;&gt;"",INDEX('計算A'!$D$106:$II$106,'計算A'!IO42)=1,INDEX('計算A'!$D$109:$II$109,'計算A'!IO42+1)=1),IF(F37="必ず空けたい","後ろの枠が空いていません","（出来れば）後ろが空いていません"),""))),IF(OR(H37="入力済み",H37="×なし"),"未決定",""))))</f>
        <v/>
      </c>
      <c r="O37" s="39">
        <f>IF('計算A'!IK42=0,IF('計算A'!IL42=1,"入る枠がありません",""),INDEX('計算A'!$D$8:$II$8,'計算A'!IK42))</f>
        <v/>
      </c>
      <c r="P37" s="50">
        <f>HYPERLINK("#'×入力'!B901","×入力へ")</f>
        <v/>
      </c>
    </row>
    <row r="38" ht="19" customHeight="1">
      <c r="A38" s="48" t="n"/>
      <c r="B38" s="49" t="n"/>
      <c r="C38" s="48" t="n"/>
      <c r="D38" s="49" t="n"/>
      <c r="E38" s="48" t="n"/>
      <c r="F38" s="48" t="n"/>
      <c r="G38" s="39">
        <f>IF(B38="","",IF(COUNTIF($B$5:$B$49,B38)&gt;1,IF(A38="","",A38&amp;" ")&amp;B38,B38))</f>
        <v/>
      </c>
      <c r="H38" s="37">
        <f>IF(B38="","",IF('×入力'!F929="未提出","未提出",IF(I38&gt;0,"入力済み",IF('×入力'!F929="×なし（どこでもOK）","×なし","未入力"))))</f>
        <v/>
      </c>
      <c r="I38" s="37">
        <f>IF(B38="","",'計算A'!IN43)</f>
        <v/>
      </c>
      <c r="J38" s="37">
        <f>IF(OR(H38="入力済み",H38="×なし"),'計算A'!IM43,"")</f>
        <v/>
      </c>
      <c r="K38" s="37">
        <f>IF('計算A'!C43=1,COUNTIFS('計算A'!$C$10:$C$54,1,'計算A'!$IM$10:$IM$54,"&lt;"&amp;'計算A'!IM43)+1,"")</f>
        <v/>
      </c>
      <c r="L38" s="39">
        <f>IF('計算A'!IO43=0,"",INDEX('設定'!$E$11:$E$20,INDEX('計算A'!$D$2:$II$2,'計算A'!IO43)))</f>
        <v/>
      </c>
      <c r="M38" s="37">
        <f>IF('計算A'!IO43=0,"",INDEX('設定'!$I$11:$I$34,INDEX('計算A'!$D$3:$II$3,'計算A'!IO43)))</f>
        <v/>
      </c>
      <c r="N38" s="39">
        <f>IF(G38="","",IF(COUNTIF('調整・決定'!$C$6:$L$29,G38)&gt;1,"2か所以上に入っています",IF('計算A'!IO43&gt;0,IF(INDEX('計算A'!$D$4:$II$4,'計算A'!IO43)=0,"使えない枠に入っています",IF(INDEX('計算A'!$D$43:$II$43,'計算A'!IO43)=1,"×の枠に入っています",IF(AND(F38&lt;&gt;"",INDEX('計算A'!$D$106:$II$106,'計算A'!IO43)=1,INDEX('計算A'!$D$109:$II$109,'計算A'!IO43+1)=1),IF(F38="必ず空けたい","後ろの枠が空いていません","（出来れば）後ろが空いていません"),""))),IF(OR(H38="入力済み",H38="×なし"),"未決定",""))))</f>
        <v/>
      </c>
      <c r="O38" s="39">
        <f>IF('計算A'!IK43=0,IF('計算A'!IL43=1,"入る枠がありません",""),INDEX('計算A'!$D$8:$II$8,'計算A'!IK43))</f>
        <v/>
      </c>
      <c r="P38" s="50">
        <f>HYPERLINK("#'×入力'!B929","×入力へ")</f>
        <v/>
      </c>
    </row>
    <row r="39" ht="19" customHeight="1">
      <c r="A39" s="48" t="n"/>
      <c r="B39" s="49" t="n"/>
      <c r="C39" s="48" t="n"/>
      <c r="D39" s="49" t="n"/>
      <c r="E39" s="48" t="n"/>
      <c r="F39" s="48" t="n"/>
      <c r="G39" s="39">
        <f>IF(B39="","",IF(COUNTIF($B$5:$B$49,B39)&gt;1,IF(A39="","",A39&amp;" ")&amp;B39,B39))</f>
        <v/>
      </c>
      <c r="H39" s="37">
        <f>IF(B39="","",IF('×入力'!F957="未提出","未提出",IF(I39&gt;0,"入力済み",IF('×入力'!F957="×なし（どこでもOK）","×なし","未入力"))))</f>
        <v/>
      </c>
      <c r="I39" s="37">
        <f>IF(B39="","",'計算A'!IN44)</f>
        <v/>
      </c>
      <c r="J39" s="37">
        <f>IF(OR(H39="入力済み",H39="×なし"),'計算A'!IM44,"")</f>
        <v/>
      </c>
      <c r="K39" s="37">
        <f>IF('計算A'!C44=1,COUNTIFS('計算A'!$C$10:$C$54,1,'計算A'!$IM$10:$IM$54,"&lt;"&amp;'計算A'!IM44)+1,"")</f>
        <v/>
      </c>
      <c r="L39" s="39">
        <f>IF('計算A'!IO44=0,"",INDEX('設定'!$E$11:$E$20,INDEX('計算A'!$D$2:$II$2,'計算A'!IO44)))</f>
        <v/>
      </c>
      <c r="M39" s="37">
        <f>IF('計算A'!IO44=0,"",INDEX('設定'!$I$11:$I$34,INDEX('計算A'!$D$3:$II$3,'計算A'!IO44)))</f>
        <v/>
      </c>
      <c r="N39" s="39">
        <f>IF(G39="","",IF(COUNTIF('調整・決定'!$C$6:$L$29,G39)&gt;1,"2か所以上に入っています",IF('計算A'!IO44&gt;0,IF(INDEX('計算A'!$D$4:$II$4,'計算A'!IO44)=0,"使えない枠に入っています",IF(INDEX('計算A'!$D$44:$II$44,'計算A'!IO44)=1,"×の枠に入っています",IF(AND(F39&lt;&gt;"",INDEX('計算A'!$D$106:$II$106,'計算A'!IO44)=1,INDEX('計算A'!$D$109:$II$109,'計算A'!IO44+1)=1),IF(F39="必ず空けたい","後ろの枠が空いていません","（出来れば）後ろが空いていません"),""))),IF(OR(H39="入力済み",H39="×なし"),"未決定",""))))</f>
        <v/>
      </c>
      <c r="O39" s="39">
        <f>IF('計算A'!IK44=0,IF('計算A'!IL44=1,"入る枠がありません",""),INDEX('計算A'!$D$8:$II$8,'計算A'!IK44))</f>
        <v/>
      </c>
      <c r="P39" s="50">
        <f>HYPERLINK("#'×入力'!B957","×入力へ")</f>
        <v/>
      </c>
    </row>
    <row r="40" ht="19" customHeight="1">
      <c r="A40" s="48" t="n"/>
      <c r="B40" s="49" t="n"/>
      <c r="C40" s="48" t="n"/>
      <c r="D40" s="49" t="n"/>
      <c r="E40" s="48" t="n"/>
      <c r="F40" s="48" t="n"/>
      <c r="G40" s="39">
        <f>IF(B40="","",IF(COUNTIF($B$5:$B$49,B40)&gt;1,IF(A40="","",A40&amp;" ")&amp;B40,B40))</f>
        <v/>
      </c>
      <c r="H40" s="37">
        <f>IF(B40="","",IF('×入力'!F985="未提出","未提出",IF(I40&gt;0,"入力済み",IF('×入力'!F985="×なし（どこでもOK）","×なし","未入力"))))</f>
        <v/>
      </c>
      <c r="I40" s="37">
        <f>IF(B40="","",'計算A'!IN45)</f>
        <v/>
      </c>
      <c r="J40" s="37">
        <f>IF(OR(H40="入力済み",H40="×なし"),'計算A'!IM45,"")</f>
        <v/>
      </c>
      <c r="K40" s="37">
        <f>IF('計算A'!C45=1,COUNTIFS('計算A'!$C$10:$C$54,1,'計算A'!$IM$10:$IM$54,"&lt;"&amp;'計算A'!IM45)+1,"")</f>
        <v/>
      </c>
      <c r="L40" s="39">
        <f>IF('計算A'!IO45=0,"",INDEX('設定'!$E$11:$E$20,INDEX('計算A'!$D$2:$II$2,'計算A'!IO45)))</f>
        <v/>
      </c>
      <c r="M40" s="37">
        <f>IF('計算A'!IO45=0,"",INDEX('設定'!$I$11:$I$34,INDEX('計算A'!$D$3:$II$3,'計算A'!IO45)))</f>
        <v/>
      </c>
      <c r="N40" s="39">
        <f>IF(G40="","",IF(COUNTIF('調整・決定'!$C$6:$L$29,G40)&gt;1,"2か所以上に入っています",IF('計算A'!IO45&gt;0,IF(INDEX('計算A'!$D$4:$II$4,'計算A'!IO45)=0,"使えない枠に入っています",IF(INDEX('計算A'!$D$45:$II$45,'計算A'!IO45)=1,"×の枠に入っています",IF(AND(F40&lt;&gt;"",INDEX('計算A'!$D$106:$II$106,'計算A'!IO45)=1,INDEX('計算A'!$D$109:$II$109,'計算A'!IO45+1)=1),IF(F40="必ず空けたい","後ろの枠が空いていません","（出来れば）後ろが空いていません"),""))),IF(OR(H40="入力済み",H40="×なし"),"未決定",""))))</f>
        <v/>
      </c>
      <c r="O40" s="39">
        <f>IF('計算A'!IK45=0,IF('計算A'!IL45=1,"入る枠がありません",""),INDEX('計算A'!$D$8:$II$8,'計算A'!IK45))</f>
        <v/>
      </c>
      <c r="P40" s="50">
        <f>HYPERLINK("#'×入力'!B985","×入力へ")</f>
        <v/>
      </c>
    </row>
    <row r="41" ht="19" customHeight="1">
      <c r="A41" s="48" t="n"/>
      <c r="B41" s="49" t="n"/>
      <c r="C41" s="48" t="n"/>
      <c r="D41" s="49" t="n"/>
      <c r="E41" s="48" t="n"/>
      <c r="F41" s="48" t="n"/>
      <c r="G41" s="39">
        <f>IF(B41="","",IF(COUNTIF($B$5:$B$49,B41)&gt;1,IF(A41="","",A41&amp;" ")&amp;B41,B41))</f>
        <v/>
      </c>
      <c r="H41" s="37">
        <f>IF(B41="","",IF('×入力'!F1013="未提出","未提出",IF(I41&gt;0,"入力済み",IF('×入力'!F1013="×なし（どこでもOK）","×なし","未入力"))))</f>
        <v/>
      </c>
      <c r="I41" s="37">
        <f>IF(B41="","",'計算A'!IN46)</f>
        <v/>
      </c>
      <c r="J41" s="37">
        <f>IF(OR(H41="入力済み",H41="×なし"),'計算A'!IM46,"")</f>
        <v/>
      </c>
      <c r="K41" s="37">
        <f>IF('計算A'!C46=1,COUNTIFS('計算A'!$C$10:$C$54,1,'計算A'!$IM$10:$IM$54,"&lt;"&amp;'計算A'!IM46)+1,"")</f>
        <v/>
      </c>
      <c r="L41" s="39">
        <f>IF('計算A'!IO46=0,"",INDEX('設定'!$E$11:$E$20,INDEX('計算A'!$D$2:$II$2,'計算A'!IO46)))</f>
        <v/>
      </c>
      <c r="M41" s="37">
        <f>IF('計算A'!IO46=0,"",INDEX('設定'!$I$11:$I$34,INDEX('計算A'!$D$3:$II$3,'計算A'!IO46)))</f>
        <v/>
      </c>
      <c r="N41" s="39">
        <f>IF(G41="","",IF(COUNTIF('調整・決定'!$C$6:$L$29,G41)&gt;1,"2か所以上に入っています",IF('計算A'!IO46&gt;0,IF(INDEX('計算A'!$D$4:$II$4,'計算A'!IO46)=0,"使えない枠に入っています",IF(INDEX('計算A'!$D$46:$II$46,'計算A'!IO46)=1,"×の枠に入っています",IF(AND(F41&lt;&gt;"",INDEX('計算A'!$D$106:$II$106,'計算A'!IO46)=1,INDEX('計算A'!$D$109:$II$109,'計算A'!IO46+1)=1),IF(F41="必ず空けたい","後ろの枠が空いていません","（出来れば）後ろが空いていません"),""))),IF(OR(H41="入力済み",H41="×なし"),"未決定",""))))</f>
        <v/>
      </c>
      <c r="O41" s="39">
        <f>IF('計算A'!IK46=0,IF('計算A'!IL46=1,"入る枠がありません",""),INDEX('計算A'!$D$8:$II$8,'計算A'!IK46))</f>
        <v/>
      </c>
      <c r="P41" s="50">
        <f>HYPERLINK("#'×入力'!B1013","×入力へ")</f>
        <v/>
      </c>
    </row>
    <row r="42" ht="19" customHeight="1">
      <c r="A42" s="48" t="n"/>
      <c r="B42" s="49" t="n"/>
      <c r="C42" s="48" t="n"/>
      <c r="D42" s="49" t="n"/>
      <c r="E42" s="48" t="n"/>
      <c r="F42" s="48" t="n"/>
      <c r="G42" s="39">
        <f>IF(B42="","",IF(COUNTIF($B$5:$B$49,B42)&gt;1,IF(A42="","",A42&amp;" ")&amp;B42,B42))</f>
        <v/>
      </c>
      <c r="H42" s="37">
        <f>IF(B42="","",IF('×入力'!F1041="未提出","未提出",IF(I42&gt;0,"入力済み",IF('×入力'!F1041="×なし（どこでもOK）","×なし","未入力"))))</f>
        <v/>
      </c>
      <c r="I42" s="37">
        <f>IF(B42="","",'計算A'!IN47)</f>
        <v/>
      </c>
      <c r="J42" s="37">
        <f>IF(OR(H42="入力済み",H42="×なし"),'計算A'!IM47,"")</f>
        <v/>
      </c>
      <c r="K42" s="37">
        <f>IF('計算A'!C47=1,COUNTIFS('計算A'!$C$10:$C$54,1,'計算A'!$IM$10:$IM$54,"&lt;"&amp;'計算A'!IM47)+1,"")</f>
        <v/>
      </c>
      <c r="L42" s="39">
        <f>IF('計算A'!IO47=0,"",INDEX('設定'!$E$11:$E$20,INDEX('計算A'!$D$2:$II$2,'計算A'!IO47)))</f>
        <v/>
      </c>
      <c r="M42" s="37">
        <f>IF('計算A'!IO47=0,"",INDEX('設定'!$I$11:$I$34,INDEX('計算A'!$D$3:$II$3,'計算A'!IO47)))</f>
        <v/>
      </c>
      <c r="N42" s="39">
        <f>IF(G42="","",IF(COUNTIF('調整・決定'!$C$6:$L$29,G42)&gt;1,"2か所以上に入っています",IF('計算A'!IO47&gt;0,IF(INDEX('計算A'!$D$4:$II$4,'計算A'!IO47)=0,"使えない枠に入っています",IF(INDEX('計算A'!$D$47:$II$47,'計算A'!IO47)=1,"×の枠に入っています",IF(AND(F42&lt;&gt;"",INDEX('計算A'!$D$106:$II$106,'計算A'!IO47)=1,INDEX('計算A'!$D$109:$II$109,'計算A'!IO47+1)=1),IF(F42="必ず空けたい","後ろの枠が空いていません","（出来れば）後ろが空いていません"),""))),IF(OR(H42="入力済み",H42="×なし"),"未決定",""))))</f>
        <v/>
      </c>
      <c r="O42" s="39">
        <f>IF('計算A'!IK47=0,IF('計算A'!IL47=1,"入る枠がありません",""),INDEX('計算A'!$D$8:$II$8,'計算A'!IK47))</f>
        <v/>
      </c>
      <c r="P42" s="50">
        <f>HYPERLINK("#'×入力'!B1041","×入力へ")</f>
        <v/>
      </c>
    </row>
    <row r="43" ht="19" customHeight="1">
      <c r="A43" s="48" t="n"/>
      <c r="B43" s="49" t="n"/>
      <c r="C43" s="48" t="n"/>
      <c r="D43" s="49" t="n"/>
      <c r="E43" s="48" t="n"/>
      <c r="F43" s="48" t="n"/>
      <c r="G43" s="39">
        <f>IF(B43="","",IF(COUNTIF($B$5:$B$49,B43)&gt;1,IF(A43="","",A43&amp;" ")&amp;B43,B43))</f>
        <v/>
      </c>
      <c r="H43" s="37">
        <f>IF(B43="","",IF('×入力'!F1069="未提出","未提出",IF(I43&gt;0,"入力済み",IF('×入力'!F1069="×なし（どこでもOK）","×なし","未入力"))))</f>
        <v/>
      </c>
      <c r="I43" s="37">
        <f>IF(B43="","",'計算A'!IN48)</f>
        <v/>
      </c>
      <c r="J43" s="37">
        <f>IF(OR(H43="入力済み",H43="×なし"),'計算A'!IM48,"")</f>
        <v/>
      </c>
      <c r="K43" s="37">
        <f>IF('計算A'!C48=1,COUNTIFS('計算A'!$C$10:$C$54,1,'計算A'!$IM$10:$IM$54,"&lt;"&amp;'計算A'!IM48)+1,"")</f>
        <v/>
      </c>
      <c r="L43" s="39">
        <f>IF('計算A'!IO48=0,"",INDEX('設定'!$E$11:$E$20,INDEX('計算A'!$D$2:$II$2,'計算A'!IO48)))</f>
        <v/>
      </c>
      <c r="M43" s="37">
        <f>IF('計算A'!IO48=0,"",INDEX('設定'!$I$11:$I$34,INDEX('計算A'!$D$3:$II$3,'計算A'!IO48)))</f>
        <v/>
      </c>
      <c r="N43" s="39">
        <f>IF(G43="","",IF(COUNTIF('調整・決定'!$C$6:$L$29,G43)&gt;1,"2か所以上に入っています",IF('計算A'!IO48&gt;0,IF(INDEX('計算A'!$D$4:$II$4,'計算A'!IO48)=0,"使えない枠に入っています",IF(INDEX('計算A'!$D$48:$II$48,'計算A'!IO48)=1,"×の枠に入っています",IF(AND(F43&lt;&gt;"",INDEX('計算A'!$D$106:$II$106,'計算A'!IO48)=1,INDEX('計算A'!$D$109:$II$109,'計算A'!IO48+1)=1),IF(F43="必ず空けたい","後ろの枠が空いていません","（出来れば）後ろが空いていません"),""))),IF(OR(H43="入力済み",H43="×なし"),"未決定",""))))</f>
        <v/>
      </c>
      <c r="O43" s="39">
        <f>IF('計算A'!IK48=0,IF('計算A'!IL48=1,"入る枠がありません",""),INDEX('計算A'!$D$8:$II$8,'計算A'!IK48))</f>
        <v/>
      </c>
      <c r="P43" s="50">
        <f>HYPERLINK("#'×入力'!B1069","×入力へ")</f>
        <v/>
      </c>
    </row>
    <row r="44" ht="19" customHeight="1">
      <c r="A44" s="48" t="n"/>
      <c r="B44" s="49" t="n"/>
      <c r="C44" s="48" t="n"/>
      <c r="D44" s="49" t="n"/>
      <c r="E44" s="48" t="n"/>
      <c r="F44" s="48" t="n"/>
      <c r="G44" s="39">
        <f>IF(B44="","",IF(COUNTIF($B$5:$B$49,B44)&gt;1,IF(A44="","",A44&amp;" ")&amp;B44,B44))</f>
        <v/>
      </c>
      <c r="H44" s="37">
        <f>IF(B44="","",IF('×入力'!F1097="未提出","未提出",IF(I44&gt;0,"入力済み",IF('×入力'!F1097="×なし（どこでもOK）","×なし","未入力"))))</f>
        <v/>
      </c>
      <c r="I44" s="37">
        <f>IF(B44="","",'計算A'!IN49)</f>
        <v/>
      </c>
      <c r="J44" s="37">
        <f>IF(OR(H44="入力済み",H44="×なし"),'計算A'!IM49,"")</f>
        <v/>
      </c>
      <c r="K44" s="37">
        <f>IF('計算A'!C49=1,COUNTIFS('計算A'!$C$10:$C$54,1,'計算A'!$IM$10:$IM$54,"&lt;"&amp;'計算A'!IM49)+1,"")</f>
        <v/>
      </c>
      <c r="L44" s="39">
        <f>IF('計算A'!IO49=0,"",INDEX('設定'!$E$11:$E$20,INDEX('計算A'!$D$2:$II$2,'計算A'!IO49)))</f>
        <v/>
      </c>
      <c r="M44" s="37">
        <f>IF('計算A'!IO49=0,"",INDEX('設定'!$I$11:$I$34,INDEX('計算A'!$D$3:$II$3,'計算A'!IO49)))</f>
        <v/>
      </c>
      <c r="N44" s="39">
        <f>IF(G44="","",IF(COUNTIF('調整・決定'!$C$6:$L$29,G44)&gt;1,"2か所以上に入っています",IF('計算A'!IO49&gt;0,IF(INDEX('計算A'!$D$4:$II$4,'計算A'!IO49)=0,"使えない枠に入っています",IF(INDEX('計算A'!$D$49:$II$49,'計算A'!IO49)=1,"×の枠に入っています",IF(AND(F44&lt;&gt;"",INDEX('計算A'!$D$106:$II$106,'計算A'!IO49)=1,INDEX('計算A'!$D$109:$II$109,'計算A'!IO49+1)=1),IF(F44="必ず空けたい","後ろの枠が空いていません","（出来れば）後ろが空いていません"),""))),IF(OR(H44="入力済み",H44="×なし"),"未決定",""))))</f>
        <v/>
      </c>
      <c r="O44" s="39">
        <f>IF('計算A'!IK49=0,IF('計算A'!IL49=1,"入る枠がありません",""),INDEX('計算A'!$D$8:$II$8,'計算A'!IK49))</f>
        <v/>
      </c>
      <c r="P44" s="50">
        <f>HYPERLINK("#'×入力'!B1097","×入力へ")</f>
        <v/>
      </c>
    </row>
    <row r="45" ht="19" customHeight="1">
      <c r="A45" s="48" t="n"/>
      <c r="B45" s="49" t="n"/>
      <c r="C45" s="48" t="n"/>
      <c r="D45" s="49" t="n"/>
      <c r="E45" s="48" t="n"/>
      <c r="F45" s="48" t="n"/>
      <c r="G45" s="39">
        <f>IF(B45="","",IF(COUNTIF($B$5:$B$49,B45)&gt;1,IF(A45="","",A45&amp;" ")&amp;B45,B45))</f>
        <v/>
      </c>
      <c r="H45" s="37">
        <f>IF(B45="","",IF('×入力'!F1125="未提出","未提出",IF(I45&gt;0,"入力済み",IF('×入力'!F1125="×なし（どこでもOK）","×なし","未入力"))))</f>
        <v/>
      </c>
      <c r="I45" s="37">
        <f>IF(B45="","",'計算A'!IN50)</f>
        <v/>
      </c>
      <c r="J45" s="37">
        <f>IF(OR(H45="入力済み",H45="×なし"),'計算A'!IM50,"")</f>
        <v/>
      </c>
      <c r="K45" s="37">
        <f>IF('計算A'!C50=1,COUNTIFS('計算A'!$C$10:$C$54,1,'計算A'!$IM$10:$IM$54,"&lt;"&amp;'計算A'!IM50)+1,"")</f>
        <v/>
      </c>
      <c r="L45" s="39">
        <f>IF('計算A'!IO50=0,"",INDEX('設定'!$E$11:$E$20,INDEX('計算A'!$D$2:$II$2,'計算A'!IO50)))</f>
        <v/>
      </c>
      <c r="M45" s="37">
        <f>IF('計算A'!IO50=0,"",INDEX('設定'!$I$11:$I$34,INDEX('計算A'!$D$3:$II$3,'計算A'!IO50)))</f>
        <v/>
      </c>
      <c r="N45" s="39">
        <f>IF(G45="","",IF(COUNTIF('調整・決定'!$C$6:$L$29,G45)&gt;1,"2か所以上に入っています",IF('計算A'!IO50&gt;0,IF(INDEX('計算A'!$D$4:$II$4,'計算A'!IO50)=0,"使えない枠に入っています",IF(INDEX('計算A'!$D$50:$II$50,'計算A'!IO50)=1,"×の枠に入っています",IF(AND(F45&lt;&gt;"",INDEX('計算A'!$D$106:$II$106,'計算A'!IO50)=1,INDEX('計算A'!$D$109:$II$109,'計算A'!IO50+1)=1),IF(F45="必ず空けたい","後ろの枠が空いていません","（出来れば）後ろが空いていません"),""))),IF(OR(H45="入力済み",H45="×なし"),"未決定",""))))</f>
        <v/>
      </c>
      <c r="O45" s="39">
        <f>IF('計算A'!IK50=0,IF('計算A'!IL50=1,"入る枠がありません",""),INDEX('計算A'!$D$8:$II$8,'計算A'!IK50))</f>
        <v/>
      </c>
      <c r="P45" s="50">
        <f>HYPERLINK("#'×入力'!B1125","×入力へ")</f>
        <v/>
      </c>
    </row>
    <row r="46" ht="19" customHeight="1">
      <c r="A46" s="48" t="n"/>
      <c r="B46" s="49" t="n"/>
      <c r="C46" s="48" t="n"/>
      <c r="D46" s="49" t="n"/>
      <c r="E46" s="48" t="n"/>
      <c r="F46" s="48" t="n"/>
      <c r="G46" s="39">
        <f>IF(B46="","",IF(COUNTIF($B$5:$B$49,B46)&gt;1,IF(A46="","",A46&amp;" ")&amp;B46,B46))</f>
        <v/>
      </c>
      <c r="H46" s="37">
        <f>IF(B46="","",IF('×入力'!F1153="未提出","未提出",IF(I46&gt;0,"入力済み",IF('×入力'!F1153="×なし（どこでもOK）","×なし","未入力"))))</f>
        <v/>
      </c>
      <c r="I46" s="37">
        <f>IF(B46="","",'計算A'!IN51)</f>
        <v/>
      </c>
      <c r="J46" s="37">
        <f>IF(OR(H46="入力済み",H46="×なし"),'計算A'!IM51,"")</f>
        <v/>
      </c>
      <c r="K46" s="37">
        <f>IF('計算A'!C51=1,COUNTIFS('計算A'!$C$10:$C$54,1,'計算A'!$IM$10:$IM$54,"&lt;"&amp;'計算A'!IM51)+1,"")</f>
        <v/>
      </c>
      <c r="L46" s="39">
        <f>IF('計算A'!IO51=0,"",INDEX('設定'!$E$11:$E$20,INDEX('計算A'!$D$2:$II$2,'計算A'!IO51)))</f>
        <v/>
      </c>
      <c r="M46" s="37">
        <f>IF('計算A'!IO51=0,"",INDEX('設定'!$I$11:$I$34,INDEX('計算A'!$D$3:$II$3,'計算A'!IO51)))</f>
        <v/>
      </c>
      <c r="N46" s="39">
        <f>IF(G46="","",IF(COUNTIF('調整・決定'!$C$6:$L$29,G46)&gt;1,"2か所以上に入っています",IF('計算A'!IO51&gt;0,IF(INDEX('計算A'!$D$4:$II$4,'計算A'!IO51)=0,"使えない枠に入っています",IF(INDEX('計算A'!$D$51:$II$51,'計算A'!IO51)=1,"×の枠に入っています",IF(AND(F46&lt;&gt;"",INDEX('計算A'!$D$106:$II$106,'計算A'!IO51)=1,INDEX('計算A'!$D$109:$II$109,'計算A'!IO51+1)=1),IF(F46="必ず空けたい","後ろの枠が空いていません","（出来れば）後ろが空いていません"),""))),IF(OR(H46="入力済み",H46="×なし"),"未決定",""))))</f>
        <v/>
      </c>
      <c r="O46" s="39">
        <f>IF('計算A'!IK51=0,IF('計算A'!IL51=1,"入る枠がありません",""),INDEX('計算A'!$D$8:$II$8,'計算A'!IK51))</f>
        <v/>
      </c>
      <c r="P46" s="50">
        <f>HYPERLINK("#'×入力'!B1153","×入力へ")</f>
        <v/>
      </c>
    </row>
    <row r="47" ht="19" customHeight="1">
      <c r="A47" s="48" t="n"/>
      <c r="B47" s="49" t="n"/>
      <c r="C47" s="48" t="n"/>
      <c r="D47" s="49" t="n"/>
      <c r="E47" s="48" t="n"/>
      <c r="F47" s="48" t="n"/>
      <c r="G47" s="39">
        <f>IF(B47="","",IF(COUNTIF($B$5:$B$49,B47)&gt;1,IF(A47="","",A47&amp;" ")&amp;B47,B47))</f>
        <v/>
      </c>
      <c r="H47" s="37">
        <f>IF(B47="","",IF('×入力'!F1181="未提出","未提出",IF(I47&gt;0,"入力済み",IF('×入力'!F1181="×なし（どこでもOK）","×なし","未入力"))))</f>
        <v/>
      </c>
      <c r="I47" s="37">
        <f>IF(B47="","",'計算A'!IN52)</f>
        <v/>
      </c>
      <c r="J47" s="37">
        <f>IF(OR(H47="入力済み",H47="×なし"),'計算A'!IM52,"")</f>
        <v/>
      </c>
      <c r="K47" s="37">
        <f>IF('計算A'!C52=1,COUNTIFS('計算A'!$C$10:$C$54,1,'計算A'!$IM$10:$IM$54,"&lt;"&amp;'計算A'!IM52)+1,"")</f>
        <v/>
      </c>
      <c r="L47" s="39">
        <f>IF('計算A'!IO52=0,"",INDEX('設定'!$E$11:$E$20,INDEX('計算A'!$D$2:$II$2,'計算A'!IO52)))</f>
        <v/>
      </c>
      <c r="M47" s="37">
        <f>IF('計算A'!IO52=0,"",INDEX('設定'!$I$11:$I$34,INDEX('計算A'!$D$3:$II$3,'計算A'!IO52)))</f>
        <v/>
      </c>
      <c r="N47" s="39">
        <f>IF(G47="","",IF(COUNTIF('調整・決定'!$C$6:$L$29,G47)&gt;1,"2か所以上に入っています",IF('計算A'!IO52&gt;0,IF(INDEX('計算A'!$D$4:$II$4,'計算A'!IO52)=0,"使えない枠に入っています",IF(INDEX('計算A'!$D$52:$II$52,'計算A'!IO52)=1,"×の枠に入っています",IF(AND(F47&lt;&gt;"",INDEX('計算A'!$D$106:$II$106,'計算A'!IO52)=1,INDEX('計算A'!$D$109:$II$109,'計算A'!IO52+1)=1),IF(F47="必ず空けたい","後ろの枠が空いていません","（出来れば）後ろが空いていません"),""))),IF(OR(H47="入力済み",H47="×なし"),"未決定",""))))</f>
        <v/>
      </c>
      <c r="O47" s="39">
        <f>IF('計算A'!IK52=0,IF('計算A'!IL52=1,"入る枠がありません",""),INDEX('計算A'!$D$8:$II$8,'計算A'!IK52))</f>
        <v/>
      </c>
      <c r="P47" s="50">
        <f>HYPERLINK("#'×入力'!B1181","×入力へ")</f>
        <v/>
      </c>
    </row>
    <row r="48" ht="19" customHeight="1">
      <c r="A48" s="48" t="n"/>
      <c r="B48" s="49" t="n"/>
      <c r="C48" s="48" t="n"/>
      <c r="D48" s="49" t="n"/>
      <c r="E48" s="48" t="n"/>
      <c r="F48" s="48" t="n"/>
      <c r="G48" s="39">
        <f>IF(B48="","",IF(COUNTIF($B$5:$B$49,B48)&gt;1,IF(A48="","",A48&amp;" ")&amp;B48,B48))</f>
        <v/>
      </c>
      <c r="H48" s="37">
        <f>IF(B48="","",IF('×入力'!F1209="未提出","未提出",IF(I48&gt;0,"入力済み",IF('×入力'!F1209="×なし（どこでもOK）","×なし","未入力"))))</f>
        <v/>
      </c>
      <c r="I48" s="37">
        <f>IF(B48="","",'計算A'!IN53)</f>
        <v/>
      </c>
      <c r="J48" s="37">
        <f>IF(OR(H48="入力済み",H48="×なし"),'計算A'!IM53,"")</f>
        <v/>
      </c>
      <c r="K48" s="37">
        <f>IF('計算A'!C53=1,COUNTIFS('計算A'!$C$10:$C$54,1,'計算A'!$IM$10:$IM$54,"&lt;"&amp;'計算A'!IM53)+1,"")</f>
        <v/>
      </c>
      <c r="L48" s="39">
        <f>IF('計算A'!IO53=0,"",INDEX('設定'!$E$11:$E$20,INDEX('計算A'!$D$2:$II$2,'計算A'!IO53)))</f>
        <v/>
      </c>
      <c r="M48" s="37">
        <f>IF('計算A'!IO53=0,"",INDEX('設定'!$I$11:$I$34,INDEX('計算A'!$D$3:$II$3,'計算A'!IO53)))</f>
        <v/>
      </c>
      <c r="N48" s="39">
        <f>IF(G48="","",IF(COUNTIF('調整・決定'!$C$6:$L$29,G48)&gt;1,"2か所以上に入っています",IF('計算A'!IO53&gt;0,IF(INDEX('計算A'!$D$4:$II$4,'計算A'!IO53)=0,"使えない枠に入っています",IF(INDEX('計算A'!$D$53:$II$53,'計算A'!IO53)=1,"×の枠に入っています",IF(AND(F48&lt;&gt;"",INDEX('計算A'!$D$106:$II$106,'計算A'!IO53)=1,INDEX('計算A'!$D$109:$II$109,'計算A'!IO53+1)=1),IF(F48="必ず空けたい","後ろの枠が空いていません","（出来れば）後ろが空いていません"),""))),IF(OR(H48="入力済み",H48="×なし"),"未決定",""))))</f>
        <v/>
      </c>
      <c r="O48" s="39">
        <f>IF('計算A'!IK53=0,IF('計算A'!IL53=1,"入る枠がありません",""),INDEX('計算A'!$D$8:$II$8,'計算A'!IK53))</f>
        <v/>
      </c>
      <c r="P48" s="50">
        <f>HYPERLINK("#'×入力'!B1209","×入力へ")</f>
        <v/>
      </c>
    </row>
    <row r="49" ht="19" customHeight="1">
      <c r="A49" s="48" t="n"/>
      <c r="B49" s="49" t="n"/>
      <c r="C49" s="48" t="n"/>
      <c r="D49" s="49" t="n"/>
      <c r="E49" s="48" t="n"/>
      <c r="F49" s="48" t="n"/>
      <c r="G49" s="39">
        <f>IF(B49="","",IF(COUNTIF($B$5:$B$49,B49)&gt;1,IF(A49="","",A49&amp;" ")&amp;B49,B49))</f>
        <v/>
      </c>
      <c r="H49" s="37">
        <f>IF(B49="","",IF('×入力'!F1237="未提出","未提出",IF(I49&gt;0,"入力済み",IF('×入力'!F1237="×なし（どこでもOK）","×なし","未入力"))))</f>
        <v/>
      </c>
      <c r="I49" s="37">
        <f>IF(B49="","",'計算A'!IN54)</f>
        <v/>
      </c>
      <c r="J49" s="37">
        <f>IF(OR(H49="入力済み",H49="×なし"),'計算A'!IM54,"")</f>
        <v/>
      </c>
      <c r="K49" s="37">
        <f>IF('計算A'!C54=1,COUNTIFS('計算A'!$C$10:$C$54,1,'計算A'!$IM$10:$IM$54,"&lt;"&amp;'計算A'!IM54)+1,"")</f>
        <v/>
      </c>
      <c r="L49" s="39">
        <f>IF('計算A'!IO54=0,"",INDEX('設定'!$E$11:$E$20,INDEX('計算A'!$D$2:$II$2,'計算A'!IO54)))</f>
        <v/>
      </c>
      <c r="M49" s="37">
        <f>IF('計算A'!IO54=0,"",INDEX('設定'!$I$11:$I$34,INDEX('計算A'!$D$3:$II$3,'計算A'!IO54)))</f>
        <v/>
      </c>
      <c r="N49" s="39">
        <f>IF(G49="","",IF(COUNTIF('調整・決定'!$C$6:$L$29,G49)&gt;1,"2か所以上に入っています",IF('計算A'!IO54&gt;0,IF(INDEX('計算A'!$D$4:$II$4,'計算A'!IO54)=0,"使えない枠に入っています",IF(INDEX('計算A'!$D$54:$II$54,'計算A'!IO54)=1,"×の枠に入っています",IF(AND(F49&lt;&gt;"",INDEX('計算A'!$D$106:$II$106,'計算A'!IO54)=1,INDEX('計算A'!$D$109:$II$109,'計算A'!IO54+1)=1),IF(F49="必ず空けたい","後ろの枠が空いていません","（出来れば）後ろが空いていません"),""))),IF(OR(H49="入力済み",H49="×なし"),"未決定",""))))</f>
        <v/>
      </c>
      <c r="O49" s="39">
        <f>IF('計算A'!IK54=0,IF('計算A'!IL54=1,"入る枠がありません",""),INDEX('計算A'!$D$8:$II$8,'計算A'!IK54))</f>
        <v/>
      </c>
      <c r="P49" s="50">
        <f>HYPERLINK("#'×入力'!B1237","×入力へ")</f>
        <v/>
      </c>
    </row>
  </sheetData>
  <autoFilter ref="A4:O49"/>
  <mergeCells count="4">
    <mergeCell ref="L1:M1"/>
    <mergeCell ref="J1:K1"/>
    <mergeCell ref="E1:F1"/>
    <mergeCell ref="H1:I1"/>
  </mergeCells>
  <conditionalFormatting sqref="N5:N49">
    <cfRule type="expression" priority="1" dxfId="6">
      <formula>OR(N5="未決定",LEFT(N5,6)="（出来れば）")</formula>
    </cfRule>
    <cfRule type="expression" priority="2" dxfId="7">
      <formula>N5&lt;&gt;""</formula>
    </cfRule>
  </conditionalFormatting>
  <conditionalFormatting sqref="O5:O49">
    <cfRule type="expression" priority="3" dxfId="7">
      <formula>O5="入る枠がありません"</formula>
    </cfRule>
  </conditionalFormatting>
  <conditionalFormatting sqref="H5:H49">
    <cfRule type="expression" priority="4" dxfId="8">
      <formula>OR(H5="未入力",H5="未提出")</formula>
    </cfRule>
  </conditionalFormatting>
  <conditionalFormatting sqref="J5:J49">
    <cfRule type="expression" priority="5" dxfId="9">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1"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HYPERLINK("#'調整・決定'!A1","⑤ 調整・決定")</f>
        <v/>
      </c>
      <c r="L1" s="2" t="n"/>
    </row>
    <row r="2" ht="24" customHeight="1">
      <c r="A2" s="4" t="n"/>
      <c r="B2" s="52" t="inlineStr">
        <is>
          <t>都合の悪い枠に「×」。日付の上の欄で「×」→その日全部、時刻の左の欄で「×」→その時間全部が×になります。消すときは Delete。</t>
        </is>
      </c>
      <c r="C2" s="4" t="n"/>
      <c r="D2" s="4" t="n"/>
      <c r="E2" s="4" t="n"/>
      <c r="F2" s="4" t="n"/>
      <c r="G2" s="4" t="n"/>
      <c r="H2" s="4" t="n"/>
      <c r="I2" s="4" t="n"/>
      <c r="J2" s="4" t="n"/>
      <c r="K2" s="4" t="n"/>
      <c r="L2" s="4" t="n"/>
    </row>
    <row r="3">
      <c r="B3" s="45" t="inlineStr">
        <is>
          <t>×が1つもない家庭は「提出状況」で「×なし（どこでもOK）」、出していない家庭は「未提出」を選びます。右上の「次の人へ ▼」で次の児童に移れます。</t>
        </is>
      </c>
    </row>
    <row r="4"/>
    <row r="5" ht="26" customHeight="1">
      <c r="B5" s="53">
        <f>IF('名簿'!B5="","（名簿 1行目：なし）",'名簿'!G5)</f>
        <v/>
      </c>
      <c r="C5" s="4" t="n"/>
      <c r="D5" s="4" t="n"/>
      <c r="E5" s="54" t="inlineStr">
        <is>
          <t>提出状況 ▶</t>
        </is>
      </c>
      <c r="F5" s="38" t="n"/>
      <c r="G5" s="29" t="n"/>
      <c r="H5" s="55" t="inlineStr">
        <is>
          <t>状況：</t>
        </is>
      </c>
      <c r="I5" s="56">
        <f>'名簿'!H5</f>
        <v/>
      </c>
      <c r="J5" s="55" t="inlineStr">
        <is>
          <t>×の数：</t>
        </is>
      </c>
      <c r="K5" s="57">
        <f>'名簿'!I5</f>
        <v/>
      </c>
      <c r="L5" s="58">
        <f>HYPERLINK("#'×入力'!B33","次の人へ ▼")</f>
        <v/>
      </c>
    </row>
    <row r="6" ht="22" customHeight="1">
      <c r="A6" s="30" t="inlineStr">
        <is>
          <t>この日全部 ▶</t>
        </is>
      </c>
      <c r="C6" s="59" t="n"/>
      <c r="D6" s="59" t="n"/>
      <c r="E6" s="59" t="n"/>
      <c r="F6" s="59" t="n"/>
      <c r="G6" s="59" t="n"/>
      <c r="H6" s="59" t="n"/>
      <c r="I6" s="59" t="n"/>
      <c r="J6" s="59" t="n"/>
      <c r="K6" s="59" t="n"/>
      <c r="L6" s="59" t="n"/>
    </row>
    <row r="7" ht="28" customHeight="1">
      <c r="A7" s="33" t="inlineStr">
        <is>
          <t>この時間
全部 ▼</t>
        </is>
      </c>
      <c r="B7" s="34" t="inlineStr"/>
      <c r="C7" s="35">
        <f>'設定'!$E$11</f>
        <v/>
      </c>
      <c r="D7" s="35">
        <f>'設定'!$E$12</f>
        <v/>
      </c>
      <c r="E7" s="35">
        <f>'設定'!$E$13</f>
        <v/>
      </c>
      <c r="F7" s="35">
        <f>'設定'!$E$14</f>
        <v/>
      </c>
      <c r="G7" s="35">
        <f>'設定'!$E$15</f>
        <v/>
      </c>
      <c r="H7" s="35">
        <f>'設定'!$E$16</f>
        <v/>
      </c>
      <c r="I7" s="35">
        <f>'設定'!$E$17</f>
        <v/>
      </c>
      <c r="J7" s="35">
        <f>'設定'!$E$18</f>
        <v/>
      </c>
      <c r="K7" s="35">
        <f>'設定'!$E$19</f>
        <v/>
      </c>
      <c r="L7" s="35">
        <f>'設定'!$E$20</f>
        <v/>
      </c>
    </row>
    <row r="8" ht="21" customHeight="1">
      <c r="A8" s="59" t="n"/>
      <c r="B8" s="42">
        <f>'設定'!$I$11</f>
        <v/>
      </c>
      <c r="C8" s="60" t="n"/>
      <c r="D8" s="60" t="n"/>
      <c r="E8" s="60" t="n"/>
      <c r="F8" s="60" t="n"/>
      <c r="G8" s="60" t="n"/>
      <c r="H8" s="60" t="n"/>
      <c r="I8" s="60" t="n"/>
      <c r="J8" s="60" t="n"/>
      <c r="K8" s="60" t="n"/>
      <c r="L8" s="60" t="n"/>
    </row>
    <row r="9" ht="21" customHeight="1">
      <c r="A9" s="59" t="n"/>
      <c r="B9" s="42">
        <f>'設定'!$I$12</f>
        <v/>
      </c>
      <c r="C9" s="60" t="n"/>
      <c r="D9" s="60" t="n"/>
      <c r="E9" s="60" t="n"/>
      <c r="F9" s="60" t="n"/>
      <c r="G9" s="60" t="n"/>
      <c r="H9" s="60" t="n"/>
      <c r="I9" s="60" t="n"/>
      <c r="J9" s="60" t="n"/>
      <c r="K9" s="60" t="n"/>
      <c r="L9" s="60" t="n"/>
    </row>
    <row r="10" ht="21" customHeight="1">
      <c r="A10" s="59" t="n"/>
      <c r="B10" s="42">
        <f>'設定'!$I$13</f>
        <v/>
      </c>
      <c r="C10" s="60" t="n"/>
      <c r="D10" s="60" t="n"/>
      <c r="E10" s="60" t="n"/>
      <c r="F10" s="60" t="n"/>
      <c r="G10" s="60" t="n"/>
      <c r="H10" s="60" t="n"/>
      <c r="I10" s="60" t="n"/>
      <c r="J10" s="60" t="n"/>
      <c r="K10" s="60" t="n"/>
      <c r="L10" s="60" t="n"/>
    </row>
    <row r="11" ht="21" customHeight="1">
      <c r="A11" s="59" t="n"/>
      <c r="B11" s="42">
        <f>'設定'!$I$14</f>
        <v/>
      </c>
      <c r="C11" s="60" t="n"/>
      <c r="D11" s="60" t="n"/>
      <c r="E11" s="60" t="n"/>
      <c r="F11" s="60" t="n"/>
      <c r="G11" s="60" t="n"/>
      <c r="H11" s="60" t="n"/>
      <c r="I11" s="60" t="n"/>
      <c r="J11" s="60" t="n"/>
      <c r="K11" s="60" t="n"/>
      <c r="L11" s="60" t="n"/>
    </row>
    <row r="12" ht="21" customHeight="1">
      <c r="A12" s="59" t="n"/>
      <c r="B12" s="42">
        <f>'設定'!$I$15</f>
        <v/>
      </c>
      <c r="C12" s="60" t="n"/>
      <c r="D12" s="60" t="n"/>
      <c r="E12" s="60" t="n"/>
      <c r="F12" s="60" t="n"/>
      <c r="G12" s="60" t="n"/>
      <c r="H12" s="60" t="n"/>
      <c r="I12" s="60" t="n"/>
      <c r="J12" s="60" t="n"/>
      <c r="K12" s="60" t="n"/>
      <c r="L12" s="60" t="n"/>
    </row>
    <row r="13" ht="21" customHeight="1">
      <c r="A13" s="59" t="n"/>
      <c r="B13" s="42">
        <f>'設定'!$I$16</f>
        <v/>
      </c>
      <c r="C13" s="60" t="n"/>
      <c r="D13" s="60" t="n"/>
      <c r="E13" s="60" t="n"/>
      <c r="F13" s="60" t="n"/>
      <c r="G13" s="60" t="n"/>
      <c r="H13" s="60" t="n"/>
      <c r="I13" s="60" t="n"/>
      <c r="J13" s="60" t="n"/>
      <c r="K13" s="60" t="n"/>
      <c r="L13" s="60" t="n"/>
    </row>
    <row r="14" ht="21" customHeight="1">
      <c r="A14" s="59" t="n"/>
      <c r="B14" s="42">
        <f>'設定'!$I$17</f>
        <v/>
      </c>
      <c r="C14" s="60" t="n"/>
      <c r="D14" s="60" t="n"/>
      <c r="E14" s="60" t="n"/>
      <c r="F14" s="60" t="n"/>
      <c r="G14" s="60" t="n"/>
      <c r="H14" s="60" t="n"/>
      <c r="I14" s="60" t="n"/>
      <c r="J14" s="60" t="n"/>
      <c r="K14" s="60" t="n"/>
      <c r="L14" s="60" t="n"/>
    </row>
    <row r="15" ht="21" customHeight="1">
      <c r="A15" s="59" t="n"/>
      <c r="B15" s="42">
        <f>'設定'!$I$18</f>
        <v/>
      </c>
      <c r="C15" s="60" t="n"/>
      <c r="D15" s="60" t="n"/>
      <c r="E15" s="60" t="n"/>
      <c r="F15" s="60" t="n"/>
      <c r="G15" s="60" t="n"/>
      <c r="H15" s="60" t="n"/>
      <c r="I15" s="60" t="n"/>
      <c r="J15" s="60" t="n"/>
      <c r="K15" s="60" t="n"/>
      <c r="L15" s="60" t="n"/>
    </row>
    <row r="16" ht="21" customHeight="1">
      <c r="A16" s="59" t="n"/>
      <c r="B16" s="42">
        <f>'設定'!$I$19</f>
        <v/>
      </c>
      <c r="C16" s="60" t="n"/>
      <c r="D16" s="60" t="n"/>
      <c r="E16" s="60" t="n"/>
      <c r="F16" s="60" t="n"/>
      <c r="G16" s="60" t="n"/>
      <c r="H16" s="60" t="n"/>
      <c r="I16" s="60" t="n"/>
      <c r="J16" s="60" t="n"/>
      <c r="K16" s="60" t="n"/>
      <c r="L16" s="60" t="n"/>
    </row>
    <row r="17" ht="21" customHeight="1">
      <c r="A17" s="59" t="n"/>
      <c r="B17" s="42">
        <f>'設定'!$I$20</f>
        <v/>
      </c>
      <c r="C17" s="60" t="n"/>
      <c r="D17" s="60" t="n"/>
      <c r="E17" s="60" t="n"/>
      <c r="F17" s="60" t="n"/>
      <c r="G17" s="60" t="n"/>
      <c r="H17" s="60" t="n"/>
      <c r="I17" s="60" t="n"/>
      <c r="J17" s="60" t="n"/>
      <c r="K17" s="60" t="n"/>
      <c r="L17" s="60" t="n"/>
    </row>
    <row r="18" ht="21" customHeight="1">
      <c r="A18" s="59" t="n"/>
      <c r="B18" s="42">
        <f>'設定'!$I$21</f>
        <v/>
      </c>
      <c r="C18" s="60" t="n"/>
      <c r="D18" s="60" t="n"/>
      <c r="E18" s="60" t="n"/>
      <c r="F18" s="60" t="n"/>
      <c r="G18" s="60" t="n"/>
      <c r="H18" s="60" t="n"/>
      <c r="I18" s="60" t="n"/>
      <c r="J18" s="60" t="n"/>
      <c r="K18" s="60" t="n"/>
      <c r="L18" s="60" t="n"/>
    </row>
    <row r="19" ht="21" customHeight="1">
      <c r="A19" s="59" t="n"/>
      <c r="B19" s="42">
        <f>'設定'!$I$22</f>
        <v/>
      </c>
      <c r="C19" s="60" t="n"/>
      <c r="D19" s="60" t="n"/>
      <c r="E19" s="60" t="n"/>
      <c r="F19" s="60" t="n"/>
      <c r="G19" s="60" t="n"/>
      <c r="H19" s="60" t="n"/>
      <c r="I19" s="60" t="n"/>
      <c r="J19" s="60" t="n"/>
      <c r="K19" s="60" t="n"/>
      <c r="L19" s="60" t="n"/>
    </row>
    <row r="20" ht="21" customHeight="1">
      <c r="A20" s="59" t="n"/>
      <c r="B20" s="42">
        <f>'設定'!$I$23</f>
        <v/>
      </c>
      <c r="C20" s="60" t="n"/>
      <c r="D20" s="60" t="n"/>
      <c r="E20" s="60" t="n"/>
      <c r="F20" s="60" t="n"/>
      <c r="G20" s="60" t="n"/>
      <c r="H20" s="60" t="n"/>
      <c r="I20" s="60" t="n"/>
      <c r="J20" s="60" t="n"/>
      <c r="K20" s="60" t="n"/>
      <c r="L20" s="60" t="n"/>
    </row>
    <row r="21" ht="21" customHeight="1">
      <c r="A21" s="59" t="n"/>
      <c r="B21" s="42">
        <f>'設定'!$I$24</f>
        <v/>
      </c>
      <c r="C21" s="60" t="n"/>
      <c r="D21" s="60" t="n"/>
      <c r="E21" s="60" t="n"/>
      <c r="F21" s="60" t="n"/>
      <c r="G21" s="60" t="n"/>
      <c r="H21" s="60" t="n"/>
      <c r="I21" s="60" t="n"/>
      <c r="J21" s="60" t="n"/>
      <c r="K21" s="60" t="n"/>
      <c r="L21" s="60" t="n"/>
    </row>
    <row r="22" ht="21" customHeight="1">
      <c r="A22" s="59" t="n"/>
      <c r="B22" s="42">
        <f>'設定'!$I$25</f>
        <v/>
      </c>
      <c r="C22" s="60" t="n"/>
      <c r="D22" s="60" t="n"/>
      <c r="E22" s="60" t="n"/>
      <c r="F22" s="60" t="n"/>
      <c r="G22" s="60" t="n"/>
      <c r="H22" s="60" t="n"/>
      <c r="I22" s="60" t="n"/>
      <c r="J22" s="60" t="n"/>
      <c r="K22" s="60" t="n"/>
      <c r="L22" s="60" t="n"/>
    </row>
    <row r="23" ht="21" customHeight="1">
      <c r="A23" s="59" t="n"/>
      <c r="B23" s="42">
        <f>'設定'!$I$26</f>
        <v/>
      </c>
      <c r="C23" s="60" t="n"/>
      <c r="D23" s="60" t="n"/>
      <c r="E23" s="60" t="n"/>
      <c r="F23" s="60" t="n"/>
      <c r="G23" s="60" t="n"/>
      <c r="H23" s="60" t="n"/>
      <c r="I23" s="60" t="n"/>
      <c r="J23" s="60" t="n"/>
      <c r="K23" s="60" t="n"/>
      <c r="L23" s="60" t="n"/>
    </row>
    <row r="24" ht="21" customHeight="1">
      <c r="A24" s="59" t="n"/>
      <c r="B24" s="42">
        <f>'設定'!$I$27</f>
        <v/>
      </c>
      <c r="C24" s="60" t="n"/>
      <c r="D24" s="60" t="n"/>
      <c r="E24" s="60" t="n"/>
      <c r="F24" s="60" t="n"/>
      <c r="G24" s="60" t="n"/>
      <c r="H24" s="60" t="n"/>
      <c r="I24" s="60" t="n"/>
      <c r="J24" s="60" t="n"/>
      <c r="K24" s="60" t="n"/>
      <c r="L24" s="60" t="n"/>
    </row>
    <row r="25" ht="21" customHeight="1">
      <c r="A25" s="59" t="n"/>
      <c r="B25" s="42">
        <f>'設定'!$I$28</f>
        <v/>
      </c>
      <c r="C25" s="60" t="n"/>
      <c r="D25" s="60" t="n"/>
      <c r="E25" s="60" t="n"/>
      <c r="F25" s="60" t="n"/>
      <c r="G25" s="60" t="n"/>
      <c r="H25" s="60" t="n"/>
      <c r="I25" s="60" t="n"/>
      <c r="J25" s="60" t="n"/>
      <c r="K25" s="60" t="n"/>
      <c r="L25" s="60" t="n"/>
    </row>
    <row r="26" ht="21" customHeight="1">
      <c r="A26" s="59" t="n"/>
      <c r="B26" s="42">
        <f>'設定'!$I$29</f>
        <v/>
      </c>
      <c r="C26" s="60" t="n"/>
      <c r="D26" s="60" t="n"/>
      <c r="E26" s="60" t="n"/>
      <c r="F26" s="60" t="n"/>
      <c r="G26" s="60" t="n"/>
      <c r="H26" s="60" t="n"/>
      <c r="I26" s="60" t="n"/>
      <c r="J26" s="60" t="n"/>
      <c r="K26" s="60" t="n"/>
      <c r="L26" s="60" t="n"/>
    </row>
    <row r="27" ht="21" customHeight="1">
      <c r="A27" s="59" t="n"/>
      <c r="B27" s="42">
        <f>'設定'!$I$30</f>
        <v/>
      </c>
      <c r="C27" s="60" t="n"/>
      <c r="D27" s="60" t="n"/>
      <c r="E27" s="60" t="n"/>
      <c r="F27" s="60" t="n"/>
      <c r="G27" s="60" t="n"/>
      <c r="H27" s="60" t="n"/>
      <c r="I27" s="60" t="n"/>
      <c r="J27" s="60" t="n"/>
      <c r="K27" s="60" t="n"/>
      <c r="L27" s="60" t="n"/>
    </row>
    <row r="28" ht="21" customHeight="1">
      <c r="A28" s="59" t="n"/>
      <c r="B28" s="42">
        <f>'設定'!$I$31</f>
        <v/>
      </c>
      <c r="C28" s="60" t="n"/>
      <c r="D28" s="60" t="n"/>
      <c r="E28" s="60" t="n"/>
      <c r="F28" s="60" t="n"/>
      <c r="G28" s="60" t="n"/>
      <c r="H28" s="60" t="n"/>
      <c r="I28" s="60" t="n"/>
      <c r="J28" s="60" t="n"/>
      <c r="K28" s="60" t="n"/>
      <c r="L28" s="60" t="n"/>
    </row>
    <row r="29" ht="21" customHeight="1">
      <c r="A29" s="59" t="n"/>
      <c r="B29" s="42">
        <f>'設定'!$I$32</f>
        <v/>
      </c>
      <c r="C29" s="60" t="n"/>
      <c r="D29" s="60" t="n"/>
      <c r="E29" s="60" t="n"/>
      <c r="F29" s="60" t="n"/>
      <c r="G29" s="60" t="n"/>
      <c r="H29" s="60" t="n"/>
      <c r="I29" s="60" t="n"/>
      <c r="J29" s="60" t="n"/>
      <c r="K29" s="60" t="n"/>
      <c r="L29" s="60" t="n"/>
    </row>
    <row r="30" ht="21" customHeight="1">
      <c r="A30" s="59" t="n"/>
      <c r="B30" s="42">
        <f>'設定'!$I$33</f>
        <v/>
      </c>
      <c r="C30" s="60" t="n"/>
      <c r="D30" s="60" t="n"/>
      <c r="E30" s="60" t="n"/>
      <c r="F30" s="60" t="n"/>
      <c r="G30" s="60" t="n"/>
      <c r="H30" s="60" t="n"/>
      <c r="I30" s="60" t="n"/>
      <c r="J30" s="60" t="n"/>
      <c r="K30" s="60" t="n"/>
      <c r="L30" s="60" t="n"/>
    </row>
    <row r="31" ht="21" customHeight="1">
      <c r="A31" s="59" t="n"/>
      <c r="B31" s="42">
        <f>'設定'!$I$34</f>
        <v/>
      </c>
      <c r="C31" s="60" t="n"/>
      <c r="D31" s="60" t="n"/>
      <c r="E31" s="60" t="n"/>
      <c r="F31" s="60" t="n"/>
      <c r="G31" s="60" t="n"/>
      <c r="H31" s="60" t="n"/>
      <c r="I31" s="60" t="n"/>
      <c r="J31" s="60" t="n"/>
      <c r="K31" s="60" t="n"/>
      <c r="L31" s="60" t="n"/>
    </row>
    <row r="32"/>
    <row r="33" ht="26" customHeight="1">
      <c r="B33" s="53">
        <f>IF('名簿'!B6="","（名簿 2行目：なし）",'名簿'!G6)</f>
        <v/>
      </c>
      <c r="C33" s="4" t="n"/>
      <c r="D33" s="4" t="n"/>
      <c r="E33" s="54" t="inlineStr">
        <is>
          <t>提出状況 ▶</t>
        </is>
      </c>
      <c r="F33" s="38" t="n"/>
      <c r="G33" s="29" t="n"/>
      <c r="H33" s="55" t="inlineStr">
        <is>
          <t>状況：</t>
        </is>
      </c>
      <c r="I33" s="56">
        <f>'名簿'!H6</f>
        <v/>
      </c>
      <c r="J33" s="55" t="inlineStr">
        <is>
          <t>×の数：</t>
        </is>
      </c>
      <c r="K33" s="57">
        <f>'名簿'!I6</f>
        <v/>
      </c>
      <c r="L33" s="58">
        <f>HYPERLINK("#'×入力'!B61","次の人へ ▼")</f>
        <v/>
      </c>
    </row>
    <row r="34" ht="22" customHeight="1">
      <c r="A34" s="30" t="inlineStr">
        <is>
          <t>この日全部 ▶</t>
        </is>
      </c>
      <c r="C34" s="59" t="n"/>
      <c r="D34" s="59" t="n"/>
      <c r="E34" s="59" t="n"/>
      <c r="F34" s="59" t="n"/>
      <c r="G34" s="59" t="n"/>
      <c r="H34" s="59" t="n"/>
      <c r="I34" s="59" t="n"/>
      <c r="J34" s="59" t="n"/>
      <c r="K34" s="59" t="n"/>
      <c r="L34" s="59" t="n"/>
    </row>
    <row r="35" ht="28" customHeight="1">
      <c r="A35" s="33" t="inlineStr">
        <is>
          <t>この時間
全部 ▼</t>
        </is>
      </c>
      <c r="B35" s="34" t="inlineStr"/>
      <c r="C35" s="35">
        <f>'設定'!$E$11</f>
        <v/>
      </c>
      <c r="D35" s="35">
        <f>'設定'!$E$12</f>
        <v/>
      </c>
      <c r="E35" s="35">
        <f>'設定'!$E$13</f>
        <v/>
      </c>
      <c r="F35" s="35">
        <f>'設定'!$E$14</f>
        <v/>
      </c>
      <c r="G35" s="35">
        <f>'設定'!$E$15</f>
        <v/>
      </c>
      <c r="H35" s="35">
        <f>'設定'!$E$16</f>
        <v/>
      </c>
      <c r="I35" s="35">
        <f>'設定'!$E$17</f>
        <v/>
      </c>
      <c r="J35" s="35">
        <f>'設定'!$E$18</f>
        <v/>
      </c>
      <c r="K35" s="35">
        <f>'設定'!$E$19</f>
        <v/>
      </c>
      <c r="L35" s="35">
        <f>'設定'!$E$20</f>
        <v/>
      </c>
    </row>
    <row r="36" ht="21" customHeight="1">
      <c r="A36" s="59" t="n"/>
      <c r="B36" s="42">
        <f>'設定'!$I$11</f>
        <v/>
      </c>
      <c r="C36" s="60" t="n"/>
      <c r="D36" s="60" t="n"/>
      <c r="E36" s="60" t="n"/>
      <c r="F36" s="60" t="n"/>
      <c r="G36" s="60" t="n"/>
      <c r="H36" s="60" t="n"/>
      <c r="I36" s="60" t="n"/>
      <c r="J36" s="60" t="n"/>
      <c r="K36" s="60" t="n"/>
      <c r="L36" s="60" t="n"/>
    </row>
    <row r="37" ht="21" customHeight="1">
      <c r="A37" s="59" t="n"/>
      <c r="B37" s="42">
        <f>'設定'!$I$12</f>
        <v/>
      </c>
      <c r="C37" s="60" t="n"/>
      <c r="D37" s="60" t="n"/>
      <c r="E37" s="60" t="n"/>
      <c r="F37" s="60" t="n"/>
      <c r="G37" s="60" t="n"/>
      <c r="H37" s="60" t="n"/>
      <c r="I37" s="60" t="n"/>
      <c r="J37" s="60" t="n"/>
      <c r="K37" s="60" t="n"/>
      <c r="L37" s="60" t="n"/>
    </row>
    <row r="38" ht="21" customHeight="1">
      <c r="A38" s="59" t="n"/>
      <c r="B38" s="42">
        <f>'設定'!$I$13</f>
        <v/>
      </c>
      <c r="C38" s="60" t="n"/>
      <c r="D38" s="60" t="n"/>
      <c r="E38" s="60" t="n"/>
      <c r="F38" s="60" t="n"/>
      <c r="G38" s="60" t="n"/>
      <c r="H38" s="60" t="n"/>
      <c r="I38" s="60" t="n"/>
      <c r="J38" s="60" t="n"/>
      <c r="K38" s="60" t="n"/>
      <c r="L38" s="60" t="n"/>
    </row>
    <row r="39" ht="21" customHeight="1">
      <c r="A39" s="59" t="n"/>
      <c r="B39" s="42">
        <f>'設定'!$I$14</f>
        <v/>
      </c>
      <c r="C39" s="60" t="n"/>
      <c r="D39" s="60" t="n"/>
      <c r="E39" s="60" t="n"/>
      <c r="F39" s="60" t="n"/>
      <c r="G39" s="60" t="n"/>
      <c r="H39" s="60" t="n"/>
      <c r="I39" s="60" t="n"/>
      <c r="J39" s="60" t="n"/>
      <c r="K39" s="60" t="n"/>
      <c r="L39" s="60" t="n"/>
    </row>
    <row r="40" ht="21" customHeight="1">
      <c r="A40" s="59" t="n"/>
      <c r="B40" s="42">
        <f>'設定'!$I$15</f>
        <v/>
      </c>
      <c r="C40" s="60" t="n"/>
      <c r="D40" s="60" t="n"/>
      <c r="E40" s="60" t="n"/>
      <c r="F40" s="60" t="n"/>
      <c r="G40" s="60" t="n"/>
      <c r="H40" s="60" t="n"/>
      <c r="I40" s="60" t="n"/>
      <c r="J40" s="60" t="n"/>
      <c r="K40" s="60" t="n"/>
      <c r="L40" s="60" t="n"/>
    </row>
    <row r="41" ht="21" customHeight="1">
      <c r="A41" s="59" t="n"/>
      <c r="B41" s="42">
        <f>'設定'!$I$16</f>
        <v/>
      </c>
      <c r="C41" s="60" t="n"/>
      <c r="D41" s="60" t="n"/>
      <c r="E41" s="60" t="n"/>
      <c r="F41" s="60" t="n"/>
      <c r="G41" s="60" t="n"/>
      <c r="H41" s="60" t="n"/>
      <c r="I41" s="60" t="n"/>
      <c r="J41" s="60" t="n"/>
      <c r="K41" s="60" t="n"/>
      <c r="L41" s="60" t="n"/>
    </row>
    <row r="42" ht="21" customHeight="1">
      <c r="A42" s="59" t="n"/>
      <c r="B42" s="42">
        <f>'設定'!$I$17</f>
        <v/>
      </c>
      <c r="C42" s="60" t="n"/>
      <c r="D42" s="60" t="n"/>
      <c r="E42" s="60" t="n"/>
      <c r="F42" s="60" t="n"/>
      <c r="G42" s="60" t="n"/>
      <c r="H42" s="60" t="n"/>
      <c r="I42" s="60" t="n"/>
      <c r="J42" s="60" t="n"/>
      <c r="K42" s="60" t="n"/>
      <c r="L42" s="60" t="n"/>
    </row>
    <row r="43" ht="21" customHeight="1">
      <c r="A43" s="59" t="n"/>
      <c r="B43" s="42">
        <f>'設定'!$I$18</f>
        <v/>
      </c>
      <c r="C43" s="60" t="n"/>
      <c r="D43" s="60" t="n"/>
      <c r="E43" s="60" t="n"/>
      <c r="F43" s="60" t="n"/>
      <c r="G43" s="60" t="n"/>
      <c r="H43" s="60" t="n"/>
      <c r="I43" s="60" t="n"/>
      <c r="J43" s="60" t="n"/>
      <c r="K43" s="60" t="n"/>
      <c r="L43" s="60" t="n"/>
    </row>
    <row r="44" ht="21" customHeight="1">
      <c r="A44" s="59" t="n"/>
      <c r="B44" s="42">
        <f>'設定'!$I$19</f>
        <v/>
      </c>
      <c r="C44" s="60" t="n"/>
      <c r="D44" s="60" t="n"/>
      <c r="E44" s="60" t="n"/>
      <c r="F44" s="60" t="n"/>
      <c r="G44" s="60" t="n"/>
      <c r="H44" s="60" t="n"/>
      <c r="I44" s="60" t="n"/>
      <c r="J44" s="60" t="n"/>
      <c r="K44" s="60" t="n"/>
      <c r="L44" s="60" t="n"/>
    </row>
    <row r="45" ht="21" customHeight="1">
      <c r="A45" s="59" t="n"/>
      <c r="B45" s="42">
        <f>'設定'!$I$20</f>
        <v/>
      </c>
      <c r="C45" s="60" t="n"/>
      <c r="D45" s="60" t="n"/>
      <c r="E45" s="60" t="n"/>
      <c r="F45" s="60" t="n"/>
      <c r="G45" s="60" t="n"/>
      <c r="H45" s="60" t="n"/>
      <c r="I45" s="60" t="n"/>
      <c r="J45" s="60" t="n"/>
      <c r="K45" s="60" t="n"/>
      <c r="L45" s="60" t="n"/>
    </row>
    <row r="46" ht="21" customHeight="1">
      <c r="A46" s="59" t="n"/>
      <c r="B46" s="42">
        <f>'設定'!$I$21</f>
        <v/>
      </c>
      <c r="C46" s="60" t="n"/>
      <c r="D46" s="60" t="n"/>
      <c r="E46" s="60" t="n"/>
      <c r="F46" s="60" t="n"/>
      <c r="G46" s="60" t="n"/>
      <c r="H46" s="60" t="n"/>
      <c r="I46" s="60" t="n"/>
      <c r="J46" s="60" t="n"/>
      <c r="K46" s="60" t="n"/>
      <c r="L46" s="60" t="n"/>
    </row>
    <row r="47" ht="21" customHeight="1">
      <c r="A47" s="59" t="n"/>
      <c r="B47" s="42">
        <f>'設定'!$I$22</f>
        <v/>
      </c>
      <c r="C47" s="60" t="n"/>
      <c r="D47" s="60" t="n"/>
      <c r="E47" s="60" t="n"/>
      <c r="F47" s="60" t="n"/>
      <c r="G47" s="60" t="n"/>
      <c r="H47" s="60" t="n"/>
      <c r="I47" s="60" t="n"/>
      <c r="J47" s="60" t="n"/>
      <c r="K47" s="60" t="n"/>
      <c r="L47" s="60" t="n"/>
    </row>
    <row r="48" ht="21" customHeight="1">
      <c r="A48" s="59" t="n"/>
      <c r="B48" s="42">
        <f>'設定'!$I$23</f>
        <v/>
      </c>
      <c r="C48" s="60" t="n"/>
      <c r="D48" s="60" t="n"/>
      <c r="E48" s="60" t="n"/>
      <c r="F48" s="60" t="n"/>
      <c r="G48" s="60" t="n"/>
      <c r="H48" s="60" t="n"/>
      <c r="I48" s="60" t="n"/>
      <c r="J48" s="60" t="n"/>
      <c r="K48" s="60" t="n"/>
      <c r="L48" s="60" t="n"/>
    </row>
    <row r="49" ht="21" customHeight="1">
      <c r="A49" s="59" t="n"/>
      <c r="B49" s="42">
        <f>'設定'!$I$24</f>
        <v/>
      </c>
      <c r="C49" s="60" t="n"/>
      <c r="D49" s="60" t="n"/>
      <c r="E49" s="60" t="n"/>
      <c r="F49" s="60" t="n"/>
      <c r="G49" s="60" t="n"/>
      <c r="H49" s="60" t="n"/>
      <c r="I49" s="60" t="n"/>
      <c r="J49" s="60" t="n"/>
      <c r="K49" s="60" t="n"/>
      <c r="L49" s="60" t="n"/>
    </row>
    <row r="50" ht="21" customHeight="1">
      <c r="A50" s="59" t="n"/>
      <c r="B50" s="42">
        <f>'設定'!$I$25</f>
        <v/>
      </c>
      <c r="C50" s="60" t="n"/>
      <c r="D50" s="60" t="n"/>
      <c r="E50" s="60" t="n"/>
      <c r="F50" s="60" t="n"/>
      <c r="G50" s="60" t="n"/>
      <c r="H50" s="60" t="n"/>
      <c r="I50" s="60" t="n"/>
      <c r="J50" s="60" t="n"/>
      <c r="K50" s="60" t="n"/>
      <c r="L50" s="60" t="n"/>
    </row>
    <row r="51" ht="21" customHeight="1">
      <c r="A51" s="59" t="n"/>
      <c r="B51" s="42">
        <f>'設定'!$I$26</f>
        <v/>
      </c>
      <c r="C51" s="60" t="n"/>
      <c r="D51" s="60" t="n"/>
      <c r="E51" s="60" t="n"/>
      <c r="F51" s="60" t="n"/>
      <c r="G51" s="60" t="n"/>
      <c r="H51" s="60" t="n"/>
      <c r="I51" s="60" t="n"/>
      <c r="J51" s="60" t="n"/>
      <c r="K51" s="60" t="n"/>
      <c r="L51" s="60" t="n"/>
    </row>
    <row r="52" ht="21" customHeight="1">
      <c r="A52" s="59" t="n"/>
      <c r="B52" s="42">
        <f>'設定'!$I$27</f>
        <v/>
      </c>
      <c r="C52" s="60" t="n"/>
      <c r="D52" s="60" t="n"/>
      <c r="E52" s="60" t="n"/>
      <c r="F52" s="60" t="n"/>
      <c r="G52" s="60" t="n"/>
      <c r="H52" s="60" t="n"/>
      <c r="I52" s="60" t="n"/>
      <c r="J52" s="60" t="n"/>
      <c r="K52" s="60" t="n"/>
      <c r="L52" s="60" t="n"/>
    </row>
    <row r="53" ht="21" customHeight="1">
      <c r="A53" s="59" t="n"/>
      <c r="B53" s="42">
        <f>'設定'!$I$28</f>
        <v/>
      </c>
      <c r="C53" s="60" t="n"/>
      <c r="D53" s="60" t="n"/>
      <c r="E53" s="60" t="n"/>
      <c r="F53" s="60" t="n"/>
      <c r="G53" s="60" t="n"/>
      <c r="H53" s="60" t="n"/>
      <c r="I53" s="60" t="n"/>
      <c r="J53" s="60" t="n"/>
      <c r="K53" s="60" t="n"/>
      <c r="L53" s="60" t="n"/>
    </row>
    <row r="54" ht="21" customHeight="1">
      <c r="A54" s="59" t="n"/>
      <c r="B54" s="42">
        <f>'設定'!$I$29</f>
        <v/>
      </c>
      <c r="C54" s="60" t="n"/>
      <c r="D54" s="60" t="n"/>
      <c r="E54" s="60" t="n"/>
      <c r="F54" s="60" t="n"/>
      <c r="G54" s="60" t="n"/>
      <c r="H54" s="60" t="n"/>
      <c r="I54" s="60" t="n"/>
      <c r="J54" s="60" t="n"/>
      <c r="K54" s="60" t="n"/>
      <c r="L54" s="60" t="n"/>
    </row>
    <row r="55" ht="21" customHeight="1">
      <c r="A55" s="59" t="n"/>
      <c r="B55" s="42">
        <f>'設定'!$I$30</f>
        <v/>
      </c>
      <c r="C55" s="60" t="n"/>
      <c r="D55" s="60" t="n"/>
      <c r="E55" s="60" t="n"/>
      <c r="F55" s="60" t="n"/>
      <c r="G55" s="60" t="n"/>
      <c r="H55" s="60" t="n"/>
      <c r="I55" s="60" t="n"/>
      <c r="J55" s="60" t="n"/>
      <c r="K55" s="60" t="n"/>
      <c r="L55" s="60" t="n"/>
    </row>
    <row r="56" ht="21" customHeight="1">
      <c r="A56" s="59" t="n"/>
      <c r="B56" s="42">
        <f>'設定'!$I$31</f>
        <v/>
      </c>
      <c r="C56" s="60" t="n"/>
      <c r="D56" s="60" t="n"/>
      <c r="E56" s="60" t="n"/>
      <c r="F56" s="60" t="n"/>
      <c r="G56" s="60" t="n"/>
      <c r="H56" s="60" t="n"/>
      <c r="I56" s="60" t="n"/>
      <c r="J56" s="60" t="n"/>
      <c r="K56" s="60" t="n"/>
      <c r="L56" s="60" t="n"/>
    </row>
    <row r="57" ht="21" customHeight="1">
      <c r="A57" s="59" t="n"/>
      <c r="B57" s="42">
        <f>'設定'!$I$32</f>
        <v/>
      </c>
      <c r="C57" s="60" t="n"/>
      <c r="D57" s="60" t="n"/>
      <c r="E57" s="60" t="n"/>
      <c r="F57" s="60" t="n"/>
      <c r="G57" s="60" t="n"/>
      <c r="H57" s="60" t="n"/>
      <c r="I57" s="60" t="n"/>
      <c r="J57" s="60" t="n"/>
      <c r="K57" s="60" t="n"/>
      <c r="L57" s="60" t="n"/>
    </row>
    <row r="58" ht="21" customHeight="1">
      <c r="A58" s="59" t="n"/>
      <c r="B58" s="42">
        <f>'設定'!$I$33</f>
        <v/>
      </c>
      <c r="C58" s="60" t="n"/>
      <c r="D58" s="60" t="n"/>
      <c r="E58" s="60" t="n"/>
      <c r="F58" s="60" t="n"/>
      <c r="G58" s="60" t="n"/>
      <c r="H58" s="60" t="n"/>
      <c r="I58" s="60" t="n"/>
      <c r="J58" s="60" t="n"/>
      <c r="K58" s="60" t="n"/>
      <c r="L58" s="60" t="n"/>
    </row>
    <row r="59" ht="21" customHeight="1">
      <c r="A59" s="59" t="n"/>
      <c r="B59" s="42">
        <f>'設定'!$I$34</f>
        <v/>
      </c>
      <c r="C59" s="60" t="n"/>
      <c r="D59" s="60" t="n"/>
      <c r="E59" s="60" t="n"/>
      <c r="F59" s="60" t="n"/>
      <c r="G59" s="60" t="n"/>
      <c r="H59" s="60" t="n"/>
      <c r="I59" s="60" t="n"/>
      <c r="J59" s="60" t="n"/>
      <c r="K59" s="60" t="n"/>
      <c r="L59" s="60" t="n"/>
    </row>
    <row r="60"/>
    <row r="61" ht="26" customHeight="1">
      <c r="B61" s="53">
        <f>IF('名簿'!B7="","（名簿 3行目：なし）",'名簿'!G7)</f>
        <v/>
      </c>
      <c r="C61" s="4" t="n"/>
      <c r="D61" s="4" t="n"/>
      <c r="E61" s="54" t="inlineStr">
        <is>
          <t>提出状況 ▶</t>
        </is>
      </c>
      <c r="F61" s="38" t="n"/>
      <c r="G61" s="29" t="n"/>
      <c r="H61" s="55" t="inlineStr">
        <is>
          <t>状況：</t>
        </is>
      </c>
      <c r="I61" s="56">
        <f>'名簿'!H7</f>
        <v/>
      </c>
      <c r="J61" s="55" t="inlineStr">
        <is>
          <t>×の数：</t>
        </is>
      </c>
      <c r="K61" s="57">
        <f>'名簿'!I7</f>
        <v/>
      </c>
      <c r="L61" s="58">
        <f>HYPERLINK("#'×入力'!B89","次の人へ ▼")</f>
        <v/>
      </c>
    </row>
    <row r="62" ht="22" customHeight="1">
      <c r="A62" s="30" t="inlineStr">
        <is>
          <t>この日全部 ▶</t>
        </is>
      </c>
      <c r="C62" s="59" t="n"/>
      <c r="D62" s="59" t="n"/>
      <c r="E62" s="59" t="n"/>
      <c r="F62" s="59" t="n"/>
      <c r="G62" s="59" t="n"/>
      <c r="H62" s="59" t="n"/>
      <c r="I62" s="59" t="n"/>
      <c r="J62" s="59" t="n"/>
      <c r="K62" s="59" t="n"/>
      <c r="L62" s="59" t="n"/>
    </row>
    <row r="63" ht="28" customHeight="1">
      <c r="A63" s="33" t="inlineStr">
        <is>
          <t>この時間
全部 ▼</t>
        </is>
      </c>
      <c r="B63" s="34" t="inlineStr"/>
      <c r="C63" s="35">
        <f>'設定'!$E$11</f>
        <v/>
      </c>
      <c r="D63" s="35">
        <f>'設定'!$E$12</f>
        <v/>
      </c>
      <c r="E63" s="35">
        <f>'設定'!$E$13</f>
        <v/>
      </c>
      <c r="F63" s="35">
        <f>'設定'!$E$14</f>
        <v/>
      </c>
      <c r="G63" s="35">
        <f>'設定'!$E$15</f>
        <v/>
      </c>
      <c r="H63" s="35">
        <f>'設定'!$E$16</f>
        <v/>
      </c>
      <c r="I63" s="35">
        <f>'設定'!$E$17</f>
        <v/>
      </c>
      <c r="J63" s="35">
        <f>'設定'!$E$18</f>
        <v/>
      </c>
      <c r="K63" s="35">
        <f>'設定'!$E$19</f>
        <v/>
      </c>
      <c r="L63" s="35">
        <f>'設定'!$E$20</f>
        <v/>
      </c>
    </row>
    <row r="64" ht="21" customHeight="1">
      <c r="A64" s="59" t="n"/>
      <c r="B64" s="42">
        <f>'設定'!$I$11</f>
        <v/>
      </c>
      <c r="C64" s="60" t="n"/>
      <c r="D64" s="60" t="n"/>
      <c r="E64" s="60" t="n"/>
      <c r="F64" s="60" t="n"/>
      <c r="G64" s="60" t="n"/>
      <c r="H64" s="60" t="n"/>
      <c r="I64" s="60" t="n"/>
      <c r="J64" s="60" t="n"/>
      <c r="K64" s="60" t="n"/>
      <c r="L64" s="60" t="n"/>
    </row>
    <row r="65" ht="21" customHeight="1">
      <c r="A65" s="59" t="n"/>
      <c r="B65" s="42">
        <f>'設定'!$I$12</f>
        <v/>
      </c>
      <c r="C65" s="60" t="n"/>
      <c r="D65" s="60" t="n"/>
      <c r="E65" s="60" t="n"/>
      <c r="F65" s="60" t="n"/>
      <c r="G65" s="60" t="n"/>
      <c r="H65" s="60" t="n"/>
      <c r="I65" s="60" t="n"/>
      <c r="J65" s="60" t="n"/>
      <c r="K65" s="60" t="n"/>
      <c r="L65" s="60" t="n"/>
    </row>
    <row r="66" ht="21" customHeight="1">
      <c r="A66" s="59" t="n"/>
      <c r="B66" s="42">
        <f>'設定'!$I$13</f>
        <v/>
      </c>
      <c r="C66" s="60" t="n"/>
      <c r="D66" s="60" t="n"/>
      <c r="E66" s="60" t="n"/>
      <c r="F66" s="60" t="n"/>
      <c r="G66" s="60" t="n"/>
      <c r="H66" s="60" t="n"/>
      <c r="I66" s="60" t="n"/>
      <c r="J66" s="60" t="n"/>
      <c r="K66" s="60" t="n"/>
      <c r="L66" s="60" t="n"/>
    </row>
    <row r="67" ht="21" customHeight="1">
      <c r="A67" s="59" t="n"/>
      <c r="B67" s="42">
        <f>'設定'!$I$14</f>
        <v/>
      </c>
      <c r="C67" s="60" t="n"/>
      <c r="D67" s="60" t="n"/>
      <c r="E67" s="60" t="n"/>
      <c r="F67" s="60" t="n"/>
      <c r="G67" s="60" t="n"/>
      <c r="H67" s="60" t="n"/>
      <c r="I67" s="60" t="n"/>
      <c r="J67" s="60" t="n"/>
      <c r="K67" s="60" t="n"/>
      <c r="L67" s="60" t="n"/>
    </row>
    <row r="68" ht="21" customHeight="1">
      <c r="A68" s="59" t="n"/>
      <c r="B68" s="42">
        <f>'設定'!$I$15</f>
        <v/>
      </c>
      <c r="C68" s="60" t="n"/>
      <c r="D68" s="60" t="n"/>
      <c r="E68" s="60" t="n"/>
      <c r="F68" s="60" t="n"/>
      <c r="G68" s="60" t="n"/>
      <c r="H68" s="60" t="n"/>
      <c r="I68" s="60" t="n"/>
      <c r="J68" s="60" t="n"/>
      <c r="K68" s="60" t="n"/>
      <c r="L68" s="60" t="n"/>
    </row>
    <row r="69" ht="21" customHeight="1">
      <c r="A69" s="59" t="n"/>
      <c r="B69" s="42">
        <f>'設定'!$I$16</f>
        <v/>
      </c>
      <c r="C69" s="60" t="n"/>
      <c r="D69" s="60" t="n"/>
      <c r="E69" s="60" t="n"/>
      <c r="F69" s="60" t="n"/>
      <c r="G69" s="60" t="n"/>
      <c r="H69" s="60" t="n"/>
      <c r="I69" s="60" t="n"/>
      <c r="J69" s="60" t="n"/>
      <c r="K69" s="60" t="n"/>
      <c r="L69" s="60" t="n"/>
    </row>
    <row r="70" ht="21" customHeight="1">
      <c r="A70" s="59" t="n"/>
      <c r="B70" s="42">
        <f>'設定'!$I$17</f>
        <v/>
      </c>
      <c r="C70" s="60" t="n"/>
      <c r="D70" s="60" t="n"/>
      <c r="E70" s="60" t="n"/>
      <c r="F70" s="60" t="n"/>
      <c r="G70" s="60" t="n"/>
      <c r="H70" s="60" t="n"/>
      <c r="I70" s="60" t="n"/>
      <c r="J70" s="60" t="n"/>
      <c r="K70" s="60" t="n"/>
      <c r="L70" s="60" t="n"/>
    </row>
    <row r="71" ht="21" customHeight="1">
      <c r="A71" s="59" t="n"/>
      <c r="B71" s="42">
        <f>'設定'!$I$18</f>
        <v/>
      </c>
      <c r="C71" s="60" t="n"/>
      <c r="D71" s="60" t="n"/>
      <c r="E71" s="60" t="n"/>
      <c r="F71" s="60" t="n"/>
      <c r="G71" s="60" t="n"/>
      <c r="H71" s="60" t="n"/>
      <c r="I71" s="60" t="n"/>
      <c r="J71" s="60" t="n"/>
      <c r="K71" s="60" t="n"/>
      <c r="L71" s="60" t="n"/>
    </row>
    <row r="72" ht="21" customHeight="1">
      <c r="A72" s="59" t="n"/>
      <c r="B72" s="42">
        <f>'設定'!$I$19</f>
        <v/>
      </c>
      <c r="C72" s="60" t="n"/>
      <c r="D72" s="60" t="n"/>
      <c r="E72" s="60" t="n"/>
      <c r="F72" s="60" t="n"/>
      <c r="G72" s="60" t="n"/>
      <c r="H72" s="60" t="n"/>
      <c r="I72" s="60" t="n"/>
      <c r="J72" s="60" t="n"/>
      <c r="K72" s="60" t="n"/>
      <c r="L72" s="60" t="n"/>
    </row>
    <row r="73" ht="21" customHeight="1">
      <c r="A73" s="59" t="n"/>
      <c r="B73" s="42">
        <f>'設定'!$I$20</f>
        <v/>
      </c>
      <c r="C73" s="60" t="n"/>
      <c r="D73" s="60" t="n"/>
      <c r="E73" s="60" t="n"/>
      <c r="F73" s="60" t="n"/>
      <c r="G73" s="60" t="n"/>
      <c r="H73" s="60" t="n"/>
      <c r="I73" s="60" t="n"/>
      <c r="J73" s="60" t="n"/>
      <c r="K73" s="60" t="n"/>
      <c r="L73" s="60" t="n"/>
    </row>
    <row r="74" ht="21" customHeight="1">
      <c r="A74" s="59" t="n"/>
      <c r="B74" s="42">
        <f>'設定'!$I$21</f>
        <v/>
      </c>
      <c r="C74" s="60" t="n"/>
      <c r="D74" s="60" t="n"/>
      <c r="E74" s="60" t="n"/>
      <c r="F74" s="60" t="n"/>
      <c r="G74" s="60" t="n"/>
      <c r="H74" s="60" t="n"/>
      <c r="I74" s="60" t="n"/>
      <c r="J74" s="60" t="n"/>
      <c r="K74" s="60" t="n"/>
      <c r="L74" s="60" t="n"/>
    </row>
    <row r="75" ht="21" customHeight="1">
      <c r="A75" s="59" t="n"/>
      <c r="B75" s="42">
        <f>'設定'!$I$22</f>
        <v/>
      </c>
      <c r="C75" s="60" t="n"/>
      <c r="D75" s="60" t="n"/>
      <c r="E75" s="60" t="n"/>
      <c r="F75" s="60" t="n"/>
      <c r="G75" s="60" t="n"/>
      <c r="H75" s="60" t="n"/>
      <c r="I75" s="60" t="n"/>
      <c r="J75" s="60" t="n"/>
      <c r="K75" s="60" t="n"/>
      <c r="L75" s="60" t="n"/>
    </row>
    <row r="76" ht="21" customHeight="1">
      <c r="A76" s="59" t="n"/>
      <c r="B76" s="42">
        <f>'設定'!$I$23</f>
        <v/>
      </c>
      <c r="C76" s="60" t="n"/>
      <c r="D76" s="60" t="n"/>
      <c r="E76" s="60" t="n"/>
      <c r="F76" s="60" t="n"/>
      <c r="G76" s="60" t="n"/>
      <c r="H76" s="60" t="n"/>
      <c r="I76" s="60" t="n"/>
      <c r="J76" s="60" t="n"/>
      <c r="K76" s="60" t="n"/>
      <c r="L76" s="60" t="n"/>
    </row>
    <row r="77" ht="21" customHeight="1">
      <c r="A77" s="59" t="n"/>
      <c r="B77" s="42">
        <f>'設定'!$I$24</f>
        <v/>
      </c>
      <c r="C77" s="60" t="n"/>
      <c r="D77" s="60" t="n"/>
      <c r="E77" s="60" t="n"/>
      <c r="F77" s="60" t="n"/>
      <c r="G77" s="60" t="n"/>
      <c r="H77" s="60" t="n"/>
      <c r="I77" s="60" t="n"/>
      <c r="J77" s="60" t="n"/>
      <c r="K77" s="60" t="n"/>
      <c r="L77" s="60" t="n"/>
    </row>
    <row r="78" ht="21" customHeight="1">
      <c r="A78" s="59" t="n"/>
      <c r="B78" s="42">
        <f>'設定'!$I$25</f>
        <v/>
      </c>
      <c r="C78" s="60" t="n"/>
      <c r="D78" s="60" t="n"/>
      <c r="E78" s="60" t="n"/>
      <c r="F78" s="60" t="n"/>
      <c r="G78" s="60" t="n"/>
      <c r="H78" s="60" t="n"/>
      <c r="I78" s="60" t="n"/>
      <c r="J78" s="60" t="n"/>
      <c r="K78" s="60" t="n"/>
      <c r="L78" s="60" t="n"/>
    </row>
    <row r="79" ht="21" customHeight="1">
      <c r="A79" s="59" t="n"/>
      <c r="B79" s="42">
        <f>'設定'!$I$26</f>
        <v/>
      </c>
      <c r="C79" s="60" t="n"/>
      <c r="D79" s="60" t="n"/>
      <c r="E79" s="60" t="n"/>
      <c r="F79" s="60" t="n"/>
      <c r="G79" s="60" t="n"/>
      <c r="H79" s="60" t="n"/>
      <c r="I79" s="60" t="n"/>
      <c r="J79" s="60" t="n"/>
      <c r="K79" s="60" t="n"/>
      <c r="L79" s="60" t="n"/>
    </row>
    <row r="80" ht="21" customHeight="1">
      <c r="A80" s="59" t="n"/>
      <c r="B80" s="42">
        <f>'設定'!$I$27</f>
        <v/>
      </c>
      <c r="C80" s="60" t="n"/>
      <c r="D80" s="60" t="n"/>
      <c r="E80" s="60" t="n"/>
      <c r="F80" s="60" t="n"/>
      <c r="G80" s="60" t="n"/>
      <c r="H80" s="60" t="n"/>
      <c r="I80" s="60" t="n"/>
      <c r="J80" s="60" t="n"/>
      <c r="K80" s="60" t="n"/>
      <c r="L80" s="60" t="n"/>
    </row>
    <row r="81" ht="21" customHeight="1">
      <c r="A81" s="59" t="n"/>
      <c r="B81" s="42">
        <f>'設定'!$I$28</f>
        <v/>
      </c>
      <c r="C81" s="60" t="n"/>
      <c r="D81" s="60" t="n"/>
      <c r="E81" s="60" t="n"/>
      <c r="F81" s="60" t="n"/>
      <c r="G81" s="60" t="n"/>
      <c r="H81" s="60" t="n"/>
      <c r="I81" s="60" t="n"/>
      <c r="J81" s="60" t="n"/>
      <c r="K81" s="60" t="n"/>
      <c r="L81" s="60" t="n"/>
    </row>
    <row r="82" ht="21" customHeight="1">
      <c r="A82" s="59" t="n"/>
      <c r="B82" s="42">
        <f>'設定'!$I$29</f>
        <v/>
      </c>
      <c r="C82" s="60" t="n"/>
      <c r="D82" s="60" t="n"/>
      <c r="E82" s="60" t="n"/>
      <c r="F82" s="60" t="n"/>
      <c r="G82" s="60" t="n"/>
      <c r="H82" s="60" t="n"/>
      <c r="I82" s="60" t="n"/>
      <c r="J82" s="60" t="n"/>
      <c r="K82" s="60" t="n"/>
      <c r="L82" s="60" t="n"/>
    </row>
    <row r="83" ht="21" customHeight="1">
      <c r="A83" s="59" t="n"/>
      <c r="B83" s="42">
        <f>'設定'!$I$30</f>
        <v/>
      </c>
      <c r="C83" s="60" t="n"/>
      <c r="D83" s="60" t="n"/>
      <c r="E83" s="60" t="n"/>
      <c r="F83" s="60" t="n"/>
      <c r="G83" s="60" t="n"/>
      <c r="H83" s="60" t="n"/>
      <c r="I83" s="60" t="n"/>
      <c r="J83" s="60" t="n"/>
      <c r="K83" s="60" t="n"/>
      <c r="L83" s="60" t="n"/>
    </row>
    <row r="84" ht="21" customHeight="1">
      <c r="A84" s="59" t="n"/>
      <c r="B84" s="42">
        <f>'設定'!$I$31</f>
        <v/>
      </c>
      <c r="C84" s="60" t="n"/>
      <c r="D84" s="60" t="n"/>
      <c r="E84" s="60" t="n"/>
      <c r="F84" s="60" t="n"/>
      <c r="G84" s="60" t="n"/>
      <c r="H84" s="60" t="n"/>
      <c r="I84" s="60" t="n"/>
      <c r="J84" s="60" t="n"/>
      <c r="K84" s="60" t="n"/>
      <c r="L84" s="60" t="n"/>
    </row>
    <row r="85" ht="21" customHeight="1">
      <c r="A85" s="59" t="n"/>
      <c r="B85" s="42">
        <f>'設定'!$I$32</f>
        <v/>
      </c>
      <c r="C85" s="60" t="n"/>
      <c r="D85" s="60" t="n"/>
      <c r="E85" s="60" t="n"/>
      <c r="F85" s="60" t="n"/>
      <c r="G85" s="60" t="n"/>
      <c r="H85" s="60" t="n"/>
      <c r="I85" s="60" t="n"/>
      <c r="J85" s="60" t="n"/>
      <c r="K85" s="60" t="n"/>
      <c r="L85" s="60" t="n"/>
    </row>
    <row r="86" ht="21" customHeight="1">
      <c r="A86" s="59" t="n"/>
      <c r="B86" s="42">
        <f>'設定'!$I$33</f>
        <v/>
      </c>
      <c r="C86" s="60" t="n"/>
      <c r="D86" s="60" t="n"/>
      <c r="E86" s="60" t="n"/>
      <c r="F86" s="60" t="n"/>
      <c r="G86" s="60" t="n"/>
      <c r="H86" s="60" t="n"/>
      <c r="I86" s="60" t="n"/>
      <c r="J86" s="60" t="n"/>
      <c r="K86" s="60" t="n"/>
      <c r="L86" s="60" t="n"/>
    </row>
    <row r="87" ht="21" customHeight="1">
      <c r="A87" s="59" t="n"/>
      <c r="B87" s="42">
        <f>'設定'!$I$34</f>
        <v/>
      </c>
      <c r="C87" s="60" t="n"/>
      <c r="D87" s="60" t="n"/>
      <c r="E87" s="60" t="n"/>
      <c r="F87" s="60" t="n"/>
      <c r="G87" s="60" t="n"/>
      <c r="H87" s="60" t="n"/>
      <c r="I87" s="60" t="n"/>
      <c r="J87" s="60" t="n"/>
      <c r="K87" s="60" t="n"/>
      <c r="L87" s="60" t="n"/>
    </row>
    <row r="88"/>
    <row r="89" ht="26" customHeight="1">
      <c r="B89" s="53">
        <f>IF('名簿'!B8="","（名簿 4行目：なし）",'名簿'!G8)</f>
        <v/>
      </c>
      <c r="C89" s="4" t="n"/>
      <c r="D89" s="4" t="n"/>
      <c r="E89" s="54" t="inlineStr">
        <is>
          <t>提出状況 ▶</t>
        </is>
      </c>
      <c r="F89" s="38" t="n"/>
      <c r="G89" s="29" t="n"/>
      <c r="H89" s="55" t="inlineStr">
        <is>
          <t>状況：</t>
        </is>
      </c>
      <c r="I89" s="56">
        <f>'名簿'!H8</f>
        <v/>
      </c>
      <c r="J89" s="55" t="inlineStr">
        <is>
          <t>×の数：</t>
        </is>
      </c>
      <c r="K89" s="57">
        <f>'名簿'!I8</f>
        <v/>
      </c>
      <c r="L89" s="58">
        <f>HYPERLINK("#'×入力'!B117","次の人へ ▼")</f>
        <v/>
      </c>
    </row>
    <row r="90" ht="22" customHeight="1">
      <c r="A90" s="30" t="inlineStr">
        <is>
          <t>この日全部 ▶</t>
        </is>
      </c>
      <c r="C90" s="59" t="n"/>
      <c r="D90" s="59" t="n"/>
      <c r="E90" s="59" t="n"/>
      <c r="F90" s="59" t="n"/>
      <c r="G90" s="59" t="n"/>
      <c r="H90" s="59" t="n"/>
      <c r="I90" s="59" t="n"/>
      <c r="J90" s="59" t="n"/>
      <c r="K90" s="59" t="n"/>
      <c r="L90" s="59" t="n"/>
    </row>
    <row r="91" ht="28" customHeight="1">
      <c r="A91" s="33" t="inlineStr">
        <is>
          <t>この時間
全部 ▼</t>
        </is>
      </c>
      <c r="B91" s="34" t="inlineStr"/>
      <c r="C91" s="35">
        <f>'設定'!$E$11</f>
        <v/>
      </c>
      <c r="D91" s="35">
        <f>'設定'!$E$12</f>
        <v/>
      </c>
      <c r="E91" s="35">
        <f>'設定'!$E$13</f>
        <v/>
      </c>
      <c r="F91" s="35">
        <f>'設定'!$E$14</f>
        <v/>
      </c>
      <c r="G91" s="35">
        <f>'設定'!$E$15</f>
        <v/>
      </c>
      <c r="H91" s="35">
        <f>'設定'!$E$16</f>
        <v/>
      </c>
      <c r="I91" s="35">
        <f>'設定'!$E$17</f>
        <v/>
      </c>
      <c r="J91" s="35">
        <f>'設定'!$E$18</f>
        <v/>
      </c>
      <c r="K91" s="35">
        <f>'設定'!$E$19</f>
        <v/>
      </c>
      <c r="L91" s="35">
        <f>'設定'!$E$20</f>
        <v/>
      </c>
    </row>
    <row r="92" ht="21" customHeight="1">
      <c r="A92" s="59" t="n"/>
      <c r="B92" s="42">
        <f>'設定'!$I$11</f>
        <v/>
      </c>
      <c r="C92" s="60" t="n"/>
      <c r="D92" s="60" t="n"/>
      <c r="E92" s="60" t="n"/>
      <c r="F92" s="60" t="n"/>
      <c r="G92" s="60" t="n"/>
      <c r="H92" s="60" t="n"/>
      <c r="I92" s="60" t="n"/>
      <c r="J92" s="60" t="n"/>
      <c r="K92" s="60" t="n"/>
      <c r="L92" s="60" t="n"/>
    </row>
    <row r="93" ht="21" customHeight="1">
      <c r="A93" s="59" t="n"/>
      <c r="B93" s="42">
        <f>'設定'!$I$12</f>
        <v/>
      </c>
      <c r="C93" s="60" t="n"/>
      <c r="D93" s="60" t="n"/>
      <c r="E93" s="60" t="n"/>
      <c r="F93" s="60" t="n"/>
      <c r="G93" s="60" t="n"/>
      <c r="H93" s="60" t="n"/>
      <c r="I93" s="60" t="n"/>
      <c r="J93" s="60" t="n"/>
      <c r="K93" s="60" t="n"/>
      <c r="L93" s="60" t="n"/>
    </row>
    <row r="94" ht="21" customHeight="1">
      <c r="A94" s="59" t="n"/>
      <c r="B94" s="42">
        <f>'設定'!$I$13</f>
        <v/>
      </c>
      <c r="C94" s="60" t="n"/>
      <c r="D94" s="60" t="n"/>
      <c r="E94" s="60" t="n"/>
      <c r="F94" s="60" t="n"/>
      <c r="G94" s="60" t="n"/>
      <c r="H94" s="60" t="n"/>
      <c r="I94" s="60" t="n"/>
      <c r="J94" s="60" t="n"/>
      <c r="K94" s="60" t="n"/>
      <c r="L94" s="60" t="n"/>
    </row>
    <row r="95" ht="21" customHeight="1">
      <c r="A95" s="59" t="n"/>
      <c r="B95" s="42">
        <f>'設定'!$I$14</f>
        <v/>
      </c>
      <c r="C95" s="60" t="n"/>
      <c r="D95" s="60" t="n"/>
      <c r="E95" s="60" t="n"/>
      <c r="F95" s="60" t="n"/>
      <c r="G95" s="60" t="n"/>
      <c r="H95" s="60" t="n"/>
      <c r="I95" s="60" t="n"/>
      <c r="J95" s="60" t="n"/>
      <c r="K95" s="60" t="n"/>
      <c r="L95" s="60" t="n"/>
    </row>
    <row r="96" ht="21" customHeight="1">
      <c r="A96" s="59" t="n"/>
      <c r="B96" s="42">
        <f>'設定'!$I$15</f>
        <v/>
      </c>
      <c r="C96" s="60" t="n"/>
      <c r="D96" s="60" t="n"/>
      <c r="E96" s="60" t="n"/>
      <c r="F96" s="60" t="n"/>
      <c r="G96" s="60" t="n"/>
      <c r="H96" s="60" t="n"/>
      <c r="I96" s="60" t="n"/>
      <c r="J96" s="60" t="n"/>
      <c r="K96" s="60" t="n"/>
      <c r="L96" s="60" t="n"/>
    </row>
    <row r="97" ht="21" customHeight="1">
      <c r="A97" s="59" t="n"/>
      <c r="B97" s="42">
        <f>'設定'!$I$16</f>
        <v/>
      </c>
      <c r="C97" s="60" t="n"/>
      <c r="D97" s="60" t="n"/>
      <c r="E97" s="60" t="n"/>
      <c r="F97" s="60" t="n"/>
      <c r="G97" s="60" t="n"/>
      <c r="H97" s="60" t="n"/>
      <c r="I97" s="60" t="n"/>
      <c r="J97" s="60" t="n"/>
      <c r="K97" s="60" t="n"/>
      <c r="L97" s="60" t="n"/>
    </row>
    <row r="98" ht="21" customHeight="1">
      <c r="A98" s="59" t="n"/>
      <c r="B98" s="42">
        <f>'設定'!$I$17</f>
        <v/>
      </c>
      <c r="C98" s="60" t="n"/>
      <c r="D98" s="60" t="n"/>
      <c r="E98" s="60" t="n"/>
      <c r="F98" s="60" t="n"/>
      <c r="G98" s="60" t="n"/>
      <c r="H98" s="60" t="n"/>
      <c r="I98" s="60" t="n"/>
      <c r="J98" s="60" t="n"/>
      <c r="K98" s="60" t="n"/>
      <c r="L98" s="60" t="n"/>
    </row>
    <row r="99" ht="21" customHeight="1">
      <c r="A99" s="59" t="n"/>
      <c r="B99" s="42">
        <f>'設定'!$I$18</f>
        <v/>
      </c>
      <c r="C99" s="60" t="n"/>
      <c r="D99" s="60" t="n"/>
      <c r="E99" s="60" t="n"/>
      <c r="F99" s="60" t="n"/>
      <c r="G99" s="60" t="n"/>
      <c r="H99" s="60" t="n"/>
      <c r="I99" s="60" t="n"/>
      <c r="J99" s="60" t="n"/>
      <c r="K99" s="60" t="n"/>
      <c r="L99" s="60" t="n"/>
    </row>
    <row r="100" ht="21" customHeight="1">
      <c r="A100" s="59" t="n"/>
      <c r="B100" s="42">
        <f>'設定'!$I$19</f>
        <v/>
      </c>
      <c r="C100" s="60" t="n"/>
      <c r="D100" s="60" t="n"/>
      <c r="E100" s="60" t="n"/>
      <c r="F100" s="60" t="n"/>
      <c r="G100" s="60" t="n"/>
      <c r="H100" s="60" t="n"/>
      <c r="I100" s="60" t="n"/>
      <c r="J100" s="60" t="n"/>
      <c r="K100" s="60" t="n"/>
      <c r="L100" s="60" t="n"/>
    </row>
    <row r="101" ht="21" customHeight="1">
      <c r="A101" s="59" t="n"/>
      <c r="B101" s="42">
        <f>'設定'!$I$20</f>
        <v/>
      </c>
      <c r="C101" s="60" t="n"/>
      <c r="D101" s="60" t="n"/>
      <c r="E101" s="60" t="n"/>
      <c r="F101" s="60" t="n"/>
      <c r="G101" s="60" t="n"/>
      <c r="H101" s="60" t="n"/>
      <c r="I101" s="60" t="n"/>
      <c r="J101" s="60" t="n"/>
      <c r="K101" s="60" t="n"/>
      <c r="L101" s="60" t="n"/>
    </row>
    <row r="102" ht="21" customHeight="1">
      <c r="A102" s="59" t="n"/>
      <c r="B102" s="42">
        <f>'設定'!$I$21</f>
        <v/>
      </c>
      <c r="C102" s="60" t="n"/>
      <c r="D102" s="60" t="n"/>
      <c r="E102" s="60" t="n"/>
      <c r="F102" s="60" t="n"/>
      <c r="G102" s="60" t="n"/>
      <c r="H102" s="60" t="n"/>
      <c r="I102" s="60" t="n"/>
      <c r="J102" s="60" t="n"/>
      <c r="K102" s="60" t="n"/>
      <c r="L102" s="60" t="n"/>
    </row>
    <row r="103" ht="21" customHeight="1">
      <c r="A103" s="59" t="n"/>
      <c r="B103" s="42">
        <f>'設定'!$I$22</f>
        <v/>
      </c>
      <c r="C103" s="60" t="n"/>
      <c r="D103" s="60" t="n"/>
      <c r="E103" s="60" t="n"/>
      <c r="F103" s="60" t="n"/>
      <c r="G103" s="60" t="n"/>
      <c r="H103" s="60" t="n"/>
      <c r="I103" s="60" t="n"/>
      <c r="J103" s="60" t="n"/>
      <c r="K103" s="60" t="n"/>
      <c r="L103" s="60" t="n"/>
    </row>
    <row r="104" ht="21" customHeight="1">
      <c r="A104" s="59" t="n"/>
      <c r="B104" s="42">
        <f>'設定'!$I$23</f>
        <v/>
      </c>
      <c r="C104" s="60" t="n"/>
      <c r="D104" s="60" t="n"/>
      <c r="E104" s="60" t="n"/>
      <c r="F104" s="60" t="n"/>
      <c r="G104" s="60" t="n"/>
      <c r="H104" s="60" t="n"/>
      <c r="I104" s="60" t="n"/>
      <c r="J104" s="60" t="n"/>
      <c r="K104" s="60" t="n"/>
      <c r="L104" s="60" t="n"/>
    </row>
    <row r="105" ht="21" customHeight="1">
      <c r="A105" s="59" t="n"/>
      <c r="B105" s="42">
        <f>'設定'!$I$24</f>
        <v/>
      </c>
      <c r="C105" s="60" t="n"/>
      <c r="D105" s="60" t="n"/>
      <c r="E105" s="60" t="n"/>
      <c r="F105" s="60" t="n"/>
      <c r="G105" s="60" t="n"/>
      <c r="H105" s="60" t="n"/>
      <c r="I105" s="60" t="n"/>
      <c r="J105" s="60" t="n"/>
      <c r="K105" s="60" t="n"/>
      <c r="L105" s="60" t="n"/>
    </row>
    <row r="106" ht="21" customHeight="1">
      <c r="A106" s="59" t="n"/>
      <c r="B106" s="42">
        <f>'設定'!$I$25</f>
        <v/>
      </c>
      <c r="C106" s="60" t="n"/>
      <c r="D106" s="60" t="n"/>
      <c r="E106" s="60" t="n"/>
      <c r="F106" s="60" t="n"/>
      <c r="G106" s="60" t="n"/>
      <c r="H106" s="60" t="n"/>
      <c r="I106" s="60" t="n"/>
      <c r="J106" s="60" t="n"/>
      <c r="K106" s="60" t="n"/>
      <c r="L106" s="60" t="n"/>
    </row>
    <row r="107" ht="21" customHeight="1">
      <c r="A107" s="59" t="n"/>
      <c r="B107" s="42">
        <f>'設定'!$I$26</f>
        <v/>
      </c>
      <c r="C107" s="60" t="n"/>
      <c r="D107" s="60" t="n"/>
      <c r="E107" s="60" t="n"/>
      <c r="F107" s="60" t="n"/>
      <c r="G107" s="60" t="n"/>
      <c r="H107" s="60" t="n"/>
      <c r="I107" s="60" t="n"/>
      <c r="J107" s="60" t="n"/>
      <c r="K107" s="60" t="n"/>
      <c r="L107" s="60" t="n"/>
    </row>
    <row r="108" ht="21" customHeight="1">
      <c r="A108" s="59" t="n"/>
      <c r="B108" s="42">
        <f>'設定'!$I$27</f>
        <v/>
      </c>
      <c r="C108" s="60" t="n"/>
      <c r="D108" s="60" t="n"/>
      <c r="E108" s="60" t="n"/>
      <c r="F108" s="60" t="n"/>
      <c r="G108" s="60" t="n"/>
      <c r="H108" s="60" t="n"/>
      <c r="I108" s="60" t="n"/>
      <c r="J108" s="60" t="n"/>
      <c r="K108" s="60" t="n"/>
      <c r="L108" s="60" t="n"/>
    </row>
    <row r="109" ht="21" customHeight="1">
      <c r="A109" s="59" t="n"/>
      <c r="B109" s="42">
        <f>'設定'!$I$28</f>
        <v/>
      </c>
      <c r="C109" s="60" t="n"/>
      <c r="D109" s="60" t="n"/>
      <c r="E109" s="60" t="n"/>
      <c r="F109" s="60" t="n"/>
      <c r="G109" s="60" t="n"/>
      <c r="H109" s="60" t="n"/>
      <c r="I109" s="60" t="n"/>
      <c r="J109" s="60" t="n"/>
      <c r="K109" s="60" t="n"/>
      <c r="L109" s="60" t="n"/>
    </row>
    <row r="110" ht="21" customHeight="1">
      <c r="A110" s="59" t="n"/>
      <c r="B110" s="42">
        <f>'設定'!$I$29</f>
        <v/>
      </c>
      <c r="C110" s="60" t="n"/>
      <c r="D110" s="60" t="n"/>
      <c r="E110" s="60" t="n"/>
      <c r="F110" s="60" t="n"/>
      <c r="G110" s="60" t="n"/>
      <c r="H110" s="60" t="n"/>
      <c r="I110" s="60" t="n"/>
      <c r="J110" s="60" t="n"/>
      <c r="K110" s="60" t="n"/>
      <c r="L110" s="60" t="n"/>
    </row>
    <row r="111" ht="21" customHeight="1">
      <c r="A111" s="59" t="n"/>
      <c r="B111" s="42">
        <f>'設定'!$I$30</f>
        <v/>
      </c>
      <c r="C111" s="60" t="n"/>
      <c r="D111" s="60" t="n"/>
      <c r="E111" s="60" t="n"/>
      <c r="F111" s="60" t="n"/>
      <c r="G111" s="60" t="n"/>
      <c r="H111" s="60" t="n"/>
      <c r="I111" s="60" t="n"/>
      <c r="J111" s="60" t="n"/>
      <c r="K111" s="60" t="n"/>
      <c r="L111" s="60" t="n"/>
    </row>
    <row r="112" ht="21" customHeight="1">
      <c r="A112" s="59" t="n"/>
      <c r="B112" s="42">
        <f>'設定'!$I$31</f>
        <v/>
      </c>
      <c r="C112" s="60" t="n"/>
      <c r="D112" s="60" t="n"/>
      <c r="E112" s="60" t="n"/>
      <c r="F112" s="60" t="n"/>
      <c r="G112" s="60" t="n"/>
      <c r="H112" s="60" t="n"/>
      <c r="I112" s="60" t="n"/>
      <c r="J112" s="60" t="n"/>
      <c r="K112" s="60" t="n"/>
      <c r="L112" s="60" t="n"/>
    </row>
    <row r="113" ht="21" customHeight="1">
      <c r="A113" s="59" t="n"/>
      <c r="B113" s="42">
        <f>'設定'!$I$32</f>
        <v/>
      </c>
      <c r="C113" s="60" t="n"/>
      <c r="D113" s="60" t="n"/>
      <c r="E113" s="60" t="n"/>
      <c r="F113" s="60" t="n"/>
      <c r="G113" s="60" t="n"/>
      <c r="H113" s="60" t="n"/>
      <c r="I113" s="60" t="n"/>
      <c r="J113" s="60" t="n"/>
      <c r="K113" s="60" t="n"/>
      <c r="L113" s="60" t="n"/>
    </row>
    <row r="114" ht="21" customHeight="1">
      <c r="A114" s="59" t="n"/>
      <c r="B114" s="42">
        <f>'設定'!$I$33</f>
        <v/>
      </c>
      <c r="C114" s="60" t="n"/>
      <c r="D114" s="60" t="n"/>
      <c r="E114" s="60" t="n"/>
      <c r="F114" s="60" t="n"/>
      <c r="G114" s="60" t="n"/>
      <c r="H114" s="60" t="n"/>
      <c r="I114" s="60" t="n"/>
      <c r="J114" s="60" t="n"/>
      <c r="K114" s="60" t="n"/>
      <c r="L114" s="60" t="n"/>
    </row>
    <row r="115" ht="21" customHeight="1">
      <c r="A115" s="59" t="n"/>
      <c r="B115" s="42">
        <f>'設定'!$I$34</f>
        <v/>
      </c>
      <c r="C115" s="60" t="n"/>
      <c r="D115" s="60" t="n"/>
      <c r="E115" s="60" t="n"/>
      <c r="F115" s="60" t="n"/>
      <c r="G115" s="60" t="n"/>
      <c r="H115" s="60" t="n"/>
      <c r="I115" s="60" t="n"/>
      <c r="J115" s="60" t="n"/>
      <c r="K115" s="60" t="n"/>
      <c r="L115" s="60" t="n"/>
    </row>
    <row r="116"/>
    <row r="117" ht="26" customHeight="1">
      <c r="B117" s="53">
        <f>IF('名簿'!B9="","（名簿 5行目：なし）",'名簿'!G9)</f>
        <v/>
      </c>
      <c r="C117" s="4" t="n"/>
      <c r="D117" s="4" t="n"/>
      <c r="E117" s="54" t="inlineStr">
        <is>
          <t>提出状況 ▶</t>
        </is>
      </c>
      <c r="F117" s="38" t="n"/>
      <c r="G117" s="29" t="n"/>
      <c r="H117" s="55" t="inlineStr">
        <is>
          <t>状況：</t>
        </is>
      </c>
      <c r="I117" s="56">
        <f>'名簿'!H9</f>
        <v/>
      </c>
      <c r="J117" s="55" t="inlineStr">
        <is>
          <t>×の数：</t>
        </is>
      </c>
      <c r="K117" s="57">
        <f>'名簿'!I9</f>
        <v/>
      </c>
      <c r="L117" s="58">
        <f>HYPERLINK("#'×入力'!B145","次の人へ ▼")</f>
        <v/>
      </c>
    </row>
    <row r="118" ht="22" customHeight="1">
      <c r="A118" s="30" t="inlineStr">
        <is>
          <t>この日全部 ▶</t>
        </is>
      </c>
      <c r="C118" s="59" t="n"/>
      <c r="D118" s="59" t="n"/>
      <c r="E118" s="59" t="n"/>
      <c r="F118" s="59" t="n"/>
      <c r="G118" s="59" t="n"/>
      <c r="H118" s="59" t="n"/>
      <c r="I118" s="59" t="n"/>
      <c r="J118" s="59" t="n"/>
      <c r="K118" s="59" t="n"/>
      <c r="L118" s="59" t="n"/>
    </row>
    <row r="119" ht="28" customHeight="1">
      <c r="A119" s="33" t="inlineStr">
        <is>
          <t>この時間
全部 ▼</t>
        </is>
      </c>
      <c r="B119" s="34" t="inlineStr"/>
      <c r="C119" s="35">
        <f>'設定'!$E$11</f>
        <v/>
      </c>
      <c r="D119" s="35">
        <f>'設定'!$E$12</f>
        <v/>
      </c>
      <c r="E119" s="35">
        <f>'設定'!$E$13</f>
        <v/>
      </c>
      <c r="F119" s="35">
        <f>'設定'!$E$14</f>
        <v/>
      </c>
      <c r="G119" s="35">
        <f>'設定'!$E$15</f>
        <v/>
      </c>
      <c r="H119" s="35">
        <f>'設定'!$E$16</f>
        <v/>
      </c>
      <c r="I119" s="35">
        <f>'設定'!$E$17</f>
        <v/>
      </c>
      <c r="J119" s="35">
        <f>'設定'!$E$18</f>
        <v/>
      </c>
      <c r="K119" s="35">
        <f>'設定'!$E$19</f>
        <v/>
      </c>
      <c r="L119" s="35">
        <f>'設定'!$E$20</f>
        <v/>
      </c>
    </row>
    <row r="120" ht="21" customHeight="1">
      <c r="A120" s="59" t="n"/>
      <c r="B120" s="42">
        <f>'設定'!$I$11</f>
        <v/>
      </c>
      <c r="C120" s="60" t="n"/>
      <c r="D120" s="60" t="n"/>
      <c r="E120" s="60" t="n"/>
      <c r="F120" s="60" t="n"/>
      <c r="G120" s="60" t="n"/>
      <c r="H120" s="60" t="n"/>
      <c r="I120" s="60" t="n"/>
      <c r="J120" s="60" t="n"/>
      <c r="K120" s="60" t="n"/>
      <c r="L120" s="60" t="n"/>
    </row>
    <row r="121" ht="21" customHeight="1">
      <c r="A121" s="59" t="n"/>
      <c r="B121" s="42">
        <f>'設定'!$I$12</f>
        <v/>
      </c>
      <c r="C121" s="60" t="n"/>
      <c r="D121" s="60" t="n"/>
      <c r="E121" s="60" t="n"/>
      <c r="F121" s="60" t="n"/>
      <c r="G121" s="60" t="n"/>
      <c r="H121" s="60" t="n"/>
      <c r="I121" s="60" t="n"/>
      <c r="J121" s="60" t="n"/>
      <c r="K121" s="60" t="n"/>
      <c r="L121" s="60" t="n"/>
    </row>
    <row r="122" ht="21" customHeight="1">
      <c r="A122" s="59" t="n"/>
      <c r="B122" s="42">
        <f>'設定'!$I$13</f>
        <v/>
      </c>
      <c r="C122" s="60" t="n"/>
      <c r="D122" s="60" t="n"/>
      <c r="E122" s="60" t="n"/>
      <c r="F122" s="60" t="n"/>
      <c r="G122" s="60" t="n"/>
      <c r="H122" s="60" t="n"/>
      <c r="I122" s="60" t="n"/>
      <c r="J122" s="60" t="n"/>
      <c r="K122" s="60" t="n"/>
      <c r="L122" s="60" t="n"/>
    </row>
    <row r="123" ht="21" customHeight="1">
      <c r="A123" s="59" t="n"/>
      <c r="B123" s="42">
        <f>'設定'!$I$14</f>
        <v/>
      </c>
      <c r="C123" s="60" t="n"/>
      <c r="D123" s="60" t="n"/>
      <c r="E123" s="60" t="n"/>
      <c r="F123" s="60" t="n"/>
      <c r="G123" s="60" t="n"/>
      <c r="H123" s="60" t="n"/>
      <c r="I123" s="60" t="n"/>
      <c r="J123" s="60" t="n"/>
      <c r="K123" s="60" t="n"/>
      <c r="L123" s="60" t="n"/>
    </row>
    <row r="124" ht="21" customHeight="1">
      <c r="A124" s="59" t="n"/>
      <c r="B124" s="42">
        <f>'設定'!$I$15</f>
        <v/>
      </c>
      <c r="C124" s="60" t="n"/>
      <c r="D124" s="60" t="n"/>
      <c r="E124" s="60" t="n"/>
      <c r="F124" s="60" t="n"/>
      <c r="G124" s="60" t="n"/>
      <c r="H124" s="60" t="n"/>
      <c r="I124" s="60" t="n"/>
      <c r="J124" s="60" t="n"/>
      <c r="K124" s="60" t="n"/>
      <c r="L124" s="60" t="n"/>
    </row>
    <row r="125" ht="21" customHeight="1">
      <c r="A125" s="59" t="n"/>
      <c r="B125" s="42">
        <f>'設定'!$I$16</f>
        <v/>
      </c>
      <c r="C125" s="60" t="n"/>
      <c r="D125" s="60" t="n"/>
      <c r="E125" s="60" t="n"/>
      <c r="F125" s="60" t="n"/>
      <c r="G125" s="60" t="n"/>
      <c r="H125" s="60" t="n"/>
      <c r="I125" s="60" t="n"/>
      <c r="J125" s="60" t="n"/>
      <c r="K125" s="60" t="n"/>
      <c r="L125" s="60" t="n"/>
    </row>
    <row r="126" ht="21" customHeight="1">
      <c r="A126" s="59" t="n"/>
      <c r="B126" s="42">
        <f>'設定'!$I$17</f>
        <v/>
      </c>
      <c r="C126" s="60" t="n"/>
      <c r="D126" s="60" t="n"/>
      <c r="E126" s="60" t="n"/>
      <c r="F126" s="60" t="n"/>
      <c r="G126" s="60" t="n"/>
      <c r="H126" s="60" t="n"/>
      <c r="I126" s="60" t="n"/>
      <c r="J126" s="60" t="n"/>
      <c r="K126" s="60" t="n"/>
      <c r="L126" s="60" t="n"/>
    </row>
    <row r="127" ht="21" customHeight="1">
      <c r="A127" s="59" t="n"/>
      <c r="B127" s="42">
        <f>'設定'!$I$18</f>
        <v/>
      </c>
      <c r="C127" s="60" t="n"/>
      <c r="D127" s="60" t="n"/>
      <c r="E127" s="60" t="n"/>
      <c r="F127" s="60" t="n"/>
      <c r="G127" s="60" t="n"/>
      <c r="H127" s="60" t="n"/>
      <c r="I127" s="60" t="n"/>
      <c r="J127" s="60" t="n"/>
      <c r="K127" s="60" t="n"/>
      <c r="L127" s="60" t="n"/>
    </row>
    <row r="128" ht="21" customHeight="1">
      <c r="A128" s="59" t="n"/>
      <c r="B128" s="42">
        <f>'設定'!$I$19</f>
        <v/>
      </c>
      <c r="C128" s="60" t="n"/>
      <c r="D128" s="60" t="n"/>
      <c r="E128" s="60" t="n"/>
      <c r="F128" s="60" t="n"/>
      <c r="G128" s="60" t="n"/>
      <c r="H128" s="60" t="n"/>
      <c r="I128" s="60" t="n"/>
      <c r="J128" s="60" t="n"/>
      <c r="K128" s="60" t="n"/>
      <c r="L128" s="60" t="n"/>
    </row>
    <row r="129" ht="21" customHeight="1">
      <c r="A129" s="59" t="n"/>
      <c r="B129" s="42">
        <f>'設定'!$I$20</f>
        <v/>
      </c>
      <c r="C129" s="60" t="n"/>
      <c r="D129" s="60" t="n"/>
      <c r="E129" s="60" t="n"/>
      <c r="F129" s="60" t="n"/>
      <c r="G129" s="60" t="n"/>
      <c r="H129" s="60" t="n"/>
      <c r="I129" s="60" t="n"/>
      <c r="J129" s="60" t="n"/>
      <c r="K129" s="60" t="n"/>
      <c r="L129" s="60" t="n"/>
    </row>
    <row r="130" ht="21" customHeight="1">
      <c r="A130" s="59" t="n"/>
      <c r="B130" s="42">
        <f>'設定'!$I$21</f>
        <v/>
      </c>
      <c r="C130" s="60" t="n"/>
      <c r="D130" s="60" t="n"/>
      <c r="E130" s="60" t="n"/>
      <c r="F130" s="60" t="n"/>
      <c r="G130" s="60" t="n"/>
      <c r="H130" s="60" t="n"/>
      <c r="I130" s="60" t="n"/>
      <c r="J130" s="60" t="n"/>
      <c r="K130" s="60" t="n"/>
      <c r="L130" s="60" t="n"/>
    </row>
    <row r="131" ht="21" customHeight="1">
      <c r="A131" s="59" t="n"/>
      <c r="B131" s="42">
        <f>'設定'!$I$22</f>
        <v/>
      </c>
      <c r="C131" s="60" t="n"/>
      <c r="D131" s="60" t="n"/>
      <c r="E131" s="60" t="n"/>
      <c r="F131" s="60" t="n"/>
      <c r="G131" s="60" t="n"/>
      <c r="H131" s="60" t="n"/>
      <c r="I131" s="60" t="n"/>
      <c r="J131" s="60" t="n"/>
      <c r="K131" s="60" t="n"/>
      <c r="L131" s="60" t="n"/>
    </row>
    <row r="132" ht="21" customHeight="1">
      <c r="A132" s="59" t="n"/>
      <c r="B132" s="42">
        <f>'設定'!$I$23</f>
        <v/>
      </c>
      <c r="C132" s="60" t="n"/>
      <c r="D132" s="60" t="n"/>
      <c r="E132" s="60" t="n"/>
      <c r="F132" s="60" t="n"/>
      <c r="G132" s="60" t="n"/>
      <c r="H132" s="60" t="n"/>
      <c r="I132" s="60" t="n"/>
      <c r="J132" s="60" t="n"/>
      <c r="K132" s="60" t="n"/>
      <c r="L132" s="60" t="n"/>
    </row>
    <row r="133" ht="21" customHeight="1">
      <c r="A133" s="59" t="n"/>
      <c r="B133" s="42">
        <f>'設定'!$I$24</f>
        <v/>
      </c>
      <c r="C133" s="60" t="n"/>
      <c r="D133" s="60" t="n"/>
      <c r="E133" s="60" t="n"/>
      <c r="F133" s="60" t="n"/>
      <c r="G133" s="60" t="n"/>
      <c r="H133" s="60" t="n"/>
      <c r="I133" s="60" t="n"/>
      <c r="J133" s="60" t="n"/>
      <c r="K133" s="60" t="n"/>
      <c r="L133" s="60" t="n"/>
    </row>
    <row r="134" ht="21" customHeight="1">
      <c r="A134" s="59" t="n"/>
      <c r="B134" s="42">
        <f>'設定'!$I$25</f>
        <v/>
      </c>
      <c r="C134" s="60" t="n"/>
      <c r="D134" s="60" t="n"/>
      <c r="E134" s="60" t="n"/>
      <c r="F134" s="60" t="n"/>
      <c r="G134" s="60" t="n"/>
      <c r="H134" s="60" t="n"/>
      <c r="I134" s="60" t="n"/>
      <c r="J134" s="60" t="n"/>
      <c r="K134" s="60" t="n"/>
      <c r="L134" s="60" t="n"/>
    </row>
    <row r="135" ht="21" customHeight="1">
      <c r="A135" s="59" t="n"/>
      <c r="B135" s="42">
        <f>'設定'!$I$26</f>
        <v/>
      </c>
      <c r="C135" s="60" t="n"/>
      <c r="D135" s="60" t="n"/>
      <c r="E135" s="60" t="n"/>
      <c r="F135" s="60" t="n"/>
      <c r="G135" s="60" t="n"/>
      <c r="H135" s="60" t="n"/>
      <c r="I135" s="60" t="n"/>
      <c r="J135" s="60" t="n"/>
      <c r="K135" s="60" t="n"/>
      <c r="L135" s="60" t="n"/>
    </row>
    <row r="136" ht="21" customHeight="1">
      <c r="A136" s="59" t="n"/>
      <c r="B136" s="42">
        <f>'設定'!$I$27</f>
        <v/>
      </c>
      <c r="C136" s="60" t="n"/>
      <c r="D136" s="60" t="n"/>
      <c r="E136" s="60" t="n"/>
      <c r="F136" s="60" t="n"/>
      <c r="G136" s="60" t="n"/>
      <c r="H136" s="60" t="n"/>
      <c r="I136" s="60" t="n"/>
      <c r="J136" s="60" t="n"/>
      <c r="K136" s="60" t="n"/>
      <c r="L136" s="60" t="n"/>
    </row>
    <row r="137" ht="21" customHeight="1">
      <c r="A137" s="59" t="n"/>
      <c r="B137" s="42">
        <f>'設定'!$I$28</f>
        <v/>
      </c>
      <c r="C137" s="60" t="n"/>
      <c r="D137" s="60" t="n"/>
      <c r="E137" s="60" t="n"/>
      <c r="F137" s="60" t="n"/>
      <c r="G137" s="60" t="n"/>
      <c r="H137" s="60" t="n"/>
      <c r="I137" s="60" t="n"/>
      <c r="J137" s="60" t="n"/>
      <c r="K137" s="60" t="n"/>
      <c r="L137" s="60" t="n"/>
    </row>
    <row r="138" ht="21" customHeight="1">
      <c r="A138" s="59" t="n"/>
      <c r="B138" s="42">
        <f>'設定'!$I$29</f>
        <v/>
      </c>
      <c r="C138" s="60" t="n"/>
      <c r="D138" s="60" t="n"/>
      <c r="E138" s="60" t="n"/>
      <c r="F138" s="60" t="n"/>
      <c r="G138" s="60" t="n"/>
      <c r="H138" s="60" t="n"/>
      <c r="I138" s="60" t="n"/>
      <c r="J138" s="60" t="n"/>
      <c r="K138" s="60" t="n"/>
      <c r="L138" s="60" t="n"/>
    </row>
    <row r="139" ht="21" customHeight="1">
      <c r="A139" s="59" t="n"/>
      <c r="B139" s="42">
        <f>'設定'!$I$30</f>
        <v/>
      </c>
      <c r="C139" s="60" t="n"/>
      <c r="D139" s="60" t="n"/>
      <c r="E139" s="60" t="n"/>
      <c r="F139" s="60" t="n"/>
      <c r="G139" s="60" t="n"/>
      <c r="H139" s="60" t="n"/>
      <c r="I139" s="60" t="n"/>
      <c r="J139" s="60" t="n"/>
      <c r="K139" s="60" t="n"/>
      <c r="L139" s="60" t="n"/>
    </row>
    <row r="140" ht="21" customHeight="1">
      <c r="A140" s="59" t="n"/>
      <c r="B140" s="42">
        <f>'設定'!$I$31</f>
        <v/>
      </c>
      <c r="C140" s="60" t="n"/>
      <c r="D140" s="60" t="n"/>
      <c r="E140" s="60" t="n"/>
      <c r="F140" s="60" t="n"/>
      <c r="G140" s="60" t="n"/>
      <c r="H140" s="60" t="n"/>
      <c r="I140" s="60" t="n"/>
      <c r="J140" s="60" t="n"/>
      <c r="K140" s="60" t="n"/>
      <c r="L140" s="60" t="n"/>
    </row>
    <row r="141" ht="21" customHeight="1">
      <c r="A141" s="59" t="n"/>
      <c r="B141" s="42">
        <f>'設定'!$I$32</f>
        <v/>
      </c>
      <c r="C141" s="60" t="n"/>
      <c r="D141" s="60" t="n"/>
      <c r="E141" s="60" t="n"/>
      <c r="F141" s="60" t="n"/>
      <c r="G141" s="60" t="n"/>
      <c r="H141" s="60" t="n"/>
      <c r="I141" s="60" t="n"/>
      <c r="J141" s="60" t="n"/>
      <c r="K141" s="60" t="n"/>
      <c r="L141" s="60" t="n"/>
    </row>
    <row r="142" ht="21" customHeight="1">
      <c r="A142" s="59" t="n"/>
      <c r="B142" s="42">
        <f>'設定'!$I$33</f>
        <v/>
      </c>
      <c r="C142" s="60" t="n"/>
      <c r="D142" s="60" t="n"/>
      <c r="E142" s="60" t="n"/>
      <c r="F142" s="60" t="n"/>
      <c r="G142" s="60" t="n"/>
      <c r="H142" s="60" t="n"/>
      <c r="I142" s="60" t="n"/>
      <c r="J142" s="60" t="n"/>
      <c r="K142" s="60" t="n"/>
      <c r="L142" s="60" t="n"/>
    </row>
    <row r="143" ht="21" customHeight="1">
      <c r="A143" s="59" t="n"/>
      <c r="B143" s="42">
        <f>'設定'!$I$34</f>
        <v/>
      </c>
      <c r="C143" s="60" t="n"/>
      <c r="D143" s="60" t="n"/>
      <c r="E143" s="60" t="n"/>
      <c r="F143" s="60" t="n"/>
      <c r="G143" s="60" t="n"/>
      <c r="H143" s="60" t="n"/>
      <c r="I143" s="60" t="n"/>
      <c r="J143" s="60" t="n"/>
      <c r="K143" s="60" t="n"/>
      <c r="L143" s="60" t="n"/>
    </row>
    <row r="144"/>
    <row r="145" ht="26" customHeight="1">
      <c r="B145" s="53">
        <f>IF('名簿'!B10="","（名簿 6行目：なし）",'名簿'!G10)</f>
        <v/>
      </c>
      <c r="C145" s="4" t="n"/>
      <c r="D145" s="4" t="n"/>
      <c r="E145" s="54" t="inlineStr">
        <is>
          <t>提出状況 ▶</t>
        </is>
      </c>
      <c r="F145" s="38" t="n"/>
      <c r="G145" s="29" t="n"/>
      <c r="H145" s="55" t="inlineStr">
        <is>
          <t>状況：</t>
        </is>
      </c>
      <c r="I145" s="56">
        <f>'名簿'!H10</f>
        <v/>
      </c>
      <c r="J145" s="55" t="inlineStr">
        <is>
          <t>×の数：</t>
        </is>
      </c>
      <c r="K145" s="57">
        <f>'名簿'!I10</f>
        <v/>
      </c>
      <c r="L145" s="58">
        <f>HYPERLINK("#'×入力'!B173","次の人へ ▼")</f>
        <v/>
      </c>
    </row>
    <row r="146" ht="22" customHeight="1">
      <c r="A146" s="30" t="inlineStr">
        <is>
          <t>この日全部 ▶</t>
        </is>
      </c>
      <c r="C146" s="59" t="n"/>
      <c r="D146" s="59" t="n"/>
      <c r="E146" s="59" t="n"/>
      <c r="F146" s="59" t="n"/>
      <c r="G146" s="59" t="n"/>
      <c r="H146" s="59" t="n"/>
      <c r="I146" s="59" t="n"/>
      <c r="J146" s="59" t="n"/>
      <c r="K146" s="59" t="n"/>
      <c r="L146" s="59" t="n"/>
    </row>
    <row r="147" ht="28" customHeight="1">
      <c r="A147" s="33" t="inlineStr">
        <is>
          <t>この時間
全部 ▼</t>
        </is>
      </c>
      <c r="B147" s="34" t="inlineStr"/>
      <c r="C147" s="35">
        <f>'設定'!$E$11</f>
        <v/>
      </c>
      <c r="D147" s="35">
        <f>'設定'!$E$12</f>
        <v/>
      </c>
      <c r="E147" s="35">
        <f>'設定'!$E$13</f>
        <v/>
      </c>
      <c r="F147" s="35">
        <f>'設定'!$E$14</f>
        <v/>
      </c>
      <c r="G147" s="35">
        <f>'設定'!$E$15</f>
        <v/>
      </c>
      <c r="H147" s="35">
        <f>'設定'!$E$16</f>
        <v/>
      </c>
      <c r="I147" s="35">
        <f>'設定'!$E$17</f>
        <v/>
      </c>
      <c r="J147" s="35">
        <f>'設定'!$E$18</f>
        <v/>
      </c>
      <c r="K147" s="35">
        <f>'設定'!$E$19</f>
        <v/>
      </c>
      <c r="L147" s="35">
        <f>'設定'!$E$20</f>
        <v/>
      </c>
    </row>
    <row r="148" ht="21" customHeight="1">
      <c r="A148" s="59" t="n"/>
      <c r="B148" s="42">
        <f>'設定'!$I$11</f>
        <v/>
      </c>
      <c r="C148" s="60" t="n"/>
      <c r="D148" s="60" t="n"/>
      <c r="E148" s="60" t="n"/>
      <c r="F148" s="60" t="n"/>
      <c r="G148" s="60" t="n"/>
      <c r="H148" s="60" t="n"/>
      <c r="I148" s="60" t="n"/>
      <c r="J148" s="60" t="n"/>
      <c r="K148" s="60" t="n"/>
      <c r="L148" s="60" t="n"/>
    </row>
    <row r="149" ht="21" customHeight="1">
      <c r="A149" s="59" t="n"/>
      <c r="B149" s="42">
        <f>'設定'!$I$12</f>
        <v/>
      </c>
      <c r="C149" s="60" t="n"/>
      <c r="D149" s="60" t="n"/>
      <c r="E149" s="60" t="n"/>
      <c r="F149" s="60" t="n"/>
      <c r="G149" s="60" t="n"/>
      <c r="H149" s="60" t="n"/>
      <c r="I149" s="60" t="n"/>
      <c r="J149" s="60" t="n"/>
      <c r="K149" s="60" t="n"/>
      <c r="L149" s="60" t="n"/>
    </row>
    <row r="150" ht="21" customHeight="1">
      <c r="A150" s="59" t="n"/>
      <c r="B150" s="42">
        <f>'設定'!$I$13</f>
        <v/>
      </c>
      <c r="C150" s="60" t="n"/>
      <c r="D150" s="60" t="n"/>
      <c r="E150" s="60" t="n"/>
      <c r="F150" s="60" t="n"/>
      <c r="G150" s="60" t="n"/>
      <c r="H150" s="60" t="n"/>
      <c r="I150" s="60" t="n"/>
      <c r="J150" s="60" t="n"/>
      <c r="K150" s="60" t="n"/>
      <c r="L150" s="60" t="n"/>
    </row>
    <row r="151" ht="21" customHeight="1">
      <c r="A151" s="59" t="n"/>
      <c r="B151" s="42">
        <f>'設定'!$I$14</f>
        <v/>
      </c>
      <c r="C151" s="60" t="n"/>
      <c r="D151" s="60" t="n"/>
      <c r="E151" s="60" t="n"/>
      <c r="F151" s="60" t="n"/>
      <c r="G151" s="60" t="n"/>
      <c r="H151" s="60" t="n"/>
      <c r="I151" s="60" t="n"/>
      <c r="J151" s="60" t="n"/>
      <c r="K151" s="60" t="n"/>
      <c r="L151" s="60" t="n"/>
    </row>
    <row r="152" ht="21" customHeight="1">
      <c r="A152" s="59" t="n"/>
      <c r="B152" s="42">
        <f>'設定'!$I$15</f>
        <v/>
      </c>
      <c r="C152" s="60" t="n"/>
      <c r="D152" s="60" t="n"/>
      <c r="E152" s="60" t="n"/>
      <c r="F152" s="60" t="n"/>
      <c r="G152" s="60" t="n"/>
      <c r="H152" s="60" t="n"/>
      <c r="I152" s="60" t="n"/>
      <c r="J152" s="60" t="n"/>
      <c r="K152" s="60" t="n"/>
      <c r="L152" s="60" t="n"/>
    </row>
    <row r="153" ht="21" customHeight="1">
      <c r="A153" s="59" t="n"/>
      <c r="B153" s="42">
        <f>'設定'!$I$16</f>
        <v/>
      </c>
      <c r="C153" s="60" t="n"/>
      <c r="D153" s="60" t="n"/>
      <c r="E153" s="60" t="n"/>
      <c r="F153" s="60" t="n"/>
      <c r="G153" s="60" t="n"/>
      <c r="H153" s="60" t="n"/>
      <c r="I153" s="60" t="n"/>
      <c r="J153" s="60" t="n"/>
      <c r="K153" s="60" t="n"/>
      <c r="L153" s="60" t="n"/>
    </row>
    <row r="154" ht="21" customHeight="1">
      <c r="A154" s="59" t="n"/>
      <c r="B154" s="42">
        <f>'設定'!$I$17</f>
        <v/>
      </c>
      <c r="C154" s="60" t="n"/>
      <c r="D154" s="60" t="n"/>
      <c r="E154" s="60" t="n"/>
      <c r="F154" s="60" t="n"/>
      <c r="G154" s="60" t="n"/>
      <c r="H154" s="60" t="n"/>
      <c r="I154" s="60" t="n"/>
      <c r="J154" s="60" t="n"/>
      <c r="K154" s="60" t="n"/>
      <c r="L154" s="60" t="n"/>
    </row>
    <row r="155" ht="21" customHeight="1">
      <c r="A155" s="59" t="n"/>
      <c r="B155" s="42">
        <f>'設定'!$I$18</f>
        <v/>
      </c>
      <c r="C155" s="60" t="n"/>
      <c r="D155" s="60" t="n"/>
      <c r="E155" s="60" t="n"/>
      <c r="F155" s="60" t="n"/>
      <c r="G155" s="60" t="n"/>
      <c r="H155" s="60" t="n"/>
      <c r="I155" s="60" t="n"/>
      <c r="J155" s="60" t="n"/>
      <c r="K155" s="60" t="n"/>
      <c r="L155" s="60" t="n"/>
    </row>
    <row r="156" ht="21" customHeight="1">
      <c r="A156" s="59" t="n"/>
      <c r="B156" s="42">
        <f>'設定'!$I$19</f>
        <v/>
      </c>
      <c r="C156" s="60" t="n"/>
      <c r="D156" s="60" t="n"/>
      <c r="E156" s="60" t="n"/>
      <c r="F156" s="60" t="n"/>
      <c r="G156" s="60" t="n"/>
      <c r="H156" s="60" t="n"/>
      <c r="I156" s="60" t="n"/>
      <c r="J156" s="60" t="n"/>
      <c r="K156" s="60" t="n"/>
      <c r="L156" s="60" t="n"/>
    </row>
    <row r="157" ht="21" customHeight="1">
      <c r="A157" s="59" t="n"/>
      <c r="B157" s="42">
        <f>'設定'!$I$20</f>
        <v/>
      </c>
      <c r="C157" s="60" t="n"/>
      <c r="D157" s="60" t="n"/>
      <c r="E157" s="60" t="n"/>
      <c r="F157" s="60" t="n"/>
      <c r="G157" s="60" t="n"/>
      <c r="H157" s="60" t="n"/>
      <c r="I157" s="60" t="n"/>
      <c r="J157" s="60" t="n"/>
      <c r="K157" s="60" t="n"/>
      <c r="L157" s="60" t="n"/>
    </row>
    <row r="158" ht="21" customHeight="1">
      <c r="A158" s="59" t="n"/>
      <c r="B158" s="42">
        <f>'設定'!$I$21</f>
        <v/>
      </c>
      <c r="C158" s="60" t="n"/>
      <c r="D158" s="60" t="n"/>
      <c r="E158" s="60" t="n"/>
      <c r="F158" s="60" t="n"/>
      <c r="G158" s="60" t="n"/>
      <c r="H158" s="60" t="n"/>
      <c r="I158" s="60" t="n"/>
      <c r="J158" s="60" t="n"/>
      <c r="K158" s="60" t="n"/>
      <c r="L158" s="60" t="n"/>
    </row>
    <row r="159" ht="21" customHeight="1">
      <c r="A159" s="59" t="n"/>
      <c r="B159" s="42">
        <f>'設定'!$I$22</f>
        <v/>
      </c>
      <c r="C159" s="60" t="n"/>
      <c r="D159" s="60" t="n"/>
      <c r="E159" s="60" t="n"/>
      <c r="F159" s="60" t="n"/>
      <c r="G159" s="60" t="n"/>
      <c r="H159" s="60" t="n"/>
      <c r="I159" s="60" t="n"/>
      <c r="J159" s="60" t="n"/>
      <c r="K159" s="60" t="n"/>
      <c r="L159" s="60" t="n"/>
    </row>
    <row r="160" ht="21" customHeight="1">
      <c r="A160" s="59" t="n"/>
      <c r="B160" s="42">
        <f>'設定'!$I$23</f>
        <v/>
      </c>
      <c r="C160" s="60" t="n"/>
      <c r="D160" s="60" t="n"/>
      <c r="E160" s="60" t="n"/>
      <c r="F160" s="60" t="n"/>
      <c r="G160" s="60" t="n"/>
      <c r="H160" s="60" t="n"/>
      <c r="I160" s="60" t="n"/>
      <c r="J160" s="60" t="n"/>
      <c r="K160" s="60" t="n"/>
      <c r="L160" s="60" t="n"/>
    </row>
    <row r="161" ht="21" customHeight="1">
      <c r="A161" s="59" t="n"/>
      <c r="B161" s="42">
        <f>'設定'!$I$24</f>
        <v/>
      </c>
      <c r="C161" s="60" t="n"/>
      <c r="D161" s="60" t="n"/>
      <c r="E161" s="60" t="n"/>
      <c r="F161" s="60" t="n"/>
      <c r="G161" s="60" t="n"/>
      <c r="H161" s="60" t="n"/>
      <c r="I161" s="60" t="n"/>
      <c r="J161" s="60" t="n"/>
      <c r="K161" s="60" t="n"/>
      <c r="L161" s="60" t="n"/>
    </row>
    <row r="162" ht="21" customHeight="1">
      <c r="A162" s="59" t="n"/>
      <c r="B162" s="42">
        <f>'設定'!$I$25</f>
        <v/>
      </c>
      <c r="C162" s="60" t="n"/>
      <c r="D162" s="60" t="n"/>
      <c r="E162" s="60" t="n"/>
      <c r="F162" s="60" t="n"/>
      <c r="G162" s="60" t="n"/>
      <c r="H162" s="60" t="n"/>
      <c r="I162" s="60" t="n"/>
      <c r="J162" s="60" t="n"/>
      <c r="K162" s="60" t="n"/>
      <c r="L162" s="60" t="n"/>
    </row>
    <row r="163" ht="21" customHeight="1">
      <c r="A163" s="59" t="n"/>
      <c r="B163" s="42">
        <f>'設定'!$I$26</f>
        <v/>
      </c>
      <c r="C163" s="60" t="n"/>
      <c r="D163" s="60" t="n"/>
      <c r="E163" s="60" t="n"/>
      <c r="F163" s="60" t="n"/>
      <c r="G163" s="60" t="n"/>
      <c r="H163" s="60" t="n"/>
      <c r="I163" s="60" t="n"/>
      <c r="J163" s="60" t="n"/>
      <c r="K163" s="60" t="n"/>
      <c r="L163" s="60" t="n"/>
    </row>
    <row r="164" ht="21" customHeight="1">
      <c r="A164" s="59" t="n"/>
      <c r="B164" s="42">
        <f>'設定'!$I$27</f>
        <v/>
      </c>
      <c r="C164" s="60" t="n"/>
      <c r="D164" s="60" t="n"/>
      <c r="E164" s="60" t="n"/>
      <c r="F164" s="60" t="n"/>
      <c r="G164" s="60" t="n"/>
      <c r="H164" s="60" t="n"/>
      <c r="I164" s="60" t="n"/>
      <c r="J164" s="60" t="n"/>
      <c r="K164" s="60" t="n"/>
      <c r="L164" s="60" t="n"/>
    </row>
    <row r="165" ht="21" customHeight="1">
      <c r="A165" s="59" t="n"/>
      <c r="B165" s="42">
        <f>'設定'!$I$28</f>
        <v/>
      </c>
      <c r="C165" s="60" t="n"/>
      <c r="D165" s="60" t="n"/>
      <c r="E165" s="60" t="n"/>
      <c r="F165" s="60" t="n"/>
      <c r="G165" s="60" t="n"/>
      <c r="H165" s="60" t="n"/>
      <c r="I165" s="60" t="n"/>
      <c r="J165" s="60" t="n"/>
      <c r="K165" s="60" t="n"/>
      <c r="L165" s="60" t="n"/>
    </row>
    <row r="166" ht="21" customHeight="1">
      <c r="A166" s="59" t="n"/>
      <c r="B166" s="42">
        <f>'設定'!$I$29</f>
        <v/>
      </c>
      <c r="C166" s="60" t="n"/>
      <c r="D166" s="60" t="n"/>
      <c r="E166" s="60" t="n"/>
      <c r="F166" s="60" t="n"/>
      <c r="G166" s="60" t="n"/>
      <c r="H166" s="60" t="n"/>
      <c r="I166" s="60" t="n"/>
      <c r="J166" s="60" t="n"/>
      <c r="K166" s="60" t="n"/>
      <c r="L166" s="60" t="n"/>
    </row>
    <row r="167" ht="21" customHeight="1">
      <c r="A167" s="59" t="n"/>
      <c r="B167" s="42">
        <f>'設定'!$I$30</f>
        <v/>
      </c>
      <c r="C167" s="60" t="n"/>
      <c r="D167" s="60" t="n"/>
      <c r="E167" s="60" t="n"/>
      <c r="F167" s="60" t="n"/>
      <c r="G167" s="60" t="n"/>
      <c r="H167" s="60" t="n"/>
      <c r="I167" s="60" t="n"/>
      <c r="J167" s="60" t="n"/>
      <c r="K167" s="60" t="n"/>
      <c r="L167" s="60" t="n"/>
    </row>
    <row r="168" ht="21" customHeight="1">
      <c r="A168" s="59" t="n"/>
      <c r="B168" s="42">
        <f>'設定'!$I$31</f>
        <v/>
      </c>
      <c r="C168" s="60" t="n"/>
      <c r="D168" s="60" t="n"/>
      <c r="E168" s="60" t="n"/>
      <c r="F168" s="60" t="n"/>
      <c r="G168" s="60" t="n"/>
      <c r="H168" s="60" t="n"/>
      <c r="I168" s="60" t="n"/>
      <c r="J168" s="60" t="n"/>
      <c r="K168" s="60" t="n"/>
      <c r="L168" s="60" t="n"/>
    </row>
    <row r="169" ht="21" customHeight="1">
      <c r="A169" s="59" t="n"/>
      <c r="B169" s="42">
        <f>'設定'!$I$32</f>
        <v/>
      </c>
      <c r="C169" s="60" t="n"/>
      <c r="D169" s="60" t="n"/>
      <c r="E169" s="60" t="n"/>
      <c r="F169" s="60" t="n"/>
      <c r="G169" s="60" t="n"/>
      <c r="H169" s="60" t="n"/>
      <c r="I169" s="60" t="n"/>
      <c r="J169" s="60" t="n"/>
      <c r="K169" s="60" t="n"/>
      <c r="L169" s="60" t="n"/>
    </row>
    <row r="170" ht="21" customHeight="1">
      <c r="A170" s="59" t="n"/>
      <c r="B170" s="42">
        <f>'設定'!$I$33</f>
        <v/>
      </c>
      <c r="C170" s="60" t="n"/>
      <c r="D170" s="60" t="n"/>
      <c r="E170" s="60" t="n"/>
      <c r="F170" s="60" t="n"/>
      <c r="G170" s="60" t="n"/>
      <c r="H170" s="60" t="n"/>
      <c r="I170" s="60" t="n"/>
      <c r="J170" s="60" t="n"/>
      <c r="K170" s="60" t="n"/>
      <c r="L170" s="60" t="n"/>
    </row>
    <row r="171" ht="21" customHeight="1">
      <c r="A171" s="59" t="n"/>
      <c r="B171" s="42">
        <f>'設定'!$I$34</f>
        <v/>
      </c>
      <c r="C171" s="60" t="n"/>
      <c r="D171" s="60" t="n"/>
      <c r="E171" s="60" t="n"/>
      <c r="F171" s="60" t="n"/>
      <c r="G171" s="60" t="n"/>
      <c r="H171" s="60" t="n"/>
      <c r="I171" s="60" t="n"/>
      <c r="J171" s="60" t="n"/>
      <c r="K171" s="60" t="n"/>
      <c r="L171" s="60" t="n"/>
    </row>
    <row r="172"/>
    <row r="173" ht="26" customHeight="1">
      <c r="B173" s="53">
        <f>IF('名簿'!B11="","（名簿 7行目：なし）",'名簿'!G11)</f>
        <v/>
      </c>
      <c r="C173" s="4" t="n"/>
      <c r="D173" s="4" t="n"/>
      <c r="E173" s="54" t="inlineStr">
        <is>
          <t>提出状況 ▶</t>
        </is>
      </c>
      <c r="F173" s="38" t="n"/>
      <c r="G173" s="29" t="n"/>
      <c r="H173" s="55" t="inlineStr">
        <is>
          <t>状況：</t>
        </is>
      </c>
      <c r="I173" s="56">
        <f>'名簿'!H11</f>
        <v/>
      </c>
      <c r="J173" s="55" t="inlineStr">
        <is>
          <t>×の数：</t>
        </is>
      </c>
      <c r="K173" s="57">
        <f>'名簿'!I11</f>
        <v/>
      </c>
      <c r="L173" s="58">
        <f>HYPERLINK("#'×入力'!B201","次の人へ ▼")</f>
        <v/>
      </c>
    </row>
    <row r="174" ht="22" customHeight="1">
      <c r="A174" s="30" t="inlineStr">
        <is>
          <t>この日全部 ▶</t>
        </is>
      </c>
      <c r="C174" s="59" t="n"/>
      <c r="D174" s="59" t="n"/>
      <c r="E174" s="59" t="n"/>
      <c r="F174" s="59" t="n"/>
      <c r="G174" s="59" t="n"/>
      <c r="H174" s="59" t="n"/>
      <c r="I174" s="59" t="n"/>
      <c r="J174" s="59" t="n"/>
      <c r="K174" s="59" t="n"/>
      <c r="L174" s="59" t="n"/>
    </row>
    <row r="175" ht="28" customHeight="1">
      <c r="A175" s="33" t="inlineStr">
        <is>
          <t>この時間
全部 ▼</t>
        </is>
      </c>
      <c r="B175" s="34" t="inlineStr"/>
      <c r="C175" s="35">
        <f>'設定'!$E$11</f>
        <v/>
      </c>
      <c r="D175" s="35">
        <f>'設定'!$E$12</f>
        <v/>
      </c>
      <c r="E175" s="35">
        <f>'設定'!$E$13</f>
        <v/>
      </c>
      <c r="F175" s="35">
        <f>'設定'!$E$14</f>
        <v/>
      </c>
      <c r="G175" s="35">
        <f>'設定'!$E$15</f>
        <v/>
      </c>
      <c r="H175" s="35">
        <f>'設定'!$E$16</f>
        <v/>
      </c>
      <c r="I175" s="35">
        <f>'設定'!$E$17</f>
        <v/>
      </c>
      <c r="J175" s="35">
        <f>'設定'!$E$18</f>
        <v/>
      </c>
      <c r="K175" s="35">
        <f>'設定'!$E$19</f>
        <v/>
      </c>
      <c r="L175" s="35">
        <f>'設定'!$E$20</f>
        <v/>
      </c>
    </row>
    <row r="176" ht="21" customHeight="1">
      <c r="A176" s="59" t="n"/>
      <c r="B176" s="42">
        <f>'設定'!$I$11</f>
        <v/>
      </c>
      <c r="C176" s="60" t="n"/>
      <c r="D176" s="60" t="n"/>
      <c r="E176" s="60" t="n"/>
      <c r="F176" s="60" t="n"/>
      <c r="G176" s="60" t="n"/>
      <c r="H176" s="60" t="n"/>
      <c r="I176" s="60" t="n"/>
      <c r="J176" s="60" t="n"/>
      <c r="K176" s="60" t="n"/>
      <c r="L176" s="60" t="n"/>
    </row>
    <row r="177" ht="21" customHeight="1">
      <c r="A177" s="59" t="n"/>
      <c r="B177" s="42">
        <f>'設定'!$I$12</f>
        <v/>
      </c>
      <c r="C177" s="60" t="n"/>
      <c r="D177" s="60" t="n"/>
      <c r="E177" s="60" t="n"/>
      <c r="F177" s="60" t="n"/>
      <c r="G177" s="60" t="n"/>
      <c r="H177" s="60" t="n"/>
      <c r="I177" s="60" t="n"/>
      <c r="J177" s="60" t="n"/>
      <c r="K177" s="60" t="n"/>
      <c r="L177" s="60" t="n"/>
    </row>
    <row r="178" ht="21" customHeight="1">
      <c r="A178" s="59" t="n"/>
      <c r="B178" s="42">
        <f>'設定'!$I$13</f>
        <v/>
      </c>
      <c r="C178" s="60" t="n"/>
      <c r="D178" s="60" t="n"/>
      <c r="E178" s="60" t="n"/>
      <c r="F178" s="60" t="n"/>
      <c r="G178" s="60" t="n"/>
      <c r="H178" s="60" t="n"/>
      <c r="I178" s="60" t="n"/>
      <c r="J178" s="60" t="n"/>
      <c r="K178" s="60" t="n"/>
      <c r="L178" s="60" t="n"/>
    </row>
    <row r="179" ht="21" customHeight="1">
      <c r="A179" s="59" t="n"/>
      <c r="B179" s="42">
        <f>'設定'!$I$14</f>
        <v/>
      </c>
      <c r="C179" s="60" t="n"/>
      <c r="D179" s="60" t="n"/>
      <c r="E179" s="60" t="n"/>
      <c r="F179" s="60" t="n"/>
      <c r="G179" s="60" t="n"/>
      <c r="H179" s="60" t="n"/>
      <c r="I179" s="60" t="n"/>
      <c r="J179" s="60" t="n"/>
      <c r="K179" s="60" t="n"/>
      <c r="L179" s="60" t="n"/>
    </row>
    <row r="180" ht="21" customHeight="1">
      <c r="A180" s="59" t="n"/>
      <c r="B180" s="42">
        <f>'設定'!$I$15</f>
        <v/>
      </c>
      <c r="C180" s="60" t="n"/>
      <c r="D180" s="60" t="n"/>
      <c r="E180" s="60" t="n"/>
      <c r="F180" s="60" t="n"/>
      <c r="G180" s="60" t="n"/>
      <c r="H180" s="60" t="n"/>
      <c r="I180" s="60" t="n"/>
      <c r="J180" s="60" t="n"/>
      <c r="K180" s="60" t="n"/>
      <c r="L180" s="60" t="n"/>
    </row>
    <row r="181" ht="21" customHeight="1">
      <c r="A181" s="59" t="n"/>
      <c r="B181" s="42">
        <f>'設定'!$I$16</f>
        <v/>
      </c>
      <c r="C181" s="60" t="n"/>
      <c r="D181" s="60" t="n"/>
      <c r="E181" s="60" t="n"/>
      <c r="F181" s="60" t="n"/>
      <c r="G181" s="60" t="n"/>
      <c r="H181" s="60" t="n"/>
      <c r="I181" s="60" t="n"/>
      <c r="J181" s="60" t="n"/>
      <c r="K181" s="60" t="n"/>
      <c r="L181" s="60" t="n"/>
    </row>
    <row r="182" ht="21" customHeight="1">
      <c r="A182" s="59" t="n"/>
      <c r="B182" s="42">
        <f>'設定'!$I$17</f>
        <v/>
      </c>
      <c r="C182" s="60" t="n"/>
      <c r="D182" s="60" t="n"/>
      <c r="E182" s="60" t="n"/>
      <c r="F182" s="60" t="n"/>
      <c r="G182" s="60" t="n"/>
      <c r="H182" s="60" t="n"/>
      <c r="I182" s="60" t="n"/>
      <c r="J182" s="60" t="n"/>
      <c r="K182" s="60" t="n"/>
      <c r="L182" s="60" t="n"/>
    </row>
    <row r="183" ht="21" customHeight="1">
      <c r="A183" s="59" t="n"/>
      <c r="B183" s="42">
        <f>'設定'!$I$18</f>
        <v/>
      </c>
      <c r="C183" s="60" t="n"/>
      <c r="D183" s="60" t="n"/>
      <c r="E183" s="60" t="n"/>
      <c r="F183" s="60" t="n"/>
      <c r="G183" s="60" t="n"/>
      <c r="H183" s="60" t="n"/>
      <c r="I183" s="60" t="n"/>
      <c r="J183" s="60" t="n"/>
      <c r="K183" s="60" t="n"/>
      <c r="L183" s="60" t="n"/>
    </row>
    <row r="184" ht="21" customHeight="1">
      <c r="A184" s="59" t="n"/>
      <c r="B184" s="42">
        <f>'設定'!$I$19</f>
        <v/>
      </c>
      <c r="C184" s="60" t="n"/>
      <c r="D184" s="60" t="n"/>
      <c r="E184" s="60" t="n"/>
      <c r="F184" s="60" t="n"/>
      <c r="G184" s="60" t="n"/>
      <c r="H184" s="60" t="n"/>
      <c r="I184" s="60" t="n"/>
      <c r="J184" s="60" t="n"/>
      <c r="K184" s="60" t="n"/>
      <c r="L184" s="60" t="n"/>
    </row>
    <row r="185" ht="21" customHeight="1">
      <c r="A185" s="59" t="n"/>
      <c r="B185" s="42">
        <f>'設定'!$I$20</f>
        <v/>
      </c>
      <c r="C185" s="60" t="n"/>
      <c r="D185" s="60" t="n"/>
      <c r="E185" s="60" t="n"/>
      <c r="F185" s="60" t="n"/>
      <c r="G185" s="60" t="n"/>
      <c r="H185" s="60" t="n"/>
      <c r="I185" s="60" t="n"/>
      <c r="J185" s="60" t="n"/>
      <c r="K185" s="60" t="n"/>
      <c r="L185" s="60" t="n"/>
    </row>
    <row r="186" ht="21" customHeight="1">
      <c r="A186" s="59" t="n"/>
      <c r="B186" s="42">
        <f>'設定'!$I$21</f>
        <v/>
      </c>
      <c r="C186" s="60" t="n"/>
      <c r="D186" s="60" t="n"/>
      <c r="E186" s="60" t="n"/>
      <c r="F186" s="60" t="n"/>
      <c r="G186" s="60" t="n"/>
      <c r="H186" s="60" t="n"/>
      <c r="I186" s="60" t="n"/>
      <c r="J186" s="60" t="n"/>
      <c r="K186" s="60" t="n"/>
      <c r="L186" s="60" t="n"/>
    </row>
    <row r="187" ht="21" customHeight="1">
      <c r="A187" s="59" t="n"/>
      <c r="B187" s="42">
        <f>'設定'!$I$22</f>
        <v/>
      </c>
      <c r="C187" s="60" t="n"/>
      <c r="D187" s="60" t="n"/>
      <c r="E187" s="60" t="n"/>
      <c r="F187" s="60" t="n"/>
      <c r="G187" s="60" t="n"/>
      <c r="H187" s="60" t="n"/>
      <c r="I187" s="60" t="n"/>
      <c r="J187" s="60" t="n"/>
      <c r="K187" s="60" t="n"/>
      <c r="L187" s="60" t="n"/>
    </row>
    <row r="188" ht="21" customHeight="1">
      <c r="A188" s="59" t="n"/>
      <c r="B188" s="42">
        <f>'設定'!$I$23</f>
        <v/>
      </c>
      <c r="C188" s="60" t="n"/>
      <c r="D188" s="60" t="n"/>
      <c r="E188" s="60" t="n"/>
      <c r="F188" s="60" t="n"/>
      <c r="G188" s="60" t="n"/>
      <c r="H188" s="60" t="n"/>
      <c r="I188" s="60" t="n"/>
      <c r="J188" s="60" t="n"/>
      <c r="K188" s="60" t="n"/>
      <c r="L188" s="60" t="n"/>
    </row>
    <row r="189" ht="21" customHeight="1">
      <c r="A189" s="59" t="n"/>
      <c r="B189" s="42">
        <f>'設定'!$I$24</f>
        <v/>
      </c>
      <c r="C189" s="60" t="n"/>
      <c r="D189" s="60" t="n"/>
      <c r="E189" s="60" t="n"/>
      <c r="F189" s="60" t="n"/>
      <c r="G189" s="60" t="n"/>
      <c r="H189" s="60" t="n"/>
      <c r="I189" s="60" t="n"/>
      <c r="J189" s="60" t="n"/>
      <c r="K189" s="60" t="n"/>
      <c r="L189" s="60" t="n"/>
    </row>
    <row r="190" ht="21" customHeight="1">
      <c r="A190" s="59" t="n"/>
      <c r="B190" s="42">
        <f>'設定'!$I$25</f>
        <v/>
      </c>
      <c r="C190" s="60" t="n"/>
      <c r="D190" s="60" t="n"/>
      <c r="E190" s="60" t="n"/>
      <c r="F190" s="60" t="n"/>
      <c r="G190" s="60" t="n"/>
      <c r="H190" s="60" t="n"/>
      <c r="I190" s="60" t="n"/>
      <c r="J190" s="60" t="n"/>
      <c r="K190" s="60" t="n"/>
      <c r="L190" s="60" t="n"/>
    </row>
    <row r="191" ht="21" customHeight="1">
      <c r="A191" s="59" t="n"/>
      <c r="B191" s="42">
        <f>'設定'!$I$26</f>
        <v/>
      </c>
      <c r="C191" s="60" t="n"/>
      <c r="D191" s="60" t="n"/>
      <c r="E191" s="60" t="n"/>
      <c r="F191" s="60" t="n"/>
      <c r="G191" s="60" t="n"/>
      <c r="H191" s="60" t="n"/>
      <c r="I191" s="60" t="n"/>
      <c r="J191" s="60" t="n"/>
      <c r="K191" s="60" t="n"/>
      <c r="L191" s="60" t="n"/>
    </row>
    <row r="192" ht="21" customHeight="1">
      <c r="A192" s="59" t="n"/>
      <c r="B192" s="42">
        <f>'設定'!$I$27</f>
        <v/>
      </c>
      <c r="C192" s="60" t="n"/>
      <c r="D192" s="60" t="n"/>
      <c r="E192" s="60" t="n"/>
      <c r="F192" s="60" t="n"/>
      <c r="G192" s="60" t="n"/>
      <c r="H192" s="60" t="n"/>
      <c r="I192" s="60" t="n"/>
      <c r="J192" s="60" t="n"/>
      <c r="K192" s="60" t="n"/>
      <c r="L192" s="60" t="n"/>
    </row>
    <row r="193" ht="21" customHeight="1">
      <c r="A193" s="59" t="n"/>
      <c r="B193" s="42">
        <f>'設定'!$I$28</f>
        <v/>
      </c>
      <c r="C193" s="60" t="n"/>
      <c r="D193" s="60" t="n"/>
      <c r="E193" s="60" t="n"/>
      <c r="F193" s="60" t="n"/>
      <c r="G193" s="60" t="n"/>
      <c r="H193" s="60" t="n"/>
      <c r="I193" s="60" t="n"/>
      <c r="J193" s="60" t="n"/>
      <c r="K193" s="60" t="n"/>
      <c r="L193" s="60" t="n"/>
    </row>
    <row r="194" ht="21" customHeight="1">
      <c r="A194" s="59" t="n"/>
      <c r="B194" s="42">
        <f>'設定'!$I$29</f>
        <v/>
      </c>
      <c r="C194" s="60" t="n"/>
      <c r="D194" s="60" t="n"/>
      <c r="E194" s="60" t="n"/>
      <c r="F194" s="60" t="n"/>
      <c r="G194" s="60" t="n"/>
      <c r="H194" s="60" t="n"/>
      <c r="I194" s="60" t="n"/>
      <c r="J194" s="60" t="n"/>
      <c r="K194" s="60" t="n"/>
      <c r="L194" s="60" t="n"/>
    </row>
    <row r="195" ht="21" customHeight="1">
      <c r="A195" s="59" t="n"/>
      <c r="B195" s="42">
        <f>'設定'!$I$30</f>
        <v/>
      </c>
      <c r="C195" s="60" t="n"/>
      <c r="D195" s="60" t="n"/>
      <c r="E195" s="60" t="n"/>
      <c r="F195" s="60" t="n"/>
      <c r="G195" s="60" t="n"/>
      <c r="H195" s="60" t="n"/>
      <c r="I195" s="60" t="n"/>
      <c r="J195" s="60" t="n"/>
      <c r="K195" s="60" t="n"/>
      <c r="L195" s="60" t="n"/>
    </row>
    <row r="196" ht="21" customHeight="1">
      <c r="A196" s="59" t="n"/>
      <c r="B196" s="42">
        <f>'設定'!$I$31</f>
        <v/>
      </c>
      <c r="C196" s="60" t="n"/>
      <c r="D196" s="60" t="n"/>
      <c r="E196" s="60" t="n"/>
      <c r="F196" s="60" t="n"/>
      <c r="G196" s="60" t="n"/>
      <c r="H196" s="60" t="n"/>
      <c r="I196" s="60" t="n"/>
      <c r="J196" s="60" t="n"/>
      <c r="K196" s="60" t="n"/>
      <c r="L196" s="60" t="n"/>
    </row>
    <row r="197" ht="21" customHeight="1">
      <c r="A197" s="59" t="n"/>
      <c r="B197" s="42">
        <f>'設定'!$I$32</f>
        <v/>
      </c>
      <c r="C197" s="60" t="n"/>
      <c r="D197" s="60" t="n"/>
      <c r="E197" s="60" t="n"/>
      <c r="F197" s="60" t="n"/>
      <c r="G197" s="60" t="n"/>
      <c r="H197" s="60" t="n"/>
      <c r="I197" s="60" t="n"/>
      <c r="J197" s="60" t="n"/>
      <c r="K197" s="60" t="n"/>
      <c r="L197" s="60" t="n"/>
    </row>
    <row r="198" ht="21" customHeight="1">
      <c r="A198" s="59" t="n"/>
      <c r="B198" s="42">
        <f>'設定'!$I$33</f>
        <v/>
      </c>
      <c r="C198" s="60" t="n"/>
      <c r="D198" s="60" t="n"/>
      <c r="E198" s="60" t="n"/>
      <c r="F198" s="60" t="n"/>
      <c r="G198" s="60" t="n"/>
      <c r="H198" s="60" t="n"/>
      <c r="I198" s="60" t="n"/>
      <c r="J198" s="60" t="n"/>
      <c r="K198" s="60" t="n"/>
      <c r="L198" s="60" t="n"/>
    </row>
    <row r="199" ht="21" customHeight="1">
      <c r="A199" s="59" t="n"/>
      <c r="B199" s="42">
        <f>'設定'!$I$34</f>
        <v/>
      </c>
      <c r="C199" s="60" t="n"/>
      <c r="D199" s="60" t="n"/>
      <c r="E199" s="60" t="n"/>
      <c r="F199" s="60" t="n"/>
      <c r="G199" s="60" t="n"/>
      <c r="H199" s="60" t="n"/>
      <c r="I199" s="60" t="n"/>
      <c r="J199" s="60" t="n"/>
      <c r="K199" s="60" t="n"/>
      <c r="L199" s="60" t="n"/>
    </row>
    <row r="200"/>
    <row r="201" ht="26" customHeight="1">
      <c r="B201" s="53">
        <f>IF('名簿'!B12="","（名簿 8行目：なし）",'名簿'!G12)</f>
        <v/>
      </c>
      <c r="C201" s="4" t="n"/>
      <c r="D201" s="4" t="n"/>
      <c r="E201" s="54" t="inlineStr">
        <is>
          <t>提出状況 ▶</t>
        </is>
      </c>
      <c r="F201" s="38" t="n"/>
      <c r="G201" s="29" t="n"/>
      <c r="H201" s="55" t="inlineStr">
        <is>
          <t>状況：</t>
        </is>
      </c>
      <c r="I201" s="56">
        <f>'名簿'!H12</f>
        <v/>
      </c>
      <c r="J201" s="55" t="inlineStr">
        <is>
          <t>×の数：</t>
        </is>
      </c>
      <c r="K201" s="57">
        <f>'名簿'!I12</f>
        <v/>
      </c>
      <c r="L201" s="58">
        <f>HYPERLINK("#'×入力'!B229","次の人へ ▼")</f>
        <v/>
      </c>
    </row>
    <row r="202" ht="22" customHeight="1">
      <c r="A202" s="30" t="inlineStr">
        <is>
          <t>この日全部 ▶</t>
        </is>
      </c>
      <c r="C202" s="59" t="n"/>
      <c r="D202" s="59" t="n"/>
      <c r="E202" s="59" t="n"/>
      <c r="F202" s="59" t="n"/>
      <c r="G202" s="59" t="n"/>
      <c r="H202" s="59" t="n"/>
      <c r="I202" s="59" t="n"/>
      <c r="J202" s="59" t="n"/>
      <c r="K202" s="59" t="n"/>
      <c r="L202" s="59" t="n"/>
    </row>
    <row r="203" ht="28" customHeight="1">
      <c r="A203" s="33" t="inlineStr">
        <is>
          <t>この時間
全部 ▼</t>
        </is>
      </c>
      <c r="B203" s="34" t="inlineStr"/>
      <c r="C203" s="35">
        <f>'設定'!$E$11</f>
        <v/>
      </c>
      <c r="D203" s="35">
        <f>'設定'!$E$12</f>
        <v/>
      </c>
      <c r="E203" s="35">
        <f>'設定'!$E$13</f>
        <v/>
      </c>
      <c r="F203" s="35">
        <f>'設定'!$E$14</f>
        <v/>
      </c>
      <c r="G203" s="35">
        <f>'設定'!$E$15</f>
        <v/>
      </c>
      <c r="H203" s="35">
        <f>'設定'!$E$16</f>
        <v/>
      </c>
      <c r="I203" s="35">
        <f>'設定'!$E$17</f>
        <v/>
      </c>
      <c r="J203" s="35">
        <f>'設定'!$E$18</f>
        <v/>
      </c>
      <c r="K203" s="35">
        <f>'設定'!$E$19</f>
        <v/>
      </c>
      <c r="L203" s="35">
        <f>'設定'!$E$20</f>
        <v/>
      </c>
    </row>
    <row r="204" ht="21" customHeight="1">
      <c r="A204" s="59" t="n"/>
      <c r="B204" s="42">
        <f>'設定'!$I$11</f>
        <v/>
      </c>
      <c r="C204" s="60" t="n"/>
      <c r="D204" s="60" t="n"/>
      <c r="E204" s="60" t="n"/>
      <c r="F204" s="60" t="n"/>
      <c r="G204" s="60" t="n"/>
      <c r="H204" s="60" t="n"/>
      <c r="I204" s="60" t="n"/>
      <c r="J204" s="60" t="n"/>
      <c r="K204" s="60" t="n"/>
      <c r="L204" s="60" t="n"/>
    </row>
    <row r="205" ht="21" customHeight="1">
      <c r="A205" s="59" t="n"/>
      <c r="B205" s="42">
        <f>'設定'!$I$12</f>
        <v/>
      </c>
      <c r="C205" s="60" t="n"/>
      <c r="D205" s="60" t="n"/>
      <c r="E205" s="60" t="n"/>
      <c r="F205" s="60" t="n"/>
      <c r="G205" s="60" t="n"/>
      <c r="H205" s="60" t="n"/>
      <c r="I205" s="60" t="n"/>
      <c r="J205" s="60" t="n"/>
      <c r="K205" s="60" t="n"/>
      <c r="L205" s="60" t="n"/>
    </row>
    <row r="206" ht="21" customHeight="1">
      <c r="A206" s="59" t="n"/>
      <c r="B206" s="42">
        <f>'設定'!$I$13</f>
        <v/>
      </c>
      <c r="C206" s="60" t="n"/>
      <c r="D206" s="60" t="n"/>
      <c r="E206" s="60" t="n"/>
      <c r="F206" s="60" t="n"/>
      <c r="G206" s="60" t="n"/>
      <c r="H206" s="60" t="n"/>
      <c r="I206" s="60" t="n"/>
      <c r="J206" s="60" t="n"/>
      <c r="K206" s="60" t="n"/>
      <c r="L206" s="60" t="n"/>
    </row>
    <row r="207" ht="21" customHeight="1">
      <c r="A207" s="59" t="n"/>
      <c r="B207" s="42">
        <f>'設定'!$I$14</f>
        <v/>
      </c>
      <c r="C207" s="60" t="n"/>
      <c r="D207" s="60" t="n"/>
      <c r="E207" s="60" t="n"/>
      <c r="F207" s="60" t="n"/>
      <c r="G207" s="60" t="n"/>
      <c r="H207" s="60" t="n"/>
      <c r="I207" s="60" t="n"/>
      <c r="J207" s="60" t="n"/>
      <c r="K207" s="60" t="n"/>
      <c r="L207" s="60" t="n"/>
    </row>
    <row r="208" ht="21" customHeight="1">
      <c r="A208" s="59" t="n"/>
      <c r="B208" s="42">
        <f>'設定'!$I$15</f>
        <v/>
      </c>
      <c r="C208" s="60" t="n"/>
      <c r="D208" s="60" t="n"/>
      <c r="E208" s="60" t="n"/>
      <c r="F208" s="60" t="n"/>
      <c r="G208" s="60" t="n"/>
      <c r="H208" s="60" t="n"/>
      <c r="I208" s="60" t="n"/>
      <c r="J208" s="60" t="n"/>
      <c r="K208" s="60" t="n"/>
      <c r="L208" s="60" t="n"/>
    </row>
    <row r="209" ht="21" customHeight="1">
      <c r="A209" s="59" t="n"/>
      <c r="B209" s="42">
        <f>'設定'!$I$16</f>
        <v/>
      </c>
      <c r="C209" s="60" t="n"/>
      <c r="D209" s="60" t="n"/>
      <c r="E209" s="60" t="n"/>
      <c r="F209" s="60" t="n"/>
      <c r="G209" s="60" t="n"/>
      <c r="H209" s="60" t="n"/>
      <c r="I209" s="60" t="n"/>
      <c r="J209" s="60" t="n"/>
      <c r="K209" s="60" t="n"/>
      <c r="L209" s="60" t="n"/>
    </row>
    <row r="210" ht="21" customHeight="1">
      <c r="A210" s="59" t="n"/>
      <c r="B210" s="42">
        <f>'設定'!$I$17</f>
        <v/>
      </c>
      <c r="C210" s="60" t="n"/>
      <c r="D210" s="60" t="n"/>
      <c r="E210" s="60" t="n"/>
      <c r="F210" s="60" t="n"/>
      <c r="G210" s="60" t="n"/>
      <c r="H210" s="60" t="n"/>
      <c r="I210" s="60" t="n"/>
      <c r="J210" s="60" t="n"/>
      <c r="K210" s="60" t="n"/>
      <c r="L210" s="60" t="n"/>
    </row>
    <row r="211" ht="21" customHeight="1">
      <c r="A211" s="59" t="n"/>
      <c r="B211" s="42">
        <f>'設定'!$I$18</f>
        <v/>
      </c>
      <c r="C211" s="60" t="n"/>
      <c r="D211" s="60" t="n"/>
      <c r="E211" s="60" t="n"/>
      <c r="F211" s="60" t="n"/>
      <c r="G211" s="60" t="n"/>
      <c r="H211" s="60" t="n"/>
      <c r="I211" s="60" t="n"/>
      <c r="J211" s="60" t="n"/>
      <c r="K211" s="60" t="n"/>
      <c r="L211" s="60" t="n"/>
    </row>
    <row r="212" ht="21" customHeight="1">
      <c r="A212" s="59" t="n"/>
      <c r="B212" s="42">
        <f>'設定'!$I$19</f>
        <v/>
      </c>
      <c r="C212" s="60" t="n"/>
      <c r="D212" s="60" t="n"/>
      <c r="E212" s="60" t="n"/>
      <c r="F212" s="60" t="n"/>
      <c r="G212" s="60" t="n"/>
      <c r="H212" s="60" t="n"/>
      <c r="I212" s="60" t="n"/>
      <c r="J212" s="60" t="n"/>
      <c r="K212" s="60" t="n"/>
      <c r="L212" s="60" t="n"/>
    </row>
    <row r="213" ht="21" customHeight="1">
      <c r="A213" s="59" t="n"/>
      <c r="B213" s="42">
        <f>'設定'!$I$20</f>
        <v/>
      </c>
      <c r="C213" s="60" t="n"/>
      <c r="D213" s="60" t="n"/>
      <c r="E213" s="60" t="n"/>
      <c r="F213" s="60" t="n"/>
      <c r="G213" s="60" t="n"/>
      <c r="H213" s="60" t="n"/>
      <c r="I213" s="60" t="n"/>
      <c r="J213" s="60" t="n"/>
      <c r="K213" s="60" t="n"/>
      <c r="L213" s="60" t="n"/>
    </row>
    <row r="214" ht="21" customHeight="1">
      <c r="A214" s="59" t="n"/>
      <c r="B214" s="42">
        <f>'設定'!$I$21</f>
        <v/>
      </c>
      <c r="C214" s="60" t="n"/>
      <c r="D214" s="60" t="n"/>
      <c r="E214" s="60" t="n"/>
      <c r="F214" s="60" t="n"/>
      <c r="G214" s="60" t="n"/>
      <c r="H214" s="60" t="n"/>
      <c r="I214" s="60" t="n"/>
      <c r="J214" s="60" t="n"/>
      <c r="K214" s="60" t="n"/>
      <c r="L214" s="60" t="n"/>
    </row>
    <row r="215" ht="21" customHeight="1">
      <c r="A215" s="59" t="n"/>
      <c r="B215" s="42">
        <f>'設定'!$I$22</f>
        <v/>
      </c>
      <c r="C215" s="60" t="n"/>
      <c r="D215" s="60" t="n"/>
      <c r="E215" s="60" t="n"/>
      <c r="F215" s="60" t="n"/>
      <c r="G215" s="60" t="n"/>
      <c r="H215" s="60" t="n"/>
      <c r="I215" s="60" t="n"/>
      <c r="J215" s="60" t="n"/>
      <c r="K215" s="60" t="n"/>
      <c r="L215" s="60" t="n"/>
    </row>
    <row r="216" ht="21" customHeight="1">
      <c r="A216" s="59" t="n"/>
      <c r="B216" s="42">
        <f>'設定'!$I$23</f>
        <v/>
      </c>
      <c r="C216" s="60" t="n"/>
      <c r="D216" s="60" t="n"/>
      <c r="E216" s="60" t="n"/>
      <c r="F216" s="60" t="n"/>
      <c r="G216" s="60" t="n"/>
      <c r="H216" s="60" t="n"/>
      <c r="I216" s="60" t="n"/>
      <c r="J216" s="60" t="n"/>
      <c r="K216" s="60" t="n"/>
      <c r="L216" s="60" t="n"/>
    </row>
    <row r="217" ht="21" customHeight="1">
      <c r="A217" s="59" t="n"/>
      <c r="B217" s="42">
        <f>'設定'!$I$24</f>
        <v/>
      </c>
      <c r="C217" s="60" t="n"/>
      <c r="D217" s="60" t="n"/>
      <c r="E217" s="60" t="n"/>
      <c r="F217" s="60" t="n"/>
      <c r="G217" s="60" t="n"/>
      <c r="H217" s="60" t="n"/>
      <c r="I217" s="60" t="n"/>
      <c r="J217" s="60" t="n"/>
      <c r="K217" s="60" t="n"/>
      <c r="L217" s="60" t="n"/>
    </row>
    <row r="218" ht="21" customHeight="1">
      <c r="A218" s="59" t="n"/>
      <c r="B218" s="42">
        <f>'設定'!$I$25</f>
        <v/>
      </c>
      <c r="C218" s="60" t="n"/>
      <c r="D218" s="60" t="n"/>
      <c r="E218" s="60" t="n"/>
      <c r="F218" s="60" t="n"/>
      <c r="G218" s="60" t="n"/>
      <c r="H218" s="60" t="n"/>
      <c r="I218" s="60" t="n"/>
      <c r="J218" s="60" t="n"/>
      <c r="K218" s="60" t="n"/>
      <c r="L218" s="60" t="n"/>
    </row>
    <row r="219" ht="21" customHeight="1">
      <c r="A219" s="59" t="n"/>
      <c r="B219" s="42">
        <f>'設定'!$I$26</f>
        <v/>
      </c>
      <c r="C219" s="60" t="n"/>
      <c r="D219" s="60" t="n"/>
      <c r="E219" s="60" t="n"/>
      <c r="F219" s="60" t="n"/>
      <c r="G219" s="60" t="n"/>
      <c r="H219" s="60" t="n"/>
      <c r="I219" s="60" t="n"/>
      <c r="J219" s="60" t="n"/>
      <c r="K219" s="60" t="n"/>
      <c r="L219" s="60" t="n"/>
    </row>
    <row r="220" ht="21" customHeight="1">
      <c r="A220" s="59" t="n"/>
      <c r="B220" s="42">
        <f>'設定'!$I$27</f>
        <v/>
      </c>
      <c r="C220" s="60" t="n"/>
      <c r="D220" s="60" t="n"/>
      <c r="E220" s="60" t="n"/>
      <c r="F220" s="60" t="n"/>
      <c r="G220" s="60" t="n"/>
      <c r="H220" s="60" t="n"/>
      <c r="I220" s="60" t="n"/>
      <c r="J220" s="60" t="n"/>
      <c r="K220" s="60" t="n"/>
      <c r="L220" s="60" t="n"/>
    </row>
    <row r="221" ht="21" customHeight="1">
      <c r="A221" s="59" t="n"/>
      <c r="B221" s="42">
        <f>'設定'!$I$28</f>
        <v/>
      </c>
      <c r="C221" s="60" t="n"/>
      <c r="D221" s="60" t="n"/>
      <c r="E221" s="60" t="n"/>
      <c r="F221" s="60" t="n"/>
      <c r="G221" s="60" t="n"/>
      <c r="H221" s="60" t="n"/>
      <c r="I221" s="60" t="n"/>
      <c r="J221" s="60" t="n"/>
      <c r="K221" s="60" t="n"/>
      <c r="L221" s="60" t="n"/>
    </row>
    <row r="222" ht="21" customHeight="1">
      <c r="A222" s="59" t="n"/>
      <c r="B222" s="42">
        <f>'設定'!$I$29</f>
        <v/>
      </c>
      <c r="C222" s="60" t="n"/>
      <c r="D222" s="60" t="n"/>
      <c r="E222" s="60" t="n"/>
      <c r="F222" s="60" t="n"/>
      <c r="G222" s="60" t="n"/>
      <c r="H222" s="60" t="n"/>
      <c r="I222" s="60" t="n"/>
      <c r="J222" s="60" t="n"/>
      <c r="K222" s="60" t="n"/>
      <c r="L222" s="60" t="n"/>
    </row>
    <row r="223" ht="21" customHeight="1">
      <c r="A223" s="59" t="n"/>
      <c r="B223" s="42">
        <f>'設定'!$I$30</f>
        <v/>
      </c>
      <c r="C223" s="60" t="n"/>
      <c r="D223" s="60" t="n"/>
      <c r="E223" s="60" t="n"/>
      <c r="F223" s="60" t="n"/>
      <c r="G223" s="60" t="n"/>
      <c r="H223" s="60" t="n"/>
      <c r="I223" s="60" t="n"/>
      <c r="J223" s="60" t="n"/>
      <c r="K223" s="60" t="n"/>
      <c r="L223" s="60" t="n"/>
    </row>
    <row r="224" ht="21" customHeight="1">
      <c r="A224" s="59" t="n"/>
      <c r="B224" s="42">
        <f>'設定'!$I$31</f>
        <v/>
      </c>
      <c r="C224" s="60" t="n"/>
      <c r="D224" s="60" t="n"/>
      <c r="E224" s="60" t="n"/>
      <c r="F224" s="60" t="n"/>
      <c r="G224" s="60" t="n"/>
      <c r="H224" s="60" t="n"/>
      <c r="I224" s="60" t="n"/>
      <c r="J224" s="60" t="n"/>
      <c r="K224" s="60" t="n"/>
      <c r="L224" s="60" t="n"/>
    </row>
    <row r="225" ht="21" customHeight="1">
      <c r="A225" s="59" t="n"/>
      <c r="B225" s="42">
        <f>'設定'!$I$32</f>
        <v/>
      </c>
      <c r="C225" s="60" t="n"/>
      <c r="D225" s="60" t="n"/>
      <c r="E225" s="60" t="n"/>
      <c r="F225" s="60" t="n"/>
      <c r="G225" s="60" t="n"/>
      <c r="H225" s="60" t="n"/>
      <c r="I225" s="60" t="n"/>
      <c r="J225" s="60" t="n"/>
      <c r="K225" s="60" t="n"/>
      <c r="L225" s="60" t="n"/>
    </row>
    <row r="226" ht="21" customHeight="1">
      <c r="A226" s="59" t="n"/>
      <c r="B226" s="42">
        <f>'設定'!$I$33</f>
        <v/>
      </c>
      <c r="C226" s="60" t="n"/>
      <c r="D226" s="60" t="n"/>
      <c r="E226" s="60" t="n"/>
      <c r="F226" s="60" t="n"/>
      <c r="G226" s="60" t="n"/>
      <c r="H226" s="60" t="n"/>
      <c r="I226" s="60" t="n"/>
      <c r="J226" s="60" t="n"/>
      <c r="K226" s="60" t="n"/>
      <c r="L226" s="60" t="n"/>
    </row>
    <row r="227" ht="21" customHeight="1">
      <c r="A227" s="59" t="n"/>
      <c r="B227" s="42">
        <f>'設定'!$I$34</f>
        <v/>
      </c>
      <c r="C227" s="60" t="n"/>
      <c r="D227" s="60" t="n"/>
      <c r="E227" s="60" t="n"/>
      <c r="F227" s="60" t="n"/>
      <c r="G227" s="60" t="n"/>
      <c r="H227" s="60" t="n"/>
      <c r="I227" s="60" t="n"/>
      <c r="J227" s="60" t="n"/>
      <c r="K227" s="60" t="n"/>
      <c r="L227" s="60" t="n"/>
    </row>
    <row r="228"/>
    <row r="229" ht="26" customHeight="1">
      <c r="B229" s="53">
        <f>IF('名簿'!B13="","（名簿 9行目：なし）",'名簿'!G13)</f>
        <v/>
      </c>
      <c r="C229" s="4" t="n"/>
      <c r="D229" s="4" t="n"/>
      <c r="E229" s="54" t="inlineStr">
        <is>
          <t>提出状況 ▶</t>
        </is>
      </c>
      <c r="F229" s="38" t="n"/>
      <c r="G229" s="29" t="n"/>
      <c r="H229" s="55" t="inlineStr">
        <is>
          <t>状況：</t>
        </is>
      </c>
      <c r="I229" s="56">
        <f>'名簿'!H13</f>
        <v/>
      </c>
      <c r="J229" s="55" t="inlineStr">
        <is>
          <t>×の数：</t>
        </is>
      </c>
      <c r="K229" s="57">
        <f>'名簿'!I13</f>
        <v/>
      </c>
      <c r="L229" s="58">
        <f>HYPERLINK("#'×入力'!B257","次の人へ ▼")</f>
        <v/>
      </c>
    </row>
    <row r="230" ht="22" customHeight="1">
      <c r="A230" s="30" t="inlineStr">
        <is>
          <t>この日全部 ▶</t>
        </is>
      </c>
      <c r="C230" s="59" t="n"/>
      <c r="D230" s="59" t="n"/>
      <c r="E230" s="59" t="n"/>
      <c r="F230" s="59" t="n"/>
      <c r="G230" s="59" t="n"/>
      <c r="H230" s="59" t="n"/>
      <c r="I230" s="59" t="n"/>
      <c r="J230" s="59" t="n"/>
      <c r="K230" s="59" t="n"/>
      <c r="L230" s="59" t="n"/>
    </row>
    <row r="231" ht="28" customHeight="1">
      <c r="A231" s="33" t="inlineStr">
        <is>
          <t>この時間
全部 ▼</t>
        </is>
      </c>
      <c r="B231" s="34" t="inlineStr"/>
      <c r="C231" s="35">
        <f>'設定'!$E$11</f>
        <v/>
      </c>
      <c r="D231" s="35">
        <f>'設定'!$E$12</f>
        <v/>
      </c>
      <c r="E231" s="35">
        <f>'設定'!$E$13</f>
        <v/>
      </c>
      <c r="F231" s="35">
        <f>'設定'!$E$14</f>
        <v/>
      </c>
      <c r="G231" s="35">
        <f>'設定'!$E$15</f>
        <v/>
      </c>
      <c r="H231" s="35">
        <f>'設定'!$E$16</f>
        <v/>
      </c>
      <c r="I231" s="35">
        <f>'設定'!$E$17</f>
        <v/>
      </c>
      <c r="J231" s="35">
        <f>'設定'!$E$18</f>
        <v/>
      </c>
      <c r="K231" s="35">
        <f>'設定'!$E$19</f>
        <v/>
      </c>
      <c r="L231" s="35">
        <f>'設定'!$E$20</f>
        <v/>
      </c>
    </row>
    <row r="232" ht="21" customHeight="1">
      <c r="A232" s="59" t="n"/>
      <c r="B232" s="42">
        <f>'設定'!$I$11</f>
        <v/>
      </c>
      <c r="C232" s="60" t="n"/>
      <c r="D232" s="60" t="n"/>
      <c r="E232" s="60" t="n"/>
      <c r="F232" s="60" t="n"/>
      <c r="G232" s="60" t="n"/>
      <c r="H232" s="60" t="n"/>
      <c r="I232" s="60" t="n"/>
      <c r="J232" s="60" t="n"/>
      <c r="K232" s="60" t="n"/>
      <c r="L232" s="60" t="n"/>
    </row>
    <row r="233" ht="21" customHeight="1">
      <c r="A233" s="59" t="n"/>
      <c r="B233" s="42">
        <f>'設定'!$I$12</f>
        <v/>
      </c>
      <c r="C233" s="60" t="n"/>
      <c r="D233" s="60" t="n"/>
      <c r="E233" s="60" t="n"/>
      <c r="F233" s="60" t="n"/>
      <c r="G233" s="60" t="n"/>
      <c r="H233" s="60" t="n"/>
      <c r="I233" s="60" t="n"/>
      <c r="J233" s="60" t="n"/>
      <c r="K233" s="60" t="n"/>
      <c r="L233" s="60" t="n"/>
    </row>
    <row r="234" ht="21" customHeight="1">
      <c r="A234" s="59" t="n"/>
      <c r="B234" s="42">
        <f>'設定'!$I$13</f>
        <v/>
      </c>
      <c r="C234" s="60" t="n"/>
      <c r="D234" s="60" t="n"/>
      <c r="E234" s="60" t="n"/>
      <c r="F234" s="60" t="n"/>
      <c r="G234" s="60" t="n"/>
      <c r="H234" s="60" t="n"/>
      <c r="I234" s="60" t="n"/>
      <c r="J234" s="60" t="n"/>
      <c r="K234" s="60" t="n"/>
      <c r="L234" s="60" t="n"/>
    </row>
    <row r="235" ht="21" customHeight="1">
      <c r="A235" s="59" t="n"/>
      <c r="B235" s="42">
        <f>'設定'!$I$14</f>
        <v/>
      </c>
      <c r="C235" s="60" t="n"/>
      <c r="D235" s="60" t="n"/>
      <c r="E235" s="60" t="n"/>
      <c r="F235" s="60" t="n"/>
      <c r="G235" s="60" t="n"/>
      <c r="H235" s="60" t="n"/>
      <c r="I235" s="60" t="n"/>
      <c r="J235" s="60" t="n"/>
      <c r="K235" s="60" t="n"/>
      <c r="L235" s="60" t="n"/>
    </row>
    <row r="236" ht="21" customHeight="1">
      <c r="A236" s="59" t="n"/>
      <c r="B236" s="42">
        <f>'設定'!$I$15</f>
        <v/>
      </c>
      <c r="C236" s="60" t="n"/>
      <c r="D236" s="60" t="n"/>
      <c r="E236" s="60" t="n"/>
      <c r="F236" s="60" t="n"/>
      <c r="G236" s="60" t="n"/>
      <c r="H236" s="60" t="n"/>
      <c r="I236" s="60" t="n"/>
      <c r="J236" s="60" t="n"/>
      <c r="K236" s="60" t="n"/>
      <c r="L236" s="60" t="n"/>
    </row>
    <row r="237" ht="21" customHeight="1">
      <c r="A237" s="59" t="n"/>
      <c r="B237" s="42">
        <f>'設定'!$I$16</f>
        <v/>
      </c>
      <c r="C237" s="60" t="n"/>
      <c r="D237" s="60" t="n"/>
      <c r="E237" s="60" t="n"/>
      <c r="F237" s="60" t="n"/>
      <c r="G237" s="60" t="n"/>
      <c r="H237" s="60" t="n"/>
      <c r="I237" s="60" t="n"/>
      <c r="J237" s="60" t="n"/>
      <c r="K237" s="60" t="n"/>
      <c r="L237" s="60" t="n"/>
    </row>
    <row r="238" ht="21" customHeight="1">
      <c r="A238" s="59" t="n"/>
      <c r="B238" s="42">
        <f>'設定'!$I$17</f>
        <v/>
      </c>
      <c r="C238" s="60" t="n"/>
      <c r="D238" s="60" t="n"/>
      <c r="E238" s="60" t="n"/>
      <c r="F238" s="60" t="n"/>
      <c r="G238" s="60" t="n"/>
      <c r="H238" s="60" t="n"/>
      <c r="I238" s="60" t="n"/>
      <c r="J238" s="60" t="n"/>
      <c r="K238" s="60" t="n"/>
      <c r="L238" s="60" t="n"/>
    </row>
    <row r="239" ht="21" customHeight="1">
      <c r="A239" s="59" t="n"/>
      <c r="B239" s="42">
        <f>'設定'!$I$18</f>
        <v/>
      </c>
      <c r="C239" s="60" t="n"/>
      <c r="D239" s="60" t="n"/>
      <c r="E239" s="60" t="n"/>
      <c r="F239" s="60" t="n"/>
      <c r="G239" s="60" t="n"/>
      <c r="H239" s="60" t="n"/>
      <c r="I239" s="60" t="n"/>
      <c r="J239" s="60" t="n"/>
      <c r="K239" s="60" t="n"/>
      <c r="L239" s="60" t="n"/>
    </row>
    <row r="240" ht="21" customHeight="1">
      <c r="A240" s="59" t="n"/>
      <c r="B240" s="42">
        <f>'設定'!$I$19</f>
        <v/>
      </c>
      <c r="C240" s="60" t="n"/>
      <c r="D240" s="60" t="n"/>
      <c r="E240" s="60" t="n"/>
      <c r="F240" s="60" t="n"/>
      <c r="G240" s="60" t="n"/>
      <c r="H240" s="60" t="n"/>
      <c r="I240" s="60" t="n"/>
      <c r="J240" s="60" t="n"/>
      <c r="K240" s="60" t="n"/>
      <c r="L240" s="60" t="n"/>
    </row>
    <row r="241" ht="21" customHeight="1">
      <c r="A241" s="59" t="n"/>
      <c r="B241" s="42">
        <f>'設定'!$I$20</f>
        <v/>
      </c>
      <c r="C241" s="60" t="n"/>
      <c r="D241" s="60" t="n"/>
      <c r="E241" s="60" t="n"/>
      <c r="F241" s="60" t="n"/>
      <c r="G241" s="60" t="n"/>
      <c r="H241" s="60" t="n"/>
      <c r="I241" s="60" t="n"/>
      <c r="J241" s="60" t="n"/>
      <c r="K241" s="60" t="n"/>
      <c r="L241" s="60" t="n"/>
    </row>
    <row r="242" ht="21" customHeight="1">
      <c r="A242" s="59" t="n"/>
      <c r="B242" s="42">
        <f>'設定'!$I$21</f>
        <v/>
      </c>
      <c r="C242" s="60" t="n"/>
      <c r="D242" s="60" t="n"/>
      <c r="E242" s="60" t="n"/>
      <c r="F242" s="60" t="n"/>
      <c r="G242" s="60" t="n"/>
      <c r="H242" s="60" t="n"/>
      <c r="I242" s="60" t="n"/>
      <c r="J242" s="60" t="n"/>
      <c r="K242" s="60" t="n"/>
      <c r="L242" s="60" t="n"/>
    </row>
    <row r="243" ht="21" customHeight="1">
      <c r="A243" s="59" t="n"/>
      <c r="B243" s="42">
        <f>'設定'!$I$22</f>
        <v/>
      </c>
      <c r="C243" s="60" t="n"/>
      <c r="D243" s="60" t="n"/>
      <c r="E243" s="60" t="n"/>
      <c r="F243" s="60" t="n"/>
      <c r="G243" s="60" t="n"/>
      <c r="H243" s="60" t="n"/>
      <c r="I243" s="60" t="n"/>
      <c r="J243" s="60" t="n"/>
      <c r="K243" s="60" t="n"/>
      <c r="L243" s="60" t="n"/>
    </row>
    <row r="244" ht="21" customHeight="1">
      <c r="A244" s="59" t="n"/>
      <c r="B244" s="42">
        <f>'設定'!$I$23</f>
        <v/>
      </c>
      <c r="C244" s="60" t="n"/>
      <c r="D244" s="60" t="n"/>
      <c r="E244" s="60" t="n"/>
      <c r="F244" s="60" t="n"/>
      <c r="G244" s="60" t="n"/>
      <c r="H244" s="60" t="n"/>
      <c r="I244" s="60" t="n"/>
      <c r="J244" s="60" t="n"/>
      <c r="K244" s="60" t="n"/>
      <c r="L244" s="60" t="n"/>
    </row>
    <row r="245" ht="21" customHeight="1">
      <c r="A245" s="59" t="n"/>
      <c r="B245" s="42">
        <f>'設定'!$I$24</f>
        <v/>
      </c>
      <c r="C245" s="60" t="n"/>
      <c r="D245" s="60" t="n"/>
      <c r="E245" s="60" t="n"/>
      <c r="F245" s="60" t="n"/>
      <c r="G245" s="60" t="n"/>
      <c r="H245" s="60" t="n"/>
      <c r="I245" s="60" t="n"/>
      <c r="J245" s="60" t="n"/>
      <c r="K245" s="60" t="n"/>
      <c r="L245" s="60" t="n"/>
    </row>
    <row r="246" ht="21" customHeight="1">
      <c r="A246" s="59" t="n"/>
      <c r="B246" s="42">
        <f>'設定'!$I$25</f>
        <v/>
      </c>
      <c r="C246" s="60" t="n"/>
      <c r="D246" s="60" t="n"/>
      <c r="E246" s="60" t="n"/>
      <c r="F246" s="60" t="n"/>
      <c r="G246" s="60" t="n"/>
      <c r="H246" s="60" t="n"/>
      <c r="I246" s="60" t="n"/>
      <c r="J246" s="60" t="n"/>
      <c r="K246" s="60" t="n"/>
      <c r="L246" s="60" t="n"/>
    </row>
    <row r="247" ht="21" customHeight="1">
      <c r="A247" s="59" t="n"/>
      <c r="B247" s="42">
        <f>'設定'!$I$26</f>
        <v/>
      </c>
      <c r="C247" s="60" t="n"/>
      <c r="D247" s="60" t="n"/>
      <c r="E247" s="60" t="n"/>
      <c r="F247" s="60" t="n"/>
      <c r="G247" s="60" t="n"/>
      <c r="H247" s="60" t="n"/>
      <c r="I247" s="60" t="n"/>
      <c r="J247" s="60" t="n"/>
      <c r="K247" s="60" t="n"/>
      <c r="L247" s="60" t="n"/>
    </row>
    <row r="248" ht="21" customHeight="1">
      <c r="A248" s="59" t="n"/>
      <c r="B248" s="42">
        <f>'設定'!$I$27</f>
        <v/>
      </c>
      <c r="C248" s="60" t="n"/>
      <c r="D248" s="60" t="n"/>
      <c r="E248" s="60" t="n"/>
      <c r="F248" s="60" t="n"/>
      <c r="G248" s="60" t="n"/>
      <c r="H248" s="60" t="n"/>
      <c r="I248" s="60" t="n"/>
      <c r="J248" s="60" t="n"/>
      <c r="K248" s="60" t="n"/>
      <c r="L248" s="60" t="n"/>
    </row>
    <row r="249" ht="21" customHeight="1">
      <c r="A249" s="59" t="n"/>
      <c r="B249" s="42">
        <f>'設定'!$I$28</f>
        <v/>
      </c>
      <c r="C249" s="60" t="n"/>
      <c r="D249" s="60" t="n"/>
      <c r="E249" s="60" t="n"/>
      <c r="F249" s="60" t="n"/>
      <c r="G249" s="60" t="n"/>
      <c r="H249" s="60" t="n"/>
      <c r="I249" s="60" t="n"/>
      <c r="J249" s="60" t="n"/>
      <c r="K249" s="60" t="n"/>
      <c r="L249" s="60" t="n"/>
    </row>
    <row r="250" ht="21" customHeight="1">
      <c r="A250" s="59" t="n"/>
      <c r="B250" s="42">
        <f>'設定'!$I$29</f>
        <v/>
      </c>
      <c r="C250" s="60" t="n"/>
      <c r="D250" s="60" t="n"/>
      <c r="E250" s="60" t="n"/>
      <c r="F250" s="60" t="n"/>
      <c r="G250" s="60" t="n"/>
      <c r="H250" s="60" t="n"/>
      <c r="I250" s="60" t="n"/>
      <c r="J250" s="60" t="n"/>
      <c r="K250" s="60" t="n"/>
      <c r="L250" s="60" t="n"/>
    </row>
    <row r="251" ht="21" customHeight="1">
      <c r="A251" s="59" t="n"/>
      <c r="B251" s="42">
        <f>'設定'!$I$30</f>
        <v/>
      </c>
      <c r="C251" s="60" t="n"/>
      <c r="D251" s="60" t="n"/>
      <c r="E251" s="60" t="n"/>
      <c r="F251" s="60" t="n"/>
      <c r="G251" s="60" t="n"/>
      <c r="H251" s="60" t="n"/>
      <c r="I251" s="60" t="n"/>
      <c r="J251" s="60" t="n"/>
      <c r="K251" s="60" t="n"/>
      <c r="L251" s="60" t="n"/>
    </row>
    <row r="252" ht="21" customHeight="1">
      <c r="A252" s="59" t="n"/>
      <c r="B252" s="42">
        <f>'設定'!$I$31</f>
        <v/>
      </c>
      <c r="C252" s="60" t="n"/>
      <c r="D252" s="60" t="n"/>
      <c r="E252" s="60" t="n"/>
      <c r="F252" s="60" t="n"/>
      <c r="G252" s="60" t="n"/>
      <c r="H252" s="60" t="n"/>
      <c r="I252" s="60" t="n"/>
      <c r="J252" s="60" t="n"/>
      <c r="K252" s="60" t="n"/>
      <c r="L252" s="60" t="n"/>
    </row>
    <row r="253" ht="21" customHeight="1">
      <c r="A253" s="59" t="n"/>
      <c r="B253" s="42">
        <f>'設定'!$I$32</f>
        <v/>
      </c>
      <c r="C253" s="60" t="n"/>
      <c r="D253" s="60" t="n"/>
      <c r="E253" s="60" t="n"/>
      <c r="F253" s="60" t="n"/>
      <c r="G253" s="60" t="n"/>
      <c r="H253" s="60" t="n"/>
      <c r="I253" s="60" t="n"/>
      <c r="J253" s="60" t="n"/>
      <c r="K253" s="60" t="n"/>
      <c r="L253" s="60" t="n"/>
    </row>
    <row r="254" ht="21" customHeight="1">
      <c r="A254" s="59" t="n"/>
      <c r="B254" s="42">
        <f>'設定'!$I$33</f>
        <v/>
      </c>
      <c r="C254" s="60" t="n"/>
      <c r="D254" s="60" t="n"/>
      <c r="E254" s="60" t="n"/>
      <c r="F254" s="60" t="n"/>
      <c r="G254" s="60" t="n"/>
      <c r="H254" s="60" t="n"/>
      <c r="I254" s="60" t="n"/>
      <c r="J254" s="60" t="n"/>
      <c r="K254" s="60" t="n"/>
      <c r="L254" s="60" t="n"/>
    </row>
    <row r="255" ht="21" customHeight="1">
      <c r="A255" s="59" t="n"/>
      <c r="B255" s="42">
        <f>'設定'!$I$34</f>
        <v/>
      </c>
      <c r="C255" s="60" t="n"/>
      <c r="D255" s="60" t="n"/>
      <c r="E255" s="60" t="n"/>
      <c r="F255" s="60" t="n"/>
      <c r="G255" s="60" t="n"/>
      <c r="H255" s="60" t="n"/>
      <c r="I255" s="60" t="n"/>
      <c r="J255" s="60" t="n"/>
      <c r="K255" s="60" t="n"/>
      <c r="L255" s="60" t="n"/>
    </row>
    <row r="256"/>
    <row r="257" ht="26" customHeight="1">
      <c r="B257" s="53">
        <f>IF('名簿'!B14="","（名簿 10行目：なし）",'名簿'!G14)</f>
        <v/>
      </c>
      <c r="C257" s="4" t="n"/>
      <c r="D257" s="4" t="n"/>
      <c r="E257" s="54" t="inlineStr">
        <is>
          <t>提出状況 ▶</t>
        </is>
      </c>
      <c r="F257" s="38" t="n"/>
      <c r="G257" s="29" t="n"/>
      <c r="H257" s="55" t="inlineStr">
        <is>
          <t>状況：</t>
        </is>
      </c>
      <c r="I257" s="56">
        <f>'名簿'!H14</f>
        <v/>
      </c>
      <c r="J257" s="55" t="inlineStr">
        <is>
          <t>×の数：</t>
        </is>
      </c>
      <c r="K257" s="57">
        <f>'名簿'!I14</f>
        <v/>
      </c>
      <c r="L257" s="58">
        <f>HYPERLINK("#'×入力'!B285","次の人へ ▼")</f>
        <v/>
      </c>
    </row>
    <row r="258" ht="22" customHeight="1">
      <c r="A258" s="30" t="inlineStr">
        <is>
          <t>この日全部 ▶</t>
        </is>
      </c>
      <c r="C258" s="59" t="n"/>
      <c r="D258" s="59" t="n"/>
      <c r="E258" s="59" t="n"/>
      <c r="F258" s="59" t="n"/>
      <c r="G258" s="59" t="n"/>
      <c r="H258" s="59" t="n"/>
      <c r="I258" s="59" t="n"/>
      <c r="J258" s="59" t="n"/>
      <c r="K258" s="59" t="n"/>
      <c r="L258" s="59" t="n"/>
    </row>
    <row r="259" ht="28" customHeight="1">
      <c r="A259" s="33" t="inlineStr">
        <is>
          <t>この時間
全部 ▼</t>
        </is>
      </c>
      <c r="B259" s="34" t="inlineStr"/>
      <c r="C259" s="35">
        <f>'設定'!$E$11</f>
        <v/>
      </c>
      <c r="D259" s="35">
        <f>'設定'!$E$12</f>
        <v/>
      </c>
      <c r="E259" s="35">
        <f>'設定'!$E$13</f>
        <v/>
      </c>
      <c r="F259" s="35">
        <f>'設定'!$E$14</f>
        <v/>
      </c>
      <c r="G259" s="35">
        <f>'設定'!$E$15</f>
        <v/>
      </c>
      <c r="H259" s="35">
        <f>'設定'!$E$16</f>
        <v/>
      </c>
      <c r="I259" s="35">
        <f>'設定'!$E$17</f>
        <v/>
      </c>
      <c r="J259" s="35">
        <f>'設定'!$E$18</f>
        <v/>
      </c>
      <c r="K259" s="35">
        <f>'設定'!$E$19</f>
        <v/>
      </c>
      <c r="L259" s="35">
        <f>'設定'!$E$20</f>
        <v/>
      </c>
    </row>
    <row r="260" ht="21" customHeight="1">
      <c r="A260" s="59" t="n"/>
      <c r="B260" s="42">
        <f>'設定'!$I$11</f>
        <v/>
      </c>
      <c r="C260" s="60" t="n"/>
      <c r="D260" s="60" t="n"/>
      <c r="E260" s="60" t="n"/>
      <c r="F260" s="60" t="n"/>
      <c r="G260" s="60" t="n"/>
      <c r="H260" s="60" t="n"/>
      <c r="I260" s="60" t="n"/>
      <c r="J260" s="60" t="n"/>
      <c r="K260" s="60" t="n"/>
      <c r="L260" s="60" t="n"/>
    </row>
    <row r="261" ht="21" customHeight="1">
      <c r="A261" s="59" t="n"/>
      <c r="B261" s="42">
        <f>'設定'!$I$12</f>
        <v/>
      </c>
      <c r="C261" s="60" t="n"/>
      <c r="D261" s="60" t="n"/>
      <c r="E261" s="60" t="n"/>
      <c r="F261" s="60" t="n"/>
      <c r="G261" s="60" t="n"/>
      <c r="H261" s="60" t="n"/>
      <c r="I261" s="60" t="n"/>
      <c r="J261" s="60" t="n"/>
      <c r="K261" s="60" t="n"/>
      <c r="L261" s="60" t="n"/>
    </row>
    <row r="262" ht="21" customHeight="1">
      <c r="A262" s="59" t="n"/>
      <c r="B262" s="42">
        <f>'設定'!$I$13</f>
        <v/>
      </c>
      <c r="C262" s="60" t="n"/>
      <c r="D262" s="60" t="n"/>
      <c r="E262" s="60" t="n"/>
      <c r="F262" s="60" t="n"/>
      <c r="G262" s="60" t="n"/>
      <c r="H262" s="60" t="n"/>
      <c r="I262" s="60" t="n"/>
      <c r="J262" s="60" t="n"/>
      <c r="K262" s="60" t="n"/>
      <c r="L262" s="60" t="n"/>
    </row>
    <row r="263" ht="21" customHeight="1">
      <c r="A263" s="59" t="n"/>
      <c r="B263" s="42">
        <f>'設定'!$I$14</f>
        <v/>
      </c>
      <c r="C263" s="60" t="n"/>
      <c r="D263" s="60" t="n"/>
      <c r="E263" s="60" t="n"/>
      <c r="F263" s="60" t="n"/>
      <c r="G263" s="60" t="n"/>
      <c r="H263" s="60" t="n"/>
      <c r="I263" s="60" t="n"/>
      <c r="J263" s="60" t="n"/>
      <c r="K263" s="60" t="n"/>
      <c r="L263" s="60" t="n"/>
    </row>
    <row r="264" ht="21" customHeight="1">
      <c r="A264" s="59" t="n"/>
      <c r="B264" s="42">
        <f>'設定'!$I$15</f>
        <v/>
      </c>
      <c r="C264" s="60" t="n"/>
      <c r="D264" s="60" t="n"/>
      <c r="E264" s="60" t="n"/>
      <c r="F264" s="60" t="n"/>
      <c r="G264" s="60" t="n"/>
      <c r="H264" s="60" t="n"/>
      <c r="I264" s="60" t="n"/>
      <c r="J264" s="60" t="n"/>
      <c r="K264" s="60" t="n"/>
      <c r="L264" s="60" t="n"/>
    </row>
    <row r="265" ht="21" customHeight="1">
      <c r="A265" s="59" t="n"/>
      <c r="B265" s="42">
        <f>'設定'!$I$16</f>
        <v/>
      </c>
      <c r="C265" s="60" t="n"/>
      <c r="D265" s="60" t="n"/>
      <c r="E265" s="60" t="n"/>
      <c r="F265" s="60" t="n"/>
      <c r="G265" s="60" t="n"/>
      <c r="H265" s="60" t="n"/>
      <c r="I265" s="60" t="n"/>
      <c r="J265" s="60" t="n"/>
      <c r="K265" s="60" t="n"/>
      <c r="L265" s="60" t="n"/>
    </row>
    <row r="266" ht="21" customHeight="1">
      <c r="A266" s="59" t="n"/>
      <c r="B266" s="42">
        <f>'設定'!$I$17</f>
        <v/>
      </c>
      <c r="C266" s="60" t="n"/>
      <c r="D266" s="60" t="n"/>
      <c r="E266" s="60" t="n"/>
      <c r="F266" s="60" t="n"/>
      <c r="G266" s="60" t="n"/>
      <c r="H266" s="60" t="n"/>
      <c r="I266" s="60" t="n"/>
      <c r="J266" s="60" t="n"/>
      <c r="K266" s="60" t="n"/>
      <c r="L266" s="60" t="n"/>
    </row>
    <row r="267" ht="21" customHeight="1">
      <c r="A267" s="59" t="n"/>
      <c r="B267" s="42">
        <f>'設定'!$I$18</f>
        <v/>
      </c>
      <c r="C267" s="60" t="n"/>
      <c r="D267" s="60" t="n"/>
      <c r="E267" s="60" t="n"/>
      <c r="F267" s="60" t="n"/>
      <c r="G267" s="60" t="n"/>
      <c r="H267" s="60" t="n"/>
      <c r="I267" s="60" t="n"/>
      <c r="J267" s="60" t="n"/>
      <c r="K267" s="60" t="n"/>
      <c r="L267" s="60" t="n"/>
    </row>
    <row r="268" ht="21" customHeight="1">
      <c r="A268" s="59" t="n"/>
      <c r="B268" s="42">
        <f>'設定'!$I$19</f>
        <v/>
      </c>
      <c r="C268" s="60" t="n"/>
      <c r="D268" s="60" t="n"/>
      <c r="E268" s="60" t="n"/>
      <c r="F268" s="60" t="n"/>
      <c r="G268" s="60" t="n"/>
      <c r="H268" s="60" t="n"/>
      <c r="I268" s="60" t="n"/>
      <c r="J268" s="60" t="n"/>
      <c r="K268" s="60" t="n"/>
      <c r="L268" s="60" t="n"/>
    </row>
    <row r="269" ht="21" customHeight="1">
      <c r="A269" s="59" t="n"/>
      <c r="B269" s="42">
        <f>'設定'!$I$20</f>
        <v/>
      </c>
      <c r="C269" s="60" t="n"/>
      <c r="D269" s="60" t="n"/>
      <c r="E269" s="60" t="n"/>
      <c r="F269" s="60" t="n"/>
      <c r="G269" s="60" t="n"/>
      <c r="H269" s="60" t="n"/>
      <c r="I269" s="60" t="n"/>
      <c r="J269" s="60" t="n"/>
      <c r="K269" s="60" t="n"/>
      <c r="L269" s="60" t="n"/>
    </row>
    <row r="270" ht="21" customHeight="1">
      <c r="A270" s="59" t="n"/>
      <c r="B270" s="42">
        <f>'設定'!$I$21</f>
        <v/>
      </c>
      <c r="C270" s="60" t="n"/>
      <c r="D270" s="60" t="n"/>
      <c r="E270" s="60" t="n"/>
      <c r="F270" s="60" t="n"/>
      <c r="G270" s="60" t="n"/>
      <c r="H270" s="60" t="n"/>
      <c r="I270" s="60" t="n"/>
      <c r="J270" s="60" t="n"/>
      <c r="K270" s="60" t="n"/>
      <c r="L270" s="60" t="n"/>
    </row>
    <row r="271" ht="21" customHeight="1">
      <c r="A271" s="59" t="n"/>
      <c r="B271" s="42">
        <f>'設定'!$I$22</f>
        <v/>
      </c>
      <c r="C271" s="60" t="n"/>
      <c r="D271" s="60" t="n"/>
      <c r="E271" s="60" t="n"/>
      <c r="F271" s="60" t="n"/>
      <c r="G271" s="60" t="n"/>
      <c r="H271" s="60" t="n"/>
      <c r="I271" s="60" t="n"/>
      <c r="J271" s="60" t="n"/>
      <c r="K271" s="60" t="n"/>
      <c r="L271" s="60" t="n"/>
    </row>
    <row r="272" ht="21" customHeight="1">
      <c r="A272" s="59" t="n"/>
      <c r="B272" s="42">
        <f>'設定'!$I$23</f>
        <v/>
      </c>
      <c r="C272" s="60" t="n"/>
      <c r="D272" s="60" t="n"/>
      <c r="E272" s="60" t="n"/>
      <c r="F272" s="60" t="n"/>
      <c r="G272" s="60" t="n"/>
      <c r="H272" s="60" t="n"/>
      <c r="I272" s="60" t="n"/>
      <c r="J272" s="60" t="n"/>
      <c r="K272" s="60" t="n"/>
      <c r="L272" s="60" t="n"/>
    </row>
    <row r="273" ht="21" customHeight="1">
      <c r="A273" s="59" t="n"/>
      <c r="B273" s="42">
        <f>'設定'!$I$24</f>
        <v/>
      </c>
      <c r="C273" s="60" t="n"/>
      <c r="D273" s="60" t="n"/>
      <c r="E273" s="60" t="n"/>
      <c r="F273" s="60" t="n"/>
      <c r="G273" s="60" t="n"/>
      <c r="H273" s="60" t="n"/>
      <c r="I273" s="60" t="n"/>
      <c r="J273" s="60" t="n"/>
      <c r="K273" s="60" t="n"/>
      <c r="L273" s="60" t="n"/>
    </row>
    <row r="274" ht="21" customHeight="1">
      <c r="A274" s="59" t="n"/>
      <c r="B274" s="42">
        <f>'設定'!$I$25</f>
        <v/>
      </c>
      <c r="C274" s="60" t="n"/>
      <c r="D274" s="60" t="n"/>
      <c r="E274" s="60" t="n"/>
      <c r="F274" s="60" t="n"/>
      <c r="G274" s="60" t="n"/>
      <c r="H274" s="60" t="n"/>
      <c r="I274" s="60" t="n"/>
      <c r="J274" s="60" t="n"/>
      <c r="K274" s="60" t="n"/>
      <c r="L274" s="60" t="n"/>
    </row>
    <row r="275" ht="21" customHeight="1">
      <c r="A275" s="59" t="n"/>
      <c r="B275" s="42">
        <f>'設定'!$I$26</f>
        <v/>
      </c>
      <c r="C275" s="60" t="n"/>
      <c r="D275" s="60" t="n"/>
      <c r="E275" s="60" t="n"/>
      <c r="F275" s="60" t="n"/>
      <c r="G275" s="60" t="n"/>
      <c r="H275" s="60" t="n"/>
      <c r="I275" s="60" t="n"/>
      <c r="J275" s="60" t="n"/>
      <c r="K275" s="60" t="n"/>
      <c r="L275" s="60" t="n"/>
    </row>
    <row r="276" ht="21" customHeight="1">
      <c r="A276" s="59" t="n"/>
      <c r="B276" s="42">
        <f>'設定'!$I$27</f>
        <v/>
      </c>
      <c r="C276" s="60" t="n"/>
      <c r="D276" s="60" t="n"/>
      <c r="E276" s="60" t="n"/>
      <c r="F276" s="60" t="n"/>
      <c r="G276" s="60" t="n"/>
      <c r="H276" s="60" t="n"/>
      <c r="I276" s="60" t="n"/>
      <c r="J276" s="60" t="n"/>
      <c r="K276" s="60" t="n"/>
      <c r="L276" s="60" t="n"/>
    </row>
    <row r="277" ht="21" customHeight="1">
      <c r="A277" s="59" t="n"/>
      <c r="B277" s="42">
        <f>'設定'!$I$28</f>
        <v/>
      </c>
      <c r="C277" s="60" t="n"/>
      <c r="D277" s="60" t="n"/>
      <c r="E277" s="60" t="n"/>
      <c r="F277" s="60" t="n"/>
      <c r="G277" s="60" t="n"/>
      <c r="H277" s="60" t="n"/>
      <c r="I277" s="60" t="n"/>
      <c r="J277" s="60" t="n"/>
      <c r="K277" s="60" t="n"/>
      <c r="L277" s="60" t="n"/>
    </row>
    <row r="278" ht="21" customHeight="1">
      <c r="A278" s="59" t="n"/>
      <c r="B278" s="42">
        <f>'設定'!$I$29</f>
        <v/>
      </c>
      <c r="C278" s="60" t="n"/>
      <c r="D278" s="60" t="n"/>
      <c r="E278" s="60" t="n"/>
      <c r="F278" s="60" t="n"/>
      <c r="G278" s="60" t="n"/>
      <c r="H278" s="60" t="n"/>
      <c r="I278" s="60" t="n"/>
      <c r="J278" s="60" t="n"/>
      <c r="K278" s="60" t="n"/>
      <c r="L278" s="60" t="n"/>
    </row>
    <row r="279" ht="21" customHeight="1">
      <c r="A279" s="59" t="n"/>
      <c r="B279" s="42">
        <f>'設定'!$I$30</f>
        <v/>
      </c>
      <c r="C279" s="60" t="n"/>
      <c r="D279" s="60" t="n"/>
      <c r="E279" s="60" t="n"/>
      <c r="F279" s="60" t="n"/>
      <c r="G279" s="60" t="n"/>
      <c r="H279" s="60" t="n"/>
      <c r="I279" s="60" t="n"/>
      <c r="J279" s="60" t="n"/>
      <c r="K279" s="60" t="n"/>
      <c r="L279" s="60" t="n"/>
    </row>
    <row r="280" ht="21" customHeight="1">
      <c r="A280" s="59" t="n"/>
      <c r="B280" s="42">
        <f>'設定'!$I$31</f>
        <v/>
      </c>
      <c r="C280" s="60" t="n"/>
      <c r="D280" s="60" t="n"/>
      <c r="E280" s="60" t="n"/>
      <c r="F280" s="60" t="n"/>
      <c r="G280" s="60" t="n"/>
      <c r="H280" s="60" t="n"/>
      <c r="I280" s="60" t="n"/>
      <c r="J280" s="60" t="n"/>
      <c r="K280" s="60" t="n"/>
      <c r="L280" s="60" t="n"/>
    </row>
    <row r="281" ht="21" customHeight="1">
      <c r="A281" s="59" t="n"/>
      <c r="B281" s="42">
        <f>'設定'!$I$32</f>
        <v/>
      </c>
      <c r="C281" s="60" t="n"/>
      <c r="D281" s="60" t="n"/>
      <c r="E281" s="60" t="n"/>
      <c r="F281" s="60" t="n"/>
      <c r="G281" s="60" t="n"/>
      <c r="H281" s="60" t="n"/>
      <c r="I281" s="60" t="n"/>
      <c r="J281" s="60" t="n"/>
      <c r="K281" s="60" t="n"/>
      <c r="L281" s="60" t="n"/>
    </row>
    <row r="282" ht="21" customHeight="1">
      <c r="A282" s="59" t="n"/>
      <c r="B282" s="42">
        <f>'設定'!$I$33</f>
        <v/>
      </c>
      <c r="C282" s="60" t="n"/>
      <c r="D282" s="60" t="n"/>
      <c r="E282" s="60" t="n"/>
      <c r="F282" s="60" t="n"/>
      <c r="G282" s="60" t="n"/>
      <c r="H282" s="60" t="n"/>
      <c r="I282" s="60" t="n"/>
      <c r="J282" s="60" t="n"/>
      <c r="K282" s="60" t="n"/>
      <c r="L282" s="60" t="n"/>
    </row>
    <row r="283" ht="21" customHeight="1">
      <c r="A283" s="59" t="n"/>
      <c r="B283" s="42">
        <f>'設定'!$I$34</f>
        <v/>
      </c>
      <c r="C283" s="60" t="n"/>
      <c r="D283" s="60" t="n"/>
      <c r="E283" s="60" t="n"/>
      <c r="F283" s="60" t="n"/>
      <c r="G283" s="60" t="n"/>
      <c r="H283" s="60" t="n"/>
      <c r="I283" s="60" t="n"/>
      <c r="J283" s="60" t="n"/>
      <c r="K283" s="60" t="n"/>
      <c r="L283" s="60" t="n"/>
    </row>
    <row r="284"/>
    <row r="285" ht="26" customHeight="1">
      <c r="B285" s="53">
        <f>IF('名簿'!B15="","（名簿 11行目：なし）",'名簿'!G15)</f>
        <v/>
      </c>
      <c r="C285" s="4" t="n"/>
      <c r="D285" s="4" t="n"/>
      <c r="E285" s="54" t="inlineStr">
        <is>
          <t>提出状況 ▶</t>
        </is>
      </c>
      <c r="F285" s="38" t="n"/>
      <c r="G285" s="29" t="n"/>
      <c r="H285" s="55" t="inlineStr">
        <is>
          <t>状況：</t>
        </is>
      </c>
      <c r="I285" s="56">
        <f>'名簿'!H15</f>
        <v/>
      </c>
      <c r="J285" s="55" t="inlineStr">
        <is>
          <t>×の数：</t>
        </is>
      </c>
      <c r="K285" s="57">
        <f>'名簿'!I15</f>
        <v/>
      </c>
      <c r="L285" s="58">
        <f>HYPERLINK("#'×入力'!B313","次の人へ ▼")</f>
        <v/>
      </c>
    </row>
    <row r="286" ht="22" customHeight="1">
      <c r="A286" s="30" t="inlineStr">
        <is>
          <t>この日全部 ▶</t>
        </is>
      </c>
      <c r="C286" s="59" t="n"/>
      <c r="D286" s="59" t="n"/>
      <c r="E286" s="59" t="n"/>
      <c r="F286" s="59" t="n"/>
      <c r="G286" s="59" t="n"/>
      <c r="H286" s="59" t="n"/>
      <c r="I286" s="59" t="n"/>
      <c r="J286" s="59" t="n"/>
      <c r="K286" s="59" t="n"/>
      <c r="L286" s="59" t="n"/>
    </row>
    <row r="287" ht="28" customHeight="1">
      <c r="A287" s="33" t="inlineStr">
        <is>
          <t>この時間
全部 ▼</t>
        </is>
      </c>
      <c r="B287" s="34" t="inlineStr"/>
      <c r="C287" s="35">
        <f>'設定'!$E$11</f>
        <v/>
      </c>
      <c r="D287" s="35">
        <f>'設定'!$E$12</f>
        <v/>
      </c>
      <c r="E287" s="35">
        <f>'設定'!$E$13</f>
        <v/>
      </c>
      <c r="F287" s="35">
        <f>'設定'!$E$14</f>
        <v/>
      </c>
      <c r="G287" s="35">
        <f>'設定'!$E$15</f>
        <v/>
      </c>
      <c r="H287" s="35">
        <f>'設定'!$E$16</f>
        <v/>
      </c>
      <c r="I287" s="35">
        <f>'設定'!$E$17</f>
        <v/>
      </c>
      <c r="J287" s="35">
        <f>'設定'!$E$18</f>
        <v/>
      </c>
      <c r="K287" s="35">
        <f>'設定'!$E$19</f>
        <v/>
      </c>
      <c r="L287" s="35">
        <f>'設定'!$E$20</f>
        <v/>
      </c>
    </row>
    <row r="288" ht="21" customHeight="1">
      <c r="A288" s="59" t="n"/>
      <c r="B288" s="42">
        <f>'設定'!$I$11</f>
        <v/>
      </c>
      <c r="C288" s="60" t="n"/>
      <c r="D288" s="60" t="n"/>
      <c r="E288" s="60" t="n"/>
      <c r="F288" s="60" t="n"/>
      <c r="G288" s="60" t="n"/>
      <c r="H288" s="60" t="n"/>
      <c r="I288" s="60" t="n"/>
      <c r="J288" s="60" t="n"/>
      <c r="K288" s="60" t="n"/>
      <c r="L288" s="60" t="n"/>
    </row>
    <row r="289" ht="21" customHeight="1">
      <c r="A289" s="59" t="n"/>
      <c r="B289" s="42">
        <f>'設定'!$I$12</f>
        <v/>
      </c>
      <c r="C289" s="60" t="n"/>
      <c r="D289" s="60" t="n"/>
      <c r="E289" s="60" t="n"/>
      <c r="F289" s="60" t="n"/>
      <c r="G289" s="60" t="n"/>
      <c r="H289" s="60" t="n"/>
      <c r="I289" s="60" t="n"/>
      <c r="J289" s="60" t="n"/>
      <c r="K289" s="60" t="n"/>
      <c r="L289" s="60" t="n"/>
    </row>
    <row r="290" ht="21" customHeight="1">
      <c r="A290" s="59" t="n"/>
      <c r="B290" s="42">
        <f>'設定'!$I$13</f>
        <v/>
      </c>
      <c r="C290" s="60" t="n"/>
      <c r="D290" s="60" t="n"/>
      <c r="E290" s="60" t="n"/>
      <c r="F290" s="60" t="n"/>
      <c r="G290" s="60" t="n"/>
      <c r="H290" s="60" t="n"/>
      <c r="I290" s="60" t="n"/>
      <c r="J290" s="60" t="n"/>
      <c r="K290" s="60" t="n"/>
      <c r="L290" s="60" t="n"/>
    </row>
    <row r="291" ht="21" customHeight="1">
      <c r="A291" s="59" t="n"/>
      <c r="B291" s="42">
        <f>'設定'!$I$14</f>
        <v/>
      </c>
      <c r="C291" s="60" t="n"/>
      <c r="D291" s="60" t="n"/>
      <c r="E291" s="60" t="n"/>
      <c r="F291" s="60" t="n"/>
      <c r="G291" s="60" t="n"/>
      <c r="H291" s="60" t="n"/>
      <c r="I291" s="60" t="n"/>
      <c r="J291" s="60" t="n"/>
      <c r="K291" s="60" t="n"/>
      <c r="L291" s="60" t="n"/>
    </row>
    <row r="292" ht="21" customHeight="1">
      <c r="A292" s="59" t="n"/>
      <c r="B292" s="42">
        <f>'設定'!$I$15</f>
        <v/>
      </c>
      <c r="C292" s="60" t="n"/>
      <c r="D292" s="60" t="n"/>
      <c r="E292" s="60" t="n"/>
      <c r="F292" s="60" t="n"/>
      <c r="G292" s="60" t="n"/>
      <c r="H292" s="60" t="n"/>
      <c r="I292" s="60" t="n"/>
      <c r="J292" s="60" t="n"/>
      <c r="K292" s="60" t="n"/>
      <c r="L292" s="60" t="n"/>
    </row>
    <row r="293" ht="21" customHeight="1">
      <c r="A293" s="59" t="n"/>
      <c r="B293" s="42">
        <f>'設定'!$I$16</f>
        <v/>
      </c>
      <c r="C293" s="60" t="n"/>
      <c r="D293" s="60" t="n"/>
      <c r="E293" s="60" t="n"/>
      <c r="F293" s="60" t="n"/>
      <c r="G293" s="60" t="n"/>
      <c r="H293" s="60" t="n"/>
      <c r="I293" s="60" t="n"/>
      <c r="J293" s="60" t="n"/>
      <c r="K293" s="60" t="n"/>
      <c r="L293" s="60" t="n"/>
    </row>
    <row r="294" ht="21" customHeight="1">
      <c r="A294" s="59" t="n"/>
      <c r="B294" s="42">
        <f>'設定'!$I$17</f>
        <v/>
      </c>
      <c r="C294" s="60" t="n"/>
      <c r="D294" s="60" t="n"/>
      <c r="E294" s="60" t="n"/>
      <c r="F294" s="60" t="n"/>
      <c r="G294" s="60" t="n"/>
      <c r="H294" s="60" t="n"/>
      <c r="I294" s="60" t="n"/>
      <c r="J294" s="60" t="n"/>
      <c r="K294" s="60" t="n"/>
      <c r="L294" s="60" t="n"/>
    </row>
    <row r="295" ht="21" customHeight="1">
      <c r="A295" s="59" t="n"/>
      <c r="B295" s="42">
        <f>'設定'!$I$18</f>
        <v/>
      </c>
      <c r="C295" s="60" t="n"/>
      <c r="D295" s="60" t="n"/>
      <c r="E295" s="60" t="n"/>
      <c r="F295" s="60" t="n"/>
      <c r="G295" s="60" t="n"/>
      <c r="H295" s="60" t="n"/>
      <c r="I295" s="60" t="n"/>
      <c r="J295" s="60" t="n"/>
      <c r="K295" s="60" t="n"/>
      <c r="L295" s="60" t="n"/>
    </row>
    <row r="296" ht="21" customHeight="1">
      <c r="A296" s="59" t="n"/>
      <c r="B296" s="42">
        <f>'設定'!$I$19</f>
        <v/>
      </c>
      <c r="C296" s="60" t="n"/>
      <c r="D296" s="60" t="n"/>
      <c r="E296" s="60" t="n"/>
      <c r="F296" s="60" t="n"/>
      <c r="G296" s="60" t="n"/>
      <c r="H296" s="60" t="n"/>
      <c r="I296" s="60" t="n"/>
      <c r="J296" s="60" t="n"/>
      <c r="K296" s="60" t="n"/>
      <c r="L296" s="60" t="n"/>
    </row>
    <row r="297" ht="21" customHeight="1">
      <c r="A297" s="59" t="n"/>
      <c r="B297" s="42">
        <f>'設定'!$I$20</f>
        <v/>
      </c>
      <c r="C297" s="60" t="n"/>
      <c r="D297" s="60" t="n"/>
      <c r="E297" s="60" t="n"/>
      <c r="F297" s="60" t="n"/>
      <c r="G297" s="60" t="n"/>
      <c r="H297" s="60" t="n"/>
      <c r="I297" s="60" t="n"/>
      <c r="J297" s="60" t="n"/>
      <c r="K297" s="60" t="n"/>
      <c r="L297" s="60" t="n"/>
    </row>
    <row r="298" ht="21" customHeight="1">
      <c r="A298" s="59" t="n"/>
      <c r="B298" s="42">
        <f>'設定'!$I$21</f>
        <v/>
      </c>
      <c r="C298" s="60" t="n"/>
      <c r="D298" s="60" t="n"/>
      <c r="E298" s="60" t="n"/>
      <c r="F298" s="60" t="n"/>
      <c r="G298" s="60" t="n"/>
      <c r="H298" s="60" t="n"/>
      <c r="I298" s="60" t="n"/>
      <c r="J298" s="60" t="n"/>
      <c r="K298" s="60" t="n"/>
      <c r="L298" s="60" t="n"/>
    </row>
    <row r="299" ht="21" customHeight="1">
      <c r="A299" s="59" t="n"/>
      <c r="B299" s="42">
        <f>'設定'!$I$22</f>
        <v/>
      </c>
      <c r="C299" s="60" t="n"/>
      <c r="D299" s="60" t="n"/>
      <c r="E299" s="60" t="n"/>
      <c r="F299" s="60" t="n"/>
      <c r="G299" s="60" t="n"/>
      <c r="H299" s="60" t="n"/>
      <c r="I299" s="60" t="n"/>
      <c r="J299" s="60" t="n"/>
      <c r="K299" s="60" t="n"/>
      <c r="L299" s="60" t="n"/>
    </row>
    <row r="300" ht="21" customHeight="1">
      <c r="A300" s="59" t="n"/>
      <c r="B300" s="42">
        <f>'設定'!$I$23</f>
        <v/>
      </c>
      <c r="C300" s="60" t="n"/>
      <c r="D300" s="60" t="n"/>
      <c r="E300" s="60" t="n"/>
      <c r="F300" s="60" t="n"/>
      <c r="G300" s="60" t="n"/>
      <c r="H300" s="60" t="n"/>
      <c r="I300" s="60" t="n"/>
      <c r="J300" s="60" t="n"/>
      <c r="K300" s="60" t="n"/>
      <c r="L300" s="60" t="n"/>
    </row>
    <row r="301" ht="21" customHeight="1">
      <c r="A301" s="59" t="n"/>
      <c r="B301" s="42">
        <f>'設定'!$I$24</f>
        <v/>
      </c>
      <c r="C301" s="60" t="n"/>
      <c r="D301" s="60" t="n"/>
      <c r="E301" s="60" t="n"/>
      <c r="F301" s="60" t="n"/>
      <c r="G301" s="60" t="n"/>
      <c r="H301" s="60" t="n"/>
      <c r="I301" s="60" t="n"/>
      <c r="J301" s="60" t="n"/>
      <c r="K301" s="60" t="n"/>
      <c r="L301" s="60" t="n"/>
    </row>
    <row r="302" ht="21" customHeight="1">
      <c r="A302" s="59" t="n"/>
      <c r="B302" s="42">
        <f>'設定'!$I$25</f>
        <v/>
      </c>
      <c r="C302" s="60" t="n"/>
      <c r="D302" s="60" t="n"/>
      <c r="E302" s="60" t="n"/>
      <c r="F302" s="60" t="n"/>
      <c r="G302" s="60" t="n"/>
      <c r="H302" s="60" t="n"/>
      <c r="I302" s="60" t="n"/>
      <c r="J302" s="60" t="n"/>
      <c r="K302" s="60" t="n"/>
      <c r="L302" s="60" t="n"/>
    </row>
    <row r="303" ht="21" customHeight="1">
      <c r="A303" s="59" t="n"/>
      <c r="B303" s="42">
        <f>'設定'!$I$26</f>
        <v/>
      </c>
      <c r="C303" s="60" t="n"/>
      <c r="D303" s="60" t="n"/>
      <c r="E303" s="60" t="n"/>
      <c r="F303" s="60" t="n"/>
      <c r="G303" s="60" t="n"/>
      <c r="H303" s="60" t="n"/>
      <c r="I303" s="60" t="n"/>
      <c r="J303" s="60" t="n"/>
      <c r="K303" s="60" t="n"/>
      <c r="L303" s="60" t="n"/>
    </row>
    <row r="304" ht="21" customHeight="1">
      <c r="A304" s="59" t="n"/>
      <c r="B304" s="42">
        <f>'設定'!$I$27</f>
        <v/>
      </c>
      <c r="C304" s="60" t="n"/>
      <c r="D304" s="60" t="n"/>
      <c r="E304" s="60" t="n"/>
      <c r="F304" s="60" t="n"/>
      <c r="G304" s="60" t="n"/>
      <c r="H304" s="60" t="n"/>
      <c r="I304" s="60" t="n"/>
      <c r="J304" s="60" t="n"/>
      <c r="K304" s="60" t="n"/>
      <c r="L304" s="60" t="n"/>
    </row>
    <row r="305" ht="21" customHeight="1">
      <c r="A305" s="59" t="n"/>
      <c r="B305" s="42">
        <f>'設定'!$I$28</f>
        <v/>
      </c>
      <c r="C305" s="60" t="n"/>
      <c r="D305" s="60" t="n"/>
      <c r="E305" s="60" t="n"/>
      <c r="F305" s="60" t="n"/>
      <c r="G305" s="60" t="n"/>
      <c r="H305" s="60" t="n"/>
      <c r="I305" s="60" t="n"/>
      <c r="J305" s="60" t="n"/>
      <c r="K305" s="60" t="n"/>
      <c r="L305" s="60" t="n"/>
    </row>
    <row r="306" ht="21" customHeight="1">
      <c r="A306" s="59" t="n"/>
      <c r="B306" s="42">
        <f>'設定'!$I$29</f>
        <v/>
      </c>
      <c r="C306" s="60" t="n"/>
      <c r="D306" s="60" t="n"/>
      <c r="E306" s="60" t="n"/>
      <c r="F306" s="60" t="n"/>
      <c r="G306" s="60" t="n"/>
      <c r="H306" s="60" t="n"/>
      <c r="I306" s="60" t="n"/>
      <c r="J306" s="60" t="n"/>
      <c r="K306" s="60" t="n"/>
      <c r="L306" s="60" t="n"/>
    </row>
    <row r="307" ht="21" customHeight="1">
      <c r="A307" s="59" t="n"/>
      <c r="B307" s="42">
        <f>'設定'!$I$30</f>
        <v/>
      </c>
      <c r="C307" s="60" t="n"/>
      <c r="D307" s="60" t="n"/>
      <c r="E307" s="60" t="n"/>
      <c r="F307" s="60" t="n"/>
      <c r="G307" s="60" t="n"/>
      <c r="H307" s="60" t="n"/>
      <c r="I307" s="60" t="n"/>
      <c r="J307" s="60" t="n"/>
      <c r="K307" s="60" t="n"/>
      <c r="L307" s="60" t="n"/>
    </row>
    <row r="308" ht="21" customHeight="1">
      <c r="A308" s="59" t="n"/>
      <c r="B308" s="42">
        <f>'設定'!$I$31</f>
        <v/>
      </c>
      <c r="C308" s="60" t="n"/>
      <c r="D308" s="60" t="n"/>
      <c r="E308" s="60" t="n"/>
      <c r="F308" s="60" t="n"/>
      <c r="G308" s="60" t="n"/>
      <c r="H308" s="60" t="n"/>
      <c r="I308" s="60" t="n"/>
      <c r="J308" s="60" t="n"/>
      <c r="K308" s="60" t="n"/>
      <c r="L308" s="60" t="n"/>
    </row>
    <row r="309" ht="21" customHeight="1">
      <c r="A309" s="59" t="n"/>
      <c r="B309" s="42">
        <f>'設定'!$I$32</f>
        <v/>
      </c>
      <c r="C309" s="60" t="n"/>
      <c r="D309" s="60" t="n"/>
      <c r="E309" s="60" t="n"/>
      <c r="F309" s="60" t="n"/>
      <c r="G309" s="60" t="n"/>
      <c r="H309" s="60" t="n"/>
      <c r="I309" s="60" t="n"/>
      <c r="J309" s="60" t="n"/>
      <c r="K309" s="60" t="n"/>
      <c r="L309" s="60" t="n"/>
    </row>
    <row r="310" ht="21" customHeight="1">
      <c r="A310" s="59" t="n"/>
      <c r="B310" s="42">
        <f>'設定'!$I$33</f>
        <v/>
      </c>
      <c r="C310" s="60" t="n"/>
      <c r="D310" s="60" t="n"/>
      <c r="E310" s="60" t="n"/>
      <c r="F310" s="60" t="n"/>
      <c r="G310" s="60" t="n"/>
      <c r="H310" s="60" t="n"/>
      <c r="I310" s="60" t="n"/>
      <c r="J310" s="60" t="n"/>
      <c r="K310" s="60" t="n"/>
      <c r="L310" s="60" t="n"/>
    </row>
    <row r="311" ht="21" customHeight="1">
      <c r="A311" s="59" t="n"/>
      <c r="B311" s="42">
        <f>'設定'!$I$34</f>
        <v/>
      </c>
      <c r="C311" s="60" t="n"/>
      <c r="D311" s="60" t="n"/>
      <c r="E311" s="60" t="n"/>
      <c r="F311" s="60" t="n"/>
      <c r="G311" s="60" t="n"/>
      <c r="H311" s="60" t="n"/>
      <c r="I311" s="60" t="n"/>
      <c r="J311" s="60" t="n"/>
      <c r="K311" s="60" t="n"/>
      <c r="L311" s="60" t="n"/>
    </row>
    <row r="312"/>
    <row r="313" ht="26" customHeight="1">
      <c r="B313" s="53">
        <f>IF('名簿'!B16="","（名簿 12行目：なし）",'名簿'!G16)</f>
        <v/>
      </c>
      <c r="C313" s="4" t="n"/>
      <c r="D313" s="4" t="n"/>
      <c r="E313" s="54" t="inlineStr">
        <is>
          <t>提出状況 ▶</t>
        </is>
      </c>
      <c r="F313" s="38" t="n"/>
      <c r="G313" s="29" t="n"/>
      <c r="H313" s="55" t="inlineStr">
        <is>
          <t>状況：</t>
        </is>
      </c>
      <c r="I313" s="56">
        <f>'名簿'!H16</f>
        <v/>
      </c>
      <c r="J313" s="55" t="inlineStr">
        <is>
          <t>×の数：</t>
        </is>
      </c>
      <c r="K313" s="57">
        <f>'名簿'!I16</f>
        <v/>
      </c>
      <c r="L313" s="58">
        <f>HYPERLINK("#'×入力'!B341","次の人へ ▼")</f>
        <v/>
      </c>
    </row>
    <row r="314" ht="22" customHeight="1">
      <c r="A314" s="30" t="inlineStr">
        <is>
          <t>この日全部 ▶</t>
        </is>
      </c>
      <c r="C314" s="59" t="n"/>
      <c r="D314" s="59" t="n"/>
      <c r="E314" s="59" t="n"/>
      <c r="F314" s="59" t="n"/>
      <c r="G314" s="59" t="n"/>
      <c r="H314" s="59" t="n"/>
      <c r="I314" s="59" t="n"/>
      <c r="J314" s="59" t="n"/>
      <c r="K314" s="59" t="n"/>
      <c r="L314" s="59" t="n"/>
    </row>
    <row r="315" ht="28" customHeight="1">
      <c r="A315" s="33" t="inlineStr">
        <is>
          <t>この時間
全部 ▼</t>
        </is>
      </c>
      <c r="B315" s="34" t="inlineStr"/>
      <c r="C315" s="35">
        <f>'設定'!$E$11</f>
        <v/>
      </c>
      <c r="D315" s="35">
        <f>'設定'!$E$12</f>
        <v/>
      </c>
      <c r="E315" s="35">
        <f>'設定'!$E$13</f>
        <v/>
      </c>
      <c r="F315" s="35">
        <f>'設定'!$E$14</f>
        <v/>
      </c>
      <c r="G315" s="35">
        <f>'設定'!$E$15</f>
        <v/>
      </c>
      <c r="H315" s="35">
        <f>'設定'!$E$16</f>
        <v/>
      </c>
      <c r="I315" s="35">
        <f>'設定'!$E$17</f>
        <v/>
      </c>
      <c r="J315" s="35">
        <f>'設定'!$E$18</f>
        <v/>
      </c>
      <c r="K315" s="35">
        <f>'設定'!$E$19</f>
        <v/>
      </c>
      <c r="L315" s="35">
        <f>'設定'!$E$20</f>
        <v/>
      </c>
    </row>
    <row r="316" ht="21" customHeight="1">
      <c r="A316" s="59" t="n"/>
      <c r="B316" s="42">
        <f>'設定'!$I$11</f>
        <v/>
      </c>
      <c r="C316" s="60" t="n"/>
      <c r="D316" s="60" t="n"/>
      <c r="E316" s="60" t="n"/>
      <c r="F316" s="60" t="n"/>
      <c r="G316" s="60" t="n"/>
      <c r="H316" s="60" t="n"/>
      <c r="I316" s="60" t="n"/>
      <c r="J316" s="60" t="n"/>
      <c r="K316" s="60" t="n"/>
      <c r="L316" s="60" t="n"/>
    </row>
    <row r="317" ht="21" customHeight="1">
      <c r="A317" s="59" t="n"/>
      <c r="B317" s="42">
        <f>'設定'!$I$12</f>
        <v/>
      </c>
      <c r="C317" s="60" t="n"/>
      <c r="D317" s="60" t="n"/>
      <c r="E317" s="60" t="n"/>
      <c r="F317" s="60" t="n"/>
      <c r="G317" s="60" t="n"/>
      <c r="H317" s="60" t="n"/>
      <c r="I317" s="60" t="n"/>
      <c r="J317" s="60" t="n"/>
      <c r="K317" s="60" t="n"/>
      <c r="L317" s="60" t="n"/>
    </row>
    <row r="318" ht="21" customHeight="1">
      <c r="A318" s="59" t="n"/>
      <c r="B318" s="42">
        <f>'設定'!$I$13</f>
        <v/>
      </c>
      <c r="C318" s="60" t="n"/>
      <c r="D318" s="60" t="n"/>
      <c r="E318" s="60" t="n"/>
      <c r="F318" s="60" t="n"/>
      <c r="G318" s="60" t="n"/>
      <c r="H318" s="60" t="n"/>
      <c r="I318" s="60" t="n"/>
      <c r="J318" s="60" t="n"/>
      <c r="K318" s="60" t="n"/>
      <c r="L318" s="60" t="n"/>
    </row>
    <row r="319" ht="21" customHeight="1">
      <c r="A319" s="59" t="n"/>
      <c r="B319" s="42">
        <f>'設定'!$I$14</f>
        <v/>
      </c>
      <c r="C319" s="60" t="n"/>
      <c r="D319" s="60" t="n"/>
      <c r="E319" s="60" t="n"/>
      <c r="F319" s="60" t="n"/>
      <c r="G319" s="60" t="n"/>
      <c r="H319" s="60" t="n"/>
      <c r="I319" s="60" t="n"/>
      <c r="J319" s="60" t="n"/>
      <c r="K319" s="60" t="n"/>
      <c r="L319" s="60" t="n"/>
    </row>
    <row r="320" ht="21" customHeight="1">
      <c r="A320" s="59" t="n"/>
      <c r="B320" s="42">
        <f>'設定'!$I$15</f>
        <v/>
      </c>
      <c r="C320" s="60" t="n"/>
      <c r="D320" s="60" t="n"/>
      <c r="E320" s="60" t="n"/>
      <c r="F320" s="60" t="n"/>
      <c r="G320" s="60" t="n"/>
      <c r="H320" s="60" t="n"/>
      <c r="I320" s="60" t="n"/>
      <c r="J320" s="60" t="n"/>
      <c r="K320" s="60" t="n"/>
      <c r="L320" s="60" t="n"/>
    </row>
    <row r="321" ht="21" customHeight="1">
      <c r="A321" s="59" t="n"/>
      <c r="B321" s="42">
        <f>'設定'!$I$16</f>
        <v/>
      </c>
      <c r="C321" s="60" t="n"/>
      <c r="D321" s="60" t="n"/>
      <c r="E321" s="60" t="n"/>
      <c r="F321" s="60" t="n"/>
      <c r="G321" s="60" t="n"/>
      <c r="H321" s="60" t="n"/>
      <c r="I321" s="60" t="n"/>
      <c r="J321" s="60" t="n"/>
      <c r="K321" s="60" t="n"/>
      <c r="L321" s="60" t="n"/>
    </row>
    <row r="322" ht="21" customHeight="1">
      <c r="A322" s="59" t="n"/>
      <c r="B322" s="42">
        <f>'設定'!$I$17</f>
        <v/>
      </c>
      <c r="C322" s="60" t="n"/>
      <c r="D322" s="60" t="n"/>
      <c r="E322" s="60" t="n"/>
      <c r="F322" s="60" t="n"/>
      <c r="G322" s="60" t="n"/>
      <c r="H322" s="60" t="n"/>
      <c r="I322" s="60" t="n"/>
      <c r="J322" s="60" t="n"/>
      <c r="K322" s="60" t="n"/>
      <c r="L322" s="60" t="n"/>
    </row>
    <row r="323" ht="21" customHeight="1">
      <c r="A323" s="59" t="n"/>
      <c r="B323" s="42">
        <f>'設定'!$I$18</f>
        <v/>
      </c>
      <c r="C323" s="60" t="n"/>
      <c r="D323" s="60" t="n"/>
      <c r="E323" s="60" t="n"/>
      <c r="F323" s="60" t="n"/>
      <c r="G323" s="60" t="n"/>
      <c r="H323" s="60" t="n"/>
      <c r="I323" s="60" t="n"/>
      <c r="J323" s="60" t="n"/>
      <c r="K323" s="60" t="n"/>
      <c r="L323" s="60" t="n"/>
    </row>
    <row r="324" ht="21" customHeight="1">
      <c r="A324" s="59" t="n"/>
      <c r="B324" s="42">
        <f>'設定'!$I$19</f>
        <v/>
      </c>
      <c r="C324" s="60" t="n"/>
      <c r="D324" s="60" t="n"/>
      <c r="E324" s="60" t="n"/>
      <c r="F324" s="60" t="n"/>
      <c r="G324" s="60" t="n"/>
      <c r="H324" s="60" t="n"/>
      <c r="I324" s="60" t="n"/>
      <c r="J324" s="60" t="n"/>
      <c r="K324" s="60" t="n"/>
      <c r="L324" s="60" t="n"/>
    </row>
    <row r="325" ht="21" customHeight="1">
      <c r="A325" s="59" t="n"/>
      <c r="B325" s="42">
        <f>'設定'!$I$20</f>
        <v/>
      </c>
      <c r="C325" s="60" t="n"/>
      <c r="D325" s="60" t="n"/>
      <c r="E325" s="60" t="n"/>
      <c r="F325" s="60" t="n"/>
      <c r="G325" s="60" t="n"/>
      <c r="H325" s="60" t="n"/>
      <c r="I325" s="60" t="n"/>
      <c r="J325" s="60" t="n"/>
      <c r="K325" s="60" t="n"/>
      <c r="L325" s="60" t="n"/>
    </row>
    <row r="326" ht="21" customHeight="1">
      <c r="A326" s="59" t="n"/>
      <c r="B326" s="42">
        <f>'設定'!$I$21</f>
        <v/>
      </c>
      <c r="C326" s="60" t="n"/>
      <c r="D326" s="60" t="n"/>
      <c r="E326" s="60" t="n"/>
      <c r="F326" s="60" t="n"/>
      <c r="G326" s="60" t="n"/>
      <c r="H326" s="60" t="n"/>
      <c r="I326" s="60" t="n"/>
      <c r="J326" s="60" t="n"/>
      <c r="K326" s="60" t="n"/>
      <c r="L326" s="60" t="n"/>
    </row>
    <row r="327" ht="21" customHeight="1">
      <c r="A327" s="59" t="n"/>
      <c r="B327" s="42">
        <f>'設定'!$I$22</f>
        <v/>
      </c>
      <c r="C327" s="60" t="n"/>
      <c r="D327" s="60" t="n"/>
      <c r="E327" s="60" t="n"/>
      <c r="F327" s="60" t="n"/>
      <c r="G327" s="60" t="n"/>
      <c r="H327" s="60" t="n"/>
      <c r="I327" s="60" t="n"/>
      <c r="J327" s="60" t="n"/>
      <c r="K327" s="60" t="n"/>
      <c r="L327" s="60" t="n"/>
    </row>
    <row r="328" ht="21" customHeight="1">
      <c r="A328" s="59" t="n"/>
      <c r="B328" s="42">
        <f>'設定'!$I$23</f>
        <v/>
      </c>
      <c r="C328" s="60" t="n"/>
      <c r="D328" s="60" t="n"/>
      <c r="E328" s="60" t="n"/>
      <c r="F328" s="60" t="n"/>
      <c r="G328" s="60" t="n"/>
      <c r="H328" s="60" t="n"/>
      <c r="I328" s="60" t="n"/>
      <c r="J328" s="60" t="n"/>
      <c r="K328" s="60" t="n"/>
      <c r="L328" s="60" t="n"/>
    </row>
    <row r="329" ht="21" customHeight="1">
      <c r="A329" s="59" t="n"/>
      <c r="B329" s="42">
        <f>'設定'!$I$24</f>
        <v/>
      </c>
      <c r="C329" s="60" t="n"/>
      <c r="D329" s="60" t="n"/>
      <c r="E329" s="60" t="n"/>
      <c r="F329" s="60" t="n"/>
      <c r="G329" s="60" t="n"/>
      <c r="H329" s="60" t="n"/>
      <c r="I329" s="60" t="n"/>
      <c r="J329" s="60" t="n"/>
      <c r="K329" s="60" t="n"/>
      <c r="L329" s="60" t="n"/>
    </row>
    <row r="330" ht="21" customHeight="1">
      <c r="A330" s="59" t="n"/>
      <c r="B330" s="42">
        <f>'設定'!$I$25</f>
        <v/>
      </c>
      <c r="C330" s="60" t="n"/>
      <c r="D330" s="60" t="n"/>
      <c r="E330" s="60" t="n"/>
      <c r="F330" s="60" t="n"/>
      <c r="G330" s="60" t="n"/>
      <c r="H330" s="60" t="n"/>
      <c r="I330" s="60" t="n"/>
      <c r="J330" s="60" t="n"/>
      <c r="K330" s="60" t="n"/>
      <c r="L330" s="60" t="n"/>
    </row>
    <row r="331" ht="21" customHeight="1">
      <c r="A331" s="59" t="n"/>
      <c r="B331" s="42">
        <f>'設定'!$I$26</f>
        <v/>
      </c>
      <c r="C331" s="60" t="n"/>
      <c r="D331" s="60" t="n"/>
      <c r="E331" s="60" t="n"/>
      <c r="F331" s="60" t="n"/>
      <c r="G331" s="60" t="n"/>
      <c r="H331" s="60" t="n"/>
      <c r="I331" s="60" t="n"/>
      <c r="J331" s="60" t="n"/>
      <c r="K331" s="60" t="n"/>
      <c r="L331" s="60" t="n"/>
    </row>
    <row r="332" ht="21" customHeight="1">
      <c r="A332" s="59" t="n"/>
      <c r="B332" s="42">
        <f>'設定'!$I$27</f>
        <v/>
      </c>
      <c r="C332" s="60" t="n"/>
      <c r="D332" s="60" t="n"/>
      <c r="E332" s="60" t="n"/>
      <c r="F332" s="60" t="n"/>
      <c r="G332" s="60" t="n"/>
      <c r="H332" s="60" t="n"/>
      <c r="I332" s="60" t="n"/>
      <c r="J332" s="60" t="n"/>
      <c r="K332" s="60" t="n"/>
      <c r="L332" s="60" t="n"/>
    </row>
    <row r="333" ht="21" customHeight="1">
      <c r="A333" s="59" t="n"/>
      <c r="B333" s="42">
        <f>'設定'!$I$28</f>
        <v/>
      </c>
      <c r="C333" s="60" t="n"/>
      <c r="D333" s="60" t="n"/>
      <c r="E333" s="60" t="n"/>
      <c r="F333" s="60" t="n"/>
      <c r="G333" s="60" t="n"/>
      <c r="H333" s="60" t="n"/>
      <c r="I333" s="60" t="n"/>
      <c r="J333" s="60" t="n"/>
      <c r="K333" s="60" t="n"/>
      <c r="L333" s="60" t="n"/>
    </row>
    <row r="334" ht="21" customHeight="1">
      <c r="A334" s="59" t="n"/>
      <c r="B334" s="42">
        <f>'設定'!$I$29</f>
        <v/>
      </c>
      <c r="C334" s="60" t="n"/>
      <c r="D334" s="60" t="n"/>
      <c r="E334" s="60" t="n"/>
      <c r="F334" s="60" t="n"/>
      <c r="G334" s="60" t="n"/>
      <c r="H334" s="60" t="n"/>
      <c r="I334" s="60" t="n"/>
      <c r="J334" s="60" t="n"/>
      <c r="K334" s="60" t="n"/>
      <c r="L334" s="60" t="n"/>
    </row>
    <row r="335" ht="21" customHeight="1">
      <c r="A335" s="59" t="n"/>
      <c r="B335" s="42">
        <f>'設定'!$I$30</f>
        <v/>
      </c>
      <c r="C335" s="60" t="n"/>
      <c r="D335" s="60" t="n"/>
      <c r="E335" s="60" t="n"/>
      <c r="F335" s="60" t="n"/>
      <c r="G335" s="60" t="n"/>
      <c r="H335" s="60" t="n"/>
      <c r="I335" s="60" t="n"/>
      <c r="J335" s="60" t="n"/>
      <c r="K335" s="60" t="n"/>
      <c r="L335" s="60" t="n"/>
    </row>
    <row r="336" ht="21" customHeight="1">
      <c r="A336" s="59" t="n"/>
      <c r="B336" s="42">
        <f>'設定'!$I$31</f>
        <v/>
      </c>
      <c r="C336" s="60" t="n"/>
      <c r="D336" s="60" t="n"/>
      <c r="E336" s="60" t="n"/>
      <c r="F336" s="60" t="n"/>
      <c r="G336" s="60" t="n"/>
      <c r="H336" s="60" t="n"/>
      <c r="I336" s="60" t="n"/>
      <c r="J336" s="60" t="n"/>
      <c r="K336" s="60" t="n"/>
      <c r="L336" s="60" t="n"/>
    </row>
    <row r="337" ht="21" customHeight="1">
      <c r="A337" s="59" t="n"/>
      <c r="B337" s="42">
        <f>'設定'!$I$32</f>
        <v/>
      </c>
      <c r="C337" s="60" t="n"/>
      <c r="D337" s="60" t="n"/>
      <c r="E337" s="60" t="n"/>
      <c r="F337" s="60" t="n"/>
      <c r="G337" s="60" t="n"/>
      <c r="H337" s="60" t="n"/>
      <c r="I337" s="60" t="n"/>
      <c r="J337" s="60" t="n"/>
      <c r="K337" s="60" t="n"/>
      <c r="L337" s="60" t="n"/>
    </row>
    <row r="338" ht="21" customHeight="1">
      <c r="A338" s="59" t="n"/>
      <c r="B338" s="42">
        <f>'設定'!$I$33</f>
        <v/>
      </c>
      <c r="C338" s="60" t="n"/>
      <c r="D338" s="60" t="n"/>
      <c r="E338" s="60" t="n"/>
      <c r="F338" s="60" t="n"/>
      <c r="G338" s="60" t="n"/>
      <c r="H338" s="60" t="n"/>
      <c r="I338" s="60" t="n"/>
      <c r="J338" s="60" t="n"/>
      <c r="K338" s="60" t="n"/>
      <c r="L338" s="60" t="n"/>
    </row>
    <row r="339" ht="21" customHeight="1">
      <c r="A339" s="59" t="n"/>
      <c r="B339" s="42">
        <f>'設定'!$I$34</f>
        <v/>
      </c>
      <c r="C339" s="60" t="n"/>
      <c r="D339" s="60" t="n"/>
      <c r="E339" s="60" t="n"/>
      <c r="F339" s="60" t="n"/>
      <c r="G339" s="60" t="n"/>
      <c r="H339" s="60" t="n"/>
      <c r="I339" s="60" t="n"/>
      <c r="J339" s="60" t="n"/>
      <c r="K339" s="60" t="n"/>
      <c r="L339" s="60" t="n"/>
    </row>
    <row r="340"/>
    <row r="341" ht="26" customHeight="1">
      <c r="B341" s="53">
        <f>IF('名簿'!B17="","（名簿 13行目：なし）",'名簿'!G17)</f>
        <v/>
      </c>
      <c r="C341" s="4" t="n"/>
      <c r="D341" s="4" t="n"/>
      <c r="E341" s="54" t="inlineStr">
        <is>
          <t>提出状況 ▶</t>
        </is>
      </c>
      <c r="F341" s="38" t="n"/>
      <c r="G341" s="29" t="n"/>
      <c r="H341" s="55" t="inlineStr">
        <is>
          <t>状況：</t>
        </is>
      </c>
      <c r="I341" s="56">
        <f>'名簿'!H17</f>
        <v/>
      </c>
      <c r="J341" s="55" t="inlineStr">
        <is>
          <t>×の数：</t>
        </is>
      </c>
      <c r="K341" s="57">
        <f>'名簿'!I17</f>
        <v/>
      </c>
      <c r="L341" s="58">
        <f>HYPERLINK("#'×入力'!B369","次の人へ ▼")</f>
        <v/>
      </c>
    </row>
    <row r="342" ht="22" customHeight="1">
      <c r="A342" s="30" t="inlineStr">
        <is>
          <t>この日全部 ▶</t>
        </is>
      </c>
      <c r="C342" s="59" t="n"/>
      <c r="D342" s="59" t="n"/>
      <c r="E342" s="59" t="n"/>
      <c r="F342" s="59" t="n"/>
      <c r="G342" s="59" t="n"/>
      <c r="H342" s="59" t="n"/>
      <c r="I342" s="59" t="n"/>
      <c r="J342" s="59" t="n"/>
      <c r="K342" s="59" t="n"/>
      <c r="L342" s="59" t="n"/>
    </row>
    <row r="343" ht="28" customHeight="1">
      <c r="A343" s="33" t="inlineStr">
        <is>
          <t>この時間
全部 ▼</t>
        </is>
      </c>
      <c r="B343" s="34" t="inlineStr"/>
      <c r="C343" s="35">
        <f>'設定'!$E$11</f>
        <v/>
      </c>
      <c r="D343" s="35">
        <f>'設定'!$E$12</f>
        <v/>
      </c>
      <c r="E343" s="35">
        <f>'設定'!$E$13</f>
        <v/>
      </c>
      <c r="F343" s="35">
        <f>'設定'!$E$14</f>
        <v/>
      </c>
      <c r="G343" s="35">
        <f>'設定'!$E$15</f>
        <v/>
      </c>
      <c r="H343" s="35">
        <f>'設定'!$E$16</f>
        <v/>
      </c>
      <c r="I343" s="35">
        <f>'設定'!$E$17</f>
        <v/>
      </c>
      <c r="J343" s="35">
        <f>'設定'!$E$18</f>
        <v/>
      </c>
      <c r="K343" s="35">
        <f>'設定'!$E$19</f>
        <v/>
      </c>
      <c r="L343" s="35">
        <f>'設定'!$E$20</f>
        <v/>
      </c>
    </row>
    <row r="344" ht="21" customHeight="1">
      <c r="A344" s="59" t="n"/>
      <c r="B344" s="42">
        <f>'設定'!$I$11</f>
        <v/>
      </c>
      <c r="C344" s="60" t="n"/>
      <c r="D344" s="60" t="n"/>
      <c r="E344" s="60" t="n"/>
      <c r="F344" s="60" t="n"/>
      <c r="G344" s="60" t="n"/>
      <c r="H344" s="60" t="n"/>
      <c r="I344" s="60" t="n"/>
      <c r="J344" s="60" t="n"/>
      <c r="K344" s="60" t="n"/>
      <c r="L344" s="60" t="n"/>
    </row>
    <row r="345" ht="21" customHeight="1">
      <c r="A345" s="59" t="n"/>
      <c r="B345" s="42">
        <f>'設定'!$I$12</f>
        <v/>
      </c>
      <c r="C345" s="60" t="n"/>
      <c r="D345" s="60" t="n"/>
      <c r="E345" s="60" t="n"/>
      <c r="F345" s="60" t="n"/>
      <c r="G345" s="60" t="n"/>
      <c r="H345" s="60" t="n"/>
      <c r="I345" s="60" t="n"/>
      <c r="J345" s="60" t="n"/>
      <c r="K345" s="60" t="n"/>
      <c r="L345" s="60" t="n"/>
    </row>
    <row r="346" ht="21" customHeight="1">
      <c r="A346" s="59" t="n"/>
      <c r="B346" s="42">
        <f>'設定'!$I$13</f>
        <v/>
      </c>
      <c r="C346" s="60" t="n"/>
      <c r="D346" s="60" t="n"/>
      <c r="E346" s="60" t="n"/>
      <c r="F346" s="60" t="n"/>
      <c r="G346" s="60" t="n"/>
      <c r="H346" s="60" t="n"/>
      <c r="I346" s="60" t="n"/>
      <c r="J346" s="60" t="n"/>
      <c r="K346" s="60" t="n"/>
      <c r="L346" s="60" t="n"/>
    </row>
    <row r="347" ht="21" customHeight="1">
      <c r="A347" s="59" t="n"/>
      <c r="B347" s="42">
        <f>'設定'!$I$14</f>
        <v/>
      </c>
      <c r="C347" s="60" t="n"/>
      <c r="D347" s="60" t="n"/>
      <c r="E347" s="60" t="n"/>
      <c r="F347" s="60" t="n"/>
      <c r="G347" s="60" t="n"/>
      <c r="H347" s="60" t="n"/>
      <c r="I347" s="60" t="n"/>
      <c r="J347" s="60" t="n"/>
      <c r="K347" s="60" t="n"/>
      <c r="L347" s="60" t="n"/>
    </row>
    <row r="348" ht="21" customHeight="1">
      <c r="A348" s="59" t="n"/>
      <c r="B348" s="42">
        <f>'設定'!$I$15</f>
        <v/>
      </c>
      <c r="C348" s="60" t="n"/>
      <c r="D348" s="60" t="n"/>
      <c r="E348" s="60" t="n"/>
      <c r="F348" s="60" t="n"/>
      <c r="G348" s="60" t="n"/>
      <c r="H348" s="60" t="n"/>
      <c r="I348" s="60" t="n"/>
      <c r="J348" s="60" t="n"/>
      <c r="K348" s="60" t="n"/>
      <c r="L348" s="60" t="n"/>
    </row>
    <row r="349" ht="21" customHeight="1">
      <c r="A349" s="59" t="n"/>
      <c r="B349" s="42">
        <f>'設定'!$I$16</f>
        <v/>
      </c>
      <c r="C349" s="60" t="n"/>
      <c r="D349" s="60" t="n"/>
      <c r="E349" s="60" t="n"/>
      <c r="F349" s="60" t="n"/>
      <c r="G349" s="60" t="n"/>
      <c r="H349" s="60" t="n"/>
      <c r="I349" s="60" t="n"/>
      <c r="J349" s="60" t="n"/>
      <c r="K349" s="60" t="n"/>
      <c r="L349" s="60" t="n"/>
    </row>
    <row r="350" ht="21" customHeight="1">
      <c r="A350" s="59" t="n"/>
      <c r="B350" s="42">
        <f>'設定'!$I$17</f>
        <v/>
      </c>
      <c r="C350" s="60" t="n"/>
      <c r="D350" s="60" t="n"/>
      <c r="E350" s="60" t="n"/>
      <c r="F350" s="60" t="n"/>
      <c r="G350" s="60" t="n"/>
      <c r="H350" s="60" t="n"/>
      <c r="I350" s="60" t="n"/>
      <c r="J350" s="60" t="n"/>
      <c r="K350" s="60" t="n"/>
      <c r="L350" s="60" t="n"/>
    </row>
    <row r="351" ht="21" customHeight="1">
      <c r="A351" s="59" t="n"/>
      <c r="B351" s="42">
        <f>'設定'!$I$18</f>
        <v/>
      </c>
      <c r="C351" s="60" t="n"/>
      <c r="D351" s="60" t="n"/>
      <c r="E351" s="60" t="n"/>
      <c r="F351" s="60" t="n"/>
      <c r="G351" s="60" t="n"/>
      <c r="H351" s="60" t="n"/>
      <c r="I351" s="60" t="n"/>
      <c r="J351" s="60" t="n"/>
      <c r="K351" s="60" t="n"/>
      <c r="L351" s="60" t="n"/>
    </row>
    <row r="352" ht="21" customHeight="1">
      <c r="A352" s="59" t="n"/>
      <c r="B352" s="42">
        <f>'設定'!$I$19</f>
        <v/>
      </c>
      <c r="C352" s="60" t="n"/>
      <c r="D352" s="60" t="n"/>
      <c r="E352" s="60" t="n"/>
      <c r="F352" s="60" t="n"/>
      <c r="G352" s="60" t="n"/>
      <c r="H352" s="60" t="n"/>
      <c r="I352" s="60" t="n"/>
      <c r="J352" s="60" t="n"/>
      <c r="K352" s="60" t="n"/>
      <c r="L352" s="60" t="n"/>
    </row>
    <row r="353" ht="21" customHeight="1">
      <c r="A353" s="59" t="n"/>
      <c r="B353" s="42">
        <f>'設定'!$I$20</f>
        <v/>
      </c>
      <c r="C353" s="60" t="n"/>
      <c r="D353" s="60" t="n"/>
      <c r="E353" s="60" t="n"/>
      <c r="F353" s="60" t="n"/>
      <c r="G353" s="60" t="n"/>
      <c r="H353" s="60" t="n"/>
      <c r="I353" s="60" t="n"/>
      <c r="J353" s="60" t="n"/>
      <c r="K353" s="60" t="n"/>
      <c r="L353" s="60" t="n"/>
    </row>
    <row r="354" ht="21" customHeight="1">
      <c r="A354" s="59" t="n"/>
      <c r="B354" s="42">
        <f>'設定'!$I$21</f>
        <v/>
      </c>
      <c r="C354" s="60" t="n"/>
      <c r="D354" s="60" t="n"/>
      <c r="E354" s="60" t="n"/>
      <c r="F354" s="60" t="n"/>
      <c r="G354" s="60" t="n"/>
      <c r="H354" s="60" t="n"/>
      <c r="I354" s="60" t="n"/>
      <c r="J354" s="60" t="n"/>
      <c r="K354" s="60" t="n"/>
      <c r="L354" s="60" t="n"/>
    </row>
    <row r="355" ht="21" customHeight="1">
      <c r="A355" s="59" t="n"/>
      <c r="B355" s="42">
        <f>'設定'!$I$22</f>
        <v/>
      </c>
      <c r="C355" s="60" t="n"/>
      <c r="D355" s="60" t="n"/>
      <c r="E355" s="60" t="n"/>
      <c r="F355" s="60" t="n"/>
      <c r="G355" s="60" t="n"/>
      <c r="H355" s="60" t="n"/>
      <c r="I355" s="60" t="n"/>
      <c r="J355" s="60" t="n"/>
      <c r="K355" s="60" t="n"/>
      <c r="L355" s="60" t="n"/>
    </row>
    <row r="356" ht="21" customHeight="1">
      <c r="A356" s="59" t="n"/>
      <c r="B356" s="42">
        <f>'設定'!$I$23</f>
        <v/>
      </c>
      <c r="C356" s="60" t="n"/>
      <c r="D356" s="60" t="n"/>
      <c r="E356" s="60" t="n"/>
      <c r="F356" s="60" t="n"/>
      <c r="G356" s="60" t="n"/>
      <c r="H356" s="60" t="n"/>
      <c r="I356" s="60" t="n"/>
      <c r="J356" s="60" t="n"/>
      <c r="K356" s="60" t="n"/>
      <c r="L356" s="60" t="n"/>
    </row>
    <row r="357" ht="21" customHeight="1">
      <c r="A357" s="59" t="n"/>
      <c r="B357" s="42">
        <f>'設定'!$I$24</f>
        <v/>
      </c>
      <c r="C357" s="60" t="n"/>
      <c r="D357" s="60" t="n"/>
      <c r="E357" s="60" t="n"/>
      <c r="F357" s="60" t="n"/>
      <c r="G357" s="60" t="n"/>
      <c r="H357" s="60" t="n"/>
      <c r="I357" s="60" t="n"/>
      <c r="J357" s="60" t="n"/>
      <c r="K357" s="60" t="n"/>
      <c r="L357" s="60" t="n"/>
    </row>
    <row r="358" ht="21" customHeight="1">
      <c r="A358" s="59" t="n"/>
      <c r="B358" s="42">
        <f>'設定'!$I$25</f>
        <v/>
      </c>
      <c r="C358" s="60" t="n"/>
      <c r="D358" s="60" t="n"/>
      <c r="E358" s="60" t="n"/>
      <c r="F358" s="60" t="n"/>
      <c r="G358" s="60" t="n"/>
      <c r="H358" s="60" t="n"/>
      <c r="I358" s="60" t="n"/>
      <c r="J358" s="60" t="n"/>
      <c r="K358" s="60" t="n"/>
      <c r="L358" s="60" t="n"/>
    </row>
    <row r="359" ht="21" customHeight="1">
      <c r="A359" s="59" t="n"/>
      <c r="B359" s="42">
        <f>'設定'!$I$26</f>
        <v/>
      </c>
      <c r="C359" s="60" t="n"/>
      <c r="D359" s="60" t="n"/>
      <c r="E359" s="60" t="n"/>
      <c r="F359" s="60" t="n"/>
      <c r="G359" s="60" t="n"/>
      <c r="H359" s="60" t="n"/>
      <c r="I359" s="60" t="n"/>
      <c r="J359" s="60" t="n"/>
      <c r="K359" s="60" t="n"/>
      <c r="L359" s="60" t="n"/>
    </row>
    <row r="360" ht="21" customHeight="1">
      <c r="A360" s="59" t="n"/>
      <c r="B360" s="42">
        <f>'設定'!$I$27</f>
        <v/>
      </c>
      <c r="C360" s="60" t="n"/>
      <c r="D360" s="60" t="n"/>
      <c r="E360" s="60" t="n"/>
      <c r="F360" s="60" t="n"/>
      <c r="G360" s="60" t="n"/>
      <c r="H360" s="60" t="n"/>
      <c r="I360" s="60" t="n"/>
      <c r="J360" s="60" t="n"/>
      <c r="K360" s="60" t="n"/>
      <c r="L360" s="60" t="n"/>
    </row>
    <row r="361" ht="21" customHeight="1">
      <c r="A361" s="59" t="n"/>
      <c r="B361" s="42">
        <f>'設定'!$I$28</f>
        <v/>
      </c>
      <c r="C361" s="60" t="n"/>
      <c r="D361" s="60" t="n"/>
      <c r="E361" s="60" t="n"/>
      <c r="F361" s="60" t="n"/>
      <c r="G361" s="60" t="n"/>
      <c r="H361" s="60" t="n"/>
      <c r="I361" s="60" t="n"/>
      <c r="J361" s="60" t="n"/>
      <c r="K361" s="60" t="n"/>
      <c r="L361" s="60" t="n"/>
    </row>
    <row r="362" ht="21" customHeight="1">
      <c r="A362" s="59" t="n"/>
      <c r="B362" s="42">
        <f>'設定'!$I$29</f>
        <v/>
      </c>
      <c r="C362" s="60" t="n"/>
      <c r="D362" s="60" t="n"/>
      <c r="E362" s="60" t="n"/>
      <c r="F362" s="60" t="n"/>
      <c r="G362" s="60" t="n"/>
      <c r="H362" s="60" t="n"/>
      <c r="I362" s="60" t="n"/>
      <c r="J362" s="60" t="n"/>
      <c r="K362" s="60" t="n"/>
      <c r="L362" s="60" t="n"/>
    </row>
    <row r="363" ht="21" customHeight="1">
      <c r="A363" s="59" t="n"/>
      <c r="B363" s="42">
        <f>'設定'!$I$30</f>
        <v/>
      </c>
      <c r="C363" s="60" t="n"/>
      <c r="D363" s="60" t="n"/>
      <c r="E363" s="60" t="n"/>
      <c r="F363" s="60" t="n"/>
      <c r="G363" s="60" t="n"/>
      <c r="H363" s="60" t="n"/>
      <c r="I363" s="60" t="n"/>
      <c r="J363" s="60" t="n"/>
      <c r="K363" s="60" t="n"/>
      <c r="L363" s="60" t="n"/>
    </row>
    <row r="364" ht="21" customHeight="1">
      <c r="A364" s="59" t="n"/>
      <c r="B364" s="42">
        <f>'設定'!$I$31</f>
        <v/>
      </c>
      <c r="C364" s="60" t="n"/>
      <c r="D364" s="60" t="n"/>
      <c r="E364" s="60" t="n"/>
      <c r="F364" s="60" t="n"/>
      <c r="G364" s="60" t="n"/>
      <c r="H364" s="60" t="n"/>
      <c r="I364" s="60" t="n"/>
      <c r="J364" s="60" t="n"/>
      <c r="K364" s="60" t="n"/>
      <c r="L364" s="60" t="n"/>
    </row>
    <row r="365" ht="21" customHeight="1">
      <c r="A365" s="59" t="n"/>
      <c r="B365" s="42">
        <f>'設定'!$I$32</f>
        <v/>
      </c>
      <c r="C365" s="60" t="n"/>
      <c r="D365" s="60" t="n"/>
      <c r="E365" s="60" t="n"/>
      <c r="F365" s="60" t="n"/>
      <c r="G365" s="60" t="n"/>
      <c r="H365" s="60" t="n"/>
      <c r="I365" s="60" t="n"/>
      <c r="J365" s="60" t="n"/>
      <c r="K365" s="60" t="n"/>
      <c r="L365" s="60" t="n"/>
    </row>
    <row r="366" ht="21" customHeight="1">
      <c r="A366" s="59" t="n"/>
      <c r="B366" s="42">
        <f>'設定'!$I$33</f>
        <v/>
      </c>
      <c r="C366" s="60" t="n"/>
      <c r="D366" s="60" t="n"/>
      <c r="E366" s="60" t="n"/>
      <c r="F366" s="60" t="n"/>
      <c r="G366" s="60" t="n"/>
      <c r="H366" s="60" t="n"/>
      <c r="I366" s="60" t="n"/>
      <c r="J366" s="60" t="n"/>
      <c r="K366" s="60" t="n"/>
      <c r="L366" s="60" t="n"/>
    </row>
    <row r="367" ht="21" customHeight="1">
      <c r="A367" s="59" t="n"/>
      <c r="B367" s="42">
        <f>'設定'!$I$34</f>
        <v/>
      </c>
      <c r="C367" s="60" t="n"/>
      <c r="D367" s="60" t="n"/>
      <c r="E367" s="60" t="n"/>
      <c r="F367" s="60" t="n"/>
      <c r="G367" s="60" t="n"/>
      <c r="H367" s="60" t="n"/>
      <c r="I367" s="60" t="n"/>
      <c r="J367" s="60" t="n"/>
      <c r="K367" s="60" t="n"/>
      <c r="L367" s="60" t="n"/>
    </row>
    <row r="368"/>
    <row r="369" ht="26" customHeight="1">
      <c r="B369" s="53">
        <f>IF('名簿'!B18="","（名簿 14行目：なし）",'名簿'!G18)</f>
        <v/>
      </c>
      <c r="C369" s="4" t="n"/>
      <c r="D369" s="4" t="n"/>
      <c r="E369" s="54" t="inlineStr">
        <is>
          <t>提出状況 ▶</t>
        </is>
      </c>
      <c r="F369" s="38" t="n"/>
      <c r="G369" s="29" t="n"/>
      <c r="H369" s="55" t="inlineStr">
        <is>
          <t>状況：</t>
        </is>
      </c>
      <c r="I369" s="56">
        <f>'名簿'!H18</f>
        <v/>
      </c>
      <c r="J369" s="55" t="inlineStr">
        <is>
          <t>×の数：</t>
        </is>
      </c>
      <c r="K369" s="57">
        <f>'名簿'!I18</f>
        <v/>
      </c>
      <c r="L369" s="58">
        <f>HYPERLINK("#'×入力'!B397","次の人へ ▼")</f>
        <v/>
      </c>
    </row>
    <row r="370" ht="22" customHeight="1">
      <c r="A370" s="30" t="inlineStr">
        <is>
          <t>この日全部 ▶</t>
        </is>
      </c>
      <c r="C370" s="59" t="n"/>
      <c r="D370" s="59" t="n"/>
      <c r="E370" s="59" t="n"/>
      <c r="F370" s="59" t="n"/>
      <c r="G370" s="59" t="n"/>
      <c r="H370" s="59" t="n"/>
      <c r="I370" s="59" t="n"/>
      <c r="J370" s="59" t="n"/>
      <c r="K370" s="59" t="n"/>
      <c r="L370" s="59" t="n"/>
    </row>
    <row r="371" ht="28" customHeight="1">
      <c r="A371" s="33" t="inlineStr">
        <is>
          <t>この時間
全部 ▼</t>
        </is>
      </c>
      <c r="B371" s="34" t="inlineStr"/>
      <c r="C371" s="35">
        <f>'設定'!$E$11</f>
        <v/>
      </c>
      <c r="D371" s="35">
        <f>'設定'!$E$12</f>
        <v/>
      </c>
      <c r="E371" s="35">
        <f>'設定'!$E$13</f>
        <v/>
      </c>
      <c r="F371" s="35">
        <f>'設定'!$E$14</f>
        <v/>
      </c>
      <c r="G371" s="35">
        <f>'設定'!$E$15</f>
        <v/>
      </c>
      <c r="H371" s="35">
        <f>'設定'!$E$16</f>
        <v/>
      </c>
      <c r="I371" s="35">
        <f>'設定'!$E$17</f>
        <v/>
      </c>
      <c r="J371" s="35">
        <f>'設定'!$E$18</f>
        <v/>
      </c>
      <c r="K371" s="35">
        <f>'設定'!$E$19</f>
        <v/>
      </c>
      <c r="L371" s="35">
        <f>'設定'!$E$20</f>
        <v/>
      </c>
    </row>
    <row r="372" ht="21" customHeight="1">
      <c r="A372" s="59" t="n"/>
      <c r="B372" s="42">
        <f>'設定'!$I$11</f>
        <v/>
      </c>
      <c r="C372" s="60" t="n"/>
      <c r="D372" s="60" t="n"/>
      <c r="E372" s="60" t="n"/>
      <c r="F372" s="60" t="n"/>
      <c r="G372" s="60" t="n"/>
      <c r="H372" s="60" t="n"/>
      <c r="I372" s="60" t="n"/>
      <c r="J372" s="60" t="n"/>
      <c r="K372" s="60" t="n"/>
      <c r="L372" s="60" t="n"/>
    </row>
    <row r="373" ht="21" customHeight="1">
      <c r="A373" s="59" t="n"/>
      <c r="B373" s="42">
        <f>'設定'!$I$12</f>
        <v/>
      </c>
      <c r="C373" s="60" t="n"/>
      <c r="D373" s="60" t="n"/>
      <c r="E373" s="60" t="n"/>
      <c r="F373" s="60" t="n"/>
      <c r="G373" s="60" t="n"/>
      <c r="H373" s="60" t="n"/>
      <c r="I373" s="60" t="n"/>
      <c r="J373" s="60" t="n"/>
      <c r="K373" s="60" t="n"/>
      <c r="L373" s="60" t="n"/>
    </row>
    <row r="374" ht="21" customHeight="1">
      <c r="A374" s="59" t="n"/>
      <c r="B374" s="42">
        <f>'設定'!$I$13</f>
        <v/>
      </c>
      <c r="C374" s="60" t="n"/>
      <c r="D374" s="60" t="n"/>
      <c r="E374" s="60" t="n"/>
      <c r="F374" s="60" t="n"/>
      <c r="G374" s="60" t="n"/>
      <c r="H374" s="60" t="n"/>
      <c r="I374" s="60" t="n"/>
      <c r="J374" s="60" t="n"/>
      <c r="K374" s="60" t="n"/>
      <c r="L374" s="60" t="n"/>
    </row>
    <row r="375" ht="21" customHeight="1">
      <c r="A375" s="59" t="n"/>
      <c r="B375" s="42">
        <f>'設定'!$I$14</f>
        <v/>
      </c>
      <c r="C375" s="60" t="n"/>
      <c r="D375" s="60" t="n"/>
      <c r="E375" s="60" t="n"/>
      <c r="F375" s="60" t="n"/>
      <c r="G375" s="60" t="n"/>
      <c r="H375" s="60" t="n"/>
      <c r="I375" s="60" t="n"/>
      <c r="J375" s="60" t="n"/>
      <c r="K375" s="60" t="n"/>
      <c r="L375" s="60" t="n"/>
    </row>
    <row r="376" ht="21" customHeight="1">
      <c r="A376" s="59" t="n"/>
      <c r="B376" s="42">
        <f>'設定'!$I$15</f>
        <v/>
      </c>
      <c r="C376" s="60" t="n"/>
      <c r="D376" s="60" t="n"/>
      <c r="E376" s="60" t="n"/>
      <c r="F376" s="60" t="n"/>
      <c r="G376" s="60" t="n"/>
      <c r="H376" s="60" t="n"/>
      <c r="I376" s="60" t="n"/>
      <c r="J376" s="60" t="n"/>
      <c r="K376" s="60" t="n"/>
      <c r="L376" s="60" t="n"/>
    </row>
    <row r="377" ht="21" customHeight="1">
      <c r="A377" s="59" t="n"/>
      <c r="B377" s="42">
        <f>'設定'!$I$16</f>
        <v/>
      </c>
      <c r="C377" s="60" t="n"/>
      <c r="D377" s="60" t="n"/>
      <c r="E377" s="60" t="n"/>
      <c r="F377" s="60" t="n"/>
      <c r="G377" s="60" t="n"/>
      <c r="H377" s="60" t="n"/>
      <c r="I377" s="60" t="n"/>
      <c r="J377" s="60" t="n"/>
      <c r="K377" s="60" t="n"/>
      <c r="L377" s="60" t="n"/>
    </row>
    <row r="378" ht="21" customHeight="1">
      <c r="A378" s="59" t="n"/>
      <c r="B378" s="42">
        <f>'設定'!$I$17</f>
        <v/>
      </c>
      <c r="C378" s="60" t="n"/>
      <c r="D378" s="60" t="n"/>
      <c r="E378" s="60" t="n"/>
      <c r="F378" s="60" t="n"/>
      <c r="G378" s="60" t="n"/>
      <c r="H378" s="60" t="n"/>
      <c r="I378" s="60" t="n"/>
      <c r="J378" s="60" t="n"/>
      <c r="K378" s="60" t="n"/>
      <c r="L378" s="60" t="n"/>
    </row>
    <row r="379" ht="21" customHeight="1">
      <c r="A379" s="59" t="n"/>
      <c r="B379" s="42">
        <f>'設定'!$I$18</f>
        <v/>
      </c>
      <c r="C379" s="60" t="n"/>
      <c r="D379" s="60" t="n"/>
      <c r="E379" s="60" t="n"/>
      <c r="F379" s="60" t="n"/>
      <c r="G379" s="60" t="n"/>
      <c r="H379" s="60" t="n"/>
      <c r="I379" s="60" t="n"/>
      <c r="J379" s="60" t="n"/>
      <c r="K379" s="60" t="n"/>
      <c r="L379" s="60" t="n"/>
    </row>
    <row r="380" ht="21" customHeight="1">
      <c r="A380" s="59" t="n"/>
      <c r="B380" s="42">
        <f>'設定'!$I$19</f>
        <v/>
      </c>
      <c r="C380" s="60" t="n"/>
      <c r="D380" s="60" t="n"/>
      <c r="E380" s="60" t="n"/>
      <c r="F380" s="60" t="n"/>
      <c r="G380" s="60" t="n"/>
      <c r="H380" s="60" t="n"/>
      <c r="I380" s="60" t="n"/>
      <c r="J380" s="60" t="n"/>
      <c r="K380" s="60" t="n"/>
      <c r="L380" s="60" t="n"/>
    </row>
    <row r="381" ht="21" customHeight="1">
      <c r="A381" s="59" t="n"/>
      <c r="B381" s="42">
        <f>'設定'!$I$20</f>
        <v/>
      </c>
      <c r="C381" s="60" t="n"/>
      <c r="D381" s="60" t="n"/>
      <c r="E381" s="60" t="n"/>
      <c r="F381" s="60" t="n"/>
      <c r="G381" s="60" t="n"/>
      <c r="H381" s="60" t="n"/>
      <c r="I381" s="60" t="n"/>
      <c r="J381" s="60" t="n"/>
      <c r="K381" s="60" t="n"/>
      <c r="L381" s="60" t="n"/>
    </row>
    <row r="382" ht="21" customHeight="1">
      <c r="A382" s="59" t="n"/>
      <c r="B382" s="42">
        <f>'設定'!$I$21</f>
        <v/>
      </c>
      <c r="C382" s="60" t="n"/>
      <c r="D382" s="60" t="n"/>
      <c r="E382" s="60" t="n"/>
      <c r="F382" s="60" t="n"/>
      <c r="G382" s="60" t="n"/>
      <c r="H382" s="60" t="n"/>
      <c r="I382" s="60" t="n"/>
      <c r="J382" s="60" t="n"/>
      <c r="K382" s="60" t="n"/>
      <c r="L382" s="60" t="n"/>
    </row>
    <row r="383" ht="21" customHeight="1">
      <c r="A383" s="59" t="n"/>
      <c r="B383" s="42">
        <f>'設定'!$I$22</f>
        <v/>
      </c>
      <c r="C383" s="60" t="n"/>
      <c r="D383" s="60" t="n"/>
      <c r="E383" s="60" t="n"/>
      <c r="F383" s="60" t="n"/>
      <c r="G383" s="60" t="n"/>
      <c r="H383" s="60" t="n"/>
      <c r="I383" s="60" t="n"/>
      <c r="J383" s="60" t="n"/>
      <c r="K383" s="60" t="n"/>
      <c r="L383" s="60" t="n"/>
    </row>
    <row r="384" ht="21" customHeight="1">
      <c r="A384" s="59" t="n"/>
      <c r="B384" s="42">
        <f>'設定'!$I$23</f>
        <v/>
      </c>
      <c r="C384" s="60" t="n"/>
      <c r="D384" s="60" t="n"/>
      <c r="E384" s="60" t="n"/>
      <c r="F384" s="60" t="n"/>
      <c r="G384" s="60" t="n"/>
      <c r="H384" s="60" t="n"/>
      <c r="I384" s="60" t="n"/>
      <c r="J384" s="60" t="n"/>
      <c r="K384" s="60" t="n"/>
      <c r="L384" s="60" t="n"/>
    </row>
    <row r="385" ht="21" customHeight="1">
      <c r="A385" s="59" t="n"/>
      <c r="B385" s="42">
        <f>'設定'!$I$24</f>
        <v/>
      </c>
      <c r="C385" s="60" t="n"/>
      <c r="D385" s="60" t="n"/>
      <c r="E385" s="60" t="n"/>
      <c r="F385" s="60" t="n"/>
      <c r="G385" s="60" t="n"/>
      <c r="H385" s="60" t="n"/>
      <c r="I385" s="60" t="n"/>
      <c r="J385" s="60" t="n"/>
      <c r="K385" s="60" t="n"/>
      <c r="L385" s="60" t="n"/>
    </row>
    <row r="386" ht="21" customHeight="1">
      <c r="A386" s="59" t="n"/>
      <c r="B386" s="42">
        <f>'設定'!$I$25</f>
        <v/>
      </c>
      <c r="C386" s="60" t="n"/>
      <c r="D386" s="60" t="n"/>
      <c r="E386" s="60" t="n"/>
      <c r="F386" s="60" t="n"/>
      <c r="G386" s="60" t="n"/>
      <c r="H386" s="60" t="n"/>
      <c r="I386" s="60" t="n"/>
      <c r="J386" s="60" t="n"/>
      <c r="K386" s="60" t="n"/>
      <c r="L386" s="60" t="n"/>
    </row>
    <row r="387" ht="21" customHeight="1">
      <c r="A387" s="59" t="n"/>
      <c r="B387" s="42">
        <f>'設定'!$I$26</f>
        <v/>
      </c>
      <c r="C387" s="60" t="n"/>
      <c r="D387" s="60" t="n"/>
      <c r="E387" s="60" t="n"/>
      <c r="F387" s="60" t="n"/>
      <c r="G387" s="60" t="n"/>
      <c r="H387" s="60" t="n"/>
      <c r="I387" s="60" t="n"/>
      <c r="J387" s="60" t="n"/>
      <c r="K387" s="60" t="n"/>
      <c r="L387" s="60" t="n"/>
    </row>
    <row r="388" ht="21" customHeight="1">
      <c r="A388" s="59" t="n"/>
      <c r="B388" s="42">
        <f>'設定'!$I$27</f>
        <v/>
      </c>
      <c r="C388" s="60" t="n"/>
      <c r="D388" s="60" t="n"/>
      <c r="E388" s="60" t="n"/>
      <c r="F388" s="60" t="n"/>
      <c r="G388" s="60" t="n"/>
      <c r="H388" s="60" t="n"/>
      <c r="I388" s="60" t="n"/>
      <c r="J388" s="60" t="n"/>
      <c r="K388" s="60" t="n"/>
      <c r="L388" s="60" t="n"/>
    </row>
    <row r="389" ht="21" customHeight="1">
      <c r="A389" s="59" t="n"/>
      <c r="B389" s="42">
        <f>'設定'!$I$28</f>
        <v/>
      </c>
      <c r="C389" s="60" t="n"/>
      <c r="D389" s="60" t="n"/>
      <c r="E389" s="60" t="n"/>
      <c r="F389" s="60" t="n"/>
      <c r="G389" s="60" t="n"/>
      <c r="H389" s="60" t="n"/>
      <c r="I389" s="60" t="n"/>
      <c r="J389" s="60" t="n"/>
      <c r="K389" s="60" t="n"/>
      <c r="L389" s="60" t="n"/>
    </row>
    <row r="390" ht="21" customHeight="1">
      <c r="A390" s="59" t="n"/>
      <c r="B390" s="42">
        <f>'設定'!$I$29</f>
        <v/>
      </c>
      <c r="C390" s="60" t="n"/>
      <c r="D390" s="60" t="n"/>
      <c r="E390" s="60" t="n"/>
      <c r="F390" s="60" t="n"/>
      <c r="G390" s="60" t="n"/>
      <c r="H390" s="60" t="n"/>
      <c r="I390" s="60" t="n"/>
      <c r="J390" s="60" t="n"/>
      <c r="K390" s="60" t="n"/>
      <c r="L390" s="60" t="n"/>
    </row>
    <row r="391" ht="21" customHeight="1">
      <c r="A391" s="59" t="n"/>
      <c r="B391" s="42">
        <f>'設定'!$I$30</f>
        <v/>
      </c>
      <c r="C391" s="60" t="n"/>
      <c r="D391" s="60" t="n"/>
      <c r="E391" s="60" t="n"/>
      <c r="F391" s="60" t="n"/>
      <c r="G391" s="60" t="n"/>
      <c r="H391" s="60" t="n"/>
      <c r="I391" s="60" t="n"/>
      <c r="J391" s="60" t="n"/>
      <c r="K391" s="60" t="n"/>
      <c r="L391" s="60" t="n"/>
    </row>
    <row r="392" ht="21" customHeight="1">
      <c r="A392" s="59" t="n"/>
      <c r="B392" s="42">
        <f>'設定'!$I$31</f>
        <v/>
      </c>
      <c r="C392" s="60" t="n"/>
      <c r="D392" s="60" t="n"/>
      <c r="E392" s="60" t="n"/>
      <c r="F392" s="60" t="n"/>
      <c r="G392" s="60" t="n"/>
      <c r="H392" s="60" t="n"/>
      <c r="I392" s="60" t="n"/>
      <c r="J392" s="60" t="n"/>
      <c r="K392" s="60" t="n"/>
      <c r="L392" s="60" t="n"/>
    </row>
    <row r="393" ht="21" customHeight="1">
      <c r="A393" s="59" t="n"/>
      <c r="B393" s="42">
        <f>'設定'!$I$32</f>
        <v/>
      </c>
      <c r="C393" s="60" t="n"/>
      <c r="D393" s="60" t="n"/>
      <c r="E393" s="60" t="n"/>
      <c r="F393" s="60" t="n"/>
      <c r="G393" s="60" t="n"/>
      <c r="H393" s="60" t="n"/>
      <c r="I393" s="60" t="n"/>
      <c r="J393" s="60" t="n"/>
      <c r="K393" s="60" t="n"/>
      <c r="L393" s="60" t="n"/>
    </row>
    <row r="394" ht="21" customHeight="1">
      <c r="A394" s="59" t="n"/>
      <c r="B394" s="42">
        <f>'設定'!$I$33</f>
        <v/>
      </c>
      <c r="C394" s="60" t="n"/>
      <c r="D394" s="60" t="n"/>
      <c r="E394" s="60" t="n"/>
      <c r="F394" s="60" t="n"/>
      <c r="G394" s="60" t="n"/>
      <c r="H394" s="60" t="n"/>
      <c r="I394" s="60" t="n"/>
      <c r="J394" s="60" t="n"/>
      <c r="K394" s="60" t="n"/>
      <c r="L394" s="60" t="n"/>
    </row>
    <row r="395" ht="21" customHeight="1">
      <c r="A395" s="59" t="n"/>
      <c r="B395" s="42">
        <f>'設定'!$I$34</f>
        <v/>
      </c>
      <c r="C395" s="60" t="n"/>
      <c r="D395" s="60" t="n"/>
      <c r="E395" s="60" t="n"/>
      <c r="F395" s="60" t="n"/>
      <c r="G395" s="60" t="n"/>
      <c r="H395" s="60" t="n"/>
      <c r="I395" s="60" t="n"/>
      <c r="J395" s="60" t="n"/>
      <c r="K395" s="60" t="n"/>
      <c r="L395" s="60" t="n"/>
    </row>
    <row r="396"/>
    <row r="397" ht="26" customHeight="1">
      <c r="B397" s="53">
        <f>IF('名簿'!B19="","（名簿 15行目：なし）",'名簿'!G19)</f>
        <v/>
      </c>
      <c r="C397" s="4" t="n"/>
      <c r="D397" s="4" t="n"/>
      <c r="E397" s="54" t="inlineStr">
        <is>
          <t>提出状況 ▶</t>
        </is>
      </c>
      <c r="F397" s="38" t="n"/>
      <c r="G397" s="29" t="n"/>
      <c r="H397" s="55" t="inlineStr">
        <is>
          <t>状況：</t>
        </is>
      </c>
      <c r="I397" s="56">
        <f>'名簿'!H19</f>
        <v/>
      </c>
      <c r="J397" s="55" t="inlineStr">
        <is>
          <t>×の数：</t>
        </is>
      </c>
      <c r="K397" s="57">
        <f>'名簿'!I19</f>
        <v/>
      </c>
      <c r="L397" s="58">
        <f>HYPERLINK("#'×入力'!B425","次の人へ ▼")</f>
        <v/>
      </c>
    </row>
    <row r="398" ht="22" customHeight="1">
      <c r="A398" s="30" t="inlineStr">
        <is>
          <t>この日全部 ▶</t>
        </is>
      </c>
      <c r="C398" s="59" t="n"/>
      <c r="D398" s="59" t="n"/>
      <c r="E398" s="59" t="n"/>
      <c r="F398" s="59" t="n"/>
      <c r="G398" s="59" t="n"/>
      <c r="H398" s="59" t="n"/>
      <c r="I398" s="59" t="n"/>
      <c r="J398" s="59" t="n"/>
      <c r="K398" s="59" t="n"/>
      <c r="L398" s="59" t="n"/>
    </row>
    <row r="399" ht="28" customHeight="1">
      <c r="A399" s="33" t="inlineStr">
        <is>
          <t>この時間
全部 ▼</t>
        </is>
      </c>
      <c r="B399" s="34" t="inlineStr"/>
      <c r="C399" s="35">
        <f>'設定'!$E$11</f>
        <v/>
      </c>
      <c r="D399" s="35">
        <f>'設定'!$E$12</f>
        <v/>
      </c>
      <c r="E399" s="35">
        <f>'設定'!$E$13</f>
        <v/>
      </c>
      <c r="F399" s="35">
        <f>'設定'!$E$14</f>
        <v/>
      </c>
      <c r="G399" s="35">
        <f>'設定'!$E$15</f>
        <v/>
      </c>
      <c r="H399" s="35">
        <f>'設定'!$E$16</f>
        <v/>
      </c>
      <c r="I399" s="35">
        <f>'設定'!$E$17</f>
        <v/>
      </c>
      <c r="J399" s="35">
        <f>'設定'!$E$18</f>
        <v/>
      </c>
      <c r="K399" s="35">
        <f>'設定'!$E$19</f>
        <v/>
      </c>
      <c r="L399" s="35">
        <f>'設定'!$E$20</f>
        <v/>
      </c>
    </row>
    <row r="400" ht="21" customHeight="1">
      <c r="A400" s="59" t="n"/>
      <c r="B400" s="42">
        <f>'設定'!$I$11</f>
        <v/>
      </c>
      <c r="C400" s="60" t="n"/>
      <c r="D400" s="60" t="n"/>
      <c r="E400" s="60" t="n"/>
      <c r="F400" s="60" t="n"/>
      <c r="G400" s="60" t="n"/>
      <c r="H400" s="60" t="n"/>
      <c r="I400" s="60" t="n"/>
      <c r="J400" s="60" t="n"/>
      <c r="K400" s="60" t="n"/>
      <c r="L400" s="60" t="n"/>
    </row>
    <row r="401" ht="21" customHeight="1">
      <c r="A401" s="59" t="n"/>
      <c r="B401" s="42">
        <f>'設定'!$I$12</f>
        <v/>
      </c>
      <c r="C401" s="60" t="n"/>
      <c r="D401" s="60" t="n"/>
      <c r="E401" s="60" t="n"/>
      <c r="F401" s="60" t="n"/>
      <c r="G401" s="60" t="n"/>
      <c r="H401" s="60" t="n"/>
      <c r="I401" s="60" t="n"/>
      <c r="J401" s="60" t="n"/>
      <c r="K401" s="60" t="n"/>
      <c r="L401" s="60" t="n"/>
    </row>
    <row r="402" ht="21" customHeight="1">
      <c r="A402" s="59" t="n"/>
      <c r="B402" s="42">
        <f>'設定'!$I$13</f>
        <v/>
      </c>
      <c r="C402" s="60" t="n"/>
      <c r="D402" s="60" t="n"/>
      <c r="E402" s="60" t="n"/>
      <c r="F402" s="60" t="n"/>
      <c r="G402" s="60" t="n"/>
      <c r="H402" s="60" t="n"/>
      <c r="I402" s="60" t="n"/>
      <c r="J402" s="60" t="n"/>
      <c r="K402" s="60" t="n"/>
      <c r="L402" s="60" t="n"/>
    </row>
    <row r="403" ht="21" customHeight="1">
      <c r="A403" s="59" t="n"/>
      <c r="B403" s="42">
        <f>'設定'!$I$14</f>
        <v/>
      </c>
      <c r="C403" s="60" t="n"/>
      <c r="D403" s="60" t="n"/>
      <c r="E403" s="60" t="n"/>
      <c r="F403" s="60" t="n"/>
      <c r="G403" s="60" t="n"/>
      <c r="H403" s="60" t="n"/>
      <c r="I403" s="60" t="n"/>
      <c r="J403" s="60" t="n"/>
      <c r="K403" s="60" t="n"/>
      <c r="L403" s="60" t="n"/>
    </row>
    <row r="404" ht="21" customHeight="1">
      <c r="A404" s="59" t="n"/>
      <c r="B404" s="42">
        <f>'設定'!$I$15</f>
        <v/>
      </c>
      <c r="C404" s="60" t="n"/>
      <c r="D404" s="60" t="n"/>
      <c r="E404" s="60" t="n"/>
      <c r="F404" s="60" t="n"/>
      <c r="G404" s="60" t="n"/>
      <c r="H404" s="60" t="n"/>
      <c r="I404" s="60" t="n"/>
      <c r="J404" s="60" t="n"/>
      <c r="K404" s="60" t="n"/>
      <c r="L404" s="60" t="n"/>
    </row>
    <row r="405" ht="21" customHeight="1">
      <c r="A405" s="59" t="n"/>
      <c r="B405" s="42">
        <f>'設定'!$I$16</f>
        <v/>
      </c>
      <c r="C405" s="60" t="n"/>
      <c r="D405" s="60" t="n"/>
      <c r="E405" s="60" t="n"/>
      <c r="F405" s="60" t="n"/>
      <c r="G405" s="60" t="n"/>
      <c r="H405" s="60" t="n"/>
      <c r="I405" s="60" t="n"/>
      <c r="J405" s="60" t="n"/>
      <c r="K405" s="60" t="n"/>
      <c r="L405" s="60" t="n"/>
    </row>
    <row r="406" ht="21" customHeight="1">
      <c r="A406" s="59" t="n"/>
      <c r="B406" s="42">
        <f>'設定'!$I$17</f>
        <v/>
      </c>
      <c r="C406" s="60" t="n"/>
      <c r="D406" s="60" t="n"/>
      <c r="E406" s="60" t="n"/>
      <c r="F406" s="60" t="n"/>
      <c r="G406" s="60" t="n"/>
      <c r="H406" s="60" t="n"/>
      <c r="I406" s="60" t="n"/>
      <c r="J406" s="60" t="n"/>
      <c r="K406" s="60" t="n"/>
      <c r="L406" s="60" t="n"/>
    </row>
    <row r="407" ht="21" customHeight="1">
      <c r="A407" s="59" t="n"/>
      <c r="B407" s="42">
        <f>'設定'!$I$18</f>
        <v/>
      </c>
      <c r="C407" s="60" t="n"/>
      <c r="D407" s="60" t="n"/>
      <c r="E407" s="60" t="n"/>
      <c r="F407" s="60" t="n"/>
      <c r="G407" s="60" t="n"/>
      <c r="H407" s="60" t="n"/>
      <c r="I407" s="60" t="n"/>
      <c r="J407" s="60" t="n"/>
      <c r="K407" s="60" t="n"/>
      <c r="L407" s="60" t="n"/>
    </row>
    <row r="408" ht="21" customHeight="1">
      <c r="A408" s="59" t="n"/>
      <c r="B408" s="42">
        <f>'設定'!$I$19</f>
        <v/>
      </c>
      <c r="C408" s="60" t="n"/>
      <c r="D408" s="60" t="n"/>
      <c r="E408" s="60" t="n"/>
      <c r="F408" s="60" t="n"/>
      <c r="G408" s="60" t="n"/>
      <c r="H408" s="60" t="n"/>
      <c r="I408" s="60" t="n"/>
      <c r="J408" s="60" t="n"/>
      <c r="K408" s="60" t="n"/>
      <c r="L408" s="60" t="n"/>
    </row>
    <row r="409" ht="21" customHeight="1">
      <c r="A409" s="59" t="n"/>
      <c r="B409" s="42">
        <f>'設定'!$I$20</f>
        <v/>
      </c>
      <c r="C409" s="60" t="n"/>
      <c r="D409" s="60" t="n"/>
      <c r="E409" s="60" t="n"/>
      <c r="F409" s="60" t="n"/>
      <c r="G409" s="60" t="n"/>
      <c r="H409" s="60" t="n"/>
      <c r="I409" s="60" t="n"/>
      <c r="J409" s="60" t="n"/>
      <c r="K409" s="60" t="n"/>
      <c r="L409" s="60" t="n"/>
    </row>
    <row r="410" ht="21" customHeight="1">
      <c r="A410" s="59" t="n"/>
      <c r="B410" s="42">
        <f>'設定'!$I$21</f>
        <v/>
      </c>
      <c r="C410" s="60" t="n"/>
      <c r="D410" s="60" t="n"/>
      <c r="E410" s="60" t="n"/>
      <c r="F410" s="60" t="n"/>
      <c r="G410" s="60" t="n"/>
      <c r="H410" s="60" t="n"/>
      <c r="I410" s="60" t="n"/>
      <c r="J410" s="60" t="n"/>
      <c r="K410" s="60" t="n"/>
      <c r="L410" s="60" t="n"/>
    </row>
    <row r="411" ht="21" customHeight="1">
      <c r="A411" s="59" t="n"/>
      <c r="B411" s="42">
        <f>'設定'!$I$22</f>
        <v/>
      </c>
      <c r="C411" s="60" t="n"/>
      <c r="D411" s="60" t="n"/>
      <c r="E411" s="60" t="n"/>
      <c r="F411" s="60" t="n"/>
      <c r="G411" s="60" t="n"/>
      <c r="H411" s="60" t="n"/>
      <c r="I411" s="60" t="n"/>
      <c r="J411" s="60" t="n"/>
      <c r="K411" s="60" t="n"/>
      <c r="L411" s="60" t="n"/>
    </row>
    <row r="412" ht="21" customHeight="1">
      <c r="A412" s="59" t="n"/>
      <c r="B412" s="42">
        <f>'設定'!$I$23</f>
        <v/>
      </c>
      <c r="C412" s="60" t="n"/>
      <c r="D412" s="60" t="n"/>
      <c r="E412" s="60" t="n"/>
      <c r="F412" s="60" t="n"/>
      <c r="G412" s="60" t="n"/>
      <c r="H412" s="60" t="n"/>
      <c r="I412" s="60" t="n"/>
      <c r="J412" s="60" t="n"/>
      <c r="K412" s="60" t="n"/>
      <c r="L412" s="60" t="n"/>
    </row>
    <row r="413" ht="21" customHeight="1">
      <c r="A413" s="59" t="n"/>
      <c r="B413" s="42">
        <f>'設定'!$I$24</f>
        <v/>
      </c>
      <c r="C413" s="60" t="n"/>
      <c r="D413" s="60" t="n"/>
      <c r="E413" s="60" t="n"/>
      <c r="F413" s="60" t="n"/>
      <c r="G413" s="60" t="n"/>
      <c r="H413" s="60" t="n"/>
      <c r="I413" s="60" t="n"/>
      <c r="J413" s="60" t="n"/>
      <c r="K413" s="60" t="n"/>
      <c r="L413" s="60" t="n"/>
    </row>
    <row r="414" ht="21" customHeight="1">
      <c r="A414" s="59" t="n"/>
      <c r="B414" s="42">
        <f>'設定'!$I$25</f>
        <v/>
      </c>
      <c r="C414" s="60" t="n"/>
      <c r="D414" s="60" t="n"/>
      <c r="E414" s="60" t="n"/>
      <c r="F414" s="60" t="n"/>
      <c r="G414" s="60" t="n"/>
      <c r="H414" s="60" t="n"/>
      <c r="I414" s="60" t="n"/>
      <c r="J414" s="60" t="n"/>
      <c r="K414" s="60" t="n"/>
      <c r="L414" s="60" t="n"/>
    </row>
    <row r="415" ht="21" customHeight="1">
      <c r="A415" s="59" t="n"/>
      <c r="B415" s="42">
        <f>'設定'!$I$26</f>
        <v/>
      </c>
      <c r="C415" s="60" t="n"/>
      <c r="D415" s="60" t="n"/>
      <c r="E415" s="60" t="n"/>
      <c r="F415" s="60" t="n"/>
      <c r="G415" s="60" t="n"/>
      <c r="H415" s="60" t="n"/>
      <c r="I415" s="60" t="n"/>
      <c r="J415" s="60" t="n"/>
      <c r="K415" s="60" t="n"/>
      <c r="L415" s="60" t="n"/>
    </row>
    <row r="416" ht="21" customHeight="1">
      <c r="A416" s="59" t="n"/>
      <c r="B416" s="42">
        <f>'設定'!$I$27</f>
        <v/>
      </c>
      <c r="C416" s="60" t="n"/>
      <c r="D416" s="60" t="n"/>
      <c r="E416" s="60" t="n"/>
      <c r="F416" s="60" t="n"/>
      <c r="G416" s="60" t="n"/>
      <c r="H416" s="60" t="n"/>
      <c r="I416" s="60" t="n"/>
      <c r="J416" s="60" t="n"/>
      <c r="K416" s="60" t="n"/>
      <c r="L416" s="60" t="n"/>
    </row>
    <row r="417" ht="21" customHeight="1">
      <c r="A417" s="59" t="n"/>
      <c r="B417" s="42">
        <f>'設定'!$I$28</f>
        <v/>
      </c>
      <c r="C417" s="60" t="n"/>
      <c r="D417" s="60" t="n"/>
      <c r="E417" s="60" t="n"/>
      <c r="F417" s="60" t="n"/>
      <c r="G417" s="60" t="n"/>
      <c r="H417" s="60" t="n"/>
      <c r="I417" s="60" t="n"/>
      <c r="J417" s="60" t="n"/>
      <c r="K417" s="60" t="n"/>
      <c r="L417" s="60" t="n"/>
    </row>
    <row r="418" ht="21" customHeight="1">
      <c r="A418" s="59" t="n"/>
      <c r="B418" s="42">
        <f>'設定'!$I$29</f>
        <v/>
      </c>
      <c r="C418" s="60" t="n"/>
      <c r="D418" s="60" t="n"/>
      <c r="E418" s="60" t="n"/>
      <c r="F418" s="60" t="n"/>
      <c r="G418" s="60" t="n"/>
      <c r="H418" s="60" t="n"/>
      <c r="I418" s="60" t="n"/>
      <c r="J418" s="60" t="n"/>
      <c r="K418" s="60" t="n"/>
      <c r="L418" s="60" t="n"/>
    </row>
    <row r="419" ht="21" customHeight="1">
      <c r="A419" s="59" t="n"/>
      <c r="B419" s="42">
        <f>'設定'!$I$30</f>
        <v/>
      </c>
      <c r="C419" s="60" t="n"/>
      <c r="D419" s="60" t="n"/>
      <c r="E419" s="60" t="n"/>
      <c r="F419" s="60" t="n"/>
      <c r="G419" s="60" t="n"/>
      <c r="H419" s="60" t="n"/>
      <c r="I419" s="60" t="n"/>
      <c r="J419" s="60" t="n"/>
      <c r="K419" s="60" t="n"/>
      <c r="L419" s="60" t="n"/>
    </row>
    <row r="420" ht="21" customHeight="1">
      <c r="A420" s="59" t="n"/>
      <c r="B420" s="42">
        <f>'設定'!$I$31</f>
        <v/>
      </c>
      <c r="C420" s="60" t="n"/>
      <c r="D420" s="60" t="n"/>
      <c r="E420" s="60" t="n"/>
      <c r="F420" s="60" t="n"/>
      <c r="G420" s="60" t="n"/>
      <c r="H420" s="60" t="n"/>
      <c r="I420" s="60" t="n"/>
      <c r="J420" s="60" t="n"/>
      <c r="K420" s="60" t="n"/>
      <c r="L420" s="60" t="n"/>
    </row>
    <row r="421" ht="21" customHeight="1">
      <c r="A421" s="59" t="n"/>
      <c r="B421" s="42">
        <f>'設定'!$I$32</f>
        <v/>
      </c>
      <c r="C421" s="60" t="n"/>
      <c r="D421" s="60" t="n"/>
      <c r="E421" s="60" t="n"/>
      <c r="F421" s="60" t="n"/>
      <c r="G421" s="60" t="n"/>
      <c r="H421" s="60" t="n"/>
      <c r="I421" s="60" t="n"/>
      <c r="J421" s="60" t="n"/>
      <c r="K421" s="60" t="n"/>
      <c r="L421" s="60" t="n"/>
    </row>
    <row r="422" ht="21" customHeight="1">
      <c r="A422" s="59" t="n"/>
      <c r="B422" s="42">
        <f>'設定'!$I$33</f>
        <v/>
      </c>
      <c r="C422" s="60" t="n"/>
      <c r="D422" s="60" t="n"/>
      <c r="E422" s="60" t="n"/>
      <c r="F422" s="60" t="n"/>
      <c r="G422" s="60" t="n"/>
      <c r="H422" s="60" t="n"/>
      <c r="I422" s="60" t="n"/>
      <c r="J422" s="60" t="n"/>
      <c r="K422" s="60" t="n"/>
      <c r="L422" s="60" t="n"/>
    </row>
    <row r="423" ht="21" customHeight="1">
      <c r="A423" s="59" t="n"/>
      <c r="B423" s="42">
        <f>'設定'!$I$34</f>
        <v/>
      </c>
      <c r="C423" s="60" t="n"/>
      <c r="D423" s="60" t="n"/>
      <c r="E423" s="60" t="n"/>
      <c r="F423" s="60" t="n"/>
      <c r="G423" s="60" t="n"/>
      <c r="H423" s="60" t="n"/>
      <c r="I423" s="60" t="n"/>
      <c r="J423" s="60" t="n"/>
      <c r="K423" s="60" t="n"/>
      <c r="L423" s="60" t="n"/>
    </row>
    <row r="424"/>
    <row r="425" ht="26" customHeight="1">
      <c r="B425" s="53">
        <f>IF('名簿'!B20="","（名簿 16行目：なし）",'名簿'!G20)</f>
        <v/>
      </c>
      <c r="C425" s="4" t="n"/>
      <c r="D425" s="4" t="n"/>
      <c r="E425" s="54" t="inlineStr">
        <is>
          <t>提出状況 ▶</t>
        </is>
      </c>
      <c r="F425" s="38" t="n"/>
      <c r="G425" s="29" t="n"/>
      <c r="H425" s="55" t="inlineStr">
        <is>
          <t>状況：</t>
        </is>
      </c>
      <c r="I425" s="56">
        <f>'名簿'!H20</f>
        <v/>
      </c>
      <c r="J425" s="55" t="inlineStr">
        <is>
          <t>×の数：</t>
        </is>
      </c>
      <c r="K425" s="57">
        <f>'名簿'!I20</f>
        <v/>
      </c>
      <c r="L425" s="58">
        <f>HYPERLINK("#'×入力'!B453","次の人へ ▼")</f>
        <v/>
      </c>
    </row>
    <row r="426" ht="22" customHeight="1">
      <c r="A426" s="30" t="inlineStr">
        <is>
          <t>この日全部 ▶</t>
        </is>
      </c>
      <c r="C426" s="59" t="n"/>
      <c r="D426" s="59" t="n"/>
      <c r="E426" s="59" t="n"/>
      <c r="F426" s="59" t="n"/>
      <c r="G426" s="59" t="n"/>
      <c r="H426" s="59" t="n"/>
      <c r="I426" s="59" t="n"/>
      <c r="J426" s="59" t="n"/>
      <c r="K426" s="59" t="n"/>
      <c r="L426" s="59" t="n"/>
    </row>
    <row r="427" ht="28" customHeight="1">
      <c r="A427" s="33" t="inlineStr">
        <is>
          <t>この時間
全部 ▼</t>
        </is>
      </c>
      <c r="B427" s="34" t="inlineStr"/>
      <c r="C427" s="35">
        <f>'設定'!$E$11</f>
        <v/>
      </c>
      <c r="D427" s="35">
        <f>'設定'!$E$12</f>
        <v/>
      </c>
      <c r="E427" s="35">
        <f>'設定'!$E$13</f>
        <v/>
      </c>
      <c r="F427" s="35">
        <f>'設定'!$E$14</f>
        <v/>
      </c>
      <c r="G427" s="35">
        <f>'設定'!$E$15</f>
        <v/>
      </c>
      <c r="H427" s="35">
        <f>'設定'!$E$16</f>
        <v/>
      </c>
      <c r="I427" s="35">
        <f>'設定'!$E$17</f>
        <v/>
      </c>
      <c r="J427" s="35">
        <f>'設定'!$E$18</f>
        <v/>
      </c>
      <c r="K427" s="35">
        <f>'設定'!$E$19</f>
        <v/>
      </c>
      <c r="L427" s="35">
        <f>'設定'!$E$20</f>
        <v/>
      </c>
    </row>
    <row r="428" ht="21" customHeight="1">
      <c r="A428" s="59" t="n"/>
      <c r="B428" s="42">
        <f>'設定'!$I$11</f>
        <v/>
      </c>
      <c r="C428" s="60" t="n"/>
      <c r="D428" s="60" t="n"/>
      <c r="E428" s="60" t="n"/>
      <c r="F428" s="60" t="n"/>
      <c r="G428" s="60" t="n"/>
      <c r="H428" s="60" t="n"/>
      <c r="I428" s="60" t="n"/>
      <c r="J428" s="60" t="n"/>
      <c r="K428" s="60" t="n"/>
      <c r="L428" s="60" t="n"/>
    </row>
    <row r="429" ht="21" customHeight="1">
      <c r="A429" s="59" t="n"/>
      <c r="B429" s="42">
        <f>'設定'!$I$12</f>
        <v/>
      </c>
      <c r="C429" s="60" t="n"/>
      <c r="D429" s="60" t="n"/>
      <c r="E429" s="60" t="n"/>
      <c r="F429" s="60" t="n"/>
      <c r="G429" s="60" t="n"/>
      <c r="H429" s="60" t="n"/>
      <c r="I429" s="60" t="n"/>
      <c r="J429" s="60" t="n"/>
      <c r="K429" s="60" t="n"/>
      <c r="L429" s="60" t="n"/>
    </row>
    <row r="430" ht="21" customHeight="1">
      <c r="A430" s="59" t="n"/>
      <c r="B430" s="42">
        <f>'設定'!$I$13</f>
        <v/>
      </c>
      <c r="C430" s="60" t="n"/>
      <c r="D430" s="60" t="n"/>
      <c r="E430" s="60" t="n"/>
      <c r="F430" s="60" t="n"/>
      <c r="G430" s="60" t="n"/>
      <c r="H430" s="60" t="n"/>
      <c r="I430" s="60" t="n"/>
      <c r="J430" s="60" t="n"/>
      <c r="K430" s="60" t="n"/>
      <c r="L430" s="60" t="n"/>
    </row>
    <row r="431" ht="21" customHeight="1">
      <c r="A431" s="59" t="n"/>
      <c r="B431" s="42">
        <f>'設定'!$I$14</f>
        <v/>
      </c>
      <c r="C431" s="60" t="n"/>
      <c r="D431" s="60" t="n"/>
      <c r="E431" s="60" t="n"/>
      <c r="F431" s="60" t="n"/>
      <c r="G431" s="60" t="n"/>
      <c r="H431" s="60" t="n"/>
      <c r="I431" s="60" t="n"/>
      <c r="J431" s="60" t="n"/>
      <c r="K431" s="60" t="n"/>
      <c r="L431" s="60" t="n"/>
    </row>
    <row r="432" ht="21" customHeight="1">
      <c r="A432" s="59" t="n"/>
      <c r="B432" s="42">
        <f>'設定'!$I$15</f>
        <v/>
      </c>
      <c r="C432" s="60" t="n"/>
      <c r="D432" s="60" t="n"/>
      <c r="E432" s="60" t="n"/>
      <c r="F432" s="60" t="n"/>
      <c r="G432" s="60" t="n"/>
      <c r="H432" s="60" t="n"/>
      <c r="I432" s="60" t="n"/>
      <c r="J432" s="60" t="n"/>
      <c r="K432" s="60" t="n"/>
      <c r="L432" s="60" t="n"/>
    </row>
    <row r="433" ht="21" customHeight="1">
      <c r="A433" s="59" t="n"/>
      <c r="B433" s="42">
        <f>'設定'!$I$16</f>
        <v/>
      </c>
      <c r="C433" s="60" t="n"/>
      <c r="D433" s="60" t="n"/>
      <c r="E433" s="60" t="n"/>
      <c r="F433" s="60" t="n"/>
      <c r="G433" s="60" t="n"/>
      <c r="H433" s="60" t="n"/>
      <c r="I433" s="60" t="n"/>
      <c r="J433" s="60" t="n"/>
      <c r="K433" s="60" t="n"/>
      <c r="L433" s="60" t="n"/>
    </row>
    <row r="434" ht="21" customHeight="1">
      <c r="A434" s="59" t="n"/>
      <c r="B434" s="42">
        <f>'設定'!$I$17</f>
        <v/>
      </c>
      <c r="C434" s="60" t="n"/>
      <c r="D434" s="60" t="n"/>
      <c r="E434" s="60" t="n"/>
      <c r="F434" s="60" t="n"/>
      <c r="G434" s="60" t="n"/>
      <c r="H434" s="60" t="n"/>
      <c r="I434" s="60" t="n"/>
      <c r="J434" s="60" t="n"/>
      <c r="K434" s="60" t="n"/>
      <c r="L434" s="60" t="n"/>
    </row>
    <row r="435" ht="21" customHeight="1">
      <c r="A435" s="59" t="n"/>
      <c r="B435" s="42">
        <f>'設定'!$I$18</f>
        <v/>
      </c>
      <c r="C435" s="60" t="n"/>
      <c r="D435" s="60" t="n"/>
      <c r="E435" s="60" t="n"/>
      <c r="F435" s="60" t="n"/>
      <c r="G435" s="60" t="n"/>
      <c r="H435" s="60" t="n"/>
      <c r="I435" s="60" t="n"/>
      <c r="J435" s="60" t="n"/>
      <c r="K435" s="60" t="n"/>
      <c r="L435" s="60" t="n"/>
    </row>
    <row r="436" ht="21" customHeight="1">
      <c r="A436" s="59" t="n"/>
      <c r="B436" s="42">
        <f>'設定'!$I$19</f>
        <v/>
      </c>
      <c r="C436" s="60" t="n"/>
      <c r="D436" s="60" t="n"/>
      <c r="E436" s="60" t="n"/>
      <c r="F436" s="60" t="n"/>
      <c r="G436" s="60" t="n"/>
      <c r="H436" s="60" t="n"/>
      <c r="I436" s="60" t="n"/>
      <c r="J436" s="60" t="n"/>
      <c r="K436" s="60" t="n"/>
      <c r="L436" s="60" t="n"/>
    </row>
    <row r="437" ht="21" customHeight="1">
      <c r="A437" s="59" t="n"/>
      <c r="B437" s="42">
        <f>'設定'!$I$20</f>
        <v/>
      </c>
      <c r="C437" s="60" t="n"/>
      <c r="D437" s="60" t="n"/>
      <c r="E437" s="60" t="n"/>
      <c r="F437" s="60" t="n"/>
      <c r="G437" s="60" t="n"/>
      <c r="H437" s="60" t="n"/>
      <c r="I437" s="60" t="n"/>
      <c r="J437" s="60" t="n"/>
      <c r="K437" s="60" t="n"/>
      <c r="L437" s="60" t="n"/>
    </row>
    <row r="438" ht="21" customHeight="1">
      <c r="A438" s="59" t="n"/>
      <c r="B438" s="42">
        <f>'設定'!$I$21</f>
        <v/>
      </c>
      <c r="C438" s="60" t="n"/>
      <c r="D438" s="60" t="n"/>
      <c r="E438" s="60" t="n"/>
      <c r="F438" s="60" t="n"/>
      <c r="G438" s="60" t="n"/>
      <c r="H438" s="60" t="n"/>
      <c r="I438" s="60" t="n"/>
      <c r="J438" s="60" t="n"/>
      <c r="K438" s="60" t="n"/>
      <c r="L438" s="60" t="n"/>
    </row>
    <row r="439" ht="21" customHeight="1">
      <c r="A439" s="59" t="n"/>
      <c r="B439" s="42">
        <f>'設定'!$I$22</f>
        <v/>
      </c>
      <c r="C439" s="60" t="n"/>
      <c r="D439" s="60" t="n"/>
      <c r="E439" s="60" t="n"/>
      <c r="F439" s="60" t="n"/>
      <c r="G439" s="60" t="n"/>
      <c r="H439" s="60" t="n"/>
      <c r="I439" s="60" t="n"/>
      <c r="J439" s="60" t="n"/>
      <c r="K439" s="60" t="n"/>
      <c r="L439" s="60" t="n"/>
    </row>
    <row r="440" ht="21" customHeight="1">
      <c r="A440" s="59" t="n"/>
      <c r="B440" s="42">
        <f>'設定'!$I$23</f>
        <v/>
      </c>
      <c r="C440" s="60" t="n"/>
      <c r="D440" s="60" t="n"/>
      <c r="E440" s="60" t="n"/>
      <c r="F440" s="60" t="n"/>
      <c r="G440" s="60" t="n"/>
      <c r="H440" s="60" t="n"/>
      <c r="I440" s="60" t="n"/>
      <c r="J440" s="60" t="n"/>
      <c r="K440" s="60" t="n"/>
      <c r="L440" s="60" t="n"/>
    </row>
    <row r="441" ht="21" customHeight="1">
      <c r="A441" s="59" t="n"/>
      <c r="B441" s="42">
        <f>'設定'!$I$24</f>
        <v/>
      </c>
      <c r="C441" s="60" t="n"/>
      <c r="D441" s="60" t="n"/>
      <c r="E441" s="60" t="n"/>
      <c r="F441" s="60" t="n"/>
      <c r="G441" s="60" t="n"/>
      <c r="H441" s="60" t="n"/>
      <c r="I441" s="60" t="n"/>
      <c r="J441" s="60" t="n"/>
      <c r="K441" s="60" t="n"/>
      <c r="L441" s="60" t="n"/>
    </row>
    <row r="442" ht="21" customHeight="1">
      <c r="A442" s="59" t="n"/>
      <c r="B442" s="42">
        <f>'設定'!$I$25</f>
        <v/>
      </c>
      <c r="C442" s="60" t="n"/>
      <c r="D442" s="60" t="n"/>
      <c r="E442" s="60" t="n"/>
      <c r="F442" s="60" t="n"/>
      <c r="G442" s="60" t="n"/>
      <c r="H442" s="60" t="n"/>
      <c r="I442" s="60" t="n"/>
      <c r="J442" s="60" t="n"/>
      <c r="K442" s="60" t="n"/>
      <c r="L442" s="60" t="n"/>
    </row>
    <row r="443" ht="21" customHeight="1">
      <c r="A443" s="59" t="n"/>
      <c r="B443" s="42">
        <f>'設定'!$I$26</f>
        <v/>
      </c>
      <c r="C443" s="60" t="n"/>
      <c r="D443" s="60" t="n"/>
      <c r="E443" s="60" t="n"/>
      <c r="F443" s="60" t="n"/>
      <c r="G443" s="60" t="n"/>
      <c r="H443" s="60" t="n"/>
      <c r="I443" s="60" t="n"/>
      <c r="J443" s="60" t="n"/>
      <c r="K443" s="60" t="n"/>
      <c r="L443" s="60" t="n"/>
    </row>
    <row r="444" ht="21" customHeight="1">
      <c r="A444" s="59" t="n"/>
      <c r="B444" s="42">
        <f>'設定'!$I$27</f>
        <v/>
      </c>
      <c r="C444" s="60" t="n"/>
      <c r="D444" s="60" t="n"/>
      <c r="E444" s="60" t="n"/>
      <c r="F444" s="60" t="n"/>
      <c r="G444" s="60" t="n"/>
      <c r="H444" s="60" t="n"/>
      <c r="I444" s="60" t="n"/>
      <c r="J444" s="60" t="n"/>
      <c r="K444" s="60" t="n"/>
      <c r="L444" s="60" t="n"/>
    </row>
    <row r="445" ht="21" customHeight="1">
      <c r="A445" s="59" t="n"/>
      <c r="B445" s="42">
        <f>'設定'!$I$28</f>
        <v/>
      </c>
      <c r="C445" s="60" t="n"/>
      <c r="D445" s="60" t="n"/>
      <c r="E445" s="60" t="n"/>
      <c r="F445" s="60" t="n"/>
      <c r="G445" s="60" t="n"/>
      <c r="H445" s="60" t="n"/>
      <c r="I445" s="60" t="n"/>
      <c r="J445" s="60" t="n"/>
      <c r="K445" s="60" t="n"/>
      <c r="L445" s="60" t="n"/>
    </row>
    <row r="446" ht="21" customHeight="1">
      <c r="A446" s="59" t="n"/>
      <c r="B446" s="42">
        <f>'設定'!$I$29</f>
        <v/>
      </c>
      <c r="C446" s="60" t="n"/>
      <c r="D446" s="60" t="n"/>
      <c r="E446" s="60" t="n"/>
      <c r="F446" s="60" t="n"/>
      <c r="G446" s="60" t="n"/>
      <c r="H446" s="60" t="n"/>
      <c r="I446" s="60" t="n"/>
      <c r="J446" s="60" t="n"/>
      <c r="K446" s="60" t="n"/>
      <c r="L446" s="60" t="n"/>
    </row>
    <row r="447" ht="21" customHeight="1">
      <c r="A447" s="59" t="n"/>
      <c r="B447" s="42">
        <f>'設定'!$I$30</f>
        <v/>
      </c>
      <c r="C447" s="60" t="n"/>
      <c r="D447" s="60" t="n"/>
      <c r="E447" s="60" t="n"/>
      <c r="F447" s="60" t="n"/>
      <c r="G447" s="60" t="n"/>
      <c r="H447" s="60" t="n"/>
      <c r="I447" s="60" t="n"/>
      <c r="J447" s="60" t="n"/>
      <c r="K447" s="60" t="n"/>
      <c r="L447" s="60" t="n"/>
    </row>
    <row r="448" ht="21" customHeight="1">
      <c r="A448" s="59" t="n"/>
      <c r="B448" s="42">
        <f>'設定'!$I$31</f>
        <v/>
      </c>
      <c r="C448" s="60" t="n"/>
      <c r="D448" s="60" t="n"/>
      <c r="E448" s="60" t="n"/>
      <c r="F448" s="60" t="n"/>
      <c r="G448" s="60" t="n"/>
      <c r="H448" s="60" t="n"/>
      <c r="I448" s="60" t="n"/>
      <c r="J448" s="60" t="n"/>
      <c r="K448" s="60" t="n"/>
      <c r="L448" s="60" t="n"/>
    </row>
    <row r="449" ht="21" customHeight="1">
      <c r="A449" s="59" t="n"/>
      <c r="B449" s="42">
        <f>'設定'!$I$32</f>
        <v/>
      </c>
      <c r="C449" s="60" t="n"/>
      <c r="D449" s="60" t="n"/>
      <c r="E449" s="60" t="n"/>
      <c r="F449" s="60" t="n"/>
      <c r="G449" s="60" t="n"/>
      <c r="H449" s="60" t="n"/>
      <c r="I449" s="60" t="n"/>
      <c r="J449" s="60" t="n"/>
      <c r="K449" s="60" t="n"/>
      <c r="L449" s="60" t="n"/>
    </row>
    <row r="450" ht="21" customHeight="1">
      <c r="A450" s="59" t="n"/>
      <c r="B450" s="42">
        <f>'設定'!$I$33</f>
        <v/>
      </c>
      <c r="C450" s="60" t="n"/>
      <c r="D450" s="60" t="n"/>
      <c r="E450" s="60" t="n"/>
      <c r="F450" s="60" t="n"/>
      <c r="G450" s="60" t="n"/>
      <c r="H450" s="60" t="n"/>
      <c r="I450" s="60" t="n"/>
      <c r="J450" s="60" t="n"/>
      <c r="K450" s="60" t="n"/>
      <c r="L450" s="60" t="n"/>
    </row>
    <row r="451" ht="21" customHeight="1">
      <c r="A451" s="59" t="n"/>
      <c r="B451" s="42">
        <f>'設定'!$I$34</f>
        <v/>
      </c>
      <c r="C451" s="60" t="n"/>
      <c r="D451" s="60" t="n"/>
      <c r="E451" s="60" t="n"/>
      <c r="F451" s="60" t="n"/>
      <c r="G451" s="60" t="n"/>
      <c r="H451" s="60" t="n"/>
      <c r="I451" s="60" t="n"/>
      <c r="J451" s="60" t="n"/>
      <c r="K451" s="60" t="n"/>
      <c r="L451" s="60" t="n"/>
    </row>
    <row r="452"/>
    <row r="453" ht="26" customHeight="1">
      <c r="B453" s="53">
        <f>IF('名簿'!B21="","（名簿 17行目：なし）",'名簿'!G21)</f>
        <v/>
      </c>
      <c r="C453" s="4" t="n"/>
      <c r="D453" s="4" t="n"/>
      <c r="E453" s="54" t="inlineStr">
        <is>
          <t>提出状況 ▶</t>
        </is>
      </c>
      <c r="F453" s="38" t="n"/>
      <c r="G453" s="29" t="n"/>
      <c r="H453" s="55" t="inlineStr">
        <is>
          <t>状況：</t>
        </is>
      </c>
      <c r="I453" s="56">
        <f>'名簿'!H21</f>
        <v/>
      </c>
      <c r="J453" s="55" t="inlineStr">
        <is>
          <t>×の数：</t>
        </is>
      </c>
      <c r="K453" s="57">
        <f>'名簿'!I21</f>
        <v/>
      </c>
      <c r="L453" s="58">
        <f>HYPERLINK("#'×入力'!B481","次の人へ ▼")</f>
        <v/>
      </c>
    </row>
    <row r="454" ht="22" customHeight="1">
      <c r="A454" s="30" t="inlineStr">
        <is>
          <t>この日全部 ▶</t>
        </is>
      </c>
      <c r="C454" s="59" t="n"/>
      <c r="D454" s="59" t="n"/>
      <c r="E454" s="59" t="n"/>
      <c r="F454" s="59" t="n"/>
      <c r="G454" s="59" t="n"/>
      <c r="H454" s="59" t="n"/>
      <c r="I454" s="59" t="n"/>
      <c r="J454" s="59" t="n"/>
      <c r="K454" s="59" t="n"/>
      <c r="L454" s="59" t="n"/>
    </row>
    <row r="455" ht="28" customHeight="1">
      <c r="A455" s="33" t="inlineStr">
        <is>
          <t>この時間
全部 ▼</t>
        </is>
      </c>
      <c r="B455" s="34" t="inlineStr"/>
      <c r="C455" s="35">
        <f>'設定'!$E$11</f>
        <v/>
      </c>
      <c r="D455" s="35">
        <f>'設定'!$E$12</f>
        <v/>
      </c>
      <c r="E455" s="35">
        <f>'設定'!$E$13</f>
        <v/>
      </c>
      <c r="F455" s="35">
        <f>'設定'!$E$14</f>
        <v/>
      </c>
      <c r="G455" s="35">
        <f>'設定'!$E$15</f>
        <v/>
      </c>
      <c r="H455" s="35">
        <f>'設定'!$E$16</f>
        <v/>
      </c>
      <c r="I455" s="35">
        <f>'設定'!$E$17</f>
        <v/>
      </c>
      <c r="J455" s="35">
        <f>'設定'!$E$18</f>
        <v/>
      </c>
      <c r="K455" s="35">
        <f>'設定'!$E$19</f>
        <v/>
      </c>
      <c r="L455" s="35">
        <f>'設定'!$E$20</f>
        <v/>
      </c>
    </row>
    <row r="456" ht="21" customHeight="1">
      <c r="A456" s="59" t="n"/>
      <c r="B456" s="42">
        <f>'設定'!$I$11</f>
        <v/>
      </c>
      <c r="C456" s="60" t="n"/>
      <c r="D456" s="60" t="n"/>
      <c r="E456" s="60" t="n"/>
      <c r="F456" s="60" t="n"/>
      <c r="G456" s="60" t="n"/>
      <c r="H456" s="60" t="n"/>
      <c r="I456" s="60" t="n"/>
      <c r="J456" s="60" t="n"/>
      <c r="K456" s="60" t="n"/>
      <c r="L456" s="60" t="n"/>
    </row>
    <row r="457" ht="21" customHeight="1">
      <c r="A457" s="59" t="n"/>
      <c r="B457" s="42">
        <f>'設定'!$I$12</f>
        <v/>
      </c>
      <c r="C457" s="60" t="n"/>
      <c r="D457" s="60" t="n"/>
      <c r="E457" s="60" t="n"/>
      <c r="F457" s="60" t="n"/>
      <c r="G457" s="60" t="n"/>
      <c r="H457" s="60" t="n"/>
      <c r="I457" s="60" t="n"/>
      <c r="J457" s="60" t="n"/>
      <c r="K457" s="60" t="n"/>
      <c r="L457" s="60" t="n"/>
    </row>
    <row r="458" ht="21" customHeight="1">
      <c r="A458" s="59" t="n"/>
      <c r="B458" s="42">
        <f>'設定'!$I$13</f>
        <v/>
      </c>
      <c r="C458" s="60" t="n"/>
      <c r="D458" s="60" t="n"/>
      <c r="E458" s="60" t="n"/>
      <c r="F458" s="60" t="n"/>
      <c r="G458" s="60" t="n"/>
      <c r="H458" s="60" t="n"/>
      <c r="I458" s="60" t="n"/>
      <c r="J458" s="60" t="n"/>
      <c r="K458" s="60" t="n"/>
      <c r="L458" s="60" t="n"/>
    </row>
    <row r="459" ht="21" customHeight="1">
      <c r="A459" s="59" t="n"/>
      <c r="B459" s="42">
        <f>'設定'!$I$14</f>
        <v/>
      </c>
      <c r="C459" s="60" t="n"/>
      <c r="D459" s="60" t="n"/>
      <c r="E459" s="60" t="n"/>
      <c r="F459" s="60" t="n"/>
      <c r="G459" s="60" t="n"/>
      <c r="H459" s="60" t="n"/>
      <c r="I459" s="60" t="n"/>
      <c r="J459" s="60" t="n"/>
      <c r="K459" s="60" t="n"/>
      <c r="L459" s="60" t="n"/>
    </row>
    <row r="460" ht="21" customHeight="1">
      <c r="A460" s="59" t="n"/>
      <c r="B460" s="42">
        <f>'設定'!$I$15</f>
        <v/>
      </c>
      <c r="C460" s="60" t="n"/>
      <c r="D460" s="60" t="n"/>
      <c r="E460" s="60" t="n"/>
      <c r="F460" s="60" t="n"/>
      <c r="G460" s="60" t="n"/>
      <c r="H460" s="60" t="n"/>
      <c r="I460" s="60" t="n"/>
      <c r="J460" s="60" t="n"/>
      <c r="K460" s="60" t="n"/>
      <c r="L460" s="60" t="n"/>
    </row>
    <row r="461" ht="21" customHeight="1">
      <c r="A461" s="59" t="n"/>
      <c r="B461" s="42">
        <f>'設定'!$I$16</f>
        <v/>
      </c>
      <c r="C461" s="60" t="n"/>
      <c r="D461" s="60" t="n"/>
      <c r="E461" s="60" t="n"/>
      <c r="F461" s="60" t="n"/>
      <c r="G461" s="60" t="n"/>
      <c r="H461" s="60" t="n"/>
      <c r="I461" s="60" t="n"/>
      <c r="J461" s="60" t="n"/>
      <c r="K461" s="60" t="n"/>
      <c r="L461" s="60" t="n"/>
    </row>
    <row r="462" ht="21" customHeight="1">
      <c r="A462" s="59" t="n"/>
      <c r="B462" s="42">
        <f>'設定'!$I$17</f>
        <v/>
      </c>
      <c r="C462" s="60" t="n"/>
      <c r="D462" s="60" t="n"/>
      <c r="E462" s="60" t="n"/>
      <c r="F462" s="60" t="n"/>
      <c r="G462" s="60" t="n"/>
      <c r="H462" s="60" t="n"/>
      <c r="I462" s="60" t="n"/>
      <c r="J462" s="60" t="n"/>
      <c r="K462" s="60" t="n"/>
      <c r="L462" s="60" t="n"/>
    </row>
    <row r="463" ht="21" customHeight="1">
      <c r="A463" s="59" t="n"/>
      <c r="B463" s="42">
        <f>'設定'!$I$18</f>
        <v/>
      </c>
      <c r="C463" s="60" t="n"/>
      <c r="D463" s="60" t="n"/>
      <c r="E463" s="60" t="n"/>
      <c r="F463" s="60" t="n"/>
      <c r="G463" s="60" t="n"/>
      <c r="H463" s="60" t="n"/>
      <c r="I463" s="60" t="n"/>
      <c r="J463" s="60" t="n"/>
      <c r="K463" s="60" t="n"/>
      <c r="L463" s="60" t="n"/>
    </row>
    <row r="464" ht="21" customHeight="1">
      <c r="A464" s="59" t="n"/>
      <c r="B464" s="42">
        <f>'設定'!$I$19</f>
        <v/>
      </c>
      <c r="C464" s="60" t="n"/>
      <c r="D464" s="60" t="n"/>
      <c r="E464" s="60" t="n"/>
      <c r="F464" s="60" t="n"/>
      <c r="G464" s="60" t="n"/>
      <c r="H464" s="60" t="n"/>
      <c r="I464" s="60" t="n"/>
      <c r="J464" s="60" t="n"/>
      <c r="K464" s="60" t="n"/>
      <c r="L464" s="60" t="n"/>
    </row>
    <row r="465" ht="21" customHeight="1">
      <c r="A465" s="59" t="n"/>
      <c r="B465" s="42">
        <f>'設定'!$I$20</f>
        <v/>
      </c>
      <c r="C465" s="60" t="n"/>
      <c r="D465" s="60" t="n"/>
      <c r="E465" s="60" t="n"/>
      <c r="F465" s="60" t="n"/>
      <c r="G465" s="60" t="n"/>
      <c r="H465" s="60" t="n"/>
      <c r="I465" s="60" t="n"/>
      <c r="J465" s="60" t="n"/>
      <c r="K465" s="60" t="n"/>
      <c r="L465" s="60" t="n"/>
    </row>
    <row r="466" ht="21" customHeight="1">
      <c r="A466" s="59" t="n"/>
      <c r="B466" s="42">
        <f>'設定'!$I$21</f>
        <v/>
      </c>
      <c r="C466" s="60" t="n"/>
      <c r="D466" s="60" t="n"/>
      <c r="E466" s="60" t="n"/>
      <c r="F466" s="60" t="n"/>
      <c r="G466" s="60" t="n"/>
      <c r="H466" s="60" t="n"/>
      <c r="I466" s="60" t="n"/>
      <c r="J466" s="60" t="n"/>
      <c r="K466" s="60" t="n"/>
      <c r="L466" s="60" t="n"/>
    </row>
    <row r="467" ht="21" customHeight="1">
      <c r="A467" s="59" t="n"/>
      <c r="B467" s="42">
        <f>'設定'!$I$22</f>
        <v/>
      </c>
      <c r="C467" s="60" t="n"/>
      <c r="D467" s="60" t="n"/>
      <c r="E467" s="60" t="n"/>
      <c r="F467" s="60" t="n"/>
      <c r="G467" s="60" t="n"/>
      <c r="H467" s="60" t="n"/>
      <c r="I467" s="60" t="n"/>
      <c r="J467" s="60" t="n"/>
      <c r="K467" s="60" t="n"/>
      <c r="L467" s="60" t="n"/>
    </row>
    <row r="468" ht="21" customHeight="1">
      <c r="A468" s="59" t="n"/>
      <c r="B468" s="42">
        <f>'設定'!$I$23</f>
        <v/>
      </c>
      <c r="C468" s="60" t="n"/>
      <c r="D468" s="60" t="n"/>
      <c r="E468" s="60" t="n"/>
      <c r="F468" s="60" t="n"/>
      <c r="G468" s="60" t="n"/>
      <c r="H468" s="60" t="n"/>
      <c r="I468" s="60" t="n"/>
      <c r="J468" s="60" t="n"/>
      <c r="K468" s="60" t="n"/>
      <c r="L468" s="60" t="n"/>
    </row>
    <row r="469" ht="21" customHeight="1">
      <c r="A469" s="59" t="n"/>
      <c r="B469" s="42">
        <f>'設定'!$I$24</f>
        <v/>
      </c>
      <c r="C469" s="60" t="n"/>
      <c r="D469" s="60" t="n"/>
      <c r="E469" s="60" t="n"/>
      <c r="F469" s="60" t="n"/>
      <c r="G469" s="60" t="n"/>
      <c r="H469" s="60" t="n"/>
      <c r="I469" s="60" t="n"/>
      <c r="J469" s="60" t="n"/>
      <c r="K469" s="60" t="n"/>
      <c r="L469" s="60" t="n"/>
    </row>
    <row r="470" ht="21" customHeight="1">
      <c r="A470" s="59" t="n"/>
      <c r="B470" s="42">
        <f>'設定'!$I$25</f>
        <v/>
      </c>
      <c r="C470" s="60" t="n"/>
      <c r="D470" s="60" t="n"/>
      <c r="E470" s="60" t="n"/>
      <c r="F470" s="60" t="n"/>
      <c r="G470" s="60" t="n"/>
      <c r="H470" s="60" t="n"/>
      <c r="I470" s="60" t="n"/>
      <c r="J470" s="60" t="n"/>
      <c r="K470" s="60" t="n"/>
      <c r="L470" s="60" t="n"/>
    </row>
    <row r="471" ht="21" customHeight="1">
      <c r="A471" s="59" t="n"/>
      <c r="B471" s="42">
        <f>'設定'!$I$26</f>
        <v/>
      </c>
      <c r="C471" s="60" t="n"/>
      <c r="D471" s="60" t="n"/>
      <c r="E471" s="60" t="n"/>
      <c r="F471" s="60" t="n"/>
      <c r="G471" s="60" t="n"/>
      <c r="H471" s="60" t="n"/>
      <c r="I471" s="60" t="n"/>
      <c r="J471" s="60" t="n"/>
      <c r="K471" s="60" t="n"/>
      <c r="L471" s="60" t="n"/>
    </row>
    <row r="472" ht="21" customHeight="1">
      <c r="A472" s="59" t="n"/>
      <c r="B472" s="42">
        <f>'設定'!$I$27</f>
        <v/>
      </c>
      <c r="C472" s="60" t="n"/>
      <c r="D472" s="60" t="n"/>
      <c r="E472" s="60" t="n"/>
      <c r="F472" s="60" t="n"/>
      <c r="G472" s="60" t="n"/>
      <c r="H472" s="60" t="n"/>
      <c r="I472" s="60" t="n"/>
      <c r="J472" s="60" t="n"/>
      <c r="K472" s="60" t="n"/>
      <c r="L472" s="60" t="n"/>
    </row>
    <row r="473" ht="21" customHeight="1">
      <c r="A473" s="59" t="n"/>
      <c r="B473" s="42">
        <f>'設定'!$I$28</f>
        <v/>
      </c>
      <c r="C473" s="60" t="n"/>
      <c r="D473" s="60" t="n"/>
      <c r="E473" s="60" t="n"/>
      <c r="F473" s="60" t="n"/>
      <c r="G473" s="60" t="n"/>
      <c r="H473" s="60" t="n"/>
      <c r="I473" s="60" t="n"/>
      <c r="J473" s="60" t="n"/>
      <c r="K473" s="60" t="n"/>
      <c r="L473" s="60" t="n"/>
    </row>
    <row r="474" ht="21" customHeight="1">
      <c r="A474" s="59" t="n"/>
      <c r="B474" s="42">
        <f>'設定'!$I$29</f>
        <v/>
      </c>
      <c r="C474" s="60" t="n"/>
      <c r="D474" s="60" t="n"/>
      <c r="E474" s="60" t="n"/>
      <c r="F474" s="60" t="n"/>
      <c r="G474" s="60" t="n"/>
      <c r="H474" s="60" t="n"/>
      <c r="I474" s="60" t="n"/>
      <c r="J474" s="60" t="n"/>
      <c r="K474" s="60" t="n"/>
      <c r="L474" s="60" t="n"/>
    </row>
    <row r="475" ht="21" customHeight="1">
      <c r="A475" s="59" t="n"/>
      <c r="B475" s="42">
        <f>'設定'!$I$30</f>
        <v/>
      </c>
      <c r="C475" s="60" t="n"/>
      <c r="D475" s="60" t="n"/>
      <c r="E475" s="60" t="n"/>
      <c r="F475" s="60" t="n"/>
      <c r="G475" s="60" t="n"/>
      <c r="H475" s="60" t="n"/>
      <c r="I475" s="60" t="n"/>
      <c r="J475" s="60" t="n"/>
      <c r="K475" s="60" t="n"/>
      <c r="L475" s="60" t="n"/>
    </row>
    <row r="476" ht="21" customHeight="1">
      <c r="A476" s="59" t="n"/>
      <c r="B476" s="42">
        <f>'設定'!$I$31</f>
        <v/>
      </c>
      <c r="C476" s="60" t="n"/>
      <c r="D476" s="60" t="n"/>
      <c r="E476" s="60" t="n"/>
      <c r="F476" s="60" t="n"/>
      <c r="G476" s="60" t="n"/>
      <c r="H476" s="60" t="n"/>
      <c r="I476" s="60" t="n"/>
      <c r="J476" s="60" t="n"/>
      <c r="K476" s="60" t="n"/>
      <c r="L476" s="60" t="n"/>
    </row>
    <row r="477" ht="21" customHeight="1">
      <c r="A477" s="59" t="n"/>
      <c r="B477" s="42">
        <f>'設定'!$I$32</f>
        <v/>
      </c>
      <c r="C477" s="60" t="n"/>
      <c r="D477" s="60" t="n"/>
      <c r="E477" s="60" t="n"/>
      <c r="F477" s="60" t="n"/>
      <c r="G477" s="60" t="n"/>
      <c r="H477" s="60" t="n"/>
      <c r="I477" s="60" t="n"/>
      <c r="J477" s="60" t="n"/>
      <c r="K477" s="60" t="n"/>
      <c r="L477" s="60" t="n"/>
    </row>
    <row r="478" ht="21" customHeight="1">
      <c r="A478" s="59" t="n"/>
      <c r="B478" s="42">
        <f>'設定'!$I$33</f>
        <v/>
      </c>
      <c r="C478" s="60" t="n"/>
      <c r="D478" s="60" t="n"/>
      <c r="E478" s="60" t="n"/>
      <c r="F478" s="60" t="n"/>
      <c r="G478" s="60" t="n"/>
      <c r="H478" s="60" t="n"/>
      <c r="I478" s="60" t="n"/>
      <c r="J478" s="60" t="n"/>
      <c r="K478" s="60" t="n"/>
      <c r="L478" s="60" t="n"/>
    </row>
    <row r="479" ht="21" customHeight="1">
      <c r="A479" s="59" t="n"/>
      <c r="B479" s="42">
        <f>'設定'!$I$34</f>
        <v/>
      </c>
      <c r="C479" s="60" t="n"/>
      <c r="D479" s="60" t="n"/>
      <c r="E479" s="60" t="n"/>
      <c r="F479" s="60" t="n"/>
      <c r="G479" s="60" t="n"/>
      <c r="H479" s="60" t="n"/>
      <c r="I479" s="60" t="n"/>
      <c r="J479" s="60" t="n"/>
      <c r="K479" s="60" t="n"/>
      <c r="L479" s="60" t="n"/>
    </row>
    <row r="480"/>
    <row r="481" ht="26" customHeight="1">
      <c r="B481" s="53">
        <f>IF('名簿'!B22="","（名簿 18行目：なし）",'名簿'!G22)</f>
        <v/>
      </c>
      <c r="C481" s="4" t="n"/>
      <c r="D481" s="4" t="n"/>
      <c r="E481" s="54" t="inlineStr">
        <is>
          <t>提出状況 ▶</t>
        </is>
      </c>
      <c r="F481" s="38" t="n"/>
      <c r="G481" s="29" t="n"/>
      <c r="H481" s="55" t="inlineStr">
        <is>
          <t>状況：</t>
        </is>
      </c>
      <c r="I481" s="56">
        <f>'名簿'!H22</f>
        <v/>
      </c>
      <c r="J481" s="55" t="inlineStr">
        <is>
          <t>×の数：</t>
        </is>
      </c>
      <c r="K481" s="57">
        <f>'名簿'!I22</f>
        <v/>
      </c>
      <c r="L481" s="58">
        <f>HYPERLINK("#'×入力'!B509","次の人へ ▼")</f>
        <v/>
      </c>
    </row>
    <row r="482" ht="22" customHeight="1">
      <c r="A482" s="30" t="inlineStr">
        <is>
          <t>この日全部 ▶</t>
        </is>
      </c>
      <c r="C482" s="59" t="n"/>
      <c r="D482" s="59" t="n"/>
      <c r="E482" s="59" t="n"/>
      <c r="F482" s="59" t="n"/>
      <c r="G482" s="59" t="n"/>
      <c r="H482" s="59" t="n"/>
      <c r="I482" s="59" t="n"/>
      <c r="J482" s="59" t="n"/>
      <c r="K482" s="59" t="n"/>
      <c r="L482" s="59" t="n"/>
    </row>
    <row r="483" ht="28" customHeight="1">
      <c r="A483" s="33" t="inlineStr">
        <is>
          <t>この時間
全部 ▼</t>
        </is>
      </c>
      <c r="B483" s="34" t="inlineStr"/>
      <c r="C483" s="35">
        <f>'設定'!$E$11</f>
        <v/>
      </c>
      <c r="D483" s="35">
        <f>'設定'!$E$12</f>
        <v/>
      </c>
      <c r="E483" s="35">
        <f>'設定'!$E$13</f>
        <v/>
      </c>
      <c r="F483" s="35">
        <f>'設定'!$E$14</f>
        <v/>
      </c>
      <c r="G483" s="35">
        <f>'設定'!$E$15</f>
        <v/>
      </c>
      <c r="H483" s="35">
        <f>'設定'!$E$16</f>
        <v/>
      </c>
      <c r="I483" s="35">
        <f>'設定'!$E$17</f>
        <v/>
      </c>
      <c r="J483" s="35">
        <f>'設定'!$E$18</f>
        <v/>
      </c>
      <c r="K483" s="35">
        <f>'設定'!$E$19</f>
        <v/>
      </c>
      <c r="L483" s="35">
        <f>'設定'!$E$20</f>
        <v/>
      </c>
    </row>
    <row r="484" ht="21" customHeight="1">
      <c r="A484" s="59" t="n"/>
      <c r="B484" s="42">
        <f>'設定'!$I$11</f>
        <v/>
      </c>
      <c r="C484" s="60" t="n"/>
      <c r="D484" s="60" t="n"/>
      <c r="E484" s="60" t="n"/>
      <c r="F484" s="60" t="n"/>
      <c r="G484" s="60" t="n"/>
      <c r="H484" s="60" t="n"/>
      <c r="I484" s="60" t="n"/>
      <c r="J484" s="60" t="n"/>
      <c r="K484" s="60" t="n"/>
      <c r="L484" s="60" t="n"/>
    </row>
    <row r="485" ht="21" customHeight="1">
      <c r="A485" s="59" t="n"/>
      <c r="B485" s="42">
        <f>'設定'!$I$12</f>
        <v/>
      </c>
      <c r="C485" s="60" t="n"/>
      <c r="D485" s="60" t="n"/>
      <c r="E485" s="60" t="n"/>
      <c r="F485" s="60" t="n"/>
      <c r="G485" s="60" t="n"/>
      <c r="H485" s="60" t="n"/>
      <c r="I485" s="60" t="n"/>
      <c r="J485" s="60" t="n"/>
      <c r="K485" s="60" t="n"/>
      <c r="L485" s="60" t="n"/>
    </row>
    <row r="486" ht="21" customHeight="1">
      <c r="A486" s="59" t="n"/>
      <c r="B486" s="42">
        <f>'設定'!$I$13</f>
        <v/>
      </c>
      <c r="C486" s="60" t="n"/>
      <c r="D486" s="60" t="n"/>
      <c r="E486" s="60" t="n"/>
      <c r="F486" s="60" t="n"/>
      <c r="G486" s="60" t="n"/>
      <c r="H486" s="60" t="n"/>
      <c r="I486" s="60" t="n"/>
      <c r="J486" s="60" t="n"/>
      <c r="K486" s="60" t="n"/>
      <c r="L486" s="60" t="n"/>
    </row>
    <row r="487" ht="21" customHeight="1">
      <c r="A487" s="59" t="n"/>
      <c r="B487" s="42">
        <f>'設定'!$I$14</f>
        <v/>
      </c>
      <c r="C487" s="60" t="n"/>
      <c r="D487" s="60" t="n"/>
      <c r="E487" s="60" t="n"/>
      <c r="F487" s="60" t="n"/>
      <c r="G487" s="60" t="n"/>
      <c r="H487" s="60" t="n"/>
      <c r="I487" s="60" t="n"/>
      <c r="J487" s="60" t="n"/>
      <c r="K487" s="60" t="n"/>
      <c r="L487" s="60" t="n"/>
    </row>
    <row r="488" ht="21" customHeight="1">
      <c r="A488" s="59" t="n"/>
      <c r="B488" s="42">
        <f>'設定'!$I$15</f>
        <v/>
      </c>
      <c r="C488" s="60" t="n"/>
      <c r="D488" s="60" t="n"/>
      <c r="E488" s="60" t="n"/>
      <c r="F488" s="60" t="n"/>
      <c r="G488" s="60" t="n"/>
      <c r="H488" s="60" t="n"/>
      <c r="I488" s="60" t="n"/>
      <c r="J488" s="60" t="n"/>
      <c r="K488" s="60" t="n"/>
      <c r="L488" s="60" t="n"/>
    </row>
    <row r="489" ht="21" customHeight="1">
      <c r="A489" s="59" t="n"/>
      <c r="B489" s="42">
        <f>'設定'!$I$16</f>
        <v/>
      </c>
      <c r="C489" s="60" t="n"/>
      <c r="D489" s="60" t="n"/>
      <c r="E489" s="60" t="n"/>
      <c r="F489" s="60" t="n"/>
      <c r="G489" s="60" t="n"/>
      <c r="H489" s="60" t="n"/>
      <c r="I489" s="60" t="n"/>
      <c r="J489" s="60" t="n"/>
      <c r="K489" s="60" t="n"/>
      <c r="L489" s="60" t="n"/>
    </row>
    <row r="490" ht="21" customHeight="1">
      <c r="A490" s="59" t="n"/>
      <c r="B490" s="42">
        <f>'設定'!$I$17</f>
        <v/>
      </c>
      <c r="C490" s="60" t="n"/>
      <c r="D490" s="60" t="n"/>
      <c r="E490" s="60" t="n"/>
      <c r="F490" s="60" t="n"/>
      <c r="G490" s="60" t="n"/>
      <c r="H490" s="60" t="n"/>
      <c r="I490" s="60" t="n"/>
      <c r="J490" s="60" t="n"/>
      <c r="K490" s="60" t="n"/>
      <c r="L490" s="60" t="n"/>
    </row>
    <row r="491" ht="21" customHeight="1">
      <c r="A491" s="59" t="n"/>
      <c r="B491" s="42">
        <f>'設定'!$I$18</f>
        <v/>
      </c>
      <c r="C491" s="60" t="n"/>
      <c r="D491" s="60" t="n"/>
      <c r="E491" s="60" t="n"/>
      <c r="F491" s="60" t="n"/>
      <c r="G491" s="60" t="n"/>
      <c r="H491" s="60" t="n"/>
      <c r="I491" s="60" t="n"/>
      <c r="J491" s="60" t="n"/>
      <c r="K491" s="60" t="n"/>
      <c r="L491" s="60" t="n"/>
    </row>
    <row r="492" ht="21" customHeight="1">
      <c r="A492" s="59" t="n"/>
      <c r="B492" s="42">
        <f>'設定'!$I$19</f>
        <v/>
      </c>
      <c r="C492" s="60" t="n"/>
      <c r="D492" s="60" t="n"/>
      <c r="E492" s="60" t="n"/>
      <c r="F492" s="60" t="n"/>
      <c r="G492" s="60" t="n"/>
      <c r="H492" s="60" t="n"/>
      <c r="I492" s="60" t="n"/>
      <c r="J492" s="60" t="n"/>
      <c r="K492" s="60" t="n"/>
      <c r="L492" s="60" t="n"/>
    </row>
    <row r="493" ht="21" customHeight="1">
      <c r="A493" s="59" t="n"/>
      <c r="B493" s="42">
        <f>'設定'!$I$20</f>
        <v/>
      </c>
      <c r="C493" s="60" t="n"/>
      <c r="D493" s="60" t="n"/>
      <c r="E493" s="60" t="n"/>
      <c r="F493" s="60" t="n"/>
      <c r="G493" s="60" t="n"/>
      <c r="H493" s="60" t="n"/>
      <c r="I493" s="60" t="n"/>
      <c r="J493" s="60" t="n"/>
      <c r="K493" s="60" t="n"/>
      <c r="L493" s="60" t="n"/>
    </row>
    <row r="494" ht="21" customHeight="1">
      <c r="A494" s="59" t="n"/>
      <c r="B494" s="42">
        <f>'設定'!$I$21</f>
        <v/>
      </c>
      <c r="C494" s="60" t="n"/>
      <c r="D494" s="60" t="n"/>
      <c r="E494" s="60" t="n"/>
      <c r="F494" s="60" t="n"/>
      <c r="G494" s="60" t="n"/>
      <c r="H494" s="60" t="n"/>
      <c r="I494" s="60" t="n"/>
      <c r="J494" s="60" t="n"/>
      <c r="K494" s="60" t="n"/>
      <c r="L494" s="60" t="n"/>
    </row>
    <row r="495" ht="21" customHeight="1">
      <c r="A495" s="59" t="n"/>
      <c r="B495" s="42">
        <f>'設定'!$I$22</f>
        <v/>
      </c>
      <c r="C495" s="60" t="n"/>
      <c r="D495" s="60" t="n"/>
      <c r="E495" s="60" t="n"/>
      <c r="F495" s="60" t="n"/>
      <c r="G495" s="60" t="n"/>
      <c r="H495" s="60" t="n"/>
      <c r="I495" s="60" t="n"/>
      <c r="J495" s="60" t="n"/>
      <c r="K495" s="60" t="n"/>
      <c r="L495" s="60" t="n"/>
    </row>
    <row r="496" ht="21" customHeight="1">
      <c r="A496" s="59" t="n"/>
      <c r="B496" s="42">
        <f>'設定'!$I$23</f>
        <v/>
      </c>
      <c r="C496" s="60" t="n"/>
      <c r="D496" s="60" t="n"/>
      <c r="E496" s="60" t="n"/>
      <c r="F496" s="60" t="n"/>
      <c r="G496" s="60" t="n"/>
      <c r="H496" s="60" t="n"/>
      <c r="I496" s="60" t="n"/>
      <c r="J496" s="60" t="n"/>
      <c r="K496" s="60" t="n"/>
      <c r="L496" s="60" t="n"/>
    </row>
    <row r="497" ht="21" customHeight="1">
      <c r="A497" s="59" t="n"/>
      <c r="B497" s="42">
        <f>'設定'!$I$24</f>
        <v/>
      </c>
      <c r="C497" s="60" t="n"/>
      <c r="D497" s="60" t="n"/>
      <c r="E497" s="60" t="n"/>
      <c r="F497" s="60" t="n"/>
      <c r="G497" s="60" t="n"/>
      <c r="H497" s="60" t="n"/>
      <c r="I497" s="60" t="n"/>
      <c r="J497" s="60" t="n"/>
      <c r="K497" s="60" t="n"/>
      <c r="L497" s="60" t="n"/>
    </row>
    <row r="498" ht="21" customHeight="1">
      <c r="A498" s="59" t="n"/>
      <c r="B498" s="42">
        <f>'設定'!$I$25</f>
        <v/>
      </c>
      <c r="C498" s="60" t="n"/>
      <c r="D498" s="60" t="n"/>
      <c r="E498" s="60" t="n"/>
      <c r="F498" s="60" t="n"/>
      <c r="G498" s="60" t="n"/>
      <c r="H498" s="60" t="n"/>
      <c r="I498" s="60" t="n"/>
      <c r="J498" s="60" t="n"/>
      <c r="K498" s="60" t="n"/>
      <c r="L498" s="60" t="n"/>
    </row>
    <row r="499" ht="21" customHeight="1">
      <c r="A499" s="59" t="n"/>
      <c r="B499" s="42">
        <f>'設定'!$I$26</f>
        <v/>
      </c>
      <c r="C499" s="60" t="n"/>
      <c r="D499" s="60" t="n"/>
      <c r="E499" s="60" t="n"/>
      <c r="F499" s="60" t="n"/>
      <c r="G499" s="60" t="n"/>
      <c r="H499" s="60" t="n"/>
      <c r="I499" s="60" t="n"/>
      <c r="J499" s="60" t="n"/>
      <c r="K499" s="60" t="n"/>
      <c r="L499" s="60" t="n"/>
    </row>
    <row r="500" ht="21" customHeight="1">
      <c r="A500" s="59" t="n"/>
      <c r="B500" s="42">
        <f>'設定'!$I$27</f>
        <v/>
      </c>
      <c r="C500" s="60" t="n"/>
      <c r="D500" s="60" t="n"/>
      <c r="E500" s="60" t="n"/>
      <c r="F500" s="60" t="n"/>
      <c r="G500" s="60" t="n"/>
      <c r="H500" s="60" t="n"/>
      <c r="I500" s="60" t="n"/>
      <c r="J500" s="60" t="n"/>
      <c r="K500" s="60" t="n"/>
      <c r="L500" s="60" t="n"/>
    </row>
    <row r="501" ht="21" customHeight="1">
      <c r="A501" s="59" t="n"/>
      <c r="B501" s="42">
        <f>'設定'!$I$28</f>
        <v/>
      </c>
      <c r="C501" s="60" t="n"/>
      <c r="D501" s="60" t="n"/>
      <c r="E501" s="60" t="n"/>
      <c r="F501" s="60" t="n"/>
      <c r="G501" s="60" t="n"/>
      <c r="H501" s="60" t="n"/>
      <c r="I501" s="60" t="n"/>
      <c r="J501" s="60" t="n"/>
      <c r="K501" s="60" t="n"/>
      <c r="L501" s="60" t="n"/>
    </row>
    <row r="502" ht="21" customHeight="1">
      <c r="A502" s="59" t="n"/>
      <c r="B502" s="42">
        <f>'設定'!$I$29</f>
        <v/>
      </c>
      <c r="C502" s="60" t="n"/>
      <c r="D502" s="60" t="n"/>
      <c r="E502" s="60" t="n"/>
      <c r="F502" s="60" t="n"/>
      <c r="G502" s="60" t="n"/>
      <c r="H502" s="60" t="n"/>
      <c r="I502" s="60" t="n"/>
      <c r="J502" s="60" t="n"/>
      <c r="K502" s="60" t="n"/>
      <c r="L502" s="60" t="n"/>
    </row>
    <row r="503" ht="21" customHeight="1">
      <c r="A503" s="59" t="n"/>
      <c r="B503" s="42">
        <f>'設定'!$I$30</f>
        <v/>
      </c>
      <c r="C503" s="60" t="n"/>
      <c r="D503" s="60" t="n"/>
      <c r="E503" s="60" t="n"/>
      <c r="F503" s="60" t="n"/>
      <c r="G503" s="60" t="n"/>
      <c r="H503" s="60" t="n"/>
      <c r="I503" s="60" t="n"/>
      <c r="J503" s="60" t="n"/>
      <c r="K503" s="60" t="n"/>
      <c r="L503" s="60" t="n"/>
    </row>
    <row r="504" ht="21" customHeight="1">
      <c r="A504" s="59" t="n"/>
      <c r="B504" s="42">
        <f>'設定'!$I$31</f>
        <v/>
      </c>
      <c r="C504" s="60" t="n"/>
      <c r="D504" s="60" t="n"/>
      <c r="E504" s="60" t="n"/>
      <c r="F504" s="60" t="n"/>
      <c r="G504" s="60" t="n"/>
      <c r="H504" s="60" t="n"/>
      <c r="I504" s="60" t="n"/>
      <c r="J504" s="60" t="n"/>
      <c r="K504" s="60" t="n"/>
      <c r="L504" s="60" t="n"/>
    </row>
    <row r="505" ht="21" customHeight="1">
      <c r="A505" s="59" t="n"/>
      <c r="B505" s="42">
        <f>'設定'!$I$32</f>
        <v/>
      </c>
      <c r="C505" s="60" t="n"/>
      <c r="D505" s="60" t="n"/>
      <c r="E505" s="60" t="n"/>
      <c r="F505" s="60" t="n"/>
      <c r="G505" s="60" t="n"/>
      <c r="H505" s="60" t="n"/>
      <c r="I505" s="60" t="n"/>
      <c r="J505" s="60" t="n"/>
      <c r="K505" s="60" t="n"/>
      <c r="L505" s="60" t="n"/>
    </row>
    <row r="506" ht="21" customHeight="1">
      <c r="A506" s="59" t="n"/>
      <c r="B506" s="42">
        <f>'設定'!$I$33</f>
        <v/>
      </c>
      <c r="C506" s="60" t="n"/>
      <c r="D506" s="60" t="n"/>
      <c r="E506" s="60" t="n"/>
      <c r="F506" s="60" t="n"/>
      <c r="G506" s="60" t="n"/>
      <c r="H506" s="60" t="n"/>
      <c r="I506" s="60" t="n"/>
      <c r="J506" s="60" t="n"/>
      <c r="K506" s="60" t="n"/>
      <c r="L506" s="60" t="n"/>
    </row>
    <row r="507" ht="21" customHeight="1">
      <c r="A507" s="59" t="n"/>
      <c r="B507" s="42">
        <f>'設定'!$I$34</f>
        <v/>
      </c>
      <c r="C507" s="60" t="n"/>
      <c r="D507" s="60" t="n"/>
      <c r="E507" s="60" t="n"/>
      <c r="F507" s="60" t="n"/>
      <c r="G507" s="60" t="n"/>
      <c r="H507" s="60" t="n"/>
      <c r="I507" s="60" t="n"/>
      <c r="J507" s="60" t="n"/>
      <c r="K507" s="60" t="n"/>
      <c r="L507" s="60" t="n"/>
    </row>
    <row r="508"/>
    <row r="509" ht="26" customHeight="1">
      <c r="B509" s="53">
        <f>IF('名簿'!B23="","（名簿 19行目：なし）",'名簿'!G23)</f>
        <v/>
      </c>
      <c r="C509" s="4" t="n"/>
      <c r="D509" s="4" t="n"/>
      <c r="E509" s="54" t="inlineStr">
        <is>
          <t>提出状況 ▶</t>
        </is>
      </c>
      <c r="F509" s="38" t="n"/>
      <c r="G509" s="29" t="n"/>
      <c r="H509" s="55" t="inlineStr">
        <is>
          <t>状況：</t>
        </is>
      </c>
      <c r="I509" s="56">
        <f>'名簿'!H23</f>
        <v/>
      </c>
      <c r="J509" s="55" t="inlineStr">
        <is>
          <t>×の数：</t>
        </is>
      </c>
      <c r="K509" s="57">
        <f>'名簿'!I23</f>
        <v/>
      </c>
      <c r="L509" s="58">
        <f>HYPERLINK("#'×入力'!B537","次の人へ ▼")</f>
        <v/>
      </c>
    </row>
    <row r="510" ht="22" customHeight="1">
      <c r="A510" s="30" t="inlineStr">
        <is>
          <t>この日全部 ▶</t>
        </is>
      </c>
      <c r="C510" s="59" t="n"/>
      <c r="D510" s="59" t="n"/>
      <c r="E510" s="59" t="n"/>
      <c r="F510" s="59" t="n"/>
      <c r="G510" s="59" t="n"/>
      <c r="H510" s="59" t="n"/>
      <c r="I510" s="59" t="n"/>
      <c r="J510" s="59" t="n"/>
      <c r="K510" s="59" t="n"/>
      <c r="L510" s="59" t="n"/>
    </row>
    <row r="511" ht="28" customHeight="1">
      <c r="A511" s="33" t="inlineStr">
        <is>
          <t>この時間
全部 ▼</t>
        </is>
      </c>
      <c r="B511" s="34" t="inlineStr"/>
      <c r="C511" s="35">
        <f>'設定'!$E$11</f>
        <v/>
      </c>
      <c r="D511" s="35">
        <f>'設定'!$E$12</f>
        <v/>
      </c>
      <c r="E511" s="35">
        <f>'設定'!$E$13</f>
        <v/>
      </c>
      <c r="F511" s="35">
        <f>'設定'!$E$14</f>
        <v/>
      </c>
      <c r="G511" s="35">
        <f>'設定'!$E$15</f>
        <v/>
      </c>
      <c r="H511" s="35">
        <f>'設定'!$E$16</f>
        <v/>
      </c>
      <c r="I511" s="35">
        <f>'設定'!$E$17</f>
        <v/>
      </c>
      <c r="J511" s="35">
        <f>'設定'!$E$18</f>
        <v/>
      </c>
      <c r="K511" s="35">
        <f>'設定'!$E$19</f>
        <v/>
      </c>
      <c r="L511" s="35">
        <f>'設定'!$E$20</f>
        <v/>
      </c>
    </row>
    <row r="512" ht="21" customHeight="1">
      <c r="A512" s="59" t="n"/>
      <c r="B512" s="42">
        <f>'設定'!$I$11</f>
        <v/>
      </c>
      <c r="C512" s="60" t="n"/>
      <c r="D512" s="60" t="n"/>
      <c r="E512" s="60" t="n"/>
      <c r="F512" s="60" t="n"/>
      <c r="G512" s="60" t="n"/>
      <c r="H512" s="60" t="n"/>
      <c r="I512" s="60" t="n"/>
      <c r="J512" s="60" t="n"/>
      <c r="K512" s="60" t="n"/>
      <c r="L512" s="60" t="n"/>
    </row>
    <row r="513" ht="21" customHeight="1">
      <c r="A513" s="59" t="n"/>
      <c r="B513" s="42">
        <f>'設定'!$I$12</f>
        <v/>
      </c>
      <c r="C513" s="60" t="n"/>
      <c r="D513" s="60" t="n"/>
      <c r="E513" s="60" t="n"/>
      <c r="F513" s="60" t="n"/>
      <c r="G513" s="60" t="n"/>
      <c r="H513" s="60" t="n"/>
      <c r="I513" s="60" t="n"/>
      <c r="J513" s="60" t="n"/>
      <c r="K513" s="60" t="n"/>
      <c r="L513" s="60" t="n"/>
    </row>
    <row r="514" ht="21" customHeight="1">
      <c r="A514" s="59" t="n"/>
      <c r="B514" s="42">
        <f>'設定'!$I$13</f>
        <v/>
      </c>
      <c r="C514" s="60" t="n"/>
      <c r="D514" s="60" t="n"/>
      <c r="E514" s="60" t="n"/>
      <c r="F514" s="60" t="n"/>
      <c r="G514" s="60" t="n"/>
      <c r="H514" s="60" t="n"/>
      <c r="I514" s="60" t="n"/>
      <c r="J514" s="60" t="n"/>
      <c r="K514" s="60" t="n"/>
      <c r="L514" s="60" t="n"/>
    </row>
    <row r="515" ht="21" customHeight="1">
      <c r="A515" s="59" t="n"/>
      <c r="B515" s="42">
        <f>'設定'!$I$14</f>
        <v/>
      </c>
      <c r="C515" s="60" t="n"/>
      <c r="D515" s="60" t="n"/>
      <c r="E515" s="60" t="n"/>
      <c r="F515" s="60" t="n"/>
      <c r="G515" s="60" t="n"/>
      <c r="H515" s="60" t="n"/>
      <c r="I515" s="60" t="n"/>
      <c r="J515" s="60" t="n"/>
      <c r="K515" s="60" t="n"/>
      <c r="L515" s="60" t="n"/>
    </row>
    <row r="516" ht="21" customHeight="1">
      <c r="A516" s="59" t="n"/>
      <c r="B516" s="42">
        <f>'設定'!$I$15</f>
        <v/>
      </c>
      <c r="C516" s="60" t="n"/>
      <c r="D516" s="60" t="n"/>
      <c r="E516" s="60" t="n"/>
      <c r="F516" s="60" t="n"/>
      <c r="G516" s="60" t="n"/>
      <c r="H516" s="60" t="n"/>
      <c r="I516" s="60" t="n"/>
      <c r="J516" s="60" t="n"/>
      <c r="K516" s="60" t="n"/>
      <c r="L516" s="60" t="n"/>
    </row>
    <row r="517" ht="21" customHeight="1">
      <c r="A517" s="59" t="n"/>
      <c r="B517" s="42">
        <f>'設定'!$I$16</f>
        <v/>
      </c>
      <c r="C517" s="60" t="n"/>
      <c r="D517" s="60" t="n"/>
      <c r="E517" s="60" t="n"/>
      <c r="F517" s="60" t="n"/>
      <c r="G517" s="60" t="n"/>
      <c r="H517" s="60" t="n"/>
      <c r="I517" s="60" t="n"/>
      <c r="J517" s="60" t="n"/>
      <c r="K517" s="60" t="n"/>
      <c r="L517" s="60" t="n"/>
    </row>
    <row r="518" ht="21" customHeight="1">
      <c r="A518" s="59" t="n"/>
      <c r="B518" s="42">
        <f>'設定'!$I$17</f>
        <v/>
      </c>
      <c r="C518" s="60" t="n"/>
      <c r="D518" s="60" t="n"/>
      <c r="E518" s="60" t="n"/>
      <c r="F518" s="60" t="n"/>
      <c r="G518" s="60" t="n"/>
      <c r="H518" s="60" t="n"/>
      <c r="I518" s="60" t="n"/>
      <c r="J518" s="60" t="n"/>
      <c r="K518" s="60" t="n"/>
      <c r="L518" s="60" t="n"/>
    </row>
    <row r="519" ht="21" customHeight="1">
      <c r="A519" s="59" t="n"/>
      <c r="B519" s="42">
        <f>'設定'!$I$18</f>
        <v/>
      </c>
      <c r="C519" s="60" t="n"/>
      <c r="D519" s="60" t="n"/>
      <c r="E519" s="60" t="n"/>
      <c r="F519" s="60" t="n"/>
      <c r="G519" s="60" t="n"/>
      <c r="H519" s="60" t="n"/>
      <c r="I519" s="60" t="n"/>
      <c r="J519" s="60" t="n"/>
      <c r="K519" s="60" t="n"/>
      <c r="L519" s="60" t="n"/>
    </row>
    <row r="520" ht="21" customHeight="1">
      <c r="A520" s="59" t="n"/>
      <c r="B520" s="42">
        <f>'設定'!$I$19</f>
        <v/>
      </c>
      <c r="C520" s="60" t="n"/>
      <c r="D520" s="60" t="n"/>
      <c r="E520" s="60" t="n"/>
      <c r="F520" s="60" t="n"/>
      <c r="G520" s="60" t="n"/>
      <c r="H520" s="60" t="n"/>
      <c r="I520" s="60" t="n"/>
      <c r="J520" s="60" t="n"/>
      <c r="K520" s="60" t="n"/>
      <c r="L520" s="60" t="n"/>
    </row>
    <row r="521" ht="21" customHeight="1">
      <c r="A521" s="59" t="n"/>
      <c r="B521" s="42">
        <f>'設定'!$I$20</f>
        <v/>
      </c>
      <c r="C521" s="60" t="n"/>
      <c r="D521" s="60" t="n"/>
      <c r="E521" s="60" t="n"/>
      <c r="F521" s="60" t="n"/>
      <c r="G521" s="60" t="n"/>
      <c r="H521" s="60" t="n"/>
      <c r="I521" s="60" t="n"/>
      <c r="J521" s="60" t="n"/>
      <c r="K521" s="60" t="n"/>
      <c r="L521" s="60" t="n"/>
    </row>
    <row r="522" ht="21" customHeight="1">
      <c r="A522" s="59" t="n"/>
      <c r="B522" s="42">
        <f>'設定'!$I$21</f>
        <v/>
      </c>
      <c r="C522" s="60" t="n"/>
      <c r="D522" s="60" t="n"/>
      <c r="E522" s="60" t="n"/>
      <c r="F522" s="60" t="n"/>
      <c r="G522" s="60" t="n"/>
      <c r="H522" s="60" t="n"/>
      <c r="I522" s="60" t="n"/>
      <c r="J522" s="60" t="n"/>
      <c r="K522" s="60" t="n"/>
      <c r="L522" s="60" t="n"/>
    </row>
    <row r="523" ht="21" customHeight="1">
      <c r="A523" s="59" t="n"/>
      <c r="B523" s="42">
        <f>'設定'!$I$22</f>
        <v/>
      </c>
      <c r="C523" s="60" t="n"/>
      <c r="D523" s="60" t="n"/>
      <c r="E523" s="60" t="n"/>
      <c r="F523" s="60" t="n"/>
      <c r="G523" s="60" t="n"/>
      <c r="H523" s="60" t="n"/>
      <c r="I523" s="60" t="n"/>
      <c r="J523" s="60" t="n"/>
      <c r="K523" s="60" t="n"/>
      <c r="L523" s="60" t="n"/>
    </row>
    <row r="524" ht="21" customHeight="1">
      <c r="A524" s="59" t="n"/>
      <c r="B524" s="42">
        <f>'設定'!$I$23</f>
        <v/>
      </c>
      <c r="C524" s="60" t="n"/>
      <c r="D524" s="60" t="n"/>
      <c r="E524" s="60" t="n"/>
      <c r="F524" s="60" t="n"/>
      <c r="G524" s="60" t="n"/>
      <c r="H524" s="60" t="n"/>
      <c r="I524" s="60" t="n"/>
      <c r="J524" s="60" t="n"/>
      <c r="K524" s="60" t="n"/>
      <c r="L524" s="60" t="n"/>
    </row>
    <row r="525" ht="21" customHeight="1">
      <c r="A525" s="59" t="n"/>
      <c r="B525" s="42">
        <f>'設定'!$I$24</f>
        <v/>
      </c>
      <c r="C525" s="60" t="n"/>
      <c r="D525" s="60" t="n"/>
      <c r="E525" s="60" t="n"/>
      <c r="F525" s="60" t="n"/>
      <c r="G525" s="60" t="n"/>
      <c r="H525" s="60" t="n"/>
      <c r="I525" s="60" t="n"/>
      <c r="J525" s="60" t="n"/>
      <c r="K525" s="60" t="n"/>
      <c r="L525" s="60" t="n"/>
    </row>
    <row r="526" ht="21" customHeight="1">
      <c r="A526" s="59" t="n"/>
      <c r="B526" s="42">
        <f>'設定'!$I$25</f>
        <v/>
      </c>
      <c r="C526" s="60" t="n"/>
      <c r="D526" s="60" t="n"/>
      <c r="E526" s="60" t="n"/>
      <c r="F526" s="60" t="n"/>
      <c r="G526" s="60" t="n"/>
      <c r="H526" s="60" t="n"/>
      <c r="I526" s="60" t="n"/>
      <c r="J526" s="60" t="n"/>
      <c r="K526" s="60" t="n"/>
      <c r="L526" s="60" t="n"/>
    </row>
    <row r="527" ht="21" customHeight="1">
      <c r="A527" s="59" t="n"/>
      <c r="B527" s="42">
        <f>'設定'!$I$26</f>
        <v/>
      </c>
      <c r="C527" s="60" t="n"/>
      <c r="D527" s="60" t="n"/>
      <c r="E527" s="60" t="n"/>
      <c r="F527" s="60" t="n"/>
      <c r="G527" s="60" t="n"/>
      <c r="H527" s="60" t="n"/>
      <c r="I527" s="60" t="n"/>
      <c r="J527" s="60" t="n"/>
      <c r="K527" s="60" t="n"/>
      <c r="L527" s="60" t="n"/>
    </row>
    <row r="528" ht="21" customHeight="1">
      <c r="A528" s="59" t="n"/>
      <c r="B528" s="42">
        <f>'設定'!$I$27</f>
        <v/>
      </c>
      <c r="C528" s="60" t="n"/>
      <c r="D528" s="60" t="n"/>
      <c r="E528" s="60" t="n"/>
      <c r="F528" s="60" t="n"/>
      <c r="G528" s="60" t="n"/>
      <c r="H528" s="60" t="n"/>
      <c r="I528" s="60" t="n"/>
      <c r="J528" s="60" t="n"/>
      <c r="K528" s="60" t="n"/>
      <c r="L528" s="60" t="n"/>
    </row>
    <row r="529" ht="21" customHeight="1">
      <c r="A529" s="59" t="n"/>
      <c r="B529" s="42">
        <f>'設定'!$I$28</f>
        <v/>
      </c>
      <c r="C529" s="60" t="n"/>
      <c r="D529" s="60" t="n"/>
      <c r="E529" s="60" t="n"/>
      <c r="F529" s="60" t="n"/>
      <c r="G529" s="60" t="n"/>
      <c r="H529" s="60" t="n"/>
      <c r="I529" s="60" t="n"/>
      <c r="J529" s="60" t="n"/>
      <c r="K529" s="60" t="n"/>
      <c r="L529" s="60" t="n"/>
    </row>
    <row r="530" ht="21" customHeight="1">
      <c r="A530" s="59" t="n"/>
      <c r="B530" s="42">
        <f>'設定'!$I$29</f>
        <v/>
      </c>
      <c r="C530" s="60" t="n"/>
      <c r="D530" s="60" t="n"/>
      <c r="E530" s="60" t="n"/>
      <c r="F530" s="60" t="n"/>
      <c r="G530" s="60" t="n"/>
      <c r="H530" s="60" t="n"/>
      <c r="I530" s="60" t="n"/>
      <c r="J530" s="60" t="n"/>
      <c r="K530" s="60" t="n"/>
      <c r="L530" s="60" t="n"/>
    </row>
    <row r="531" ht="21" customHeight="1">
      <c r="A531" s="59" t="n"/>
      <c r="B531" s="42">
        <f>'設定'!$I$30</f>
        <v/>
      </c>
      <c r="C531" s="60" t="n"/>
      <c r="D531" s="60" t="n"/>
      <c r="E531" s="60" t="n"/>
      <c r="F531" s="60" t="n"/>
      <c r="G531" s="60" t="n"/>
      <c r="H531" s="60" t="n"/>
      <c r="I531" s="60" t="n"/>
      <c r="J531" s="60" t="n"/>
      <c r="K531" s="60" t="n"/>
      <c r="L531" s="60" t="n"/>
    </row>
    <row r="532" ht="21" customHeight="1">
      <c r="A532" s="59" t="n"/>
      <c r="B532" s="42">
        <f>'設定'!$I$31</f>
        <v/>
      </c>
      <c r="C532" s="60" t="n"/>
      <c r="D532" s="60" t="n"/>
      <c r="E532" s="60" t="n"/>
      <c r="F532" s="60" t="n"/>
      <c r="G532" s="60" t="n"/>
      <c r="H532" s="60" t="n"/>
      <c r="I532" s="60" t="n"/>
      <c r="J532" s="60" t="n"/>
      <c r="K532" s="60" t="n"/>
      <c r="L532" s="60" t="n"/>
    </row>
    <row r="533" ht="21" customHeight="1">
      <c r="A533" s="59" t="n"/>
      <c r="B533" s="42">
        <f>'設定'!$I$32</f>
        <v/>
      </c>
      <c r="C533" s="60" t="n"/>
      <c r="D533" s="60" t="n"/>
      <c r="E533" s="60" t="n"/>
      <c r="F533" s="60" t="n"/>
      <c r="G533" s="60" t="n"/>
      <c r="H533" s="60" t="n"/>
      <c r="I533" s="60" t="n"/>
      <c r="J533" s="60" t="n"/>
      <c r="K533" s="60" t="n"/>
      <c r="L533" s="60" t="n"/>
    </row>
    <row r="534" ht="21" customHeight="1">
      <c r="A534" s="59" t="n"/>
      <c r="B534" s="42">
        <f>'設定'!$I$33</f>
        <v/>
      </c>
      <c r="C534" s="60" t="n"/>
      <c r="D534" s="60" t="n"/>
      <c r="E534" s="60" t="n"/>
      <c r="F534" s="60" t="n"/>
      <c r="G534" s="60" t="n"/>
      <c r="H534" s="60" t="n"/>
      <c r="I534" s="60" t="n"/>
      <c r="J534" s="60" t="n"/>
      <c r="K534" s="60" t="n"/>
      <c r="L534" s="60" t="n"/>
    </row>
    <row r="535" ht="21" customHeight="1">
      <c r="A535" s="59" t="n"/>
      <c r="B535" s="42">
        <f>'設定'!$I$34</f>
        <v/>
      </c>
      <c r="C535" s="60" t="n"/>
      <c r="D535" s="60" t="n"/>
      <c r="E535" s="60" t="n"/>
      <c r="F535" s="60" t="n"/>
      <c r="G535" s="60" t="n"/>
      <c r="H535" s="60" t="n"/>
      <c r="I535" s="60" t="n"/>
      <c r="J535" s="60" t="n"/>
      <c r="K535" s="60" t="n"/>
      <c r="L535" s="60" t="n"/>
    </row>
    <row r="536"/>
    <row r="537" ht="26" customHeight="1">
      <c r="B537" s="53">
        <f>IF('名簿'!B24="","（名簿 20行目：なし）",'名簿'!G24)</f>
        <v/>
      </c>
      <c r="C537" s="4" t="n"/>
      <c r="D537" s="4" t="n"/>
      <c r="E537" s="54" t="inlineStr">
        <is>
          <t>提出状況 ▶</t>
        </is>
      </c>
      <c r="F537" s="38" t="n"/>
      <c r="G537" s="29" t="n"/>
      <c r="H537" s="55" t="inlineStr">
        <is>
          <t>状況：</t>
        </is>
      </c>
      <c r="I537" s="56">
        <f>'名簿'!H24</f>
        <v/>
      </c>
      <c r="J537" s="55" t="inlineStr">
        <is>
          <t>×の数：</t>
        </is>
      </c>
      <c r="K537" s="57">
        <f>'名簿'!I24</f>
        <v/>
      </c>
      <c r="L537" s="58">
        <f>HYPERLINK("#'×入力'!B565","次の人へ ▼")</f>
        <v/>
      </c>
    </row>
    <row r="538" ht="22" customHeight="1">
      <c r="A538" s="30" t="inlineStr">
        <is>
          <t>この日全部 ▶</t>
        </is>
      </c>
      <c r="C538" s="59" t="n"/>
      <c r="D538" s="59" t="n"/>
      <c r="E538" s="59" t="n"/>
      <c r="F538" s="59" t="n"/>
      <c r="G538" s="59" t="n"/>
      <c r="H538" s="59" t="n"/>
      <c r="I538" s="59" t="n"/>
      <c r="J538" s="59" t="n"/>
      <c r="K538" s="59" t="n"/>
      <c r="L538" s="59" t="n"/>
    </row>
    <row r="539" ht="28" customHeight="1">
      <c r="A539" s="33" t="inlineStr">
        <is>
          <t>この時間
全部 ▼</t>
        </is>
      </c>
      <c r="B539" s="34" t="inlineStr"/>
      <c r="C539" s="35">
        <f>'設定'!$E$11</f>
        <v/>
      </c>
      <c r="D539" s="35">
        <f>'設定'!$E$12</f>
        <v/>
      </c>
      <c r="E539" s="35">
        <f>'設定'!$E$13</f>
        <v/>
      </c>
      <c r="F539" s="35">
        <f>'設定'!$E$14</f>
        <v/>
      </c>
      <c r="G539" s="35">
        <f>'設定'!$E$15</f>
        <v/>
      </c>
      <c r="H539" s="35">
        <f>'設定'!$E$16</f>
        <v/>
      </c>
      <c r="I539" s="35">
        <f>'設定'!$E$17</f>
        <v/>
      </c>
      <c r="J539" s="35">
        <f>'設定'!$E$18</f>
        <v/>
      </c>
      <c r="K539" s="35">
        <f>'設定'!$E$19</f>
        <v/>
      </c>
      <c r="L539" s="35">
        <f>'設定'!$E$20</f>
        <v/>
      </c>
    </row>
    <row r="540" ht="21" customHeight="1">
      <c r="A540" s="59" t="n"/>
      <c r="B540" s="42">
        <f>'設定'!$I$11</f>
        <v/>
      </c>
      <c r="C540" s="60" t="n"/>
      <c r="D540" s="60" t="n"/>
      <c r="E540" s="60" t="n"/>
      <c r="F540" s="60" t="n"/>
      <c r="G540" s="60" t="n"/>
      <c r="H540" s="60" t="n"/>
      <c r="I540" s="60" t="n"/>
      <c r="J540" s="60" t="n"/>
      <c r="K540" s="60" t="n"/>
      <c r="L540" s="60" t="n"/>
    </row>
    <row r="541" ht="21" customHeight="1">
      <c r="A541" s="59" t="n"/>
      <c r="B541" s="42">
        <f>'設定'!$I$12</f>
        <v/>
      </c>
      <c r="C541" s="60" t="n"/>
      <c r="D541" s="60" t="n"/>
      <c r="E541" s="60" t="n"/>
      <c r="F541" s="60" t="n"/>
      <c r="G541" s="60" t="n"/>
      <c r="H541" s="60" t="n"/>
      <c r="I541" s="60" t="n"/>
      <c r="J541" s="60" t="n"/>
      <c r="K541" s="60" t="n"/>
      <c r="L541" s="60" t="n"/>
    </row>
    <row r="542" ht="21" customHeight="1">
      <c r="A542" s="59" t="n"/>
      <c r="B542" s="42">
        <f>'設定'!$I$13</f>
        <v/>
      </c>
      <c r="C542" s="60" t="n"/>
      <c r="D542" s="60" t="n"/>
      <c r="E542" s="60" t="n"/>
      <c r="F542" s="60" t="n"/>
      <c r="G542" s="60" t="n"/>
      <c r="H542" s="60" t="n"/>
      <c r="I542" s="60" t="n"/>
      <c r="J542" s="60" t="n"/>
      <c r="K542" s="60" t="n"/>
      <c r="L542" s="60" t="n"/>
    </row>
    <row r="543" ht="21" customHeight="1">
      <c r="A543" s="59" t="n"/>
      <c r="B543" s="42">
        <f>'設定'!$I$14</f>
        <v/>
      </c>
      <c r="C543" s="60" t="n"/>
      <c r="D543" s="60" t="n"/>
      <c r="E543" s="60" t="n"/>
      <c r="F543" s="60" t="n"/>
      <c r="G543" s="60" t="n"/>
      <c r="H543" s="60" t="n"/>
      <c r="I543" s="60" t="n"/>
      <c r="J543" s="60" t="n"/>
      <c r="K543" s="60" t="n"/>
      <c r="L543" s="60" t="n"/>
    </row>
    <row r="544" ht="21" customHeight="1">
      <c r="A544" s="59" t="n"/>
      <c r="B544" s="42">
        <f>'設定'!$I$15</f>
        <v/>
      </c>
      <c r="C544" s="60" t="n"/>
      <c r="D544" s="60" t="n"/>
      <c r="E544" s="60" t="n"/>
      <c r="F544" s="60" t="n"/>
      <c r="G544" s="60" t="n"/>
      <c r="H544" s="60" t="n"/>
      <c r="I544" s="60" t="n"/>
      <c r="J544" s="60" t="n"/>
      <c r="K544" s="60" t="n"/>
      <c r="L544" s="60" t="n"/>
    </row>
    <row r="545" ht="21" customHeight="1">
      <c r="A545" s="59" t="n"/>
      <c r="B545" s="42">
        <f>'設定'!$I$16</f>
        <v/>
      </c>
      <c r="C545" s="60" t="n"/>
      <c r="D545" s="60" t="n"/>
      <c r="E545" s="60" t="n"/>
      <c r="F545" s="60" t="n"/>
      <c r="G545" s="60" t="n"/>
      <c r="H545" s="60" t="n"/>
      <c r="I545" s="60" t="n"/>
      <c r="J545" s="60" t="n"/>
      <c r="K545" s="60" t="n"/>
      <c r="L545" s="60" t="n"/>
    </row>
    <row r="546" ht="21" customHeight="1">
      <c r="A546" s="59" t="n"/>
      <c r="B546" s="42">
        <f>'設定'!$I$17</f>
        <v/>
      </c>
      <c r="C546" s="60" t="n"/>
      <c r="D546" s="60" t="n"/>
      <c r="E546" s="60" t="n"/>
      <c r="F546" s="60" t="n"/>
      <c r="G546" s="60" t="n"/>
      <c r="H546" s="60" t="n"/>
      <c r="I546" s="60" t="n"/>
      <c r="J546" s="60" t="n"/>
      <c r="K546" s="60" t="n"/>
      <c r="L546" s="60" t="n"/>
    </row>
    <row r="547" ht="21" customHeight="1">
      <c r="A547" s="59" t="n"/>
      <c r="B547" s="42">
        <f>'設定'!$I$18</f>
        <v/>
      </c>
      <c r="C547" s="60" t="n"/>
      <c r="D547" s="60" t="n"/>
      <c r="E547" s="60" t="n"/>
      <c r="F547" s="60" t="n"/>
      <c r="G547" s="60" t="n"/>
      <c r="H547" s="60" t="n"/>
      <c r="I547" s="60" t="n"/>
      <c r="J547" s="60" t="n"/>
      <c r="K547" s="60" t="n"/>
      <c r="L547" s="60" t="n"/>
    </row>
    <row r="548" ht="21" customHeight="1">
      <c r="A548" s="59" t="n"/>
      <c r="B548" s="42">
        <f>'設定'!$I$19</f>
        <v/>
      </c>
      <c r="C548" s="60" t="n"/>
      <c r="D548" s="60" t="n"/>
      <c r="E548" s="60" t="n"/>
      <c r="F548" s="60" t="n"/>
      <c r="G548" s="60" t="n"/>
      <c r="H548" s="60" t="n"/>
      <c r="I548" s="60" t="n"/>
      <c r="J548" s="60" t="n"/>
      <c r="K548" s="60" t="n"/>
      <c r="L548" s="60" t="n"/>
    </row>
    <row r="549" ht="21" customHeight="1">
      <c r="A549" s="59" t="n"/>
      <c r="B549" s="42">
        <f>'設定'!$I$20</f>
        <v/>
      </c>
      <c r="C549" s="60" t="n"/>
      <c r="D549" s="60" t="n"/>
      <c r="E549" s="60" t="n"/>
      <c r="F549" s="60" t="n"/>
      <c r="G549" s="60" t="n"/>
      <c r="H549" s="60" t="n"/>
      <c r="I549" s="60" t="n"/>
      <c r="J549" s="60" t="n"/>
      <c r="K549" s="60" t="n"/>
      <c r="L549" s="60" t="n"/>
    </row>
    <row r="550" ht="21" customHeight="1">
      <c r="A550" s="59" t="n"/>
      <c r="B550" s="42">
        <f>'設定'!$I$21</f>
        <v/>
      </c>
      <c r="C550" s="60" t="n"/>
      <c r="D550" s="60" t="n"/>
      <c r="E550" s="60" t="n"/>
      <c r="F550" s="60" t="n"/>
      <c r="G550" s="60" t="n"/>
      <c r="H550" s="60" t="n"/>
      <c r="I550" s="60" t="n"/>
      <c r="J550" s="60" t="n"/>
      <c r="K550" s="60" t="n"/>
      <c r="L550" s="60" t="n"/>
    </row>
    <row r="551" ht="21" customHeight="1">
      <c r="A551" s="59" t="n"/>
      <c r="B551" s="42">
        <f>'設定'!$I$22</f>
        <v/>
      </c>
      <c r="C551" s="60" t="n"/>
      <c r="D551" s="60" t="n"/>
      <c r="E551" s="60" t="n"/>
      <c r="F551" s="60" t="n"/>
      <c r="G551" s="60" t="n"/>
      <c r="H551" s="60" t="n"/>
      <c r="I551" s="60" t="n"/>
      <c r="J551" s="60" t="n"/>
      <c r="K551" s="60" t="n"/>
      <c r="L551" s="60" t="n"/>
    </row>
    <row r="552" ht="21" customHeight="1">
      <c r="A552" s="59" t="n"/>
      <c r="B552" s="42">
        <f>'設定'!$I$23</f>
        <v/>
      </c>
      <c r="C552" s="60" t="n"/>
      <c r="D552" s="60" t="n"/>
      <c r="E552" s="60" t="n"/>
      <c r="F552" s="60" t="n"/>
      <c r="G552" s="60" t="n"/>
      <c r="H552" s="60" t="n"/>
      <c r="I552" s="60" t="n"/>
      <c r="J552" s="60" t="n"/>
      <c r="K552" s="60" t="n"/>
      <c r="L552" s="60" t="n"/>
    </row>
    <row r="553" ht="21" customHeight="1">
      <c r="A553" s="59" t="n"/>
      <c r="B553" s="42">
        <f>'設定'!$I$24</f>
        <v/>
      </c>
      <c r="C553" s="60" t="n"/>
      <c r="D553" s="60" t="n"/>
      <c r="E553" s="60" t="n"/>
      <c r="F553" s="60" t="n"/>
      <c r="G553" s="60" t="n"/>
      <c r="H553" s="60" t="n"/>
      <c r="I553" s="60" t="n"/>
      <c r="J553" s="60" t="n"/>
      <c r="K553" s="60" t="n"/>
      <c r="L553" s="60" t="n"/>
    </row>
    <row r="554" ht="21" customHeight="1">
      <c r="A554" s="59" t="n"/>
      <c r="B554" s="42">
        <f>'設定'!$I$25</f>
        <v/>
      </c>
      <c r="C554" s="60" t="n"/>
      <c r="D554" s="60" t="n"/>
      <c r="E554" s="60" t="n"/>
      <c r="F554" s="60" t="n"/>
      <c r="G554" s="60" t="n"/>
      <c r="H554" s="60" t="n"/>
      <c r="I554" s="60" t="n"/>
      <c r="J554" s="60" t="n"/>
      <c r="K554" s="60" t="n"/>
      <c r="L554" s="60" t="n"/>
    </row>
    <row r="555" ht="21" customHeight="1">
      <c r="A555" s="59" t="n"/>
      <c r="B555" s="42">
        <f>'設定'!$I$26</f>
        <v/>
      </c>
      <c r="C555" s="60" t="n"/>
      <c r="D555" s="60" t="n"/>
      <c r="E555" s="60" t="n"/>
      <c r="F555" s="60" t="n"/>
      <c r="G555" s="60" t="n"/>
      <c r="H555" s="60" t="n"/>
      <c r="I555" s="60" t="n"/>
      <c r="J555" s="60" t="n"/>
      <c r="K555" s="60" t="n"/>
      <c r="L555" s="60" t="n"/>
    </row>
    <row r="556" ht="21" customHeight="1">
      <c r="A556" s="59" t="n"/>
      <c r="B556" s="42">
        <f>'設定'!$I$27</f>
        <v/>
      </c>
      <c r="C556" s="60" t="n"/>
      <c r="D556" s="60" t="n"/>
      <c r="E556" s="60" t="n"/>
      <c r="F556" s="60" t="n"/>
      <c r="G556" s="60" t="n"/>
      <c r="H556" s="60" t="n"/>
      <c r="I556" s="60" t="n"/>
      <c r="J556" s="60" t="n"/>
      <c r="K556" s="60" t="n"/>
      <c r="L556" s="60" t="n"/>
    </row>
    <row r="557" ht="21" customHeight="1">
      <c r="A557" s="59" t="n"/>
      <c r="B557" s="42">
        <f>'設定'!$I$28</f>
        <v/>
      </c>
      <c r="C557" s="60" t="n"/>
      <c r="D557" s="60" t="n"/>
      <c r="E557" s="60" t="n"/>
      <c r="F557" s="60" t="n"/>
      <c r="G557" s="60" t="n"/>
      <c r="H557" s="60" t="n"/>
      <c r="I557" s="60" t="n"/>
      <c r="J557" s="60" t="n"/>
      <c r="K557" s="60" t="n"/>
      <c r="L557" s="60" t="n"/>
    </row>
    <row r="558" ht="21" customHeight="1">
      <c r="A558" s="59" t="n"/>
      <c r="B558" s="42">
        <f>'設定'!$I$29</f>
        <v/>
      </c>
      <c r="C558" s="60" t="n"/>
      <c r="D558" s="60" t="n"/>
      <c r="E558" s="60" t="n"/>
      <c r="F558" s="60" t="n"/>
      <c r="G558" s="60" t="n"/>
      <c r="H558" s="60" t="n"/>
      <c r="I558" s="60" t="n"/>
      <c r="J558" s="60" t="n"/>
      <c r="K558" s="60" t="n"/>
      <c r="L558" s="60" t="n"/>
    </row>
    <row r="559" ht="21" customHeight="1">
      <c r="A559" s="59" t="n"/>
      <c r="B559" s="42">
        <f>'設定'!$I$30</f>
        <v/>
      </c>
      <c r="C559" s="60" t="n"/>
      <c r="D559" s="60" t="n"/>
      <c r="E559" s="60" t="n"/>
      <c r="F559" s="60" t="n"/>
      <c r="G559" s="60" t="n"/>
      <c r="H559" s="60" t="n"/>
      <c r="I559" s="60" t="n"/>
      <c r="J559" s="60" t="n"/>
      <c r="K559" s="60" t="n"/>
      <c r="L559" s="60" t="n"/>
    </row>
    <row r="560" ht="21" customHeight="1">
      <c r="A560" s="59" t="n"/>
      <c r="B560" s="42">
        <f>'設定'!$I$31</f>
        <v/>
      </c>
      <c r="C560" s="60" t="n"/>
      <c r="D560" s="60" t="n"/>
      <c r="E560" s="60" t="n"/>
      <c r="F560" s="60" t="n"/>
      <c r="G560" s="60" t="n"/>
      <c r="H560" s="60" t="n"/>
      <c r="I560" s="60" t="n"/>
      <c r="J560" s="60" t="n"/>
      <c r="K560" s="60" t="n"/>
      <c r="L560" s="60" t="n"/>
    </row>
    <row r="561" ht="21" customHeight="1">
      <c r="A561" s="59" t="n"/>
      <c r="B561" s="42">
        <f>'設定'!$I$32</f>
        <v/>
      </c>
      <c r="C561" s="60" t="n"/>
      <c r="D561" s="60" t="n"/>
      <c r="E561" s="60" t="n"/>
      <c r="F561" s="60" t="n"/>
      <c r="G561" s="60" t="n"/>
      <c r="H561" s="60" t="n"/>
      <c r="I561" s="60" t="n"/>
      <c r="J561" s="60" t="n"/>
      <c r="K561" s="60" t="n"/>
      <c r="L561" s="60" t="n"/>
    </row>
    <row r="562" ht="21" customHeight="1">
      <c r="A562" s="59" t="n"/>
      <c r="B562" s="42">
        <f>'設定'!$I$33</f>
        <v/>
      </c>
      <c r="C562" s="60" t="n"/>
      <c r="D562" s="60" t="n"/>
      <c r="E562" s="60" t="n"/>
      <c r="F562" s="60" t="n"/>
      <c r="G562" s="60" t="n"/>
      <c r="H562" s="60" t="n"/>
      <c r="I562" s="60" t="n"/>
      <c r="J562" s="60" t="n"/>
      <c r="K562" s="60" t="n"/>
      <c r="L562" s="60" t="n"/>
    </row>
    <row r="563" ht="21" customHeight="1">
      <c r="A563" s="59" t="n"/>
      <c r="B563" s="42">
        <f>'設定'!$I$34</f>
        <v/>
      </c>
      <c r="C563" s="60" t="n"/>
      <c r="D563" s="60" t="n"/>
      <c r="E563" s="60" t="n"/>
      <c r="F563" s="60" t="n"/>
      <c r="G563" s="60" t="n"/>
      <c r="H563" s="60" t="n"/>
      <c r="I563" s="60" t="n"/>
      <c r="J563" s="60" t="n"/>
      <c r="K563" s="60" t="n"/>
      <c r="L563" s="60" t="n"/>
    </row>
    <row r="564"/>
    <row r="565" ht="26" customHeight="1">
      <c r="B565" s="53">
        <f>IF('名簿'!B25="","（名簿 21行目：なし）",'名簿'!G25)</f>
        <v/>
      </c>
      <c r="C565" s="4" t="n"/>
      <c r="D565" s="4" t="n"/>
      <c r="E565" s="54" t="inlineStr">
        <is>
          <t>提出状況 ▶</t>
        </is>
      </c>
      <c r="F565" s="38" t="n"/>
      <c r="G565" s="29" t="n"/>
      <c r="H565" s="55" t="inlineStr">
        <is>
          <t>状況：</t>
        </is>
      </c>
      <c r="I565" s="56">
        <f>'名簿'!H25</f>
        <v/>
      </c>
      <c r="J565" s="55" t="inlineStr">
        <is>
          <t>×の数：</t>
        </is>
      </c>
      <c r="K565" s="57">
        <f>'名簿'!I25</f>
        <v/>
      </c>
      <c r="L565" s="58">
        <f>HYPERLINK("#'×入力'!B593","次の人へ ▼")</f>
        <v/>
      </c>
    </row>
    <row r="566" ht="22" customHeight="1">
      <c r="A566" s="30" t="inlineStr">
        <is>
          <t>この日全部 ▶</t>
        </is>
      </c>
      <c r="C566" s="59" t="n"/>
      <c r="D566" s="59" t="n"/>
      <c r="E566" s="59" t="n"/>
      <c r="F566" s="59" t="n"/>
      <c r="G566" s="59" t="n"/>
      <c r="H566" s="59" t="n"/>
      <c r="I566" s="59" t="n"/>
      <c r="J566" s="59" t="n"/>
      <c r="K566" s="59" t="n"/>
      <c r="L566" s="59" t="n"/>
    </row>
    <row r="567" ht="28" customHeight="1">
      <c r="A567" s="33" t="inlineStr">
        <is>
          <t>この時間
全部 ▼</t>
        </is>
      </c>
      <c r="B567" s="34" t="inlineStr"/>
      <c r="C567" s="35">
        <f>'設定'!$E$11</f>
        <v/>
      </c>
      <c r="D567" s="35">
        <f>'設定'!$E$12</f>
        <v/>
      </c>
      <c r="E567" s="35">
        <f>'設定'!$E$13</f>
        <v/>
      </c>
      <c r="F567" s="35">
        <f>'設定'!$E$14</f>
        <v/>
      </c>
      <c r="G567" s="35">
        <f>'設定'!$E$15</f>
        <v/>
      </c>
      <c r="H567" s="35">
        <f>'設定'!$E$16</f>
        <v/>
      </c>
      <c r="I567" s="35">
        <f>'設定'!$E$17</f>
        <v/>
      </c>
      <c r="J567" s="35">
        <f>'設定'!$E$18</f>
        <v/>
      </c>
      <c r="K567" s="35">
        <f>'設定'!$E$19</f>
        <v/>
      </c>
      <c r="L567" s="35">
        <f>'設定'!$E$20</f>
        <v/>
      </c>
    </row>
    <row r="568" ht="21" customHeight="1">
      <c r="A568" s="59" t="n"/>
      <c r="B568" s="42">
        <f>'設定'!$I$11</f>
        <v/>
      </c>
      <c r="C568" s="60" t="n"/>
      <c r="D568" s="60" t="n"/>
      <c r="E568" s="60" t="n"/>
      <c r="F568" s="60" t="n"/>
      <c r="G568" s="60" t="n"/>
      <c r="H568" s="60" t="n"/>
      <c r="I568" s="60" t="n"/>
      <c r="J568" s="60" t="n"/>
      <c r="K568" s="60" t="n"/>
      <c r="L568" s="60" t="n"/>
    </row>
    <row r="569" ht="21" customHeight="1">
      <c r="A569" s="59" t="n"/>
      <c r="B569" s="42">
        <f>'設定'!$I$12</f>
        <v/>
      </c>
      <c r="C569" s="60" t="n"/>
      <c r="D569" s="60" t="n"/>
      <c r="E569" s="60" t="n"/>
      <c r="F569" s="60" t="n"/>
      <c r="G569" s="60" t="n"/>
      <c r="H569" s="60" t="n"/>
      <c r="I569" s="60" t="n"/>
      <c r="J569" s="60" t="n"/>
      <c r="K569" s="60" t="n"/>
      <c r="L569" s="60" t="n"/>
    </row>
    <row r="570" ht="21" customHeight="1">
      <c r="A570" s="59" t="n"/>
      <c r="B570" s="42">
        <f>'設定'!$I$13</f>
        <v/>
      </c>
      <c r="C570" s="60" t="n"/>
      <c r="D570" s="60" t="n"/>
      <c r="E570" s="60" t="n"/>
      <c r="F570" s="60" t="n"/>
      <c r="G570" s="60" t="n"/>
      <c r="H570" s="60" t="n"/>
      <c r="I570" s="60" t="n"/>
      <c r="J570" s="60" t="n"/>
      <c r="K570" s="60" t="n"/>
      <c r="L570" s="60" t="n"/>
    </row>
    <row r="571" ht="21" customHeight="1">
      <c r="A571" s="59" t="n"/>
      <c r="B571" s="42">
        <f>'設定'!$I$14</f>
        <v/>
      </c>
      <c r="C571" s="60" t="n"/>
      <c r="D571" s="60" t="n"/>
      <c r="E571" s="60" t="n"/>
      <c r="F571" s="60" t="n"/>
      <c r="G571" s="60" t="n"/>
      <c r="H571" s="60" t="n"/>
      <c r="I571" s="60" t="n"/>
      <c r="J571" s="60" t="n"/>
      <c r="K571" s="60" t="n"/>
      <c r="L571" s="60" t="n"/>
    </row>
    <row r="572" ht="21" customHeight="1">
      <c r="A572" s="59" t="n"/>
      <c r="B572" s="42">
        <f>'設定'!$I$15</f>
        <v/>
      </c>
      <c r="C572" s="60" t="n"/>
      <c r="D572" s="60" t="n"/>
      <c r="E572" s="60" t="n"/>
      <c r="F572" s="60" t="n"/>
      <c r="G572" s="60" t="n"/>
      <c r="H572" s="60" t="n"/>
      <c r="I572" s="60" t="n"/>
      <c r="J572" s="60" t="n"/>
      <c r="K572" s="60" t="n"/>
      <c r="L572" s="60" t="n"/>
    </row>
    <row r="573" ht="21" customHeight="1">
      <c r="A573" s="59" t="n"/>
      <c r="B573" s="42">
        <f>'設定'!$I$16</f>
        <v/>
      </c>
      <c r="C573" s="60" t="n"/>
      <c r="D573" s="60" t="n"/>
      <c r="E573" s="60" t="n"/>
      <c r="F573" s="60" t="n"/>
      <c r="G573" s="60" t="n"/>
      <c r="H573" s="60" t="n"/>
      <c r="I573" s="60" t="n"/>
      <c r="J573" s="60" t="n"/>
      <c r="K573" s="60" t="n"/>
      <c r="L573" s="60" t="n"/>
    </row>
    <row r="574" ht="21" customHeight="1">
      <c r="A574" s="59" t="n"/>
      <c r="B574" s="42">
        <f>'設定'!$I$17</f>
        <v/>
      </c>
      <c r="C574" s="60" t="n"/>
      <c r="D574" s="60" t="n"/>
      <c r="E574" s="60" t="n"/>
      <c r="F574" s="60" t="n"/>
      <c r="G574" s="60" t="n"/>
      <c r="H574" s="60" t="n"/>
      <c r="I574" s="60" t="n"/>
      <c r="J574" s="60" t="n"/>
      <c r="K574" s="60" t="n"/>
      <c r="L574" s="60" t="n"/>
    </row>
    <row r="575" ht="21" customHeight="1">
      <c r="A575" s="59" t="n"/>
      <c r="B575" s="42">
        <f>'設定'!$I$18</f>
        <v/>
      </c>
      <c r="C575" s="60" t="n"/>
      <c r="D575" s="60" t="n"/>
      <c r="E575" s="60" t="n"/>
      <c r="F575" s="60" t="n"/>
      <c r="G575" s="60" t="n"/>
      <c r="H575" s="60" t="n"/>
      <c r="I575" s="60" t="n"/>
      <c r="J575" s="60" t="n"/>
      <c r="K575" s="60" t="n"/>
      <c r="L575" s="60" t="n"/>
    </row>
    <row r="576" ht="21" customHeight="1">
      <c r="A576" s="59" t="n"/>
      <c r="B576" s="42">
        <f>'設定'!$I$19</f>
        <v/>
      </c>
      <c r="C576" s="60" t="n"/>
      <c r="D576" s="60" t="n"/>
      <c r="E576" s="60" t="n"/>
      <c r="F576" s="60" t="n"/>
      <c r="G576" s="60" t="n"/>
      <c r="H576" s="60" t="n"/>
      <c r="I576" s="60" t="n"/>
      <c r="J576" s="60" t="n"/>
      <c r="K576" s="60" t="n"/>
      <c r="L576" s="60" t="n"/>
    </row>
    <row r="577" ht="21" customHeight="1">
      <c r="A577" s="59" t="n"/>
      <c r="B577" s="42">
        <f>'設定'!$I$20</f>
        <v/>
      </c>
      <c r="C577" s="60" t="n"/>
      <c r="D577" s="60" t="n"/>
      <c r="E577" s="60" t="n"/>
      <c r="F577" s="60" t="n"/>
      <c r="G577" s="60" t="n"/>
      <c r="H577" s="60" t="n"/>
      <c r="I577" s="60" t="n"/>
      <c r="J577" s="60" t="n"/>
      <c r="K577" s="60" t="n"/>
      <c r="L577" s="60" t="n"/>
    </row>
    <row r="578" ht="21" customHeight="1">
      <c r="A578" s="59" t="n"/>
      <c r="B578" s="42">
        <f>'設定'!$I$21</f>
        <v/>
      </c>
      <c r="C578" s="60" t="n"/>
      <c r="D578" s="60" t="n"/>
      <c r="E578" s="60" t="n"/>
      <c r="F578" s="60" t="n"/>
      <c r="G578" s="60" t="n"/>
      <c r="H578" s="60" t="n"/>
      <c r="I578" s="60" t="n"/>
      <c r="J578" s="60" t="n"/>
      <c r="K578" s="60" t="n"/>
      <c r="L578" s="60" t="n"/>
    </row>
    <row r="579" ht="21" customHeight="1">
      <c r="A579" s="59" t="n"/>
      <c r="B579" s="42">
        <f>'設定'!$I$22</f>
        <v/>
      </c>
      <c r="C579" s="60" t="n"/>
      <c r="D579" s="60" t="n"/>
      <c r="E579" s="60" t="n"/>
      <c r="F579" s="60" t="n"/>
      <c r="G579" s="60" t="n"/>
      <c r="H579" s="60" t="n"/>
      <c r="I579" s="60" t="n"/>
      <c r="J579" s="60" t="n"/>
      <c r="K579" s="60" t="n"/>
      <c r="L579" s="60" t="n"/>
    </row>
    <row r="580" ht="21" customHeight="1">
      <c r="A580" s="59" t="n"/>
      <c r="B580" s="42">
        <f>'設定'!$I$23</f>
        <v/>
      </c>
      <c r="C580" s="60" t="n"/>
      <c r="D580" s="60" t="n"/>
      <c r="E580" s="60" t="n"/>
      <c r="F580" s="60" t="n"/>
      <c r="G580" s="60" t="n"/>
      <c r="H580" s="60" t="n"/>
      <c r="I580" s="60" t="n"/>
      <c r="J580" s="60" t="n"/>
      <c r="K580" s="60" t="n"/>
      <c r="L580" s="60" t="n"/>
    </row>
    <row r="581" ht="21" customHeight="1">
      <c r="A581" s="59" t="n"/>
      <c r="B581" s="42">
        <f>'設定'!$I$24</f>
        <v/>
      </c>
      <c r="C581" s="60" t="n"/>
      <c r="D581" s="60" t="n"/>
      <c r="E581" s="60" t="n"/>
      <c r="F581" s="60" t="n"/>
      <c r="G581" s="60" t="n"/>
      <c r="H581" s="60" t="n"/>
      <c r="I581" s="60" t="n"/>
      <c r="J581" s="60" t="n"/>
      <c r="K581" s="60" t="n"/>
      <c r="L581" s="60" t="n"/>
    </row>
    <row r="582" ht="21" customHeight="1">
      <c r="A582" s="59" t="n"/>
      <c r="B582" s="42">
        <f>'設定'!$I$25</f>
        <v/>
      </c>
      <c r="C582" s="60" t="n"/>
      <c r="D582" s="60" t="n"/>
      <c r="E582" s="60" t="n"/>
      <c r="F582" s="60" t="n"/>
      <c r="G582" s="60" t="n"/>
      <c r="H582" s="60" t="n"/>
      <c r="I582" s="60" t="n"/>
      <c r="J582" s="60" t="n"/>
      <c r="K582" s="60" t="n"/>
      <c r="L582" s="60" t="n"/>
    </row>
    <row r="583" ht="21" customHeight="1">
      <c r="A583" s="59" t="n"/>
      <c r="B583" s="42">
        <f>'設定'!$I$26</f>
        <v/>
      </c>
      <c r="C583" s="60" t="n"/>
      <c r="D583" s="60" t="n"/>
      <c r="E583" s="60" t="n"/>
      <c r="F583" s="60" t="n"/>
      <c r="G583" s="60" t="n"/>
      <c r="H583" s="60" t="n"/>
      <c r="I583" s="60" t="n"/>
      <c r="J583" s="60" t="n"/>
      <c r="K583" s="60" t="n"/>
      <c r="L583" s="60" t="n"/>
    </row>
    <row r="584" ht="21" customHeight="1">
      <c r="A584" s="59" t="n"/>
      <c r="B584" s="42">
        <f>'設定'!$I$27</f>
        <v/>
      </c>
      <c r="C584" s="60" t="n"/>
      <c r="D584" s="60" t="n"/>
      <c r="E584" s="60" t="n"/>
      <c r="F584" s="60" t="n"/>
      <c r="G584" s="60" t="n"/>
      <c r="H584" s="60" t="n"/>
      <c r="I584" s="60" t="n"/>
      <c r="J584" s="60" t="n"/>
      <c r="K584" s="60" t="n"/>
      <c r="L584" s="60" t="n"/>
    </row>
    <row r="585" ht="21" customHeight="1">
      <c r="A585" s="59" t="n"/>
      <c r="B585" s="42">
        <f>'設定'!$I$28</f>
        <v/>
      </c>
      <c r="C585" s="60" t="n"/>
      <c r="D585" s="60" t="n"/>
      <c r="E585" s="60" t="n"/>
      <c r="F585" s="60" t="n"/>
      <c r="G585" s="60" t="n"/>
      <c r="H585" s="60" t="n"/>
      <c r="I585" s="60" t="n"/>
      <c r="J585" s="60" t="n"/>
      <c r="K585" s="60" t="n"/>
      <c r="L585" s="60" t="n"/>
    </row>
    <row r="586" ht="21" customHeight="1">
      <c r="A586" s="59" t="n"/>
      <c r="B586" s="42">
        <f>'設定'!$I$29</f>
        <v/>
      </c>
      <c r="C586" s="60" t="n"/>
      <c r="D586" s="60" t="n"/>
      <c r="E586" s="60" t="n"/>
      <c r="F586" s="60" t="n"/>
      <c r="G586" s="60" t="n"/>
      <c r="H586" s="60" t="n"/>
      <c r="I586" s="60" t="n"/>
      <c r="J586" s="60" t="n"/>
      <c r="K586" s="60" t="n"/>
      <c r="L586" s="60" t="n"/>
    </row>
    <row r="587" ht="21" customHeight="1">
      <c r="A587" s="59" t="n"/>
      <c r="B587" s="42">
        <f>'設定'!$I$30</f>
        <v/>
      </c>
      <c r="C587" s="60" t="n"/>
      <c r="D587" s="60" t="n"/>
      <c r="E587" s="60" t="n"/>
      <c r="F587" s="60" t="n"/>
      <c r="G587" s="60" t="n"/>
      <c r="H587" s="60" t="n"/>
      <c r="I587" s="60" t="n"/>
      <c r="J587" s="60" t="n"/>
      <c r="K587" s="60" t="n"/>
      <c r="L587" s="60" t="n"/>
    </row>
    <row r="588" ht="21" customHeight="1">
      <c r="A588" s="59" t="n"/>
      <c r="B588" s="42">
        <f>'設定'!$I$31</f>
        <v/>
      </c>
      <c r="C588" s="60" t="n"/>
      <c r="D588" s="60" t="n"/>
      <c r="E588" s="60" t="n"/>
      <c r="F588" s="60" t="n"/>
      <c r="G588" s="60" t="n"/>
      <c r="H588" s="60" t="n"/>
      <c r="I588" s="60" t="n"/>
      <c r="J588" s="60" t="n"/>
      <c r="K588" s="60" t="n"/>
      <c r="L588" s="60" t="n"/>
    </row>
    <row r="589" ht="21" customHeight="1">
      <c r="A589" s="59" t="n"/>
      <c r="B589" s="42">
        <f>'設定'!$I$32</f>
        <v/>
      </c>
      <c r="C589" s="60" t="n"/>
      <c r="D589" s="60" t="n"/>
      <c r="E589" s="60" t="n"/>
      <c r="F589" s="60" t="n"/>
      <c r="G589" s="60" t="n"/>
      <c r="H589" s="60" t="n"/>
      <c r="I589" s="60" t="n"/>
      <c r="J589" s="60" t="n"/>
      <c r="K589" s="60" t="n"/>
      <c r="L589" s="60" t="n"/>
    </row>
    <row r="590" ht="21" customHeight="1">
      <c r="A590" s="59" t="n"/>
      <c r="B590" s="42">
        <f>'設定'!$I$33</f>
        <v/>
      </c>
      <c r="C590" s="60" t="n"/>
      <c r="D590" s="60" t="n"/>
      <c r="E590" s="60" t="n"/>
      <c r="F590" s="60" t="n"/>
      <c r="G590" s="60" t="n"/>
      <c r="H590" s="60" t="n"/>
      <c r="I590" s="60" t="n"/>
      <c r="J590" s="60" t="n"/>
      <c r="K590" s="60" t="n"/>
      <c r="L590" s="60" t="n"/>
    </row>
    <row r="591" ht="21" customHeight="1">
      <c r="A591" s="59" t="n"/>
      <c r="B591" s="42">
        <f>'設定'!$I$34</f>
        <v/>
      </c>
      <c r="C591" s="60" t="n"/>
      <c r="D591" s="60" t="n"/>
      <c r="E591" s="60" t="n"/>
      <c r="F591" s="60" t="n"/>
      <c r="G591" s="60" t="n"/>
      <c r="H591" s="60" t="n"/>
      <c r="I591" s="60" t="n"/>
      <c r="J591" s="60" t="n"/>
      <c r="K591" s="60" t="n"/>
      <c r="L591" s="60" t="n"/>
    </row>
    <row r="592"/>
    <row r="593" ht="26" customHeight="1">
      <c r="B593" s="53">
        <f>IF('名簿'!B26="","（名簿 22行目：なし）",'名簿'!G26)</f>
        <v/>
      </c>
      <c r="C593" s="4" t="n"/>
      <c r="D593" s="4" t="n"/>
      <c r="E593" s="54" t="inlineStr">
        <is>
          <t>提出状況 ▶</t>
        </is>
      </c>
      <c r="F593" s="38" t="n"/>
      <c r="G593" s="29" t="n"/>
      <c r="H593" s="55" t="inlineStr">
        <is>
          <t>状況：</t>
        </is>
      </c>
      <c r="I593" s="56">
        <f>'名簿'!H26</f>
        <v/>
      </c>
      <c r="J593" s="55" t="inlineStr">
        <is>
          <t>×の数：</t>
        </is>
      </c>
      <c r="K593" s="57">
        <f>'名簿'!I26</f>
        <v/>
      </c>
      <c r="L593" s="58">
        <f>HYPERLINK("#'×入力'!B621","次の人へ ▼")</f>
        <v/>
      </c>
    </row>
    <row r="594" ht="22" customHeight="1">
      <c r="A594" s="30" t="inlineStr">
        <is>
          <t>この日全部 ▶</t>
        </is>
      </c>
      <c r="C594" s="59" t="n"/>
      <c r="D594" s="59" t="n"/>
      <c r="E594" s="59" t="n"/>
      <c r="F594" s="59" t="n"/>
      <c r="G594" s="59" t="n"/>
      <c r="H594" s="59" t="n"/>
      <c r="I594" s="59" t="n"/>
      <c r="J594" s="59" t="n"/>
      <c r="K594" s="59" t="n"/>
      <c r="L594" s="59" t="n"/>
    </row>
    <row r="595" ht="28" customHeight="1">
      <c r="A595" s="33" t="inlineStr">
        <is>
          <t>この時間
全部 ▼</t>
        </is>
      </c>
      <c r="B595" s="34" t="inlineStr"/>
      <c r="C595" s="35">
        <f>'設定'!$E$11</f>
        <v/>
      </c>
      <c r="D595" s="35">
        <f>'設定'!$E$12</f>
        <v/>
      </c>
      <c r="E595" s="35">
        <f>'設定'!$E$13</f>
        <v/>
      </c>
      <c r="F595" s="35">
        <f>'設定'!$E$14</f>
        <v/>
      </c>
      <c r="G595" s="35">
        <f>'設定'!$E$15</f>
        <v/>
      </c>
      <c r="H595" s="35">
        <f>'設定'!$E$16</f>
        <v/>
      </c>
      <c r="I595" s="35">
        <f>'設定'!$E$17</f>
        <v/>
      </c>
      <c r="J595" s="35">
        <f>'設定'!$E$18</f>
        <v/>
      </c>
      <c r="K595" s="35">
        <f>'設定'!$E$19</f>
        <v/>
      </c>
      <c r="L595" s="35">
        <f>'設定'!$E$20</f>
        <v/>
      </c>
    </row>
    <row r="596" ht="21" customHeight="1">
      <c r="A596" s="59" t="n"/>
      <c r="B596" s="42">
        <f>'設定'!$I$11</f>
        <v/>
      </c>
      <c r="C596" s="60" t="n"/>
      <c r="D596" s="60" t="n"/>
      <c r="E596" s="60" t="n"/>
      <c r="F596" s="60" t="n"/>
      <c r="G596" s="60" t="n"/>
      <c r="H596" s="60" t="n"/>
      <c r="I596" s="60" t="n"/>
      <c r="J596" s="60" t="n"/>
      <c r="K596" s="60" t="n"/>
      <c r="L596" s="60" t="n"/>
    </row>
    <row r="597" ht="21" customHeight="1">
      <c r="A597" s="59" t="n"/>
      <c r="B597" s="42">
        <f>'設定'!$I$12</f>
        <v/>
      </c>
      <c r="C597" s="60" t="n"/>
      <c r="D597" s="60" t="n"/>
      <c r="E597" s="60" t="n"/>
      <c r="F597" s="60" t="n"/>
      <c r="G597" s="60" t="n"/>
      <c r="H597" s="60" t="n"/>
      <c r="I597" s="60" t="n"/>
      <c r="J597" s="60" t="n"/>
      <c r="K597" s="60" t="n"/>
      <c r="L597" s="60" t="n"/>
    </row>
    <row r="598" ht="21" customHeight="1">
      <c r="A598" s="59" t="n"/>
      <c r="B598" s="42">
        <f>'設定'!$I$13</f>
        <v/>
      </c>
      <c r="C598" s="60" t="n"/>
      <c r="D598" s="60" t="n"/>
      <c r="E598" s="60" t="n"/>
      <c r="F598" s="60" t="n"/>
      <c r="G598" s="60" t="n"/>
      <c r="H598" s="60" t="n"/>
      <c r="I598" s="60" t="n"/>
      <c r="J598" s="60" t="n"/>
      <c r="K598" s="60" t="n"/>
      <c r="L598" s="60" t="n"/>
    </row>
    <row r="599" ht="21" customHeight="1">
      <c r="A599" s="59" t="n"/>
      <c r="B599" s="42">
        <f>'設定'!$I$14</f>
        <v/>
      </c>
      <c r="C599" s="60" t="n"/>
      <c r="D599" s="60" t="n"/>
      <c r="E599" s="60" t="n"/>
      <c r="F599" s="60" t="n"/>
      <c r="G599" s="60" t="n"/>
      <c r="H599" s="60" t="n"/>
      <c r="I599" s="60" t="n"/>
      <c r="J599" s="60" t="n"/>
      <c r="K599" s="60" t="n"/>
      <c r="L599" s="60" t="n"/>
    </row>
    <row r="600" ht="21" customHeight="1">
      <c r="A600" s="59" t="n"/>
      <c r="B600" s="42">
        <f>'設定'!$I$15</f>
        <v/>
      </c>
      <c r="C600" s="60" t="n"/>
      <c r="D600" s="60" t="n"/>
      <c r="E600" s="60" t="n"/>
      <c r="F600" s="60" t="n"/>
      <c r="G600" s="60" t="n"/>
      <c r="H600" s="60" t="n"/>
      <c r="I600" s="60" t="n"/>
      <c r="J600" s="60" t="n"/>
      <c r="K600" s="60" t="n"/>
      <c r="L600" s="60" t="n"/>
    </row>
    <row r="601" ht="21" customHeight="1">
      <c r="A601" s="59" t="n"/>
      <c r="B601" s="42">
        <f>'設定'!$I$16</f>
        <v/>
      </c>
      <c r="C601" s="60" t="n"/>
      <c r="D601" s="60" t="n"/>
      <c r="E601" s="60" t="n"/>
      <c r="F601" s="60" t="n"/>
      <c r="G601" s="60" t="n"/>
      <c r="H601" s="60" t="n"/>
      <c r="I601" s="60" t="n"/>
      <c r="J601" s="60" t="n"/>
      <c r="K601" s="60" t="n"/>
      <c r="L601" s="60" t="n"/>
    </row>
    <row r="602" ht="21" customHeight="1">
      <c r="A602" s="59" t="n"/>
      <c r="B602" s="42">
        <f>'設定'!$I$17</f>
        <v/>
      </c>
      <c r="C602" s="60" t="n"/>
      <c r="D602" s="60" t="n"/>
      <c r="E602" s="60" t="n"/>
      <c r="F602" s="60" t="n"/>
      <c r="G602" s="60" t="n"/>
      <c r="H602" s="60" t="n"/>
      <c r="I602" s="60" t="n"/>
      <c r="J602" s="60" t="n"/>
      <c r="K602" s="60" t="n"/>
      <c r="L602" s="60" t="n"/>
    </row>
    <row r="603" ht="21" customHeight="1">
      <c r="A603" s="59" t="n"/>
      <c r="B603" s="42">
        <f>'設定'!$I$18</f>
        <v/>
      </c>
      <c r="C603" s="60" t="n"/>
      <c r="D603" s="60" t="n"/>
      <c r="E603" s="60" t="n"/>
      <c r="F603" s="60" t="n"/>
      <c r="G603" s="60" t="n"/>
      <c r="H603" s="60" t="n"/>
      <c r="I603" s="60" t="n"/>
      <c r="J603" s="60" t="n"/>
      <c r="K603" s="60" t="n"/>
      <c r="L603" s="60" t="n"/>
    </row>
    <row r="604" ht="21" customHeight="1">
      <c r="A604" s="59" t="n"/>
      <c r="B604" s="42">
        <f>'設定'!$I$19</f>
        <v/>
      </c>
      <c r="C604" s="60" t="n"/>
      <c r="D604" s="60" t="n"/>
      <c r="E604" s="60" t="n"/>
      <c r="F604" s="60" t="n"/>
      <c r="G604" s="60" t="n"/>
      <c r="H604" s="60" t="n"/>
      <c r="I604" s="60" t="n"/>
      <c r="J604" s="60" t="n"/>
      <c r="K604" s="60" t="n"/>
      <c r="L604" s="60" t="n"/>
    </row>
    <row r="605" ht="21" customHeight="1">
      <c r="A605" s="59" t="n"/>
      <c r="B605" s="42">
        <f>'設定'!$I$20</f>
        <v/>
      </c>
      <c r="C605" s="60" t="n"/>
      <c r="D605" s="60" t="n"/>
      <c r="E605" s="60" t="n"/>
      <c r="F605" s="60" t="n"/>
      <c r="G605" s="60" t="n"/>
      <c r="H605" s="60" t="n"/>
      <c r="I605" s="60" t="n"/>
      <c r="J605" s="60" t="n"/>
      <c r="K605" s="60" t="n"/>
      <c r="L605" s="60" t="n"/>
    </row>
    <row r="606" ht="21" customHeight="1">
      <c r="A606" s="59" t="n"/>
      <c r="B606" s="42">
        <f>'設定'!$I$21</f>
        <v/>
      </c>
      <c r="C606" s="60" t="n"/>
      <c r="D606" s="60" t="n"/>
      <c r="E606" s="60" t="n"/>
      <c r="F606" s="60" t="n"/>
      <c r="G606" s="60" t="n"/>
      <c r="H606" s="60" t="n"/>
      <c r="I606" s="60" t="n"/>
      <c r="J606" s="60" t="n"/>
      <c r="K606" s="60" t="n"/>
      <c r="L606" s="60" t="n"/>
    </row>
    <row r="607" ht="21" customHeight="1">
      <c r="A607" s="59" t="n"/>
      <c r="B607" s="42">
        <f>'設定'!$I$22</f>
        <v/>
      </c>
      <c r="C607" s="60" t="n"/>
      <c r="D607" s="60" t="n"/>
      <c r="E607" s="60" t="n"/>
      <c r="F607" s="60" t="n"/>
      <c r="G607" s="60" t="n"/>
      <c r="H607" s="60" t="n"/>
      <c r="I607" s="60" t="n"/>
      <c r="J607" s="60" t="n"/>
      <c r="K607" s="60" t="n"/>
      <c r="L607" s="60" t="n"/>
    </row>
    <row r="608" ht="21" customHeight="1">
      <c r="A608" s="59" t="n"/>
      <c r="B608" s="42">
        <f>'設定'!$I$23</f>
        <v/>
      </c>
      <c r="C608" s="60" t="n"/>
      <c r="D608" s="60" t="n"/>
      <c r="E608" s="60" t="n"/>
      <c r="F608" s="60" t="n"/>
      <c r="G608" s="60" t="n"/>
      <c r="H608" s="60" t="n"/>
      <c r="I608" s="60" t="n"/>
      <c r="J608" s="60" t="n"/>
      <c r="K608" s="60" t="n"/>
      <c r="L608" s="60" t="n"/>
    </row>
    <row r="609" ht="21" customHeight="1">
      <c r="A609" s="59" t="n"/>
      <c r="B609" s="42">
        <f>'設定'!$I$24</f>
        <v/>
      </c>
      <c r="C609" s="60" t="n"/>
      <c r="D609" s="60" t="n"/>
      <c r="E609" s="60" t="n"/>
      <c r="F609" s="60" t="n"/>
      <c r="G609" s="60" t="n"/>
      <c r="H609" s="60" t="n"/>
      <c r="I609" s="60" t="n"/>
      <c r="J609" s="60" t="n"/>
      <c r="K609" s="60" t="n"/>
      <c r="L609" s="60" t="n"/>
    </row>
    <row r="610" ht="21" customHeight="1">
      <c r="A610" s="59" t="n"/>
      <c r="B610" s="42">
        <f>'設定'!$I$25</f>
        <v/>
      </c>
      <c r="C610" s="60" t="n"/>
      <c r="D610" s="60" t="n"/>
      <c r="E610" s="60" t="n"/>
      <c r="F610" s="60" t="n"/>
      <c r="G610" s="60" t="n"/>
      <c r="H610" s="60" t="n"/>
      <c r="I610" s="60" t="n"/>
      <c r="J610" s="60" t="n"/>
      <c r="K610" s="60" t="n"/>
      <c r="L610" s="60" t="n"/>
    </row>
    <row r="611" ht="21" customHeight="1">
      <c r="A611" s="59" t="n"/>
      <c r="B611" s="42">
        <f>'設定'!$I$26</f>
        <v/>
      </c>
      <c r="C611" s="60" t="n"/>
      <c r="D611" s="60" t="n"/>
      <c r="E611" s="60" t="n"/>
      <c r="F611" s="60" t="n"/>
      <c r="G611" s="60" t="n"/>
      <c r="H611" s="60" t="n"/>
      <c r="I611" s="60" t="n"/>
      <c r="J611" s="60" t="n"/>
      <c r="K611" s="60" t="n"/>
      <c r="L611" s="60" t="n"/>
    </row>
    <row r="612" ht="21" customHeight="1">
      <c r="A612" s="59" t="n"/>
      <c r="B612" s="42">
        <f>'設定'!$I$27</f>
        <v/>
      </c>
      <c r="C612" s="60" t="n"/>
      <c r="D612" s="60" t="n"/>
      <c r="E612" s="60" t="n"/>
      <c r="F612" s="60" t="n"/>
      <c r="G612" s="60" t="n"/>
      <c r="H612" s="60" t="n"/>
      <c r="I612" s="60" t="n"/>
      <c r="J612" s="60" t="n"/>
      <c r="K612" s="60" t="n"/>
      <c r="L612" s="60" t="n"/>
    </row>
    <row r="613" ht="21" customHeight="1">
      <c r="A613" s="59" t="n"/>
      <c r="B613" s="42">
        <f>'設定'!$I$28</f>
        <v/>
      </c>
      <c r="C613" s="60" t="n"/>
      <c r="D613" s="60" t="n"/>
      <c r="E613" s="60" t="n"/>
      <c r="F613" s="60" t="n"/>
      <c r="G613" s="60" t="n"/>
      <c r="H613" s="60" t="n"/>
      <c r="I613" s="60" t="n"/>
      <c r="J613" s="60" t="n"/>
      <c r="K613" s="60" t="n"/>
      <c r="L613" s="60" t="n"/>
    </row>
    <row r="614" ht="21" customHeight="1">
      <c r="A614" s="59" t="n"/>
      <c r="B614" s="42">
        <f>'設定'!$I$29</f>
        <v/>
      </c>
      <c r="C614" s="60" t="n"/>
      <c r="D614" s="60" t="n"/>
      <c r="E614" s="60" t="n"/>
      <c r="F614" s="60" t="n"/>
      <c r="G614" s="60" t="n"/>
      <c r="H614" s="60" t="n"/>
      <c r="I614" s="60" t="n"/>
      <c r="J614" s="60" t="n"/>
      <c r="K614" s="60" t="n"/>
      <c r="L614" s="60" t="n"/>
    </row>
    <row r="615" ht="21" customHeight="1">
      <c r="A615" s="59" t="n"/>
      <c r="B615" s="42">
        <f>'設定'!$I$30</f>
        <v/>
      </c>
      <c r="C615" s="60" t="n"/>
      <c r="D615" s="60" t="n"/>
      <c r="E615" s="60" t="n"/>
      <c r="F615" s="60" t="n"/>
      <c r="G615" s="60" t="n"/>
      <c r="H615" s="60" t="n"/>
      <c r="I615" s="60" t="n"/>
      <c r="J615" s="60" t="n"/>
      <c r="K615" s="60" t="n"/>
      <c r="L615" s="60" t="n"/>
    </row>
    <row r="616" ht="21" customHeight="1">
      <c r="A616" s="59" t="n"/>
      <c r="B616" s="42">
        <f>'設定'!$I$31</f>
        <v/>
      </c>
      <c r="C616" s="60" t="n"/>
      <c r="D616" s="60" t="n"/>
      <c r="E616" s="60" t="n"/>
      <c r="F616" s="60" t="n"/>
      <c r="G616" s="60" t="n"/>
      <c r="H616" s="60" t="n"/>
      <c r="I616" s="60" t="n"/>
      <c r="J616" s="60" t="n"/>
      <c r="K616" s="60" t="n"/>
      <c r="L616" s="60" t="n"/>
    </row>
    <row r="617" ht="21" customHeight="1">
      <c r="A617" s="59" t="n"/>
      <c r="B617" s="42">
        <f>'設定'!$I$32</f>
        <v/>
      </c>
      <c r="C617" s="60" t="n"/>
      <c r="D617" s="60" t="n"/>
      <c r="E617" s="60" t="n"/>
      <c r="F617" s="60" t="n"/>
      <c r="G617" s="60" t="n"/>
      <c r="H617" s="60" t="n"/>
      <c r="I617" s="60" t="n"/>
      <c r="J617" s="60" t="n"/>
      <c r="K617" s="60" t="n"/>
      <c r="L617" s="60" t="n"/>
    </row>
    <row r="618" ht="21" customHeight="1">
      <c r="A618" s="59" t="n"/>
      <c r="B618" s="42">
        <f>'設定'!$I$33</f>
        <v/>
      </c>
      <c r="C618" s="60" t="n"/>
      <c r="D618" s="60" t="n"/>
      <c r="E618" s="60" t="n"/>
      <c r="F618" s="60" t="n"/>
      <c r="G618" s="60" t="n"/>
      <c r="H618" s="60" t="n"/>
      <c r="I618" s="60" t="n"/>
      <c r="J618" s="60" t="n"/>
      <c r="K618" s="60" t="n"/>
      <c r="L618" s="60" t="n"/>
    </row>
    <row r="619" ht="21" customHeight="1">
      <c r="A619" s="59" t="n"/>
      <c r="B619" s="42">
        <f>'設定'!$I$34</f>
        <v/>
      </c>
      <c r="C619" s="60" t="n"/>
      <c r="D619" s="60" t="n"/>
      <c r="E619" s="60" t="n"/>
      <c r="F619" s="60" t="n"/>
      <c r="G619" s="60" t="n"/>
      <c r="H619" s="60" t="n"/>
      <c r="I619" s="60" t="n"/>
      <c r="J619" s="60" t="n"/>
      <c r="K619" s="60" t="n"/>
      <c r="L619" s="60" t="n"/>
    </row>
    <row r="620"/>
    <row r="621" ht="26" customHeight="1">
      <c r="B621" s="53">
        <f>IF('名簿'!B27="","（名簿 23行目：なし）",'名簿'!G27)</f>
        <v/>
      </c>
      <c r="C621" s="4" t="n"/>
      <c r="D621" s="4" t="n"/>
      <c r="E621" s="54" t="inlineStr">
        <is>
          <t>提出状況 ▶</t>
        </is>
      </c>
      <c r="F621" s="38" t="n"/>
      <c r="G621" s="29" t="n"/>
      <c r="H621" s="55" t="inlineStr">
        <is>
          <t>状況：</t>
        </is>
      </c>
      <c r="I621" s="56">
        <f>'名簿'!H27</f>
        <v/>
      </c>
      <c r="J621" s="55" t="inlineStr">
        <is>
          <t>×の数：</t>
        </is>
      </c>
      <c r="K621" s="57">
        <f>'名簿'!I27</f>
        <v/>
      </c>
      <c r="L621" s="58">
        <f>HYPERLINK("#'×入力'!B649","次の人へ ▼")</f>
        <v/>
      </c>
    </row>
    <row r="622" ht="22" customHeight="1">
      <c r="A622" s="30" t="inlineStr">
        <is>
          <t>この日全部 ▶</t>
        </is>
      </c>
      <c r="C622" s="59" t="n"/>
      <c r="D622" s="59" t="n"/>
      <c r="E622" s="59" t="n"/>
      <c r="F622" s="59" t="n"/>
      <c r="G622" s="59" t="n"/>
      <c r="H622" s="59" t="n"/>
      <c r="I622" s="59" t="n"/>
      <c r="J622" s="59" t="n"/>
      <c r="K622" s="59" t="n"/>
      <c r="L622" s="59" t="n"/>
    </row>
    <row r="623" ht="28" customHeight="1">
      <c r="A623" s="33" t="inlineStr">
        <is>
          <t>この時間
全部 ▼</t>
        </is>
      </c>
      <c r="B623" s="34" t="inlineStr"/>
      <c r="C623" s="35">
        <f>'設定'!$E$11</f>
        <v/>
      </c>
      <c r="D623" s="35">
        <f>'設定'!$E$12</f>
        <v/>
      </c>
      <c r="E623" s="35">
        <f>'設定'!$E$13</f>
        <v/>
      </c>
      <c r="F623" s="35">
        <f>'設定'!$E$14</f>
        <v/>
      </c>
      <c r="G623" s="35">
        <f>'設定'!$E$15</f>
        <v/>
      </c>
      <c r="H623" s="35">
        <f>'設定'!$E$16</f>
        <v/>
      </c>
      <c r="I623" s="35">
        <f>'設定'!$E$17</f>
        <v/>
      </c>
      <c r="J623" s="35">
        <f>'設定'!$E$18</f>
        <v/>
      </c>
      <c r="K623" s="35">
        <f>'設定'!$E$19</f>
        <v/>
      </c>
      <c r="L623" s="35">
        <f>'設定'!$E$20</f>
        <v/>
      </c>
    </row>
    <row r="624" ht="21" customHeight="1">
      <c r="A624" s="59" t="n"/>
      <c r="B624" s="42">
        <f>'設定'!$I$11</f>
        <v/>
      </c>
      <c r="C624" s="60" t="n"/>
      <c r="D624" s="60" t="n"/>
      <c r="E624" s="60" t="n"/>
      <c r="F624" s="60" t="n"/>
      <c r="G624" s="60" t="n"/>
      <c r="H624" s="60" t="n"/>
      <c r="I624" s="60" t="n"/>
      <c r="J624" s="60" t="n"/>
      <c r="K624" s="60" t="n"/>
      <c r="L624" s="60" t="n"/>
    </row>
    <row r="625" ht="21" customHeight="1">
      <c r="A625" s="59" t="n"/>
      <c r="B625" s="42">
        <f>'設定'!$I$12</f>
        <v/>
      </c>
      <c r="C625" s="60" t="n"/>
      <c r="D625" s="60" t="n"/>
      <c r="E625" s="60" t="n"/>
      <c r="F625" s="60" t="n"/>
      <c r="G625" s="60" t="n"/>
      <c r="H625" s="60" t="n"/>
      <c r="I625" s="60" t="n"/>
      <c r="J625" s="60" t="n"/>
      <c r="K625" s="60" t="n"/>
      <c r="L625" s="60" t="n"/>
    </row>
    <row r="626" ht="21" customHeight="1">
      <c r="A626" s="59" t="n"/>
      <c r="B626" s="42">
        <f>'設定'!$I$13</f>
        <v/>
      </c>
      <c r="C626" s="60" t="n"/>
      <c r="D626" s="60" t="n"/>
      <c r="E626" s="60" t="n"/>
      <c r="F626" s="60" t="n"/>
      <c r="G626" s="60" t="n"/>
      <c r="H626" s="60" t="n"/>
      <c r="I626" s="60" t="n"/>
      <c r="J626" s="60" t="n"/>
      <c r="K626" s="60" t="n"/>
      <c r="L626" s="60" t="n"/>
    </row>
    <row r="627" ht="21" customHeight="1">
      <c r="A627" s="59" t="n"/>
      <c r="B627" s="42">
        <f>'設定'!$I$14</f>
        <v/>
      </c>
      <c r="C627" s="60" t="n"/>
      <c r="D627" s="60" t="n"/>
      <c r="E627" s="60" t="n"/>
      <c r="F627" s="60" t="n"/>
      <c r="G627" s="60" t="n"/>
      <c r="H627" s="60" t="n"/>
      <c r="I627" s="60" t="n"/>
      <c r="J627" s="60" t="n"/>
      <c r="K627" s="60" t="n"/>
      <c r="L627" s="60" t="n"/>
    </row>
    <row r="628" ht="21" customHeight="1">
      <c r="A628" s="59" t="n"/>
      <c r="B628" s="42">
        <f>'設定'!$I$15</f>
        <v/>
      </c>
      <c r="C628" s="60" t="n"/>
      <c r="D628" s="60" t="n"/>
      <c r="E628" s="60" t="n"/>
      <c r="F628" s="60" t="n"/>
      <c r="G628" s="60" t="n"/>
      <c r="H628" s="60" t="n"/>
      <c r="I628" s="60" t="n"/>
      <c r="J628" s="60" t="n"/>
      <c r="K628" s="60" t="n"/>
      <c r="L628" s="60" t="n"/>
    </row>
    <row r="629" ht="21" customHeight="1">
      <c r="A629" s="59" t="n"/>
      <c r="B629" s="42">
        <f>'設定'!$I$16</f>
        <v/>
      </c>
      <c r="C629" s="60" t="n"/>
      <c r="D629" s="60" t="n"/>
      <c r="E629" s="60" t="n"/>
      <c r="F629" s="60" t="n"/>
      <c r="G629" s="60" t="n"/>
      <c r="H629" s="60" t="n"/>
      <c r="I629" s="60" t="n"/>
      <c r="J629" s="60" t="n"/>
      <c r="K629" s="60" t="n"/>
      <c r="L629" s="60" t="n"/>
    </row>
    <row r="630" ht="21" customHeight="1">
      <c r="A630" s="59" t="n"/>
      <c r="B630" s="42">
        <f>'設定'!$I$17</f>
        <v/>
      </c>
      <c r="C630" s="60" t="n"/>
      <c r="D630" s="60" t="n"/>
      <c r="E630" s="60" t="n"/>
      <c r="F630" s="60" t="n"/>
      <c r="G630" s="60" t="n"/>
      <c r="H630" s="60" t="n"/>
      <c r="I630" s="60" t="n"/>
      <c r="J630" s="60" t="n"/>
      <c r="K630" s="60" t="n"/>
      <c r="L630" s="60" t="n"/>
    </row>
    <row r="631" ht="21" customHeight="1">
      <c r="A631" s="59" t="n"/>
      <c r="B631" s="42">
        <f>'設定'!$I$18</f>
        <v/>
      </c>
      <c r="C631" s="60" t="n"/>
      <c r="D631" s="60" t="n"/>
      <c r="E631" s="60" t="n"/>
      <c r="F631" s="60" t="n"/>
      <c r="G631" s="60" t="n"/>
      <c r="H631" s="60" t="n"/>
      <c r="I631" s="60" t="n"/>
      <c r="J631" s="60" t="n"/>
      <c r="K631" s="60" t="n"/>
      <c r="L631" s="60" t="n"/>
    </row>
    <row r="632" ht="21" customHeight="1">
      <c r="A632" s="59" t="n"/>
      <c r="B632" s="42">
        <f>'設定'!$I$19</f>
        <v/>
      </c>
      <c r="C632" s="60" t="n"/>
      <c r="D632" s="60" t="n"/>
      <c r="E632" s="60" t="n"/>
      <c r="F632" s="60" t="n"/>
      <c r="G632" s="60" t="n"/>
      <c r="H632" s="60" t="n"/>
      <c r="I632" s="60" t="n"/>
      <c r="J632" s="60" t="n"/>
      <c r="K632" s="60" t="n"/>
      <c r="L632" s="60" t="n"/>
    </row>
    <row r="633" ht="21" customHeight="1">
      <c r="A633" s="59" t="n"/>
      <c r="B633" s="42">
        <f>'設定'!$I$20</f>
        <v/>
      </c>
      <c r="C633" s="60" t="n"/>
      <c r="D633" s="60" t="n"/>
      <c r="E633" s="60" t="n"/>
      <c r="F633" s="60" t="n"/>
      <c r="G633" s="60" t="n"/>
      <c r="H633" s="60" t="n"/>
      <c r="I633" s="60" t="n"/>
      <c r="J633" s="60" t="n"/>
      <c r="K633" s="60" t="n"/>
      <c r="L633" s="60" t="n"/>
    </row>
    <row r="634" ht="21" customHeight="1">
      <c r="A634" s="59" t="n"/>
      <c r="B634" s="42">
        <f>'設定'!$I$21</f>
        <v/>
      </c>
      <c r="C634" s="60" t="n"/>
      <c r="D634" s="60" t="n"/>
      <c r="E634" s="60" t="n"/>
      <c r="F634" s="60" t="n"/>
      <c r="G634" s="60" t="n"/>
      <c r="H634" s="60" t="n"/>
      <c r="I634" s="60" t="n"/>
      <c r="J634" s="60" t="n"/>
      <c r="K634" s="60" t="n"/>
      <c r="L634" s="60" t="n"/>
    </row>
    <row r="635" ht="21" customHeight="1">
      <c r="A635" s="59" t="n"/>
      <c r="B635" s="42">
        <f>'設定'!$I$22</f>
        <v/>
      </c>
      <c r="C635" s="60" t="n"/>
      <c r="D635" s="60" t="n"/>
      <c r="E635" s="60" t="n"/>
      <c r="F635" s="60" t="n"/>
      <c r="G635" s="60" t="n"/>
      <c r="H635" s="60" t="n"/>
      <c r="I635" s="60" t="n"/>
      <c r="J635" s="60" t="n"/>
      <c r="K635" s="60" t="n"/>
      <c r="L635" s="60" t="n"/>
    </row>
    <row r="636" ht="21" customHeight="1">
      <c r="A636" s="59" t="n"/>
      <c r="B636" s="42">
        <f>'設定'!$I$23</f>
        <v/>
      </c>
      <c r="C636" s="60" t="n"/>
      <c r="D636" s="60" t="n"/>
      <c r="E636" s="60" t="n"/>
      <c r="F636" s="60" t="n"/>
      <c r="G636" s="60" t="n"/>
      <c r="H636" s="60" t="n"/>
      <c r="I636" s="60" t="n"/>
      <c r="J636" s="60" t="n"/>
      <c r="K636" s="60" t="n"/>
      <c r="L636" s="60" t="n"/>
    </row>
    <row r="637" ht="21" customHeight="1">
      <c r="A637" s="59" t="n"/>
      <c r="B637" s="42">
        <f>'設定'!$I$24</f>
        <v/>
      </c>
      <c r="C637" s="60" t="n"/>
      <c r="D637" s="60" t="n"/>
      <c r="E637" s="60" t="n"/>
      <c r="F637" s="60" t="n"/>
      <c r="G637" s="60" t="n"/>
      <c r="H637" s="60" t="n"/>
      <c r="I637" s="60" t="n"/>
      <c r="J637" s="60" t="n"/>
      <c r="K637" s="60" t="n"/>
      <c r="L637" s="60" t="n"/>
    </row>
    <row r="638" ht="21" customHeight="1">
      <c r="A638" s="59" t="n"/>
      <c r="B638" s="42">
        <f>'設定'!$I$25</f>
        <v/>
      </c>
      <c r="C638" s="60" t="n"/>
      <c r="D638" s="60" t="n"/>
      <c r="E638" s="60" t="n"/>
      <c r="F638" s="60" t="n"/>
      <c r="G638" s="60" t="n"/>
      <c r="H638" s="60" t="n"/>
      <c r="I638" s="60" t="n"/>
      <c r="J638" s="60" t="n"/>
      <c r="K638" s="60" t="n"/>
      <c r="L638" s="60" t="n"/>
    </row>
    <row r="639" ht="21" customHeight="1">
      <c r="A639" s="59" t="n"/>
      <c r="B639" s="42">
        <f>'設定'!$I$26</f>
        <v/>
      </c>
      <c r="C639" s="60" t="n"/>
      <c r="D639" s="60" t="n"/>
      <c r="E639" s="60" t="n"/>
      <c r="F639" s="60" t="n"/>
      <c r="G639" s="60" t="n"/>
      <c r="H639" s="60" t="n"/>
      <c r="I639" s="60" t="n"/>
      <c r="J639" s="60" t="n"/>
      <c r="K639" s="60" t="n"/>
      <c r="L639" s="60" t="n"/>
    </row>
    <row r="640" ht="21" customHeight="1">
      <c r="A640" s="59" t="n"/>
      <c r="B640" s="42">
        <f>'設定'!$I$27</f>
        <v/>
      </c>
      <c r="C640" s="60" t="n"/>
      <c r="D640" s="60" t="n"/>
      <c r="E640" s="60" t="n"/>
      <c r="F640" s="60" t="n"/>
      <c r="G640" s="60" t="n"/>
      <c r="H640" s="60" t="n"/>
      <c r="I640" s="60" t="n"/>
      <c r="J640" s="60" t="n"/>
      <c r="K640" s="60" t="n"/>
      <c r="L640" s="60" t="n"/>
    </row>
    <row r="641" ht="21" customHeight="1">
      <c r="A641" s="59" t="n"/>
      <c r="B641" s="42">
        <f>'設定'!$I$28</f>
        <v/>
      </c>
      <c r="C641" s="60" t="n"/>
      <c r="D641" s="60" t="n"/>
      <c r="E641" s="60" t="n"/>
      <c r="F641" s="60" t="n"/>
      <c r="G641" s="60" t="n"/>
      <c r="H641" s="60" t="n"/>
      <c r="I641" s="60" t="n"/>
      <c r="J641" s="60" t="n"/>
      <c r="K641" s="60" t="n"/>
      <c r="L641" s="60" t="n"/>
    </row>
    <row r="642" ht="21" customHeight="1">
      <c r="A642" s="59" t="n"/>
      <c r="B642" s="42">
        <f>'設定'!$I$29</f>
        <v/>
      </c>
      <c r="C642" s="60" t="n"/>
      <c r="D642" s="60" t="n"/>
      <c r="E642" s="60" t="n"/>
      <c r="F642" s="60" t="n"/>
      <c r="G642" s="60" t="n"/>
      <c r="H642" s="60" t="n"/>
      <c r="I642" s="60" t="n"/>
      <c r="J642" s="60" t="n"/>
      <c r="K642" s="60" t="n"/>
      <c r="L642" s="60" t="n"/>
    </row>
    <row r="643" ht="21" customHeight="1">
      <c r="A643" s="59" t="n"/>
      <c r="B643" s="42">
        <f>'設定'!$I$30</f>
        <v/>
      </c>
      <c r="C643" s="60" t="n"/>
      <c r="D643" s="60" t="n"/>
      <c r="E643" s="60" t="n"/>
      <c r="F643" s="60" t="n"/>
      <c r="G643" s="60" t="n"/>
      <c r="H643" s="60" t="n"/>
      <c r="I643" s="60" t="n"/>
      <c r="J643" s="60" t="n"/>
      <c r="K643" s="60" t="n"/>
      <c r="L643" s="60" t="n"/>
    </row>
    <row r="644" ht="21" customHeight="1">
      <c r="A644" s="59" t="n"/>
      <c r="B644" s="42">
        <f>'設定'!$I$31</f>
        <v/>
      </c>
      <c r="C644" s="60" t="n"/>
      <c r="D644" s="60" t="n"/>
      <c r="E644" s="60" t="n"/>
      <c r="F644" s="60" t="n"/>
      <c r="G644" s="60" t="n"/>
      <c r="H644" s="60" t="n"/>
      <c r="I644" s="60" t="n"/>
      <c r="J644" s="60" t="n"/>
      <c r="K644" s="60" t="n"/>
      <c r="L644" s="60" t="n"/>
    </row>
    <row r="645" ht="21" customHeight="1">
      <c r="A645" s="59" t="n"/>
      <c r="B645" s="42">
        <f>'設定'!$I$32</f>
        <v/>
      </c>
      <c r="C645" s="60" t="n"/>
      <c r="D645" s="60" t="n"/>
      <c r="E645" s="60" t="n"/>
      <c r="F645" s="60" t="n"/>
      <c r="G645" s="60" t="n"/>
      <c r="H645" s="60" t="n"/>
      <c r="I645" s="60" t="n"/>
      <c r="J645" s="60" t="n"/>
      <c r="K645" s="60" t="n"/>
      <c r="L645" s="60" t="n"/>
    </row>
    <row r="646" ht="21" customHeight="1">
      <c r="A646" s="59" t="n"/>
      <c r="B646" s="42">
        <f>'設定'!$I$33</f>
        <v/>
      </c>
      <c r="C646" s="60" t="n"/>
      <c r="D646" s="60" t="n"/>
      <c r="E646" s="60" t="n"/>
      <c r="F646" s="60" t="n"/>
      <c r="G646" s="60" t="n"/>
      <c r="H646" s="60" t="n"/>
      <c r="I646" s="60" t="n"/>
      <c r="J646" s="60" t="n"/>
      <c r="K646" s="60" t="n"/>
      <c r="L646" s="60" t="n"/>
    </row>
    <row r="647" ht="21" customHeight="1">
      <c r="A647" s="59" t="n"/>
      <c r="B647" s="42">
        <f>'設定'!$I$34</f>
        <v/>
      </c>
      <c r="C647" s="60" t="n"/>
      <c r="D647" s="60" t="n"/>
      <c r="E647" s="60" t="n"/>
      <c r="F647" s="60" t="n"/>
      <c r="G647" s="60" t="n"/>
      <c r="H647" s="60" t="n"/>
      <c r="I647" s="60" t="n"/>
      <c r="J647" s="60" t="n"/>
      <c r="K647" s="60" t="n"/>
      <c r="L647" s="60" t="n"/>
    </row>
    <row r="648"/>
    <row r="649" ht="26" customHeight="1">
      <c r="B649" s="53">
        <f>IF('名簿'!B28="","（名簿 24行目：なし）",'名簿'!G28)</f>
        <v/>
      </c>
      <c r="C649" s="4" t="n"/>
      <c r="D649" s="4" t="n"/>
      <c r="E649" s="54" t="inlineStr">
        <is>
          <t>提出状況 ▶</t>
        </is>
      </c>
      <c r="F649" s="38" t="n"/>
      <c r="G649" s="29" t="n"/>
      <c r="H649" s="55" t="inlineStr">
        <is>
          <t>状況：</t>
        </is>
      </c>
      <c r="I649" s="56">
        <f>'名簿'!H28</f>
        <v/>
      </c>
      <c r="J649" s="55" t="inlineStr">
        <is>
          <t>×の数：</t>
        </is>
      </c>
      <c r="K649" s="57">
        <f>'名簿'!I28</f>
        <v/>
      </c>
      <c r="L649" s="58">
        <f>HYPERLINK("#'×入力'!B677","次の人へ ▼")</f>
        <v/>
      </c>
    </row>
    <row r="650" ht="22" customHeight="1">
      <c r="A650" s="30" t="inlineStr">
        <is>
          <t>この日全部 ▶</t>
        </is>
      </c>
      <c r="C650" s="59" t="n"/>
      <c r="D650" s="59" t="n"/>
      <c r="E650" s="59" t="n"/>
      <c r="F650" s="59" t="n"/>
      <c r="G650" s="59" t="n"/>
      <c r="H650" s="59" t="n"/>
      <c r="I650" s="59" t="n"/>
      <c r="J650" s="59" t="n"/>
      <c r="K650" s="59" t="n"/>
      <c r="L650" s="59" t="n"/>
    </row>
    <row r="651" ht="28" customHeight="1">
      <c r="A651" s="33" t="inlineStr">
        <is>
          <t>この時間
全部 ▼</t>
        </is>
      </c>
      <c r="B651" s="34" t="inlineStr"/>
      <c r="C651" s="35">
        <f>'設定'!$E$11</f>
        <v/>
      </c>
      <c r="D651" s="35">
        <f>'設定'!$E$12</f>
        <v/>
      </c>
      <c r="E651" s="35">
        <f>'設定'!$E$13</f>
        <v/>
      </c>
      <c r="F651" s="35">
        <f>'設定'!$E$14</f>
        <v/>
      </c>
      <c r="G651" s="35">
        <f>'設定'!$E$15</f>
        <v/>
      </c>
      <c r="H651" s="35">
        <f>'設定'!$E$16</f>
        <v/>
      </c>
      <c r="I651" s="35">
        <f>'設定'!$E$17</f>
        <v/>
      </c>
      <c r="J651" s="35">
        <f>'設定'!$E$18</f>
        <v/>
      </c>
      <c r="K651" s="35">
        <f>'設定'!$E$19</f>
        <v/>
      </c>
      <c r="L651" s="35">
        <f>'設定'!$E$20</f>
        <v/>
      </c>
    </row>
    <row r="652" ht="21" customHeight="1">
      <c r="A652" s="59" t="n"/>
      <c r="B652" s="42">
        <f>'設定'!$I$11</f>
        <v/>
      </c>
      <c r="C652" s="60" t="n"/>
      <c r="D652" s="60" t="n"/>
      <c r="E652" s="60" t="n"/>
      <c r="F652" s="60" t="n"/>
      <c r="G652" s="60" t="n"/>
      <c r="H652" s="60" t="n"/>
      <c r="I652" s="60" t="n"/>
      <c r="J652" s="60" t="n"/>
      <c r="K652" s="60" t="n"/>
      <c r="L652" s="60" t="n"/>
    </row>
    <row r="653" ht="21" customHeight="1">
      <c r="A653" s="59" t="n"/>
      <c r="B653" s="42">
        <f>'設定'!$I$12</f>
        <v/>
      </c>
      <c r="C653" s="60" t="n"/>
      <c r="D653" s="60" t="n"/>
      <c r="E653" s="60" t="n"/>
      <c r="F653" s="60" t="n"/>
      <c r="G653" s="60" t="n"/>
      <c r="H653" s="60" t="n"/>
      <c r="I653" s="60" t="n"/>
      <c r="J653" s="60" t="n"/>
      <c r="K653" s="60" t="n"/>
      <c r="L653" s="60" t="n"/>
    </row>
    <row r="654" ht="21" customHeight="1">
      <c r="A654" s="59" t="n"/>
      <c r="B654" s="42">
        <f>'設定'!$I$13</f>
        <v/>
      </c>
      <c r="C654" s="60" t="n"/>
      <c r="D654" s="60" t="n"/>
      <c r="E654" s="60" t="n"/>
      <c r="F654" s="60" t="n"/>
      <c r="G654" s="60" t="n"/>
      <c r="H654" s="60" t="n"/>
      <c r="I654" s="60" t="n"/>
      <c r="J654" s="60" t="n"/>
      <c r="K654" s="60" t="n"/>
      <c r="L654" s="60" t="n"/>
    </row>
    <row r="655" ht="21" customHeight="1">
      <c r="A655" s="59" t="n"/>
      <c r="B655" s="42">
        <f>'設定'!$I$14</f>
        <v/>
      </c>
      <c r="C655" s="60" t="n"/>
      <c r="D655" s="60" t="n"/>
      <c r="E655" s="60" t="n"/>
      <c r="F655" s="60" t="n"/>
      <c r="G655" s="60" t="n"/>
      <c r="H655" s="60" t="n"/>
      <c r="I655" s="60" t="n"/>
      <c r="J655" s="60" t="n"/>
      <c r="K655" s="60" t="n"/>
      <c r="L655" s="60" t="n"/>
    </row>
    <row r="656" ht="21" customHeight="1">
      <c r="A656" s="59" t="n"/>
      <c r="B656" s="42">
        <f>'設定'!$I$15</f>
        <v/>
      </c>
      <c r="C656" s="60" t="n"/>
      <c r="D656" s="60" t="n"/>
      <c r="E656" s="60" t="n"/>
      <c r="F656" s="60" t="n"/>
      <c r="G656" s="60" t="n"/>
      <c r="H656" s="60" t="n"/>
      <c r="I656" s="60" t="n"/>
      <c r="J656" s="60" t="n"/>
      <c r="K656" s="60" t="n"/>
      <c r="L656" s="60" t="n"/>
    </row>
    <row r="657" ht="21" customHeight="1">
      <c r="A657" s="59" t="n"/>
      <c r="B657" s="42">
        <f>'設定'!$I$16</f>
        <v/>
      </c>
      <c r="C657" s="60" t="n"/>
      <c r="D657" s="60" t="n"/>
      <c r="E657" s="60" t="n"/>
      <c r="F657" s="60" t="n"/>
      <c r="G657" s="60" t="n"/>
      <c r="H657" s="60" t="n"/>
      <c r="I657" s="60" t="n"/>
      <c r="J657" s="60" t="n"/>
      <c r="K657" s="60" t="n"/>
      <c r="L657" s="60" t="n"/>
    </row>
    <row r="658" ht="21" customHeight="1">
      <c r="A658" s="59" t="n"/>
      <c r="B658" s="42">
        <f>'設定'!$I$17</f>
        <v/>
      </c>
      <c r="C658" s="60" t="n"/>
      <c r="D658" s="60" t="n"/>
      <c r="E658" s="60" t="n"/>
      <c r="F658" s="60" t="n"/>
      <c r="G658" s="60" t="n"/>
      <c r="H658" s="60" t="n"/>
      <c r="I658" s="60" t="n"/>
      <c r="J658" s="60" t="n"/>
      <c r="K658" s="60" t="n"/>
      <c r="L658" s="60" t="n"/>
    </row>
    <row r="659" ht="21" customHeight="1">
      <c r="A659" s="59" t="n"/>
      <c r="B659" s="42">
        <f>'設定'!$I$18</f>
        <v/>
      </c>
      <c r="C659" s="60" t="n"/>
      <c r="D659" s="60" t="n"/>
      <c r="E659" s="60" t="n"/>
      <c r="F659" s="60" t="n"/>
      <c r="G659" s="60" t="n"/>
      <c r="H659" s="60" t="n"/>
      <c r="I659" s="60" t="n"/>
      <c r="J659" s="60" t="n"/>
      <c r="K659" s="60" t="n"/>
      <c r="L659" s="60" t="n"/>
    </row>
    <row r="660" ht="21" customHeight="1">
      <c r="A660" s="59" t="n"/>
      <c r="B660" s="42">
        <f>'設定'!$I$19</f>
        <v/>
      </c>
      <c r="C660" s="60" t="n"/>
      <c r="D660" s="60" t="n"/>
      <c r="E660" s="60" t="n"/>
      <c r="F660" s="60" t="n"/>
      <c r="G660" s="60" t="n"/>
      <c r="H660" s="60" t="n"/>
      <c r="I660" s="60" t="n"/>
      <c r="J660" s="60" t="n"/>
      <c r="K660" s="60" t="n"/>
      <c r="L660" s="60" t="n"/>
    </row>
    <row r="661" ht="21" customHeight="1">
      <c r="A661" s="59" t="n"/>
      <c r="B661" s="42">
        <f>'設定'!$I$20</f>
        <v/>
      </c>
      <c r="C661" s="60" t="n"/>
      <c r="D661" s="60" t="n"/>
      <c r="E661" s="60" t="n"/>
      <c r="F661" s="60" t="n"/>
      <c r="G661" s="60" t="n"/>
      <c r="H661" s="60" t="n"/>
      <c r="I661" s="60" t="n"/>
      <c r="J661" s="60" t="n"/>
      <c r="K661" s="60" t="n"/>
      <c r="L661" s="60" t="n"/>
    </row>
    <row r="662" ht="21" customHeight="1">
      <c r="A662" s="59" t="n"/>
      <c r="B662" s="42">
        <f>'設定'!$I$21</f>
        <v/>
      </c>
      <c r="C662" s="60" t="n"/>
      <c r="D662" s="60" t="n"/>
      <c r="E662" s="60" t="n"/>
      <c r="F662" s="60" t="n"/>
      <c r="G662" s="60" t="n"/>
      <c r="H662" s="60" t="n"/>
      <c r="I662" s="60" t="n"/>
      <c r="J662" s="60" t="n"/>
      <c r="K662" s="60" t="n"/>
      <c r="L662" s="60" t="n"/>
    </row>
    <row r="663" ht="21" customHeight="1">
      <c r="A663" s="59" t="n"/>
      <c r="B663" s="42">
        <f>'設定'!$I$22</f>
        <v/>
      </c>
      <c r="C663" s="60" t="n"/>
      <c r="D663" s="60" t="n"/>
      <c r="E663" s="60" t="n"/>
      <c r="F663" s="60" t="n"/>
      <c r="G663" s="60" t="n"/>
      <c r="H663" s="60" t="n"/>
      <c r="I663" s="60" t="n"/>
      <c r="J663" s="60" t="n"/>
      <c r="K663" s="60" t="n"/>
      <c r="L663" s="60" t="n"/>
    </row>
    <row r="664" ht="21" customHeight="1">
      <c r="A664" s="59" t="n"/>
      <c r="B664" s="42">
        <f>'設定'!$I$23</f>
        <v/>
      </c>
      <c r="C664" s="60" t="n"/>
      <c r="D664" s="60" t="n"/>
      <c r="E664" s="60" t="n"/>
      <c r="F664" s="60" t="n"/>
      <c r="G664" s="60" t="n"/>
      <c r="H664" s="60" t="n"/>
      <c r="I664" s="60" t="n"/>
      <c r="J664" s="60" t="n"/>
      <c r="K664" s="60" t="n"/>
      <c r="L664" s="60" t="n"/>
    </row>
    <row r="665" ht="21" customHeight="1">
      <c r="A665" s="59" t="n"/>
      <c r="B665" s="42">
        <f>'設定'!$I$24</f>
        <v/>
      </c>
      <c r="C665" s="60" t="n"/>
      <c r="D665" s="60" t="n"/>
      <c r="E665" s="60" t="n"/>
      <c r="F665" s="60" t="n"/>
      <c r="G665" s="60" t="n"/>
      <c r="H665" s="60" t="n"/>
      <c r="I665" s="60" t="n"/>
      <c r="J665" s="60" t="n"/>
      <c r="K665" s="60" t="n"/>
      <c r="L665" s="60" t="n"/>
    </row>
    <row r="666" ht="21" customHeight="1">
      <c r="A666" s="59" t="n"/>
      <c r="B666" s="42">
        <f>'設定'!$I$25</f>
        <v/>
      </c>
      <c r="C666" s="60" t="n"/>
      <c r="D666" s="60" t="n"/>
      <c r="E666" s="60" t="n"/>
      <c r="F666" s="60" t="n"/>
      <c r="G666" s="60" t="n"/>
      <c r="H666" s="60" t="n"/>
      <c r="I666" s="60" t="n"/>
      <c r="J666" s="60" t="n"/>
      <c r="K666" s="60" t="n"/>
      <c r="L666" s="60" t="n"/>
    </row>
    <row r="667" ht="21" customHeight="1">
      <c r="A667" s="59" t="n"/>
      <c r="B667" s="42">
        <f>'設定'!$I$26</f>
        <v/>
      </c>
      <c r="C667" s="60" t="n"/>
      <c r="D667" s="60" t="n"/>
      <c r="E667" s="60" t="n"/>
      <c r="F667" s="60" t="n"/>
      <c r="G667" s="60" t="n"/>
      <c r="H667" s="60" t="n"/>
      <c r="I667" s="60" t="n"/>
      <c r="J667" s="60" t="n"/>
      <c r="K667" s="60" t="n"/>
      <c r="L667" s="60" t="n"/>
    </row>
    <row r="668" ht="21" customHeight="1">
      <c r="A668" s="59" t="n"/>
      <c r="B668" s="42">
        <f>'設定'!$I$27</f>
        <v/>
      </c>
      <c r="C668" s="60" t="n"/>
      <c r="D668" s="60" t="n"/>
      <c r="E668" s="60" t="n"/>
      <c r="F668" s="60" t="n"/>
      <c r="G668" s="60" t="n"/>
      <c r="H668" s="60" t="n"/>
      <c r="I668" s="60" t="n"/>
      <c r="J668" s="60" t="n"/>
      <c r="K668" s="60" t="n"/>
      <c r="L668" s="60" t="n"/>
    </row>
    <row r="669" ht="21" customHeight="1">
      <c r="A669" s="59" t="n"/>
      <c r="B669" s="42">
        <f>'設定'!$I$28</f>
        <v/>
      </c>
      <c r="C669" s="60" t="n"/>
      <c r="D669" s="60" t="n"/>
      <c r="E669" s="60" t="n"/>
      <c r="F669" s="60" t="n"/>
      <c r="G669" s="60" t="n"/>
      <c r="H669" s="60" t="n"/>
      <c r="I669" s="60" t="n"/>
      <c r="J669" s="60" t="n"/>
      <c r="K669" s="60" t="n"/>
      <c r="L669" s="60" t="n"/>
    </row>
    <row r="670" ht="21" customHeight="1">
      <c r="A670" s="59" t="n"/>
      <c r="B670" s="42">
        <f>'設定'!$I$29</f>
        <v/>
      </c>
      <c r="C670" s="60" t="n"/>
      <c r="D670" s="60" t="n"/>
      <c r="E670" s="60" t="n"/>
      <c r="F670" s="60" t="n"/>
      <c r="G670" s="60" t="n"/>
      <c r="H670" s="60" t="n"/>
      <c r="I670" s="60" t="n"/>
      <c r="J670" s="60" t="n"/>
      <c r="K670" s="60" t="n"/>
      <c r="L670" s="60" t="n"/>
    </row>
    <row r="671" ht="21" customHeight="1">
      <c r="A671" s="59" t="n"/>
      <c r="B671" s="42">
        <f>'設定'!$I$30</f>
        <v/>
      </c>
      <c r="C671" s="60" t="n"/>
      <c r="D671" s="60" t="n"/>
      <c r="E671" s="60" t="n"/>
      <c r="F671" s="60" t="n"/>
      <c r="G671" s="60" t="n"/>
      <c r="H671" s="60" t="n"/>
      <c r="I671" s="60" t="n"/>
      <c r="J671" s="60" t="n"/>
      <c r="K671" s="60" t="n"/>
      <c r="L671" s="60" t="n"/>
    </row>
    <row r="672" ht="21" customHeight="1">
      <c r="A672" s="59" t="n"/>
      <c r="B672" s="42">
        <f>'設定'!$I$31</f>
        <v/>
      </c>
      <c r="C672" s="60" t="n"/>
      <c r="D672" s="60" t="n"/>
      <c r="E672" s="60" t="n"/>
      <c r="F672" s="60" t="n"/>
      <c r="G672" s="60" t="n"/>
      <c r="H672" s="60" t="n"/>
      <c r="I672" s="60" t="n"/>
      <c r="J672" s="60" t="n"/>
      <c r="K672" s="60" t="n"/>
      <c r="L672" s="60" t="n"/>
    </row>
    <row r="673" ht="21" customHeight="1">
      <c r="A673" s="59" t="n"/>
      <c r="B673" s="42">
        <f>'設定'!$I$32</f>
        <v/>
      </c>
      <c r="C673" s="60" t="n"/>
      <c r="D673" s="60" t="n"/>
      <c r="E673" s="60" t="n"/>
      <c r="F673" s="60" t="n"/>
      <c r="G673" s="60" t="n"/>
      <c r="H673" s="60" t="n"/>
      <c r="I673" s="60" t="n"/>
      <c r="J673" s="60" t="n"/>
      <c r="K673" s="60" t="n"/>
      <c r="L673" s="60" t="n"/>
    </row>
    <row r="674" ht="21" customHeight="1">
      <c r="A674" s="59" t="n"/>
      <c r="B674" s="42">
        <f>'設定'!$I$33</f>
        <v/>
      </c>
      <c r="C674" s="60" t="n"/>
      <c r="D674" s="60" t="n"/>
      <c r="E674" s="60" t="n"/>
      <c r="F674" s="60" t="n"/>
      <c r="G674" s="60" t="n"/>
      <c r="H674" s="60" t="n"/>
      <c r="I674" s="60" t="n"/>
      <c r="J674" s="60" t="n"/>
      <c r="K674" s="60" t="n"/>
      <c r="L674" s="60" t="n"/>
    </row>
    <row r="675" ht="21" customHeight="1">
      <c r="A675" s="59" t="n"/>
      <c r="B675" s="42">
        <f>'設定'!$I$34</f>
        <v/>
      </c>
      <c r="C675" s="60" t="n"/>
      <c r="D675" s="60" t="n"/>
      <c r="E675" s="60" t="n"/>
      <c r="F675" s="60" t="n"/>
      <c r="G675" s="60" t="n"/>
      <c r="H675" s="60" t="n"/>
      <c r="I675" s="60" t="n"/>
      <c r="J675" s="60" t="n"/>
      <c r="K675" s="60" t="n"/>
      <c r="L675" s="60" t="n"/>
    </row>
    <row r="676"/>
    <row r="677" ht="26" customHeight="1">
      <c r="B677" s="53">
        <f>IF('名簿'!B29="","（名簿 25行目：なし）",'名簿'!G29)</f>
        <v/>
      </c>
      <c r="C677" s="4" t="n"/>
      <c r="D677" s="4" t="n"/>
      <c r="E677" s="54" t="inlineStr">
        <is>
          <t>提出状況 ▶</t>
        </is>
      </c>
      <c r="F677" s="38" t="n"/>
      <c r="G677" s="29" t="n"/>
      <c r="H677" s="55" t="inlineStr">
        <is>
          <t>状況：</t>
        </is>
      </c>
      <c r="I677" s="56">
        <f>'名簿'!H29</f>
        <v/>
      </c>
      <c r="J677" s="55" t="inlineStr">
        <is>
          <t>×の数：</t>
        </is>
      </c>
      <c r="K677" s="57">
        <f>'名簿'!I29</f>
        <v/>
      </c>
      <c r="L677" s="58">
        <f>HYPERLINK("#'×入力'!B705","次の人へ ▼")</f>
        <v/>
      </c>
    </row>
    <row r="678" ht="22" customHeight="1">
      <c r="A678" s="30" t="inlineStr">
        <is>
          <t>この日全部 ▶</t>
        </is>
      </c>
      <c r="C678" s="59" t="n"/>
      <c r="D678" s="59" t="n"/>
      <c r="E678" s="59" t="n"/>
      <c r="F678" s="59" t="n"/>
      <c r="G678" s="59" t="n"/>
      <c r="H678" s="59" t="n"/>
      <c r="I678" s="59" t="n"/>
      <c r="J678" s="59" t="n"/>
      <c r="K678" s="59" t="n"/>
      <c r="L678" s="59" t="n"/>
    </row>
    <row r="679" ht="28" customHeight="1">
      <c r="A679" s="33" t="inlineStr">
        <is>
          <t>この時間
全部 ▼</t>
        </is>
      </c>
      <c r="B679" s="34" t="inlineStr"/>
      <c r="C679" s="35">
        <f>'設定'!$E$11</f>
        <v/>
      </c>
      <c r="D679" s="35">
        <f>'設定'!$E$12</f>
        <v/>
      </c>
      <c r="E679" s="35">
        <f>'設定'!$E$13</f>
        <v/>
      </c>
      <c r="F679" s="35">
        <f>'設定'!$E$14</f>
        <v/>
      </c>
      <c r="G679" s="35">
        <f>'設定'!$E$15</f>
        <v/>
      </c>
      <c r="H679" s="35">
        <f>'設定'!$E$16</f>
        <v/>
      </c>
      <c r="I679" s="35">
        <f>'設定'!$E$17</f>
        <v/>
      </c>
      <c r="J679" s="35">
        <f>'設定'!$E$18</f>
        <v/>
      </c>
      <c r="K679" s="35">
        <f>'設定'!$E$19</f>
        <v/>
      </c>
      <c r="L679" s="35">
        <f>'設定'!$E$20</f>
        <v/>
      </c>
    </row>
    <row r="680" ht="21" customHeight="1">
      <c r="A680" s="59" t="n"/>
      <c r="B680" s="42">
        <f>'設定'!$I$11</f>
        <v/>
      </c>
      <c r="C680" s="60" t="n"/>
      <c r="D680" s="60" t="n"/>
      <c r="E680" s="60" t="n"/>
      <c r="F680" s="60" t="n"/>
      <c r="G680" s="60" t="n"/>
      <c r="H680" s="60" t="n"/>
      <c r="I680" s="60" t="n"/>
      <c r="J680" s="60" t="n"/>
      <c r="K680" s="60" t="n"/>
      <c r="L680" s="60" t="n"/>
    </row>
    <row r="681" ht="21" customHeight="1">
      <c r="A681" s="59" t="n"/>
      <c r="B681" s="42">
        <f>'設定'!$I$12</f>
        <v/>
      </c>
      <c r="C681" s="60" t="n"/>
      <c r="D681" s="60" t="n"/>
      <c r="E681" s="60" t="n"/>
      <c r="F681" s="60" t="n"/>
      <c r="G681" s="60" t="n"/>
      <c r="H681" s="60" t="n"/>
      <c r="I681" s="60" t="n"/>
      <c r="J681" s="60" t="n"/>
      <c r="K681" s="60" t="n"/>
      <c r="L681" s="60" t="n"/>
    </row>
    <row r="682" ht="21" customHeight="1">
      <c r="A682" s="59" t="n"/>
      <c r="B682" s="42">
        <f>'設定'!$I$13</f>
        <v/>
      </c>
      <c r="C682" s="60" t="n"/>
      <c r="D682" s="60" t="n"/>
      <c r="E682" s="60" t="n"/>
      <c r="F682" s="60" t="n"/>
      <c r="G682" s="60" t="n"/>
      <c r="H682" s="60" t="n"/>
      <c r="I682" s="60" t="n"/>
      <c r="J682" s="60" t="n"/>
      <c r="K682" s="60" t="n"/>
      <c r="L682" s="60" t="n"/>
    </row>
    <row r="683" ht="21" customHeight="1">
      <c r="A683" s="59" t="n"/>
      <c r="B683" s="42">
        <f>'設定'!$I$14</f>
        <v/>
      </c>
      <c r="C683" s="60" t="n"/>
      <c r="D683" s="60" t="n"/>
      <c r="E683" s="60" t="n"/>
      <c r="F683" s="60" t="n"/>
      <c r="G683" s="60" t="n"/>
      <c r="H683" s="60" t="n"/>
      <c r="I683" s="60" t="n"/>
      <c r="J683" s="60" t="n"/>
      <c r="K683" s="60" t="n"/>
      <c r="L683" s="60" t="n"/>
    </row>
    <row r="684" ht="21" customHeight="1">
      <c r="A684" s="59" t="n"/>
      <c r="B684" s="42">
        <f>'設定'!$I$15</f>
        <v/>
      </c>
      <c r="C684" s="60" t="n"/>
      <c r="D684" s="60" t="n"/>
      <c r="E684" s="60" t="n"/>
      <c r="F684" s="60" t="n"/>
      <c r="G684" s="60" t="n"/>
      <c r="H684" s="60" t="n"/>
      <c r="I684" s="60" t="n"/>
      <c r="J684" s="60" t="n"/>
      <c r="K684" s="60" t="n"/>
      <c r="L684" s="60" t="n"/>
    </row>
    <row r="685" ht="21" customHeight="1">
      <c r="A685" s="59" t="n"/>
      <c r="B685" s="42">
        <f>'設定'!$I$16</f>
        <v/>
      </c>
      <c r="C685" s="60" t="n"/>
      <c r="D685" s="60" t="n"/>
      <c r="E685" s="60" t="n"/>
      <c r="F685" s="60" t="n"/>
      <c r="G685" s="60" t="n"/>
      <c r="H685" s="60" t="n"/>
      <c r="I685" s="60" t="n"/>
      <c r="J685" s="60" t="n"/>
      <c r="K685" s="60" t="n"/>
      <c r="L685" s="60" t="n"/>
    </row>
    <row r="686" ht="21" customHeight="1">
      <c r="A686" s="59" t="n"/>
      <c r="B686" s="42">
        <f>'設定'!$I$17</f>
        <v/>
      </c>
      <c r="C686" s="60" t="n"/>
      <c r="D686" s="60" t="n"/>
      <c r="E686" s="60" t="n"/>
      <c r="F686" s="60" t="n"/>
      <c r="G686" s="60" t="n"/>
      <c r="H686" s="60" t="n"/>
      <c r="I686" s="60" t="n"/>
      <c r="J686" s="60" t="n"/>
      <c r="K686" s="60" t="n"/>
      <c r="L686" s="60" t="n"/>
    </row>
    <row r="687" ht="21" customHeight="1">
      <c r="A687" s="59" t="n"/>
      <c r="B687" s="42">
        <f>'設定'!$I$18</f>
        <v/>
      </c>
      <c r="C687" s="60" t="n"/>
      <c r="D687" s="60" t="n"/>
      <c r="E687" s="60" t="n"/>
      <c r="F687" s="60" t="n"/>
      <c r="G687" s="60" t="n"/>
      <c r="H687" s="60" t="n"/>
      <c r="I687" s="60" t="n"/>
      <c r="J687" s="60" t="n"/>
      <c r="K687" s="60" t="n"/>
      <c r="L687" s="60" t="n"/>
    </row>
    <row r="688" ht="21" customHeight="1">
      <c r="A688" s="59" t="n"/>
      <c r="B688" s="42">
        <f>'設定'!$I$19</f>
        <v/>
      </c>
      <c r="C688" s="60" t="n"/>
      <c r="D688" s="60" t="n"/>
      <c r="E688" s="60" t="n"/>
      <c r="F688" s="60" t="n"/>
      <c r="G688" s="60" t="n"/>
      <c r="H688" s="60" t="n"/>
      <c r="I688" s="60" t="n"/>
      <c r="J688" s="60" t="n"/>
      <c r="K688" s="60" t="n"/>
      <c r="L688" s="60" t="n"/>
    </row>
    <row r="689" ht="21" customHeight="1">
      <c r="A689" s="59" t="n"/>
      <c r="B689" s="42">
        <f>'設定'!$I$20</f>
        <v/>
      </c>
      <c r="C689" s="60" t="n"/>
      <c r="D689" s="60" t="n"/>
      <c r="E689" s="60" t="n"/>
      <c r="F689" s="60" t="n"/>
      <c r="G689" s="60" t="n"/>
      <c r="H689" s="60" t="n"/>
      <c r="I689" s="60" t="n"/>
      <c r="J689" s="60" t="n"/>
      <c r="K689" s="60" t="n"/>
      <c r="L689" s="60" t="n"/>
    </row>
    <row r="690" ht="21" customHeight="1">
      <c r="A690" s="59" t="n"/>
      <c r="B690" s="42">
        <f>'設定'!$I$21</f>
        <v/>
      </c>
      <c r="C690" s="60" t="n"/>
      <c r="D690" s="60" t="n"/>
      <c r="E690" s="60" t="n"/>
      <c r="F690" s="60" t="n"/>
      <c r="G690" s="60" t="n"/>
      <c r="H690" s="60" t="n"/>
      <c r="I690" s="60" t="n"/>
      <c r="J690" s="60" t="n"/>
      <c r="K690" s="60" t="n"/>
      <c r="L690" s="60" t="n"/>
    </row>
    <row r="691" ht="21" customHeight="1">
      <c r="A691" s="59" t="n"/>
      <c r="B691" s="42">
        <f>'設定'!$I$22</f>
        <v/>
      </c>
      <c r="C691" s="60" t="n"/>
      <c r="D691" s="60" t="n"/>
      <c r="E691" s="60" t="n"/>
      <c r="F691" s="60" t="n"/>
      <c r="G691" s="60" t="n"/>
      <c r="H691" s="60" t="n"/>
      <c r="I691" s="60" t="n"/>
      <c r="J691" s="60" t="n"/>
      <c r="K691" s="60" t="n"/>
      <c r="L691" s="60" t="n"/>
    </row>
    <row r="692" ht="21" customHeight="1">
      <c r="A692" s="59" t="n"/>
      <c r="B692" s="42">
        <f>'設定'!$I$23</f>
        <v/>
      </c>
      <c r="C692" s="60" t="n"/>
      <c r="D692" s="60" t="n"/>
      <c r="E692" s="60" t="n"/>
      <c r="F692" s="60" t="n"/>
      <c r="G692" s="60" t="n"/>
      <c r="H692" s="60" t="n"/>
      <c r="I692" s="60" t="n"/>
      <c r="J692" s="60" t="n"/>
      <c r="K692" s="60" t="n"/>
      <c r="L692" s="60" t="n"/>
    </row>
    <row r="693" ht="21" customHeight="1">
      <c r="A693" s="59" t="n"/>
      <c r="B693" s="42">
        <f>'設定'!$I$24</f>
        <v/>
      </c>
      <c r="C693" s="60" t="n"/>
      <c r="D693" s="60" t="n"/>
      <c r="E693" s="60" t="n"/>
      <c r="F693" s="60" t="n"/>
      <c r="G693" s="60" t="n"/>
      <c r="H693" s="60" t="n"/>
      <c r="I693" s="60" t="n"/>
      <c r="J693" s="60" t="n"/>
      <c r="K693" s="60" t="n"/>
      <c r="L693" s="60" t="n"/>
    </row>
    <row r="694" ht="21" customHeight="1">
      <c r="A694" s="59" t="n"/>
      <c r="B694" s="42">
        <f>'設定'!$I$25</f>
        <v/>
      </c>
      <c r="C694" s="60" t="n"/>
      <c r="D694" s="60" t="n"/>
      <c r="E694" s="60" t="n"/>
      <c r="F694" s="60" t="n"/>
      <c r="G694" s="60" t="n"/>
      <c r="H694" s="60" t="n"/>
      <c r="I694" s="60" t="n"/>
      <c r="J694" s="60" t="n"/>
      <c r="K694" s="60" t="n"/>
      <c r="L694" s="60" t="n"/>
    </row>
    <row r="695" ht="21" customHeight="1">
      <c r="A695" s="59" t="n"/>
      <c r="B695" s="42">
        <f>'設定'!$I$26</f>
        <v/>
      </c>
      <c r="C695" s="60" t="n"/>
      <c r="D695" s="60" t="n"/>
      <c r="E695" s="60" t="n"/>
      <c r="F695" s="60" t="n"/>
      <c r="G695" s="60" t="n"/>
      <c r="H695" s="60" t="n"/>
      <c r="I695" s="60" t="n"/>
      <c r="J695" s="60" t="n"/>
      <c r="K695" s="60" t="n"/>
      <c r="L695" s="60" t="n"/>
    </row>
    <row r="696" ht="21" customHeight="1">
      <c r="A696" s="59" t="n"/>
      <c r="B696" s="42">
        <f>'設定'!$I$27</f>
        <v/>
      </c>
      <c r="C696" s="60" t="n"/>
      <c r="D696" s="60" t="n"/>
      <c r="E696" s="60" t="n"/>
      <c r="F696" s="60" t="n"/>
      <c r="G696" s="60" t="n"/>
      <c r="H696" s="60" t="n"/>
      <c r="I696" s="60" t="n"/>
      <c r="J696" s="60" t="n"/>
      <c r="K696" s="60" t="n"/>
      <c r="L696" s="60" t="n"/>
    </row>
    <row r="697" ht="21" customHeight="1">
      <c r="A697" s="59" t="n"/>
      <c r="B697" s="42">
        <f>'設定'!$I$28</f>
        <v/>
      </c>
      <c r="C697" s="60" t="n"/>
      <c r="D697" s="60" t="n"/>
      <c r="E697" s="60" t="n"/>
      <c r="F697" s="60" t="n"/>
      <c r="G697" s="60" t="n"/>
      <c r="H697" s="60" t="n"/>
      <c r="I697" s="60" t="n"/>
      <c r="J697" s="60" t="n"/>
      <c r="K697" s="60" t="n"/>
      <c r="L697" s="60" t="n"/>
    </row>
    <row r="698" ht="21" customHeight="1">
      <c r="A698" s="59" t="n"/>
      <c r="B698" s="42">
        <f>'設定'!$I$29</f>
        <v/>
      </c>
      <c r="C698" s="60" t="n"/>
      <c r="D698" s="60" t="n"/>
      <c r="E698" s="60" t="n"/>
      <c r="F698" s="60" t="n"/>
      <c r="G698" s="60" t="n"/>
      <c r="H698" s="60" t="n"/>
      <c r="I698" s="60" t="n"/>
      <c r="J698" s="60" t="n"/>
      <c r="K698" s="60" t="n"/>
      <c r="L698" s="60" t="n"/>
    </row>
    <row r="699" ht="21" customHeight="1">
      <c r="A699" s="59" t="n"/>
      <c r="B699" s="42">
        <f>'設定'!$I$30</f>
        <v/>
      </c>
      <c r="C699" s="60" t="n"/>
      <c r="D699" s="60" t="n"/>
      <c r="E699" s="60" t="n"/>
      <c r="F699" s="60" t="n"/>
      <c r="G699" s="60" t="n"/>
      <c r="H699" s="60" t="n"/>
      <c r="I699" s="60" t="n"/>
      <c r="J699" s="60" t="n"/>
      <c r="K699" s="60" t="n"/>
      <c r="L699" s="60" t="n"/>
    </row>
    <row r="700" ht="21" customHeight="1">
      <c r="A700" s="59" t="n"/>
      <c r="B700" s="42">
        <f>'設定'!$I$31</f>
        <v/>
      </c>
      <c r="C700" s="60" t="n"/>
      <c r="D700" s="60" t="n"/>
      <c r="E700" s="60" t="n"/>
      <c r="F700" s="60" t="n"/>
      <c r="G700" s="60" t="n"/>
      <c r="H700" s="60" t="n"/>
      <c r="I700" s="60" t="n"/>
      <c r="J700" s="60" t="n"/>
      <c r="K700" s="60" t="n"/>
      <c r="L700" s="60" t="n"/>
    </row>
    <row r="701" ht="21" customHeight="1">
      <c r="A701" s="59" t="n"/>
      <c r="B701" s="42">
        <f>'設定'!$I$32</f>
        <v/>
      </c>
      <c r="C701" s="60" t="n"/>
      <c r="D701" s="60" t="n"/>
      <c r="E701" s="60" t="n"/>
      <c r="F701" s="60" t="n"/>
      <c r="G701" s="60" t="n"/>
      <c r="H701" s="60" t="n"/>
      <c r="I701" s="60" t="n"/>
      <c r="J701" s="60" t="n"/>
      <c r="K701" s="60" t="n"/>
      <c r="L701" s="60" t="n"/>
    </row>
    <row r="702" ht="21" customHeight="1">
      <c r="A702" s="59" t="n"/>
      <c r="B702" s="42">
        <f>'設定'!$I$33</f>
        <v/>
      </c>
      <c r="C702" s="60" t="n"/>
      <c r="D702" s="60" t="n"/>
      <c r="E702" s="60" t="n"/>
      <c r="F702" s="60" t="n"/>
      <c r="G702" s="60" t="n"/>
      <c r="H702" s="60" t="n"/>
      <c r="I702" s="60" t="n"/>
      <c r="J702" s="60" t="n"/>
      <c r="K702" s="60" t="n"/>
      <c r="L702" s="60" t="n"/>
    </row>
    <row r="703" ht="21" customHeight="1">
      <c r="A703" s="59" t="n"/>
      <c r="B703" s="42">
        <f>'設定'!$I$34</f>
        <v/>
      </c>
      <c r="C703" s="60" t="n"/>
      <c r="D703" s="60" t="n"/>
      <c r="E703" s="60" t="n"/>
      <c r="F703" s="60" t="n"/>
      <c r="G703" s="60" t="n"/>
      <c r="H703" s="60" t="n"/>
      <c r="I703" s="60" t="n"/>
      <c r="J703" s="60" t="n"/>
      <c r="K703" s="60" t="n"/>
      <c r="L703" s="60" t="n"/>
    </row>
    <row r="704"/>
    <row r="705" ht="26" customHeight="1">
      <c r="B705" s="53">
        <f>IF('名簿'!B30="","（名簿 26行目：なし）",'名簿'!G30)</f>
        <v/>
      </c>
      <c r="C705" s="4" t="n"/>
      <c r="D705" s="4" t="n"/>
      <c r="E705" s="54" t="inlineStr">
        <is>
          <t>提出状況 ▶</t>
        </is>
      </c>
      <c r="F705" s="38" t="n"/>
      <c r="G705" s="29" t="n"/>
      <c r="H705" s="55" t="inlineStr">
        <is>
          <t>状況：</t>
        </is>
      </c>
      <c r="I705" s="56">
        <f>'名簿'!H30</f>
        <v/>
      </c>
      <c r="J705" s="55" t="inlineStr">
        <is>
          <t>×の数：</t>
        </is>
      </c>
      <c r="K705" s="57">
        <f>'名簿'!I30</f>
        <v/>
      </c>
      <c r="L705" s="58">
        <f>HYPERLINK("#'×入力'!B733","次の人へ ▼")</f>
        <v/>
      </c>
    </row>
    <row r="706" ht="22" customHeight="1">
      <c r="A706" s="30" t="inlineStr">
        <is>
          <t>この日全部 ▶</t>
        </is>
      </c>
      <c r="C706" s="59" t="n"/>
      <c r="D706" s="59" t="n"/>
      <c r="E706" s="59" t="n"/>
      <c r="F706" s="59" t="n"/>
      <c r="G706" s="59" t="n"/>
      <c r="H706" s="59" t="n"/>
      <c r="I706" s="59" t="n"/>
      <c r="J706" s="59" t="n"/>
      <c r="K706" s="59" t="n"/>
      <c r="L706" s="59" t="n"/>
    </row>
    <row r="707" ht="28" customHeight="1">
      <c r="A707" s="33" t="inlineStr">
        <is>
          <t>この時間
全部 ▼</t>
        </is>
      </c>
      <c r="B707" s="34" t="inlineStr"/>
      <c r="C707" s="35">
        <f>'設定'!$E$11</f>
        <v/>
      </c>
      <c r="D707" s="35">
        <f>'設定'!$E$12</f>
        <v/>
      </c>
      <c r="E707" s="35">
        <f>'設定'!$E$13</f>
        <v/>
      </c>
      <c r="F707" s="35">
        <f>'設定'!$E$14</f>
        <v/>
      </c>
      <c r="G707" s="35">
        <f>'設定'!$E$15</f>
        <v/>
      </c>
      <c r="H707" s="35">
        <f>'設定'!$E$16</f>
        <v/>
      </c>
      <c r="I707" s="35">
        <f>'設定'!$E$17</f>
        <v/>
      </c>
      <c r="J707" s="35">
        <f>'設定'!$E$18</f>
        <v/>
      </c>
      <c r="K707" s="35">
        <f>'設定'!$E$19</f>
        <v/>
      </c>
      <c r="L707" s="35">
        <f>'設定'!$E$20</f>
        <v/>
      </c>
    </row>
    <row r="708" ht="21" customHeight="1">
      <c r="A708" s="59" t="n"/>
      <c r="B708" s="42">
        <f>'設定'!$I$11</f>
        <v/>
      </c>
      <c r="C708" s="60" t="n"/>
      <c r="D708" s="60" t="n"/>
      <c r="E708" s="60" t="n"/>
      <c r="F708" s="60" t="n"/>
      <c r="G708" s="60" t="n"/>
      <c r="H708" s="60" t="n"/>
      <c r="I708" s="60" t="n"/>
      <c r="J708" s="60" t="n"/>
      <c r="K708" s="60" t="n"/>
      <c r="L708" s="60" t="n"/>
    </row>
    <row r="709" ht="21" customHeight="1">
      <c r="A709" s="59" t="n"/>
      <c r="B709" s="42">
        <f>'設定'!$I$12</f>
        <v/>
      </c>
      <c r="C709" s="60" t="n"/>
      <c r="D709" s="60" t="n"/>
      <c r="E709" s="60" t="n"/>
      <c r="F709" s="60" t="n"/>
      <c r="G709" s="60" t="n"/>
      <c r="H709" s="60" t="n"/>
      <c r="I709" s="60" t="n"/>
      <c r="J709" s="60" t="n"/>
      <c r="K709" s="60" t="n"/>
      <c r="L709" s="60" t="n"/>
    </row>
    <row r="710" ht="21" customHeight="1">
      <c r="A710" s="59" t="n"/>
      <c r="B710" s="42">
        <f>'設定'!$I$13</f>
        <v/>
      </c>
      <c r="C710" s="60" t="n"/>
      <c r="D710" s="60" t="n"/>
      <c r="E710" s="60" t="n"/>
      <c r="F710" s="60" t="n"/>
      <c r="G710" s="60" t="n"/>
      <c r="H710" s="60" t="n"/>
      <c r="I710" s="60" t="n"/>
      <c r="J710" s="60" t="n"/>
      <c r="K710" s="60" t="n"/>
      <c r="L710" s="60" t="n"/>
    </row>
    <row r="711" ht="21" customHeight="1">
      <c r="A711" s="59" t="n"/>
      <c r="B711" s="42">
        <f>'設定'!$I$14</f>
        <v/>
      </c>
      <c r="C711" s="60" t="n"/>
      <c r="D711" s="60" t="n"/>
      <c r="E711" s="60" t="n"/>
      <c r="F711" s="60" t="n"/>
      <c r="G711" s="60" t="n"/>
      <c r="H711" s="60" t="n"/>
      <c r="I711" s="60" t="n"/>
      <c r="J711" s="60" t="n"/>
      <c r="K711" s="60" t="n"/>
      <c r="L711" s="60" t="n"/>
    </row>
    <row r="712" ht="21" customHeight="1">
      <c r="A712" s="59" t="n"/>
      <c r="B712" s="42">
        <f>'設定'!$I$15</f>
        <v/>
      </c>
      <c r="C712" s="60" t="n"/>
      <c r="D712" s="60" t="n"/>
      <c r="E712" s="60" t="n"/>
      <c r="F712" s="60" t="n"/>
      <c r="G712" s="60" t="n"/>
      <c r="H712" s="60" t="n"/>
      <c r="I712" s="60" t="n"/>
      <c r="J712" s="60" t="n"/>
      <c r="K712" s="60" t="n"/>
      <c r="L712" s="60" t="n"/>
    </row>
    <row r="713" ht="21" customHeight="1">
      <c r="A713" s="59" t="n"/>
      <c r="B713" s="42">
        <f>'設定'!$I$16</f>
        <v/>
      </c>
      <c r="C713" s="60" t="n"/>
      <c r="D713" s="60" t="n"/>
      <c r="E713" s="60" t="n"/>
      <c r="F713" s="60" t="n"/>
      <c r="G713" s="60" t="n"/>
      <c r="H713" s="60" t="n"/>
      <c r="I713" s="60" t="n"/>
      <c r="J713" s="60" t="n"/>
      <c r="K713" s="60" t="n"/>
      <c r="L713" s="60" t="n"/>
    </row>
    <row r="714" ht="21" customHeight="1">
      <c r="A714" s="59" t="n"/>
      <c r="B714" s="42">
        <f>'設定'!$I$17</f>
        <v/>
      </c>
      <c r="C714" s="60" t="n"/>
      <c r="D714" s="60" t="n"/>
      <c r="E714" s="60" t="n"/>
      <c r="F714" s="60" t="n"/>
      <c r="G714" s="60" t="n"/>
      <c r="H714" s="60" t="n"/>
      <c r="I714" s="60" t="n"/>
      <c r="J714" s="60" t="n"/>
      <c r="K714" s="60" t="n"/>
      <c r="L714" s="60" t="n"/>
    </row>
    <row r="715" ht="21" customHeight="1">
      <c r="A715" s="59" t="n"/>
      <c r="B715" s="42">
        <f>'設定'!$I$18</f>
        <v/>
      </c>
      <c r="C715" s="60" t="n"/>
      <c r="D715" s="60" t="n"/>
      <c r="E715" s="60" t="n"/>
      <c r="F715" s="60" t="n"/>
      <c r="G715" s="60" t="n"/>
      <c r="H715" s="60" t="n"/>
      <c r="I715" s="60" t="n"/>
      <c r="J715" s="60" t="n"/>
      <c r="K715" s="60" t="n"/>
      <c r="L715" s="60" t="n"/>
    </row>
    <row r="716" ht="21" customHeight="1">
      <c r="A716" s="59" t="n"/>
      <c r="B716" s="42">
        <f>'設定'!$I$19</f>
        <v/>
      </c>
      <c r="C716" s="60" t="n"/>
      <c r="D716" s="60" t="n"/>
      <c r="E716" s="60" t="n"/>
      <c r="F716" s="60" t="n"/>
      <c r="G716" s="60" t="n"/>
      <c r="H716" s="60" t="n"/>
      <c r="I716" s="60" t="n"/>
      <c r="J716" s="60" t="n"/>
      <c r="K716" s="60" t="n"/>
      <c r="L716" s="60" t="n"/>
    </row>
    <row r="717" ht="21" customHeight="1">
      <c r="A717" s="59" t="n"/>
      <c r="B717" s="42">
        <f>'設定'!$I$20</f>
        <v/>
      </c>
      <c r="C717" s="60" t="n"/>
      <c r="D717" s="60" t="n"/>
      <c r="E717" s="60" t="n"/>
      <c r="F717" s="60" t="n"/>
      <c r="G717" s="60" t="n"/>
      <c r="H717" s="60" t="n"/>
      <c r="I717" s="60" t="n"/>
      <c r="J717" s="60" t="n"/>
      <c r="K717" s="60" t="n"/>
      <c r="L717" s="60" t="n"/>
    </row>
    <row r="718" ht="21" customHeight="1">
      <c r="A718" s="59" t="n"/>
      <c r="B718" s="42">
        <f>'設定'!$I$21</f>
        <v/>
      </c>
      <c r="C718" s="60" t="n"/>
      <c r="D718" s="60" t="n"/>
      <c r="E718" s="60" t="n"/>
      <c r="F718" s="60" t="n"/>
      <c r="G718" s="60" t="n"/>
      <c r="H718" s="60" t="n"/>
      <c r="I718" s="60" t="n"/>
      <c r="J718" s="60" t="n"/>
      <c r="K718" s="60" t="n"/>
      <c r="L718" s="60" t="n"/>
    </row>
    <row r="719" ht="21" customHeight="1">
      <c r="A719" s="59" t="n"/>
      <c r="B719" s="42">
        <f>'設定'!$I$22</f>
        <v/>
      </c>
      <c r="C719" s="60" t="n"/>
      <c r="D719" s="60" t="n"/>
      <c r="E719" s="60" t="n"/>
      <c r="F719" s="60" t="n"/>
      <c r="G719" s="60" t="n"/>
      <c r="H719" s="60" t="n"/>
      <c r="I719" s="60" t="n"/>
      <c r="J719" s="60" t="n"/>
      <c r="K719" s="60" t="n"/>
      <c r="L719" s="60" t="n"/>
    </row>
    <row r="720" ht="21" customHeight="1">
      <c r="A720" s="59" t="n"/>
      <c r="B720" s="42">
        <f>'設定'!$I$23</f>
        <v/>
      </c>
      <c r="C720" s="60" t="n"/>
      <c r="D720" s="60" t="n"/>
      <c r="E720" s="60" t="n"/>
      <c r="F720" s="60" t="n"/>
      <c r="G720" s="60" t="n"/>
      <c r="H720" s="60" t="n"/>
      <c r="I720" s="60" t="n"/>
      <c r="J720" s="60" t="n"/>
      <c r="K720" s="60" t="n"/>
      <c r="L720" s="60" t="n"/>
    </row>
    <row r="721" ht="21" customHeight="1">
      <c r="A721" s="59" t="n"/>
      <c r="B721" s="42">
        <f>'設定'!$I$24</f>
        <v/>
      </c>
      <c r="C721" s="60" t="n"/>
      <c r="D721" s="60" t="n"/>
      <c r="E721" s="60" t="n"/>
      <c r="F721" s="60" t="n"/>
      <c r="G721" s="60" t="n"/>
      <c r="H721" s="60" t="n"/>
      <c r="I721" s="60" t="n"/>
      <c r="J721" s="60" t="n"/>
      <c r="K721" s="60" t="n"/>
      <c r="L721" s="60" t="n"/>
    </row>
    <row r="722" ht="21" customHeight="1">
      <c r="A722" s="59" t="n"/>
      <c r="B722" s="42">
        <f>'設定'!$I$25</f>
        <v/>
      </c>
      <c r="C722" s="60" t="n"/>
      <c r="D722" s="60" t="n"/>
      <c r="E722" s="60" t="n"/>
      <c r="F722" s="60" t="n"/>
      <c r="G722" s="60" t="n"/>
      <c r="H722" s="60" t="n"/>
      <c r="I722" s="60" t="n"/>
      <c r="J722" s="60" t="n"/>
      <c r="K722" s="60" t="n"/>
      <c r="L722" s="60" t="n"/>
    </row>
    <row r="723" ht="21" customHeight="1">
      <c r="A723" s="59" t="n"/>
      <c r="B723" s="42">
        <f>'設定'!$I$26</f>
        <v/>
      </c>
      <c r="C723" s="60" t="n"/>
      <c r="D723" s="60" t="n"/>
      <c r="E723" s="60" t="n"/>
      <c r="F723" s="60" t="n"/>
      <c r="G723" s="60" t="n"/>
      <c r="H723" s="60" t="n"/>
      <c r="I723" s="60" t="n"/>
      <c r="J723" s="60" t="n"/>
      <c r="K723" s="60" t="n"/>
      <c r="L723" s="60" t="n"/>
    </row>
    <row r="724" ht="21" customHeight="1">
      <c r="A724" s="59" t="n"/>
      <c r="B724" s="42">
        <f>'設定'!$I$27</f>
        <v/>
      </c>
      <c r="C724" s="60" t="n"/>
      <c r="D724" s="60" t="n"/>
      <c r="E724" s="60" t="n"/>
      <c r="F724" s="60" t="n"/>
      <c r="G724" s="60" t="n"/>
      <c r="H724" s="60" t="n"/>
      <c r="I724" s="60" t="n"/>
      <c r="J724" s="60" t="n"/>
      <c r="K724" s="60" t="n"/>
      <c r="L724" s="60" t="n"/>
    </row>
    <row r="725" ht="21" customHeight="1">
      <c r="A725" s="59" t="n"/>
      <c r="B725" s="42">
        <f>'設定'!$I$28</f>
        <v/>
      </c>
      <c r="C725" s="60" t="n"/>
      <c r="D725" s="60" t="n"/>
      <c r="E725" s="60" t="n"/>
      <c r="F725" s="60" t="n"/>
      <c r="G725" s="60" t="n"/>
      <c r="H725" s="60" t="n"/>
      <c r="I725" s="60" t="n"/>
      <c r="J725" s="60" t="n"/>
      <c r="K725" s="60" t="n"/>
      <c r="L725" s="60" t="n"/>
    </row>
    <row r="726" ht="21" customHeight="1">
      <c r="A726" s="59" t="n"/>
      <c r="B726" s="42">
        <f>'設定'!$I$29</f>
        <v/>
      </c>
      <c r="C726" s="60" t="n"/>
      <c r="D726" s="60" t="n"/>
      <c r="E726" s="60" t="n"/>
      <c r="F726" s="60" t="n"/>
      <c r="G726" s="60" t="n"/>
      <c r="H726" s="60" t="n"/>
      <c r="I726" s="60" t="n"/>
      <c r="J726" s="60" t="n"/>
      <c r="K726" s="60" t="n"/>
      <c r="L726" s="60" t="n"/>
    </row>
    <row r="727" ht="21" customHeight="1">
      <c r="A727" s="59" t="n"/>
      <c r="B727" s="42">
        <f>'設定'!$I$30</f>
        <v/>
      </c>
      <c r="C727" s="60" t="n"/>
      <c r="D727" s="60" t="n"/>
      <c r="E727" s="60" t="n"/>
      <c r="F727" s="60" t="n"/>
      <c r="G727" s="60" t="n"/>
      <c r="H727" s="60" t="n"/>
      <c r="I727" s="60" t="n"/>
      <c r="J727" s="60" t="n"/>
      <c r="K727" s="60" t="n"/>
      <c r="L727" s="60" t="n"/>
    </row>
    <row r="728" ht="21" customHeight="1">
      <c r="A728" s="59" t="n"/>
      <c r="B728" s="42">
        <f>'設定'!$I$31</f>
        <v/>
      </c>
      <c r="C728" s="60" t="n"/>
      <c r="D728" s="60" t="n"/>
      <c r="E728" s="60" t="n"/>
      <c r="F728" s="60" t="n"/>
      <c r="G728" s="60" t="n"/>
      <c r="H728" s="60" t="n"/>
      <c r="I728" s="60" t="n"/>
      <c r="J728" s="60" t="n"/>
      <c r="K728" s="60" t="n"/>
      <c r="L728" s="60" t="n"/>
    </row>
    <row r="729" ht="21" customHeight="1">
      <c r="A729" s="59" t="n"/>
      <c r="B729" s="42">
        <f>'設定'!$I$32</f>
        <v/>
      </c>
      <c r="C729" s="60" t="n"/>
      <c r="D729" s="60" t="n"/>
      <c r="E729" s="60" t="n"/>
      <c r="F729" s="60" t="n"/>
      <c r="G729" s="60" t="n"/>
      <c r="H729" s="60" t="n"/>
      <c r="I729" s="60" t="n"/>
      <c r="J729" s="60" t="n"/>
      <c r="K729" s="60" t="n"/>
      <c r="L729" s="60" t="n"/>
    </row>
    <row r="730" ht="21" customHeight="1">
      <c r="A730" s="59" t="n"/>
      <c r="B730" s="42">
        <f>'設定'!$I$33</f>
        <v/>
      </c>
      <c r="C730" s="60" t="n"/>
      <c r="D730" s="60" t="n"/>
      <c r="E730" s="60" t="n"/>
      <c r="F730" s="60" t="n"/>
      <c r="G730" s="60" t="n"/>
      <c r="H730" s="60" t="n"/>
      <c r="I730" s="60" t="n"/>
      <c r="J730" s="60" t="n"/>
      <c r="K730" s="60" t="n"/>
      <c r="L730" s="60" t="n"/>
    </row>
    <row r="731" ht="21" customHeight="1">
      <c r="A731" s="59" t="n"/>
      <c r="B731" s="42">
        <f>'設定'!$I$34</f>
        <v/>
      </c>
      <c r="C731" s="60" t="n"/>
      <c r="D731" s="60" t="n"/>
      <c r="E731" s="60" t="n"/>
      <c r="F731" s="60" t="n"/>
      <c r="G731" s="60" t="n"/>
      <c r="H731" s="60" t="n"/>
      <c r="I731" s="60" t="n"/>
      <c r="J731" s="60" t="n"/>
      <c r="K731" s="60" t="n"/>
      <c r="L731" s="60" t="n"/>
    </row>
    <row r="732"/>
    <row r="733" ht="26" customHeight="1">
      <c r="B733" s="53">
        <f>IF('名簿'!B31="","（名簿 27行目：なし）",'名簿'!G31)</f>
        <v/>
      </c>
      <c r="C733" s="4" t="n"/>
      <c r="D733" s="4" t="n"/>
      <c r="E733" s="54" t="inlineStr">
        <is>
          <t>提出状況 ▶</t>
        </is>
      </c>
      <c r="F733" s="38" t="n"/>
      <c r="G733" s="29" t="n"/>
      <c r="H733" s="55" t="inlineStr">
        <is>
          <t>状況：</t>
        </is>
      </c>
      <c r="I733" s="56">
        <f>'名簿'!H31</f>
        <v/>
      </c>
      <c r="J733" s="55" t="inlineStr">
        <is>
          <t>×の数：</t>
        </is>
      </c>
      <c r="K733" s="57">
        <f>'名簿'!I31</f>
        <v/>
      </c>
      <c r="L733" s="58">
        <f>HYPERLINK("#'×入力'!B761","次の人へ ▼")</f>
        <v/>
      </c>
    </row>
    <row r="734" ht="22" customHeight="1">
      <c r="A734" s="30" t="inlineStr">
        <is>
          <t>この日全部 ▶</t>
        </is>
      </c>
      <c r="C734" s="59" t="n"/>
      <c r="D734" s="59" t="n"/>
      <c r="E734" s="59" t="n"/>
      <c r="F734" s="59" t="n"/>
      <c r="G734" s="59" t="n"/>
      <c r="H734" s="59" t="n"/>
      <c r="I734" s="59" t="n"/>
      <c r="J734" s="59" t="n"/>
      <c r="K734" s="59" t="n"/>
      <c r="L734" s="59" t="n"/>
    </row>
    <row r="735" ht="28" customHeight="1">
      <c r="A735" s="33" t="inlineStr">
        <is>
          <t>この時間
全部 ▼</t>
        </is>
      </c>
      <c r="B735" s="34" t="inlineStr"/>
      <c r="C735" s="35">
        <f>'設定'!$E$11</f>
        <v/>
      </c>
      <c r="D735" s="35">
        <f>'設定'!$E$12</f>
        <v/>
      </c>
      <c r="E735" s="35">
        <f>'設定'!$E$13</f>
        <v/>
      </c>
      <c r="F735" s="35">
        <f>'設定'!$E$14</f>
        <v/>
      </c>
      <c r="G735" s="35">
        <f>'設定'!$E$15</f>
        <v/>
      </c>
      <c r="H735" s="35">
        <f>'設定'!$E$16</f>
        <v/>
      </c>
      <c r="I735" s="35">
        <f>'設定'!$E$17</f>
        <v/>
      </c>
      <c r="J735" s="35">
        <f>'設定'!$E$18</f>
        <v/>
      </c>
      <c r="K735" s="35">
        <f>'設定'!$E$19</f>
        <v/>
      </c>
      <c r="L735" s="35">
        <f>'設定'!$E$20</f>
        <v/>
      </c>
    </row>
    <row r="736" ht="21" customHeight="1">
      <c r="A736" s="59" t="n"/>
      <c r="B736" s="42">
        <f>'設定'!$I$11</f>
        <v/>
      </c>
      <c r="C736" s="60" t="n"/>
      <c r="D736" s="60" t="n"/>
      <c r="E736" s="60" t="n"/>
      <c r="F736" s="60" t="n"/>
      <c r="G736" s="60" t="n"/>
      <c r="H736" s="60" t="n"/>
      <c r="I736" s="60" t="n"/>
      <c r="J736" s="60" t="n"/>
      <c r="K736" s="60" t="n"/>
      <c r="L736" s="60" t="n"/>
    </row>
    <row r="737" ht="21" customHeight="1">
      <c r="A737" s="59" t="n"/>
      <c r="B737" s="42">
        <f>'設定'!$I$12</f>
        <v/>
      </c>
      <c r="C737" s="60" t="n"/>
      <c r="D737" s="60" t="n"/>
      <c r="E737" s="60" t="n"/>
      <c r="F737" s="60" t="n"/>
      <c r="G737" s="60" t="n"/>
      <c r="H737" s="60" t="n"/>
      <c r="I737" s="60" t="n"/>
      <c r="J737" s="60" t="n"/>
      <c r="K737" s="60" t="n"/>
      <c r="L737" s="60" t="n"/>
    </row>
    <row r="738" ht="21" customHeight="1">
      <c r="A738" s="59" t="n"/>
      <c r="B738" s="42">
        <f>'設定'!$I$13</f>
        <v/>
      </c>
      <c r="C738" s="60" t="n"/>
      <c r="D738" s="60" t="n"/>
      <c r="E738" s="60" t="n"/>
      <c r="F738" s="60" t="n"/>
      <c r="G738" s="60" t="n"/>
      <c r="H738" s="60" t="n"/>
      <c r="I738" s="60" t="n"/>
      <c r="J738" s="60" t="n"/>
      <c r="K738" s="60" t="n"/>
      <c r="L738" s="60" t="n"/>
    </row>
    <row r="739" ht="21" customHeight="1">
      <c r="A739" s="59" t="n"/>
      <c r="B739" s="42">
        <f>'設定'!$I$14</f>
        <v/>
      </c>
      <c r="C739" s="60" t="n"/>
      <c r="D739" s="60" t="n"/>
      <c r="E739" s="60" t="n"/>
      <c r="F739" s="60" t="n"/>
      <c r="G739" s="60" t="n"/>
      <c r="H739" s="60" t="n"/>
      <c r="I739" s="60" t="n"/>
      <c r="J739" s="60" t="n"/>
      <c r="K739" s="60" t="n"/>
      <c r="L739" s="60" t="n"/>
    </row>
    <row r="740" ht="21" customHeight="1">
      <c r="A740" s="59" t="n"/>
      <c r="B740" s="42">
        <f>'設定'!$I$15</f>
        <v/>
      </c>
      <c r="C740" s="60" t="n"/>
      <c r="D740" s="60" t="n"/>
      <c r="E740" s="60" t="n"/>
      <c r="F740" s="60" t="n"/>
      <c r="G740" s="60" t="n"/>
      <c r="H740" s="60" t="n"/>
      <c r="I740" s="60" t="n"/>
      <c r="J740" s="60" t="n"/>
      <c r="K740" s="60" t="n"/>
      <c r="L740" s="60" t="n"/>
    </row>
    <row r="741" ht="21" customHeight="1">
      <c r="A741" s="59" t="n"/>
      <c r="B741" s="42">
        <f>'設定'!$I$16</f>
        <v/>
      </c>
      <c r="C741" s="60" t="n"/>
      <c r="D741" s="60" t="n"/>
      <c r="E741" s="60" t="n"/>
      <c r="F741" s="60" t="n"/>
      <c r="G741" s="60" t="n"/>
      <c r="H741" s="60" t="n"/>
      <c r="I741" s="60" t="n"/>
      <c r="J741" s="60" t="n"/>
      <c r="K741" s="60" t="n"/>
      <c r="L741" s="60" t="n"/>
    </row>
    <row r="742" ht="21" customHeight="1">
      <c r="A742" s="59" t="n"/>
      <c r="B742" s="42">
        <f>'設定'!$I$17</f>
        <v/>
      </c>
      <c r="C742" s="60" t="n"/>
      <c r="D742" s="60" t="n"/>
      <c r="E742" s="60" t="n"/>
      <c r="F742" s="60" t="n"/>
      <c r="G742" s="60" t="n"/>
      <c r="H742" s="60" t="n"/>
      <c r="I742" s="60" t="n"/>
      <c r="J742" s="60" t="n"/>
      <c r="K742" s="60" t="n"/>
      <c r="L742" s="60" t="n"/>
    </row>
    <row r="743" ht="21" customHeight="1">
      <c r="A743" s="59" t="n"/>
      <c r="B743" s="42">
        <f>'設定'!$I$18</f>
        <v/>
      </c>
      <c r="C743" s="60" t="n"/>
      <c r="D743" s="60" t="n"/>
      <c r="E743" s="60" t="n"/>
      <c r="F743" s="60" t="n"/>
      <c r="G743" s="60" t="n"/>
      <c r="H743" s="60" t="n"/>
      <c r="I743" s="60" t="n"/>
      <c r="J743" s="60" t="n"/>
      <c r="K743" s="60" t="n"/>
      <c r="L743" s="60" t="n"/>
    </row>
    <row r="744" ht="21" customHeight="1">
      <c r="A744" s="59" t="n"/>
      <c r="B744" s="42">
        <f>'設定'!$I$19</f>
        <v/>
      </c>
      <c r="C744" s="60" t="n"/>
      <c r="D744" s="60" t="n"/>
      <c r="E744" s="60" t="n"/>
      <c r="F744" s="60" t="n"/>
      <c r="G744" s="60" t="n"/>
      <c r="H744" s="60" t="n"/>
      <c r="I744" s="60" t="n"/>
      <c r="J744" s="60" t="n"/>
      <c r="K744" s="60" t="n"/>
      <c r="L744" s="60" t="n"/>
    </row>
    <row r="745" ht="21" customHeight="1">
      <c r="A745" s="59" t="n"/>
      <c r="B745" s="42">
        <f>'設定'!$I$20</f>
        <v/>
      </c>
      <c r="C745" s="60" t="n"/>
      <c r="D745" s="60" t="n"/>
      <c r="E745" s="60" t="n"/>
      <c r="F745" s="60" t="n"/>
      <c r="G745" s="60" t="n"/>
      <c r="H745" s="60" t="n"/>
      <c r="I745" s="60" t="n"/>
      <c r="J745" s="60" t="n"/>
      <c r="K745" s="60" t="n"/>
      <c r="L745" s="60" t="n"/>
    </row>
    <row r="746" ht="21" customHeight="1">
      <c r="A746" s="59" t="n"/>
      <c r="B746" s="42">
        <f>'設定'!$I$21</f>
        <v/>
      </c>
      <c r="C746" s="60" t="n"/>
      <c r="D746" s="60" t="n"/>
      <c r="E746" s="60" t="n"/>
      <c r="F746" s="60" t="n"/>
      <c r="G746" s="60" t="n"/>
      <c r="H746" s="60" t="n"/>
      <c r="I746" s="60" t="n"/>
      <c r="J746" s="60" t="n"/>
      <c r="K746" s="60" t="n"/>
      <c r="L746" s="60" t="n"/>
    </row>
    <row r="747" ht="21" customHeight="1">
      <c r="A747" s="59" t="n"/>
      <c r="B747" s="42">
        <f>'設定'!$I$22</f>
        <v/>
      </c>
      <c r="C747" s="60" t="n"/>
      <c r="D747" s="60" t="n"/>
      <c r="E747" s="60" t="n"/>
      <c r="F747" s="60" t="n"/>
      <c r="G747" s="60" t="n"/>
      <c r="H747" s="60" t="n"/>
      <c r="I747" s="60" t="n"/>
      <c r="J747" s="60" t="n"/>
      <c r="K747" s="60" t="n"/>
      <c r="L747" s="60" t="n"/>
    </row>
    <row r="748" ht="21" customHeight="1">
      <c r="A748" s="59" t="n"/>
      <c r="B748" s="42">
        <f>'設定'!$I$23</f>
        <v/>
      </c>
      <c r="C748" s="60" t="n"/>
      <c r="D748" s="60" t="n"/>
      <c r="E748" s="60" t="n"/>
      <c r="F748" s="60" t="n"/>
      <c r="G748" s="60" t="n"/>
      <c r="H748" s="60" t="n"/>
      <c r="I748" s="60" t="n"/>
      <c r="J748" s="60" t="n"/>
      <c r="K748" s="60" t="n"/>
      <c r="L748" s="60" t="n"/>
    </row>
    <row r="749" ht="21" customHeight="1">
      <c r="A749" s="59" t="n"/>
      <c r="B749" s="42">
        <f>'設定'!$I$24</f>
        <v/>
      </c>
      <c r="C749" s="60" t="n"/>
      <c r="D749" s="60" t="n"/>
      <c r="E749" s="60" t="n"/>
      <c r="F749" s="60" t="n"/>
      <c r="G749" s="60" t="n"/>
      <c r="H749" s="60" t="n"/>
      <c r="I749" s="60" t="n"/>
      <c r="J749" s="60" t="n"/>
      <c r="K749" s="60" t="n"/>
      <c r="L749" s="60" t="n"/>
    </row>
    <row r="750" ht="21" customHeight="1">
      <c r="A750" s="59" t="n"/>
      <c r="B750" s="42">
        <f>'設定'!$I$25</f>
        <v/>
      </c>
      <c r="C750" s="60" t="n"/>
      <c r="D750" s="60" t="n"/>
      <c r="E750" s="60" t="n"/>
      <c r="F750" s="60" t="n"/>
      <c r="G750" s="60" t="n"/>
      <c r="H750" s="60" t="n"/>
      <c r="I750" s="60" t="n"/>
      <c r="J750" s="60" t="n"/>
      <c r="K750" s="60" t="n"/>
      <c r="L750" s="60" t="n"/>
    </row>
    <row r="751" ht="21" customHeight="1">
      <c r="A751" s="59" t="n"/>
      <c r="B751" s="42">
        <f>'設定'!$I$26</f>
        <v/>
      </c>
      <c r="C751" s="60" t="n"/>
      <c r="D751" s="60" t="n"/>
      <c r="E751" s="60" t="n"/>
      <c r="F751" s="60" t="n"/>
      <c r="G751" s="60" t="n"/>
      <c r="H751" s="60" t="n"/>
      <c r="I751" s="60" t="n"/>
      <c r="J751" s="60" t="n"/>
      <c r="K751" s="60" t="n"/>
      <c r="L751" s="60" t="n"/>
    </row>
    <row r="752" ht="21" customHeight="1">
      <c r="A752" s="59" t="n"/>
      <c r="B752" s="42">
        <f>'設定'!$I$27</f>
        <v/>
      </c>
      <c r="C752" s="60" t="n"/>
      <c r="D752" s="60" t="n"/>
      <c r="E752" s="60" t="n"/>
      <c r="F752" s="60" t="n"/>
      <c r="G752" s="60" t="n"/>
      <c r="H752" s="60" t="n"/>
      <c r="I752" s="60" t="n"/>
      <c r="J752" s="60" t="n"/>
      <c r="K752" s="60" t="n"/>
      <c r="L752" s="60" t="n"/>
    </row>
    <row r="753" ht="21" customHeight="1">
      <c r="A753" s="59" t="n"/>
      <c r="B753" s="42">
        <f>'設定'!$I$28</f>
        <v/>
      </c>
      <c r="C753" s="60" t="n"/>
      <c r="D753" s="60" t="n"/>
      <c r="E753" s="60" t="n"/>
      <c r="F753" s="60" t="n"/>
      <c r="G753" s="60" t="n"/>
      <c r="H753" s="60" t="n"/>
      <c r="I753" s="60" t="n"/>
      <c r="J753" s="60" t="n"/>
      <c r="K753" s="60" t="n"/>
      <c r="L753" s="60" t="n"/>
    </row>
    <row r="754" ht="21" customHeight="1">
      <c r="A754" s="59" t="n"/>
      <c r="B754" s="42">
        <f>'設定'!$I$29</f>
        <v/>
      </c>
      <c r="C754" s="60" t="n"/>
      <c r="D754" s="60" t="n"/>
      <c r="E754" s="60" t="n"/>
      <c r="F754" s="60" t="n"/>
      <c r="G754" s="60" t="n"/>
      <c r="H754" s="60" t="n"/>
      <c r="I754" s="60" t="n"/>
      <c r="J754" s="60" t="n"/>
      <c r="K754" s="60" t="n"/>
      <c r="L754" s="60" t="n"/>
    </row>
    <row r="755" ht="21" customHeight="1">
      <c r="A755" s="59" t="n"/>
      <c r="B755" s="42">
        <f>'設定'!$I$30</f>
        <v/>
      </c>
      <c r="C755" s="60" t="n"/>
      <c r="D755" s="60" t="n"/>
      <c r="E755" s="60" t="n"/>
      <c r="F755" s="60" t="n"/>
      <c r="G755" s="60" t="n"/>
      <c r="H755" s="60" t="n"/>
      <c r="I755" s="60" t="n"/>
      <c r="J755" s="60" t="n"/>
      <c r="K755" s="60" t="n"/>
      <c r="L755" s="60" t="n"/>
    </row>
    <row r="756" ht="21" customHeight="1">
      <c r="A756" s="59" t="n"/>
      <c r="B756" s="42">
        <f>'設定'!$I$31</f>
        <v/>
      </c>
      <c r="C756" s="60" t="n"/>
      <c r="D756" s="60" t="n"/>
      <c r="E756" s="60" t="n"/>
      <c r="F756" s="60" t="n"/>
      <c r="G756" s="60" t="n"/>
      <c r="H756" s="60" t="n"/>
      <c r="I756" s="60" t="n"/>
      <c r="J756" s="60" t="n"/>
      <c r="K756" s="60" t="n"/>
      <c r="L756" s="60" t="n"/>
    </row>
    <row r="757" ht="21" customHeight="1">
      <c r="A757" s="59" t="n"/>
      <c r="B757" s="42">
        <f>'設定'!$I$32</f>
        <v/>
      </c>
      <c r="C757" s="60" t="n"/>
      <c r="D757" s="60" t="n"/>
      <c r="E757" s="60" t="n"/>
      <c r="F757" s="60" t="n"/>
      <c r="G757" s="60" t="n"/>
      <c r="H757" s="60" t="n"/>
      <c r="I757" s="60" t="n"/>
      <c r="J757" s="60" t="n"/>
      <c r="K757" s="60" t="n"/>
      <c r="L757" s="60" t="n"/>
    </row>
    <row r="758" ht="21" customHeight="1">
      <c r="A758" s="59" t="n"/>
      <c r="B758" s="42">
        <f>'設定'!$I$33</f>
        <v/>
      </c>
      <c r="C758" s="60" t="n"/>
      <c r="D758" s="60" t="n"/>
      <c r="E758" s="60" t="n"/>
      <c r="F758" s="60" t="n"/>
      <c r="G758" s="60" t="n"/>
      <c r="H758" s="60" t="n"/>
      <c r="I758" s="60" t="n"/>
      <c r="J758" s="60" t="n"/>
      <c r="K758" s="60" t="n"/>
      <c r="L758" s="60" t="n"/>
    </row>
    <row r="759" ht="21" customHeight="1">
      <c r="A759" s="59" t="n"/>
      <c r="B759" s="42">
        <f>'設定'!$I$34</f>
        <v/>
      </c>
      <c r="C759" s="60" t="n"/>
      <c r="D759" s="60" t="n"/>
      <c r="E759" s="60" t="n"/>
      <c r="F759" s="60" t="n"/>
      <c r="G759" s="60" t="n"/>
      <c r="H759" s="60" t="n"/>
      <c r="I759" s="60" t="n"/>
      <c r="J759" s="60" t="n"/>
      <c r="K759" s="60" t="n"/>
      <c r="L759" s="60" t="n"/>
    </row>
    <row r="760"/>
    <row r="761" ht="26" customHeight="1">
      <c r="B761" s="53">
        <f>IF('名簿'!B32="","（名簿 28行目：なし）",'名簿'!G32)</f>
        <v/>
      </c>
      <c r="C761" s="4" t="n"/>
      <c r="D761" s="4" t="n"/>
      <c r="E761" s="54" t="inlineStr">
        <is>
          <t>提出状況 ▶</t>
        </is>
      </c>
      <c r="F761" s="38" t="n"/>
      <c r="G761" s="29" t="n"/>
      <c r="H761" s="55" t="inlineStr">
        <is>
          <t>状況：</t>
        </is>
      </c>
      <c r="I761" s="56">
        <f>'名簿'!H32</f>
        <v/>
      </c>
      <c r="J761" s="55" t="inlineStr">
        <is>
          <t>×の数：</t>
        </is>
      </c>
      <c r="K761" s="57">
        <f>'名簿'!I32</f>
        <v/>
      </c>
      <c r="L761" s="58">
        <f>HYPERLINK("#'×入力'!B789","次の人へ ▼")</f>
        <v/>
      </c>
    </row>
    <row r="762" ht="22" customHeight="1">
      <c r="A762" s="30" t="inlineStr">
        <is>
          <t>この日全部 ▶</t>
        </is>
      </c>
      <c r="C762" s="59" t="n"/>
      <c r="D762" s="59" t="n"/>
      <c r="E762" s="59" t="n"/>
      <c r="F762" s="59" t="n"/>
      <c r="G762" s="59" t="n"/>
      <c r="H762" s="59" t="n"/>
      <c r="I762" s="59" t="n"/>
      <c r="J762" s="59" t="n"/>
      <c r="K762" s="59" t="n"/>
      <c r="L762" s="59" t="n"/>
    </row>
    <row r="763" ht="28" customHeight="1">
      <c r="A763" s="33" t="inlineStr">
        <is>
          <t>この時間
全部 ▼</t>
        </is>
      </c>
      <c r="B763" s="34" t="inlineStr"/>
      <c r="C763" s="35">
        <f>'設定'!$E$11</f>
        <v/>
      </c>
      <c r="D763" s="35">
        <f>'設定'!$E$12</f>
        <v/>
      </c>
      <c r="E763" s="35">
        <f>'設定'!$E$13</f>
        <v/>
      </c>
      <c r="F763" s="35">
        <f>'設定'!$E$14</f>
        <v/>
      </c>
      <c r="G763" s="35">
        <f>'設定'!$E$15</f>
        <v/>
      </c>
      <c r="H763" s="35">
        <f>'設定'!$E$16</f>
        <v/>
      </c>
      <c r="I763" s="35">
        <f>'設定'!$E$17</f>
        <v/>
      </c>
      <c r="J763" s="35">
        <f>'設定'!$E$18</f>
        <v/>
      </c>
      <c r="K763" s="35">
        <f>'設定'!$E$19</f>
        <v/>
      </c>
      <c r="L763" s="35">
        <f>'設定'!$E$20</f>
        <v/>
      </c>
    </row>
    <row r="764" ht="21" customHeight="1">
      <c r="A764" s="59" t="n"/>
      <c r="B764" s="42">
        <f>'設定'!$I$11</f>
        <v/>
      </c>
      <c r="C764" s="60" t="n"/>
      <c r="D764" s="60" t="n"/>
      <c r="E764" s="60" t="n"/>
      <c r="F764" s="60" t="n"/>
      <c r="G764" s="60" t="n"/>
      <c r="H764" s="60" t="n"/>
      <c r="I764" s="60" t="n"/>
      <c r="J764" s="60" t="n"/>
      <c r="K764" s="60" t="n"/>
      <c r="L764" s="60" t="n"/>
    </row>
    <row r="765" ht="21" customHeight="1">
      <c r="A765" s="59" t="n"/>
      <c r="B765" s="42">
        <f>'設定'!$I$12</f>
        <v/>
      </c>
      <c r="C765" s="60" t="n"/>
      <c r="D765" s="60" t="n"/>
      <c r="E765" s="60" t="n"/>
      <c r="F765" s="60" t="n"/>
      <c r="G765" s="60" t="n"/>
      <c r="H765" s="60" t="n"/>
      <c r="I765" s="60" t="n"/>
      <c r="J765" s="60" t="n"/>
      <c r="K765" s="60" t="n"/>
      <c r="L765" s="60" t="n"/>
    </row>
    <row r="766" ht="21" customHeight="1">
      <c r="A766" s="59" t="n"/>
      <c r="B766" s="42">
        <f>'設定'!$I$13</f>
        <v/>
      </c>
      <c r="C766" s="60" t="n"/>
      <c r="D766" s="60" t="n"/>
      <c r="E766" s="60" t="n"/>
      <c r="F766" s="60" t="n"/>
      <c r="G766" s="60" t="n"/>
      <c r="H766" s="60" t="n"/>
      <c r="I766" s="60" t="n"/>
      <c r="J766" s="60" t="n"/>
      <c r="K766" s="60" t="n"/>
      <c r="L766" s="60" t="n"/>
    </row>
    <row r="767" ht="21" customHeight="1">
      <c r="A767" s="59" t="n"/>
      <c r="B767" s="42">
        <f>'設定'!$I$14</f>
        <v/>
      </c>
      <c r="C767" s="60" t="n"/>
      <c r="D767" s="60" t="n"/>
      <c r="E767" s="60" t="n"/>
      <c r="F767" s="60" t="n"/>
      <c r="G767" s="60" t="n"/>
      <c r="H767" s="60" t="n"/>
      <c r="I767" s="60" t="n"/>
      <c r="J767" s="60" t="n"/>
      <c r="K767" s="60" t="n"/>
      <c r="L767" s="60" t="n"/>
    </row>
    <row r="768" ht="21" customHeight="1">
      <c r="A768" s="59" t="n"/>
      <c r="B768" s="42">
        <f>'設定'!$I$15</f>
        <v/>
      </c>
      <c r="C768" s="60" t="n"/>
      <c r="D768" s="60" t="n"/>
      <c r="E768" s="60" t="n"/>
      <c r="F768" s="60" t="n"/>
      <c r="G768" s="60" t="n"/>
      <c r="H768" s="60" t="n"/>
      <c r="I768" s="60" t="n"/>
      <c r="J768" s="60" t="n"/>
      <c r="K768" s="60" t="n"/>
      <c r="L768" s="60" t="n"/>
    </row>
    <row r="769" ht="21" customHeight="1">
      <c r="A769" s="59" t="n"/>
      <c r="B769" s="42">
        <f>'設定'!$I$16</f>
        <v/>
      </c>
      <c r="C769" s="60" t="n"/>
      <c r="D769" s="60" t="n"/>
      <c r="E769" s="60" t="n"/>
      <c r="F769" s="60" t="n"/>
      <c r="G769" s="60" t="n"/>
      <c r="H769" s="60" t="n"/>
      <c r="I769" s="60" t="n"/>
      <c r="J769" s="60" t="n"/>
      <c r="K769" s="60" t="n"/>
      <c r="L769" s="60" t="n"/>
    </row>
    <row r="770" ht="21" customHeight="1">
      <c r="A770" s="59" t="n"/>
      <c r="B770" s="42">
        <f>'設定'!$I$17</f>
        <v/>
      </c>
      <c r="C770" s="60" t="n"/>
      <c r="D770" s="60" t="n"/>
      <c r="E770" s="60" t="n"/>
      <c r="F770" s="60" t="n"/>
      <c r="G770" s="60" t="n"/>
      <c r="H770" s="60" t="n"/>
      <c r="I770" s="60" t="n"/>
      <c r="J770" s="60" t="n"/>
      <c r="K770" s="60" t="n"/>
      <c r="L770" s="60" t="n"/>
    </row>
    <row r="771" ht="21" customHeight="1">
      <c r="A771" s="59" t="n"/>
      <c r="B771" s="42">
        <f>'設定'!$I$18</f>
        <v/>
      </c>
      <c r="C771" s="60" t="n"/>
      <c r="D771" s="60" t="n"/>
      <c r="E771" s="60" t="n"/>
      <c r="F771" s="60" t="n"/>
      <c r="G771" s="60" t="n"/>
      <c r="H771" s="60" t="n"/>
      <c r="I771" s="60" t="n"/>
      <c r="J771" s="60" t="n"/>
      <c r="K771" s="60" t="n"/>
      <c r="L771" s="60" t="n"/>
    </row>
    <row r="772" ht="21" customHeight="1">
      <c r="A772" s="59" t="n"/>
      <c r="B772" s="42">
        <f>'設定'!$I$19</f>
        <v/>
      </c>
      <c r="C772" s="60" t="n"/>
      <c r="D772" s="60" t="n"/>
      <c r="E772" s="60" t="n"/>
      <c r="F772" s="60" t="n"/>
      <c r="G772" s="60" t="n"/>
      <c r="H772" s="60" t="n"/>
      <c r="I772" s="60" t="n"/>
      <c r="J772" s="60" t="n"/>
      <c r="K772" s="60" t="n"/>
      <c r="L772" s="60" t="n"/>
    </row>
    <row r="773" ht="21" customHeight="1">
      <c r="A773" s="59" t="n"/>
      <c r="B773" s="42">
        <f>'設定'!$I$20</f>
        <v/>
      </c>
      <c r="C773" s="60" t="n"/>
      <c r="D773" s="60" t="n"/>
      <c r="E773" s="60" t="n"/>
      <c r="F773" s="60" t="n"/>
      <c r="G773" s="60" t="n"/>
      <c r="H773" s="60" t="n"/>
      <c r="I773" s="60" t="n"/>
      <c r="J773" s="60" t="n"/>
      <c r="K773" s="60" t="n"/>
      <c r="L773" s="60" t="n"/>
    </row>
    <row r="774" ht="21" customHeight="1">
      <c r="A774" s="59" t="n"/>
      <c r="B774" s="42">
        <f>'設定'!$I$21</f>
        <v/>
      </c>
      <c r="C774" s="60" t="n"/>
      <c r="D774" s="60" t="n"/>
      <c r="E774" s="60" t="n"/>
      <c r="F774" s="60" t="n"/>
      <c r="G774" s="60" t="n"/>
      <c r="H774" s="60" t="n"/>
      <c r="I774" s="60" t="n"/>
      <c r="J774" s="60" t="n"/>
      <c r="K774" s="60" t="n"/>
      <c r="L774" s="60" t="n"/>
    </row>
    <row r="775" ht="21" customHeight="1">
      <c r="A775" s="59" t="n"/>
      <c r="B775" s="42">
        <f>'設定'!$I$22</f>
        <v/>
      </c>
      <c r="C775" s="60" t="n"/>
      <c r="D775" s="60" t="n"/>
      <c r="E775" s="60" t="n"/>
      <c r="F775" s="60" t="n"/>
      <c r="G775" s="60" t="n"/>
      <c r="H775" s="60" t="n"/>
      <c r="I775" s="60" t="n"/>
      <c r="J775" s="60" t="n"/>
      <c r="K775" s="60" t="n"/>
      <c r="L775" s="60" t="n"/>
    </row>
    <row r="776" ht="21" customHeight="1">
      <c r="A776" s="59" t="n"/>
      <c r="B776" s="42">
        <f>'設定'!$I$23</f>
        <v/>
      </c>
      <c r="C776" s="60" t="n"/>
      <c r="D776" s="60" t="n"/>
      <c r="E776" s="60" t="n"/>
      <c r="F776" s="60" t="n"/>
      <c r="G776" s="60" t="n"/>
      <c r="H776" s="60" t="n"/>
      <c r="I776" s="60" t="n"/>
      <c r="J776" s="60" t="n"/>
      <c r="K776" s="60" t="n"/>
      <c r="L776" s="60" t="n"/>
    </row>
    <row r="777" ht="21" customHeight="1">
      <c r="A777" s="59" t="n"/>
      <c r="B777" s="42">
        <f>'設定'!$I$24</f>
        <v/>
      </c>
      <c r="C777" s="60" t="n"/>
      <c r="D777" s="60" t="n"/>
      <c r="E777" s="60" t="n"/>
      <c r="F777" s="60" t="n"/>
      <c r="G777" s="60" t="n"/>
      <c r="H777" s="60" t="n"/>
      <c r="I777" s="60" t="n"/>
      <c r="J777" s="60" t="n"/>
      <c r="K777" s="60" t="n"/>
      <c r="L777" s="60" t="n"/>
    </row>
    <row r="778" ht="21" customHeight="1">
      <c r="A778" s="59" t="n"/>
      <c r="B778" s="42">
        <f>'設定'!$I$25</f>
        <v/>
      </c>
      <c r="C778" s="60" t="n"/>
      <c r="D778" s="60" t="n"/>
      <c r="E778" s="60" t="n"/>
      <c r="F778" s="60" t="n"/>
      <c r="G778" s="60" t="n"/>
      <c r="H778" s="60" t="n"/>
      <c r="I778" s="60" t="n"/>
      <c r="J778" s="60" t="n"/>
      <c r="K778" s="60" t="n"/>
      <c r="L778" s="60" t="n"/>
    </row>
    <row r="779" ht="21" customHeight="1">
      <c r="A779" s="59" t="n"/>
      <c r="B779" s="42">
        <f>'設定'!$I$26</f>
        <v/>
      </c>
      <c r="C779" s="60" t="n"/>
      <c r="D779" s="60" t="n"/>
      <c r="E779" s="60" t="n"/>
      <c r="F779" s="60" t="n"/>
      <c r="G779" s="60" t="n"/>
      <c r="H779" s="60" t="n"/>
      <c r="I779" s="60" t="n"/>
      <c r="J779" s="60" t="n"/>
      <c r="K779" s="60" t="n"/>
      <c r="L779" s="60" t="n"/>
    </row>
    <row r="780" ht="21" customHeight="1">
      <c r="A780" s="59" t="n"/>
      <c r="B780" s="42">
        <f>'設定'!$I$27</f>
        <v/>
      </c>
      <c r="C780" s="60" t="n"/>
      <c r="D780" s="60" t="n"/>
      <c r="E780" s="60" t="n"/>
      <c r="F780" s="60" t="n"/>
      <c r="G780" s="60" t="n"/>
      <c r="H780" s="60" t="n"/>
      <c r="I780" s="60" t="n"/>
      <c r="J780" s="60" t="n"/>
      <c r="K780" s="60" t="n"/>
      <c r="L780" s="60" t="n"/>
    </row>
    <row r="781" ht="21" customHeight="1">
      <c r="A781" s="59" t="n"/>
      <c r="B781" s="42">
        <f>'設定'!$I$28</f>
        <v/>
      </c>
      <c r="C781" s="60" t="n"/>
      <c r="D781" s="60" t="n"/>
      <c r="E781" s="60" t="n"/>
      <c r="F781" s="60" t="n"/>
      <c r="G781" s="60" t="n"/>
      <c r="H781" s="60" t="n"/>
      <c r="I781" s="60" t="n"/>
      <c r="J781" s="60" t="n"/>
      <c r="K781" s="60" t="n"/>
      <c r="L781" s="60" t="n"/>
    </row>
    <row r="782" ht="21" customHeight="1">
      <c r="A782" s="59" t="n"/>
      <c r="B782" s="42">
        <f>'設定'!$I$29</f>
        <v/>
      </c>
      <c r="C782" s="60" t="n"/>
      <c r="D782" s="60" t="n"/>
      <c r="E782" s="60" t="n"/>
      <c r="F782" s="60" t="n"/>
      <c r="G782" s="60" t="n"/>
      <c r="H782" s="60" t="n"/>
      <c r="I782" s="60" t="n"/>
      <c r="J782" s="60" t="n"/>
      <c r="K782" s="60" t="n"/>
      <c r="L782" s="60" t="n"/>
    </row>
    <row r="783" ht="21" customHeight="1">
      <c r="A783" s="59" t="n"/>
      <c r="B783" s="42">
        <f>'設定'!$I$30</f>
        <v/>
      </c>
      <c r="C783" s="60" t="n"/>
      <c r="D783" s="60" t="n"/>
      <c r="E783" s="60" t="n"/>
      <c r="F783" s="60" t="n"/>
      <c r="G783" s="60" t="n"/>
      <c r="H783" s="60" t="n"/>
      <c r="I783" s="60" t="n"/>
      <c r="J783" s="60" t="n"/>
      <c r="K783" s="60" t="n"/>
      <c r="L783" s="60" t="n"/>
    </row>
    <row r="784" ht="21" customHeight="1">
      <c r="A784" s="59" t="n"/>
      <c r="B784" s="42">
        <f>'設定'!$I$31</f>
        <v/>
      </c>
      <c r="C784" s="60" t="n"/>
      <c r="D784" s="60" t="n"/>
      <c r="E784" s="60" t="n"/>
      <c r="F784" s="60" t="n"/>
      <c r="G784" s="60" t="n"/>
      <c r="H784" s="60" t="n"/>
      <c r="I784" s="60" t="n"/>
      <c r="J784" s="60" t="n"/>
      <c r="K784" s="60" t="n"/>
      <c r="L784" s="60" t="n"/>
    </row>
    <row r="785" ht="21" customHeight="1">
      <c r="A785" s="59" t="n"/>
      <c r="B785" s="42">
        <f>'設定'!$I$32</f>
        <v/>
      </c>
      <c r="C785" s="60" t="n"/>
      <c r="D785" s="60" t="n"/>
      <c r="E785" s="60" t="n"/>
      <c r="F785" s="60" t="n"/>
      <c r="G785" s="60" t="n"/>
      <c r="H785" s="60" t="n"/>
      <c r="I785" s="60" t="n"/>
      <c r="J785" s="60" t="n"/>
      <c r="K785" s="60" t="n"/>
      <c r="L785" s="60" t="n"/>
    </row>
    <row r="786" ht="21" customHeight="1">
      <c r="A786" s="59" t="n"/>
      <c r="B786" s="42">
        <f>'設定'!$I$33</f>
        <v/>
      </c>
      <c r="C786" s="60" t="n"/>
      <c r="D786" s="60" t="n"/>
      <c r="E786" s="60" t="n"/>
      <c r="F786" s="60" t="n"/>
      <c r="G786" s="60" t="n"/>
      <c r="H786" s="60" t="n"/>
      <c r="I786" s="60" t="n"/>
      <c r="J786" s="60" t="n"/>
      <c r="K786" s="60" t="n"/>
      <c r="L786" s="60" t="n"/>
    </row>
    <row r="787" ht="21" customHeight="1">
      <c r="A787" s="59" t="n"/>
      <c r="B787" s="42">
        <f>'設定'!$I$34</f>
        <v/>
      </c>
      <c r="C787" s="60" t="n"/>
      <c r="D787" s="60" t="n"/>
      <c r="E787" s="60" t="n"/>
      <c r="F787" s="60" t="n"/>
      <c r="G787" s="60" t="n"/>
      <c r="H787" s="60" t="n"/>
      <c r="I787" s="60" t="n"/>
      <c r="J787" s="60" t="n"/>
      <c r="K787" s="60" t="n"/>
      <c r="L787" s="60" t="n"/>
    </row>
    <row r="788"/>
    <row r="789" ht="26" customHeight="1">
      <c r="B789" s="53">
        <f>IF('名簿'!B33="","（名簿 29行目：なし）",'名簿'!G33)</f>
        <v/>
      </c>
      <c r="C789" s="4" t="n"/>
      <c r="D789" s="4" t="n"/>
      <c r="E789" s="54" t="inlineStr">
        <is>
          <t>提出状況 ▶</t>
        </is>
      </c>
      <c r="F789" s="38" t="n"/>
      <c r="G789" s="29" t="n"/>
      <c r="H789" s="55" t="inlineStr">
        <is>
          <t>状況：</t>
        </is>
      </c>
      <c r="I789" s="56">
        <f>'名簿'!H33</f>
        <v/>
      </c>
      <c r="J789" s="55" t="inlineStr">
        <is>
          <t>×の数：</t>
        </is>
      </c>
      <c r="K789" s="57">
        <f>'名簿'!I33</f>
        <v/>
      </c>
      <c r="L789" s="58">
        <f>HYPERLINK("#'×入力'!B817","次の人へ ▼")</f>
        <v/>
      </c>
    </row>
    <row r="790" ht="22" customHeight="1">
      <c r="A790" s="30" t="inlineStr">
        <is>
          <t>この日全部 ▶</t>
        </is>
      </c>
      <c r="C790" s="59" t="n"/>
      <c r="D790" s="59" t="n"/>
      <c r="E790" s="59" t="n"/>
      <c r="F790" s="59" t="n"/>
      <c r="G790" s="59" t="n"/>
      <c r="H790" s="59" t="n"/>
      <c r="I790" s="59" t="n"/>
      <c r="J790" s="59" t="n"/>
      <c r="K790" s="59" t="n"/>
      <c r="L790" s="59" t="n"/>
    </row>
    <row r="791" ht="28" customHeight="1">
      <c r="A791" s="33" t="inlineStr">
        <is>
          <t>この時間
全部 ▼</t>
        </is>
      </c>
      <c r="B791" s="34" t="inlineStr"/>
      <c r="C791" s="35">
        <f>'設定'!$E$11</f>
        <v/>
      </c>
      <c r="D791" s="35">
        <f>'設定'!$E$12</f>
        <v/>
      </c>
      <c r="E791" s="35">
        <f>'設定'!$E$13</f>
        <v/>
      </c>
      <c r="F791" s="35">
        <f>'設定'!$E$14</f>
        <v/>
      </c>
      <c r="G791" s="35">
        <f>'設定'!$E$15</f>
        <v/>
      </c>
      <c r="H791" s="35">
        <f>'設定'!$E$16</f>
        <v/>
      </c>
      <c r="I791" s="35">
        <f>'設定'!$E$17</f>
        <v/>
      </c>
      <c r="J791" s="35">
        <f>'設定'!$E$18</f>
        <v/>
      </c>
      <c r="K791" s="35">
        <f>'設定'!$E$19</f>
        <v/>
      </c>
      <c r="L791" s="35">
        <f>'設定'!$E$20</f>
        <v/>
      </c>
    </row>
    <row r="792" ht="21" customHeight="1">
      <c r="A792" s="59" t="n"/>
      <c r="B792" s="42">
        <f>'設定'!$I$11</f>
        <v/>
      </c>
      <c r="C792" s="60" t="n"/>
      <c r="D792" s="60" t="n"/>
      <c r="E792" s="60" t="n"/>
      <c r="F792" s="60" t="n"/>
      <c r="G792" s="60" t="n"/>
      <c r="H792" s="60" t="n"/>
      <c r="I792" s="60" t="n"/>
      <c r="J792" s="60" t="n"/>
      <c r="K792" s="60" t="n"/>
      <c r="L792" s="60" t="n"/>
    </row>
    <row r="793" ht="21" customHeight="1">
      <c r="A793" s="59" t="n"/>
      <c r="B793" s="42">
        <f>'設定'!$I$12</f>
        <v/>
      </c>
      <c r="C793" s="60" t="n"/>
      <c r="D793" s="60" t="n"/>
      <c r="E793" s="60" t="n"/>
      <c r="F793" s="60" t="n"/>
      <c r="G793" s="60" t="n"/>
      <c r="H793" s="60" t="n"/>
      <c r="I793" s="60" t="n"/>
      <c r="J793" s="60" t="n"/>
      <c r="K793" s="60" t="n"/>
      <c r="L793" s="60" t="n"/>
    </row>
    <row r="794" ht="21" customHeight="1">
      <c r="A794" s="59" t="n"/>
      <c r="B794" s="42">
        <f>'設定'!$I$13</f>
        <v/>
      </c>
      <c r="C794" s="60" t="n"/>
      <c r="D794" s="60" t="n"/>
      <c r="E794" s="60" t="n"/>
      <c r="F794" s="60" t="n"/>
      <c r="G794" s="60" t="n"/>
      <c r="H794" s="60" t="n"/>
      <c r="I794" s="60" t="n"/>
      <c r="J794" s="60" t="n"/>
      <c r="K794" s="60" t="n"/>
      <c r="L794" s="60" t="n"/>
    </row>
    <row r="795" ht="21" customHeight="1">
      <c r="A795" s="59" t="n"/>
      <c r="B795" s="42">
        <f>'設定'!$I$14</f>
        <v/>
      </c>
      <c r="C795" s="60" t="n"/>
      <c r="D795" s="60" t="n"/>
      <c r="E795" s="60" t="n"/>
      <c r="F795" s="60" t="n"/>
      <c r="G795" s="60" t="n"/>
      <c r="H795" s="60" t="n"/>
      <c r="I795" s="60" t="n"/>
      <c r="J795" s="60" t="n"/>
      <c r="K795" s="60" t="n"/>
      <c r="L795" s="60" t="n"/>
    </row>
    <row r="796" ht="21" customHeight="1">
      <c r="A796" s="59" t="n"/>
      <c r="B796" s="42">
        <f>'設定'!$I$15</f>
        <v/>
      </c>
      <c r="C796" s="60" t="n"/>
      <c r="D796" s="60" t="n"/>
      <c r="E796" s="60" t="n"/>
      <c r="F796" s="60" t="n"/>
      <c r="G796" s="60" t="n"/>
      <c r="H796" s="60" t="n"/>
      <c r="I796" s="60" t="n"/>
      <c r="J796" s="60" t="n"/>
      <c r="K796" s="60" t="n"/>
      <c r="L796" s="60" t="n"/>
    </row>
    <row r="797" ht="21" customHeight="1">
      <c r="A797" s="59" t="n"/>
      <c r="B797" s="42">
        <f>'設定'!$I$16</f>
        <v/>
      </c>
      <c r="C797" s="60" t="n"/>
      <c r="D797" s="60" t="n"/>
      <c r="E797" s="60" t="n"/>
      <c r="F797" s="60" t="n"/>
      <c r="G797" s="60" t="n"/>
      <c r="H797" s="60" t="n"/>
      <c r="I797" s="60" t="n"/>
      <c r="J797" s="60" t="n"/>
      <c r="K797" s="60" t="n"/>
      <c r="L797" s="60" t="n"/>
    </row>
    <row r="798" ht="21" customHeight="1">
      <c r="A798" s="59" t="n"/>
      <c r="B798" s="42">
        <f>'設定'!$I$17</f>
        <v/>
      </c>
      <c r="C798" s="60" t="n"/>
      <c r="D798" s="60" t="n"/>
      <c r="E798" s="60" t="n"/>
      <c r="F798" s="60" t="n"/>
      <c r="G798" s="60" t="n"/>
      <c r="H798" s="60" t="n"/>
      <c r="I798" s="60" t="n"/>
      <c r="J798" s="60" t="n"/>
      <c r="K798" s="60" t="n"/>
      <c r="L798" s="60" t="n"/>
    </row>
    <row r="799" ht="21" customHeight="1">
      <c r="A799" s="59" t="n"/>
      <c r="B799" s="42">
        <f>'設定'!$I$18</f>
        <v/>
      </c>
      <c r="C799" s="60" t="n"/>
      <c r="D799" s="60" t="n"/>
      <c r="E799" s="60" t="n"/>
      <c r="F799" s="60" t="n"/>
      <c r="G799" s="60" t="n"/>
      <c r="H799" s="60" t="n"/>
      <c r="I799" s="60" t="n"/>
      <c r="J799" s="60" t="n"/>
      <c r="K799" s="60" t="n"/>
      <c r="L799" s="60" t="n"/>
    </row>
    <row r="800" ht="21" customHeight="1">
      <c r="A800" s="59" t="n"/>
      <c r="B800" s="42">
        <f>'設定'!$I$19</f>
        <v/>
      </c>
      <c r="C800" s="60" t="n"/>
      <c r="D800" s="60" t="n"/>
      <c r="E800" s="60" t="n"/>
      <c r="F800" s="60" t="n"/>
      <c r="G800" s="60" t="n"/>
      <c r="H800" s="60" t="n"/>
      <c r="I800" s="60" t="n"/>
      <c r="J800" s="60" t="n"/>
      <c r="K800" s="60" t="n"/>
      <c r="L800" s="60" t="n"/>
    </row>
    <row r="801" ht="21" customHeight="1">
      <c r="A801" s="59" t="n"/>
      <c r="B801" s="42">
        <f>'設定'!$I$20</f>
        <v/>
      </c>
      <c r="C801" s="60" t="n"/>
      <c r="D801" s="60" t="n"/>
      <c r="E801" s="60" t="n"/>
      <c r="F801" s="60" t="n"/>
      <c r="G801" s="60" t="n"/>
      <c r="H801" s="60" t="n"/>
      <c r="I801" s="60" t="n"/>
      <c r="J801" s="60" t="n"/>
      <c r="K801" s="60" t="n"/>
      <c r="L801" s="60" t="n"/>
    </row>
    <row r="802" ht="21" customHeight="1">
      <c r="A802" s="59" t="n"/>
      <c r="B802" s="42">
        <f>'設定'!$I$21</f>
        <v/>
      </c>
      <c r="C802" s="60" t="n"/>
      <c r="D802" s="60" t="n"/>
      <c r="E802" s="60" t="n"/>
      <c r="F802" s="60" t="n"/>
      <c r="G802" s="60" t="n"/>
      <c r="H802" s="60" t="n"/>
      <c r="I802" s="60" t="n"/>
      <c r="J802" s="60" t="n"/>
      <c r="K802" s="60" t="n"/>
      <c r="L802" s="60" t="n"/>
    </row>
    <row r="803" ht="21" customHeight="1">
      <c r="A803" s="59" t="n"/>
      <c r="B803" s="42">
        <f>'設定'!$I$22</f>
        <v/>
      </c>
      <c r="C803" s="60" t="n"/>
      <c r="D803" s="60" t="n"/>
      <c r="E803" s="60" t="n"/>
      <c r="F803" s="60" t="n"/>
      <c r="G803" s="60" t="n"/>
      <c r="H803" s="60" t="n"/>
      <c r="I803" s="60" t="n"/>
      <c r="J803" s="60" t="n"/>
      <c r="K803" s="60" t="n"/>
      <c r="L803" s="60" t="n"/>
    </row>
    <row r="804" ht="21" customHeight="1">
      <c r="A804" s="59" t="n"/>
      <c r="B804" s="42">
        <f>'設定'!$I$23</f>
        <v/>
      </c>
      <c r="C804" s="60" t="n"/>
      <c r="D804" s="60" t="n"/>
      <c r="E804" s="60" t="n"/>
      <c r="F804" s="60" t="n"/>
      <c r="G804" s="60" t="n"/>
      <c r="H804" s="60" t="n"/>
      <c r="I804" s="60" t="n"/>
      <c r="J804" s="60" t="n"/>
      <c r="K804" s="60" t="n"/>
      <c r="L804" s="60" t="n"/>
    </row>
    <row r="805" ht="21" customHeight="1">
      <c r="A805" s="59" t="n"/>
      <c r="B805" s="42">
        <f>'設定'!$I$24</f>
        <v/>
      </c>
      <c r="C805" s="60" t="n"/>
      <c r="D805" s="60" t="n"/>
      <c r="E805" s="60" t="n"/>
      <c r="F805" s="60" t="n"/>
      <c r="G805" s="60" t="n"/>
      <c r="H805" s="60" t="n"/>
      <c r="I805" s="60" t="n"/>
      <c r="J805" s="60" t="n"/>
      <c r="K805" s="60" t="n"/>
      <c r="L805" s="60" t="n"/>
    </row>
    <row r="806" ht="21" customHeight="1">
      <c r="A806" s="59" t="n"/>
      <c r="B806" s="42">
        <f>'設定'!$I$25</f>
        <v/>
      </c>
      <c r="C806" s="60" t="n"/>
      <c r="D806" s="60" t="n"/>
      <c r="E806" s="60" t="n"/>
      <c r="F806" s="60" t="n"/>
      <c r="G806" s="60" t="n"/>
      <c r="H806" s="60" t="n"/>
      <c r="I806" s="60" t="n"/>
      <c r="J806" s="60" t="n"/>
      <c r="K806" s="60" t="n"/>
      <c r="L806" s="60" t="n"/>
    </row>
    <row r="807" ht="21" customHeight="1">
      <c r="A807" s="59" t="n"/>
      <c r="B807" s="42">
        <f>'設定'!$I$26</f>
        <v/>
      </c>
      <c r="C807" s="60" t="n"/>
      <c r="D807" s="60" t="n"/>
      <c r="E807" s="60" t="n"/>
      <c r="F807" s="60" t="n"/>
      <c r="G807" s="60" t="n"/>
      <c r="H807" s="60" t="n"/>
      <c r="I807" s="60" t="n"/>
      <c r="J807" s="60" t="n"/>
      <c r="K807" s="60" t="n"/>
      <c r="L807" s="60" t="n"/>
    </row>
    <row r="808" ht="21" customHeight="1">
      <c r="A808" s="59" t="n"/>
      <c r="B808" s="42">
        <f>'設定'!$I$27</f>
        <v/>
      </c>
      <c r="C808" s="60" t="n"/>
      <c r="D808" s="60" t="n"/>
      <c r="E808" s="60" t="n"/>
      <c r="F808" s="60" t="n"/>
      <c r="G808" s="60" t="n"/>
      <c r="H808" s="60" t="n"/>
      <c r="I808" s="60" t="n"/>
      <c r="J808" s="60" t="n"/>
      <c r="K808" s="60" t="n"/>
      <c r="L808" s="60" t="n"/>
    </row>
    <row r="809" ht="21" customHeight="1">
      <c r="A809" s="59" t="n"/>
      <c r="B809" s="42">
        <f>'設定'!$I$28</f>
        <v/>
      </c>
      <c r="C809" s="60" t="n"/>
      <c r="D809" s="60" t="n"/>
      <c r="E809" s="60" t="n"/>
      <c r="F809" s="60" t="n"/>
      <c r="G809" s="60" t="n"/>
      <c r="H809" s="60" t="n"/>
      <c r="I809" s="60" t="n"/>
      <c r="J809" s="60" t="n"/>
      <c r="K809" s="60" t="n"/>
      <c r="L809" s="60" t="n"/>
    </row>
    <row r="810" ht="21" customHeight="1">
      <c r="A810" s="59" t="n"/>
      <c r="B810" s="42">
        <f>'設定'!$I$29</f>
        <v/>
      </c>
      <c r="C810" s="60" t="n"/>
      <c r="D810" s="60" t="n"/>
      <c r="E810" s="60" t="n"/>
      <c r="F810" s="60" t="n"/>
      <c r="G810" s="60" t="n"/>
      <c r="H810" s="60" t="n"/>
      <c r="I810" s="60" t="n"/>
      <c r="J810" s="60" t="n"/>
      <c r="K810" s="60" t="n"/>
      <c r="L810" s="60" t="n"/>
    </row>
    <row r="811" ht="21" customHeight="1">
      <c r="A811" s="59" t="n"/>
      <c r="B811" s="42">
        <f>'設定'!$I$30</f>
        <v/>
      </c>
      <c r="C811" s="60" t="n"/>
      <c r="D811" s="60" t="n"/>
      <c r="E811" s="60" t="n"/>
      <c r="F811" s="60" t="n"/>
      <c r="G811" s="60" t="n"/>
      <c r="H811" s="60" t="n"/>
      <c r="I811" s="60" t="n"/>
      <c r="J811" s="60" t="n"/>
      <c r="K811" s="60" t="n"/>
      <c r="L811" s="60" t="n"/>
    </row>
    <row r="812" ht="21" customHeight="1">
      <c r="A812" s="59" t="n"/>
      <c r="B812" s="42">
        <f>'設定'!$I$31</f>
        <v/>
      </c>
      <c r="C812" s="60" t="n"/>
      <c r="D812" s="60" t="n"/>
      <c r="E812" s="60" t="n"/>
      <c r="F812" s="60" t="n"/>
      <c r="G812" s="60" t="n"/>
      <c r="H812" s="60" t="n"/>
      <c r="I812" s="60" t="n"/>
      <c r="J812" s="60" t="n"/>
      <c r="K812" s="60" t="n"/>
      <c r="L812" s="60" t="n"/>
    </row>
    <row r="813" ht="21" customHeight="1">
      <c r="A813" s="59" t="n"/>
      <c r="B813" s="42">
        <f>'設定'!$I$32</f>
        <v/>
      </c>
      <c r="C813" s="60" t="n"/>
      <c r="D813" s="60" t="n"/>
      <c r="E813" s="60" t="n"/>
      <c r="F813" s="60" t="n"/>
      <c r="G813" s="60" t="n"/>
      <c r="H813" s="60" t="n"/>
      <c r="I813" s="60" t="n"/>
      <c r="J813" s="60" t="n"/>
      <c r="K813" s="60" t="n"/>
      <c r="L813" s="60" t="n"/>
    </row>
    <row r="814" ht="21" customHeight="1">
      <c r="A814" s="59" t="n"/>
      <c r="B814" s="42">
        <f>'設定'!$I$33</f>
        <v/>
      </c>
      <c r="C814" s="60" t="n"/>
      <c r="D814" s="60" t="n"/>
      <c r="E814" s="60" t="n"/>
      <c r="F814" s="60" t="n"/>
      <c r="G814" s="60" t="n"/>
      <c r="H814" s="60" t="n"/>
      <c r="I814" s="60" t="n"/>
      <c r="J814" s="60" t="n"/>
      <c r="K814" s="60" t="n"/>
      <c r="L814" s="60" t="n"/>
    </row>
    <row r="815" ht="21" customHeight="1">
      <c r="A815" s="59" t="n"/>
      <c r="B815" s="42">
        <f>'設定'!$I$34</f>
        <v/>
      </c>
      <c r="C815" s="60" t="n"/>
      <c r="D815" s="60" t="n"/>
      <c r="E815" s="60" t="n"/>
      <c r="F815" s="60" t="n"/>
      <c r="G815" s="60" t="n"/>
      <c r="H815" s="60" t="n"/>
      <c r="I815" s="60" t="n"/>
      <c r="J815" s="60" t="n"/>
      <c r="K815" s="60" t="n"/>
      <c r="L815" s="60" t="n"/>
    </row>
    <row r="816"/>
    <row r="817" ht="26" customHeight="1">
      <c r="B817" s="53">
        <f>IF('名簿'!B34="","（名簿 30行目：なし）",'名簿'!G34)</f>
        <v/>
      </c>
      <c r="C817" s="4" t="n"/>
      <c r="D817" s="4" t="n"/>
      <c r="E817" s="54" t="inlineStr">
        <is>
          <t>提出状況 ▶</t>
        </is>
      </c>
      <c r="F817" s="38" t="n"/>
      <c r="G817" s="29" t="n"/>
      <c r="H817" s="55" t="inlineStr">
        <is>
          <t>状況：</t>
        </is>
      </c>
      <c r="I817" s="56">
        <f>'名簿'!H34</f>
        <v/>
      </c>
      <c r="J817" s="55" t="inlineStr">
        <is>
          <t>×の数：</t>
        </is>
      </c>
      <c r="K817" s="57">
        <f>'名簿'!I34</f>
        <v/>
      </c>
      <c r="L817" s="58">
        <f>HYPERLINK("#'×入力'!B845","次の人へ ▼")</f>
        <v/>
      </c>
    </row>
    <row r="818" ht="22" customHeight="1">
      <c r="A818" s="30" t="inlineStr">
        <is>
          <t>この日全部 ▶</t>
        </is>
      </c>
      <c r="C818" s="59" t="n"/>
      <c r="D818" s="59" t="n"/>
      <c r="E818" s="59" t="n"/>
      <c r="F818" s="59" t="n"/>
      <c r="G818" s="59" t="n"/>
      <c r="H818" s="59" t="n"/>
      <c r="I818" s="59" t="n"/>
      <c r="J818" s="59" t="n"/>
      <c r="K818" s="59" t="n"/>
      <c r="L818" s="59" t="n"/>
    </row>
    <row r="819" ht="28" customHeight="1">
      <c r="A819" s="33" t="inlineStr">
        <is>
          <t>この時間
全部 ▼</t>
        </is>
      </c>
      <c r="B819" s="34" t="inlineStr"/>
      <c r="C819" s="35">
        <f>'設定'!$E$11</f>
        <v/>
      </c>
      <c r="D819" s="35">
        <f>'設定'!$E$12</f>
        <v/>
      </c>
      <c r="E819" s="35">
        <f>'設定'!$E$13</f>
        <v/>
      </c>
      <c r="F819" s="35">
        <f>'設定'!$E$14</f>
        <v/>
      </c>
      <c r="G819" s="35">
        <f>'設定'!$E$15</f>
        <v/>
      </c>
      <c r="H819" s="35">
        <f>'設定'!$E$16</f>
        <v/>
      </c>
      <c r="I819" s="35">
        <f>'設定'!$E$17</f>
        <v/>
      </c>
      <c r="J819" s="35">
        <f>'設定'!$E$18</f>
        <v/>
      </c>
      <c r="K819" s="35">
        <f>'設定'!$E$19</f>
        <v/>
      </c>
      <c r="L819" s="35">
        <f>'設定'!$E$20</f>
        <v/>
      </c>
    </row>
    <row r="820" ht="21" customHeight="1">
      <c r="A820" s="59" t="n"/>
      <c r="B820" s="42">
        <f>'設定'!$I$11</f>
        <v/>
      </c>
      <c r="C820" s="60" t="n"/>
      <c r="D820" s="60" t="n"/>
      <c r="E820" s="60" t="n"/>
      <c r="F820" s="60" t="n"/>
      <c r="G820" s="60" t="n"/>
      <c r="H820" s="60" t="n"/>
      <c r="I820" s="60" t="n"/>
      <c r="J820" s="60" t="n"/>
      <c r="K820" s="60" t="n"/>
      <c r="L820" s="60" t="n"/>
    </row>
    <row r="821" ht="21" customHeight="1">
      <c r="A821" s="59" t="n"/>
      <c r="B821" s="42">
        <f>'設定'!$I$12</f>
        <v/>
      </c>
      <c r="C821" s="60" t="n"/>
      <c r="D821" s="60" t="n"/>
      <c r="E821" s="60" t="n"/>
      <c r="F821" s="60" t="n"/>
      <c r="G821" s="60" t="n"/>
      <c r="H821" s="60" t="n"/>
      <c r="I821" s="60" t="n"/>
      <c r="J821" s="60" t="n"/>
      <c r="K821" s="60" t="n"/>
      <c r="L821" s="60" t="n"/>
    </row>
    <row r="822" ht="21" customHeight="1">
      <c r="A822" s="59" t="n"/>
      <c r="B822" s="42">
        <f>'設定'!$I$13</f>
        <v/>
      </c>
      <c r="C822" s="60" t="n"/>
      <c r="D822" s="60" t="n"/>
      <c r="E822" s="60" t="n"/>
      <c r="F822" s="60" t="n"/>
      <c r="G822" s="60" t="n"/>
      <c r="H822" s="60" t="n"/>
      <c r="I822" s="60" t="n"/>
      <c r="J822" s="60" t="n"/>
      <c r="K822" s="60" t="n"/>
      <c r="L822" s="60" t="n"/>
    </row>
    <row r="823" ht="21" customHeight="1">
      <c r="A823" s="59" t="n"/>
      <c r="B823" s="42">
        <f>'設定'!$I$14</f>
        <v/>
      </c>
      <c r="C823" s="60" t="n"/>
      <c r="D823" s="60" t="n"/>
      <c r="E823" s="60" t="n"/>
      <c r="F823" s="60" t="n"/>
      <c r="G823" s="60" t="n"/>
      <c r="H823" s="60" t="n"/>
      <c r="I823" s="60" t="n"/>
      <c r="J823" s="60" t="n"/>
      <c r="K823" s="60" t="n"/>
      <c r="L823" s="60" t="n"/>
    </row>
    <row r="824" ht="21" customHeight="1">
      <c r="A824" s="59" t="n"/>
      <c r="B824" s="42">
        <f>'設定'!$I$15</f>
        <v/>
      </c>
      <c r="C824" s="60" t="n"/>
      <c r="D824" s="60" t="n"/>
      <c r="E824" s="60" t="n"/>
      <c r="F824" s="60" t="n"/>
      <c r="G824" s="60" t="n"/>
      <c r="H824" s="60" t="n"/>
      <c r="I824" s="60" t="n"/>
      <c r="J824" s="60" t="n"/>
      <c r="K824" s="60" t="n"/>
      <c r="L824" s="60" t="n"/>
    </row>
    <row r="825" ht="21" customHeight="1">
      <c r="A825" s="59" t="n"/>
      <c r="B825" s="42">
        <f>'設定'!$I$16</f>
        <v/>
      </c>
      <c r="C825" s="60" t="n"/>
      <c r="D825" s="60" t="n"/>
      <c r="E825" s="60" t="n"/>
      <c r="F825" s="60" t="n"/>
      <c r="G825" s="60" t="n"/>
      <c r="H825" s="60" t="n"/>
      <c r="I825" s="60" t="n"/>
      <c r="J825" s="60" t="n"/>
      <c r="K825" s="60" t="n"/>
      <c r="L825" s="60" t="n"/>
    </row>
    <row r="826" ht="21" customHeight="1">
      <c r="A826" s="59" t="n"/>
      <c r="B826" s="42">
        <f>'設定'!$I$17</f>
        <v/>
      </c>
      <c r="C826" s="60" t="n"/>
      <c r="D826" s="60" t="n"/>
      <c r="E826" s="60" t="n"/>
      <c r="F826" s="60" t="n"/>
      <c r="G826" s="60" t="n"/>
      <c r="H826" s="60" t="n"/>
      <c r="I826" s="60" t="n"/>
      <c r="J826" s="60" t="n"/>
      <c r="K826" s="60" t="n"/>
      <c r="L826" s="60" t="n"/>
    </row>
    <row r="827" ht="21" customHeight="1">
      <c r="A827" s="59" t="n"/>
      <c r="B827" s="42">
        <f>'設定'!$I$18</f>
        <v/>
      </c>
      <c r="C827" s="60" t="n"/>
      <c r="D827" s="60" t="n"/>
      <c r="E827" s="60" t="n"/>
      <c r="F827" s="60" t="n"/>
      <c r="G827" s="60" t="n"/>
      <c r="H827" s="60" t="n"/>
      <c r="I827" s="60" t="n"/>
      <c r="J827" s="60" t="n"/>
      <c r="K827" s="60" t="n"/>
      <c r="L827" s="60" t="n"/>
    </row>
    <row r="828" ht="21" customHeight="1">
      <c r="A828" s="59" t="n"/>
      <c r="B828" s="42">
        <f>'設定'!$I$19</f>
        <v/>
      </c>
      <c r="C828" s="60" t="n"/>
      <c r="D828" s="60" t="n"/>
      <c r="E828" s="60" t="n"/>
      <c r="F828" s="60" t="n"/>
      <c r="G828" s="60" t="n"/>
      <c r="H828" s="60" t="n"/>
      <c r="I828" s="60" t="n"/>
      <c r="J828" s="60" t="n"/>
      <c r="K828" s="60" t="n"/>
      <c r="L828" s="60" t="n"/>
    </row>
    <row r="829" ht="21" customHeight="1">
      <c r="A829" s="59" t="n"/>
      <c r="B829" s="42">
        <f>'設定'!$I$20</f>
        <v/>
      </c>
      <c r="C829" s="60" t="n"/>
      <c r="D829" s="60" t="n"/>
      <c r="E829" s="60" t="n"/>
      <c r="F829" s="60" t="n"/>
      <c r="G829" s="60" t="n"/>
      <c r="H829" s="60" t="n"/>
      <c r="I829" s="60" t="n"/>
      <c r="J829" s="60" t="n"/>
      <c r="K829" s="60" t="n"/>
      <c r="L829" s="60" t="n"/>
    </row>
    <row r="830" ht="21" customHeight="1">
      <c r="A830" s="59" t="n"/>
      <c r="B830" s="42">
        <f>'設定'!$I$21</f>
        <v/>
      </c>
      <c r="C830" s="60" t="n"/>
      <c r="D830" s="60" t="n"/>
      <c r="E830" s="60" t="n"/>
      <c r="F830" s="60" t="n"/>
      <c r="G830" s="60" t="n"/>
      <c r="H830" s="60" t="n"/>
      <c r="I830" s="60" t="n"/>
      <c r="J830" s="60" t="n"/>
      <c r="K830" s="60" t="n"/>
      <c r="L830" s="60" t="n"/>
    </row>
    <row r="831" ht="21" customHeight="1">
      <c r="A831" s="59" t="n"/>
      <c r="B831" s="42">
        <f>'設定'!$I$22</f>
        <v/>
      </c>
      <c r="C831" s="60" t="n"/>
      <c r="D831" s="60" t="n"/>
      <c r="E831" s="60" t="n"/>
      <c r="F831" s="60" t="n"/>
      <c r="G831" s="60" t="n"/>
      <c r="H831" s="60" t="n"/>
      <c r="I831" s="60" t="n"/>
      <c r="J831" s="60" t="n"/>
      <c r="K831" s="60" t="n"/>
      <c r="L831" s="60" t="n"/>
    </row>
    <row r="832" ht="21" customHeight="1">
      <c r="A832" s="59" t="n"/>
      <c r="B832" s="42">
        <f>'設定'!$I$23</f>
        <v/>
      </c>
      <c r="C832" s="60" t="n"/>
      <c r="D832" s="60" t="n"/>
      <c r="E832" s="60" t="n"/>
      <c r="F832" s="60" t="n"/>
      <c r="G832" s="60" t="n"/>
      <c r="H832" s="60" t="n"/>
      <c r="I832" s="60" t="n"/>
      <c r="J832" s="60" t="n"/>
      <c r="K832" s="60" t="n"/>
      <c r="L832" s="60" t="n"/>
    </row>
    <row r="833" ht="21" customHeight="1">
      <c r="A833" s="59" t="n"/>
      <c r="B833" s="42">
        <f>'設定'!$I$24</f>
        <v/>
      </c>
      <c r="C833" s="60" t="n"/>
      <c r="D833" s="60" t="n"/>
      <c r="E833" s="60" t="n"/>
      <c r="F833" s="60" t="n"/>
      <c r="G833" s="60" t="n"/>
      <c r="H833" s="60" t="n"/>
      <c r="I833" s="60" t="n"/>
      <c r="J833" s="60" t="n"/>
      <c r="K833" s="60" t="n"/>
      <c r="L833" s="60" t="n"/>
    </row>
    <row r="834" ht="21" customHeight="1">
      <c r="A834" s="59" t="n"/>
      <c r="B834" s="42">
        <f>'設定'!$I$25</f>
        <v/>
      </c>
      <c r="C834" s="60" t="n"/>
      <c r="D834" s="60" t="n"/>
      <c r="E834" s="60" t="n"/>
      <c r="F834" s="60" t="n"/>
      <c r="G834" s="60" t="n"/>
      <c r="H834" s="60" t="n"/>
      <c r="I834" s="60" t="n"/>
      <c r="J834" s="60" t="n"/>
      <c r="K834" s="60" t="n"/>
      <c r="L834" s="60" t="n"/>
    </row>
    <row r="835" ht="21" customHeight="1">
      <c r="A835" s="59" t="n"/>
      <c r="B835" s="42">
        <f>'設定'!$I$26</f>
        <v/>
      </c>
      <c r="C835" s="60" t="n"/>
      <c r="D835" s="60" t="n"/>
      <c r="E835" s="60" t="n"/>
      <c r="F835" s="60" t="n"/>
      <c r="G835" s="60" t="n"/>
      <c r="H835" s="60" t="n"/>
      <c r="I835" s="60" t="n"/>
      <c r="J835" s="60" t="n"/>
      <c r="K835" s="60" t="n"/>
      <c r="L835" s="60" t="n"/>
    </row>
    <row r="836" ht="21" customHeight="1">
      <c r="A836" s="59" t="n"/>
      <c r="B836" s="42">
        <f>'設定'!$I$27</f>
        <v/>
      </c>
      <c r="C836" s="60" t="n"/>
      <c r="D836" s="60" t="n"/>
      <c r="E836" s="60" t="n"/>
      <c r="F836" s="60" t="n"/>
      <c r="G836" s="60" t="n"/>
      <c r="H836" s="60" t="n"/>
      <c r="I836" s="60" t="n"/>
      <c r="J836" s="60" t="n"/>
      <c r="K836" s="60" t="n"/>
      <c r="L836" s="60" t="n"/>
    </row>
    <row r="837" ht="21" customHeight="1">
      <c r="A837" s="59" t="n"/>
      <c r="B837" s="42">
        <f>'設定'!$I$28</f>
        <v/>
      </c>
      <c r="C837" s="60" t="n"/>
      <c r="D837" s="60" t="n"/>
      <c r="E837" s="60" t="n"/>
      <c r="F837" s="60" t="n"/>
      <c r="G837" s="60" t="n"/>
      <c r="H837" s="60" t="n"/>
      <c r="I837" s="60" t="n"/>
      <c r="J837" s="60" t="n"/>
      <c r="K837" s="60" t="n"/>
      <c r="L837" s="60" t="n"/>
    </row>
    <row r="838" ht="21" customHeight="1">
      <c r="A838" s="59" t="n"/>
      <c r="B838" s="42">
        <f>'設定'!$I$29</f>
        <v/>
      </c>
      <c r="C838" s="60" t="n"/>
      <c r="D838" s="60" t="n"/>
      <c r="E838" s="60" t="n"/>
      <c r="F838" s="60" t="n"/>
      <c r="G838" s="60" t="n"/>
      <c r="H838" s="60" t="n"/>
      <c r="I838" s="60" t="n"/>
      <c r="J838" s="60" t="n"/>
      <c r="K838" s="60" t="n"/>
      <c r="L838" s="60" t="n"/>
    </row>
    <row r="839" ht="21" customHeight="1">
      <c r="A839" s="59" t="n"/>
      <c r="B839" s="42">
        <f>'設定'!$I$30</f>
        <v/>
      </c>
      <c r="C839" s="60" t="n"/>
      <c r="D839" s="60" t="n"/>
      <c r="E839" s="60" t="n"/>
      <c r="F839" s="60" t="n"/>
      <c r="G839" s="60" t="n"/>
      <c r="H839" s="60" t="n"/>
      <c r="I839" s="60" t="n"/>
      <c r="J839" s="60" t="n"/>
      <c r="K839" s="60" t="n"/>
      <c r="L839" s="60" t="n"/>
    </row>
    <row r="840" ht="21" customHeight="1">
      <c r="A840" s="59" t="n"/>
      <c r="B840" s="42">
        <f>'設定'!$I$31</f>
        <v/>
      </c>
      <c r="C840" s="60" t="n"/>
      <c r="D840" s="60" t="n"/>
      <c r="E840" s="60" t="n"/>
      <c r="F840" s="60" t="n"/>
      <c r="G840" s="60" t="n"/>
      <c r="H840" s="60" t="n"/>
      <c r="I840" s="60" t="n"/>
      <c r="J840" s="60" t="n"/>
      <c r="K840" s="60" t="n"/>
      <c r="L840" s="60" t="n"/>
    </row>
    <row r="841" ht="21" customHeight="1">
      <c r="A841" s="59" t="n"/>
      <c r="B841" s="42">
        <f>'設定'!$I$32</f>
        <v/>
      </c>
      <c r="C841" s="60" t="n"/>
      <c r="D841" s="60" t="n"/>
      <c r="E841" s="60" t="n"/>
      <c r="F841" s="60" t="n"/>
      <c r="G841" s="60" t="n"/>
      <c r="H841" s="60" t="n"/>
      <c r="I841" s="60" t="n"/>
      <c r="J841" s="60" t="n"/>
      <c r="K841" s="60" t="n"/>
      <c r="L841" s="60" t="n"/>
    </row>
    <row r="842" ht="21" customHeight="1">
      <c r="A842" s="59" t="n"/>
      <c r="B842" s="42">
        <f>'設定'!$I$33</f>
        <v/>
      </c>
      <c r="C842" s="60" t="n"/>
      <c r="D842" s="60" t="n"/>
      <c r="E842" s="60" t="n"/>
      <c r="F842" s="60" t="n"/>
      <c r="G842" s="60" t="n"/>
      <c r="H842" s="60" t="n"/>
      <c r="I842" s="60" t="n"/>
      <c r="J842" s="60" t="n"/>
      <c r="K842" s="60" t="n"/>
      <c r="L842" s="60" t="n"/>
    </row>
    <row r="843" ht="21" customHeight="1">
      <c r="A843" s="59" t="n"/>
      <c r="B843" s="42">
        <f>'設定'!$I$34</f>
        <v/>
      </c>
      <c r="C843" s="60" t="n"/>
      <c r="D843" s="60" t="n"/>
      <c r="E843" s="60" t="n"/>
      <c r="F843" s="60" t="n"/>
      <c r="G843" s="60" t="n"/>
      <c r="H843" s="60" t="n"/>
      <c r="I843" s="60" t="n"/>
      <c r="J843" s="60" t="n"/>
      <c r="K843" s="60" t="n"/>
      <c r="L843" s="60" t="n"/>
    </row>
    <row r="844"/>
    <row r="845" ht="26" customHeight="1">
      <c r="B845" s="53">
        <f>IF('名簿'!B35="","（名簿 31行目：なし）",'名簿'!G35)</f>
        <v/>
      </c>
      <c r="C845" s="4" t="n"/>
      <c r="D845" s="4" t="n"/>
      <c r="E845" s="54" t="inlineStr">
        <is>
          <t>提出状況 ▶</t>
        </is>
      </c>
      <c r="F845" s="38" t="n"/>
      <c r="G845" s="29" t="n"/>
      <c r="H845" s="55" t="inlineStr">
        <is>
          <t>状況：</t>
        </is>
      </c>
      <c r="I845" s="56">
        <f>'名簿'!H35</f>
        <v/>
      </c>
      <c r="J845" s="55" t="inlineStr">
        <is>
          <t>×の数：</t>
        </is>
      </c>
      <c r="K845" s="57">
        <f>'名簿'!I35</f>
        <v/>
      </c>
      <c r="L845" s="58">
        <f>HYPERLINK("#'×入力'!B873","次の人へ ▼")</f>
        <v/>
      </c>
    </row>
    <row r="846" ht="22" customHeight="1">
      <c r="A846" s="30" t="inlineStr">
        <is>
          <t>この日全部 ▶</t>
        </is>
      </c>
      <c r="C846" s="59" t="n"/>
      <c r="D846" s="59" t="n"/>
      <c r="E846" s="59" t="n"/>
      <c r="F846" s="59" t="n"/>
      <c r="G846" s="59" t="n"/>
      <c r="H846" s="59" t="n"/>
      <c r="I846" s="59" t="n"/>
      <c r="J846" s="59" t="n"/>
      <c r="K846" s="59" t="n"/>
      <c r="L846" s="59" t="n"/>
    </row>
    <row r="847" ht="28" customHeight="1">
      <c r="A847" s="33" t="inlineStr">
        <is>
          <t>この時間
全部 ▼</t>
        </is>
      </c>
      <c r="B847" s="34" t="inlineStr"/>
      <c r="C847" s="35">
        <f>'設定'!$E$11</f>
        <v/>
      </c>
      <c r="D847" s="35">
        <f>'設定'!$E$12</f>
        <v/>
      </c>
      <c r="E847" s="35">
        <f>'設定'!$E$13</f>
        <v/>
      </c>
      <c r="F847" s="35">
        <f>'設定'!$E$14</f>
        <v/>
      </c>
      <c r="G847" s="35">
        <f>'設定'!$E$15</f>
        <v/>
      </c>
      <c r="H847" s="35">
        <f>'設定'!$E$16</f>
        <v/>
      </c>
      <c r="I847" s="35">
        <f>'設定'!$E$17</f>
        <v/>
      </c>
      <c r="J847" s="35">
        <f>'設定'!$E$18</f>
        <v/>
      </c>
      <c r="K847" s="35">
        <f>'設定'!$E$19</f>
        <v/>
      </c>
      <c r="L847" s="35">
        <f>'設定'!$E$20</f>
        <v/>
      </c>
    </row>
    <row r="848" ht="21" customHeight="1">
      <c r="A848" s="59" t="n"/>
      <c r="B848" s="42">
        <f>'設定'!$I$11</f>
        <v/>
      </c>
      <c r="C848" s="60" t="n"/>
      <c r="D848" s="60" t="n"/>
      <c r="E848" s="60" t="n"/>
      <c r="F848" s="60" t="n"/>
      <c r="G848" s="60" t="n"/>
      <c r="H848" s="60" t="n"/>
      <c r="I848" s="60" t="n"/>
      <c r="J848" s="60" t="n"/>
      <c r="K848" s="60" t="n"/>
      <c r="L848" s="60" t="n"/>
    </row>
    <row r="849" ht="21" customHeight="1">
      <c r="A849" s="59" t="n"/>
      <c r="B849" s="42">
        <f>'設定'!$I$12</f>
        <v/>
      </c>
      <c r="C849" s="60" t="n"/>
      <c r="D849" s="60" t="n"/>
      <c r="E849" s="60" t="n"/>
      <c r="F849" s="60" t="n"/>
      <c r="G849" s="60" t="n"/>
      <c r="H849" s="60" t="n"/>
      <c r="I849" s="60" t="n"/>
      <c r="J849" s="60" t="n"/>
      <c r="K849" s="60" t="n"/>
      <c r="L849" s="60" t="n"/>
    </row>
    <row r="850" ht="21" customHeight="1">
      <c r="A850" s="59" t="n"/>
      <c r="B850" s="42">
        <f>'設定'!$I$13</f>
        <v/>
      </c>
      <c r="C850" s="60" t="n"/>
      <c r="D850" s="60" t="n"/>
      <c r="E850" s="60" t="n"/>
      <c r="F850" s="60" t="n"/>
      <c r="G850" s="60" t="n"/>
      <c r="H850" s="60" t="n"/>
      <c r="I850" s="60" t="n"/>
      <c r="J850" s="60" t="n"/>
      <c r="K850" s="60" t="n"/>
      <c r="L850" s="60" t="n"/>
    </row>
    <row r="851" ht="21" customHeight="1">
      <c r="A851" s="59" t="n"/>
      <c r="B851" s="42">
        <f>'設定'!$I$14</f>
        <v/>
      </c>
      <c r="C851" s="60" t="n"/>
      <c r="D851" s="60" t="n"/>
      <c r="E851" s="60" t="n"/>
      <c r="F851" s="60" t="n"/>
      <c r="G851" s="60" t="n"/>
      <c r="H851" s="60" t="n"/>
      <c r="I851" s="60" t="n"/>
      <c r="J851" s="60" t="n"/>
      <c r="K851" s="60" t="n"/>
      <c r="L851" s="60" t="n"/>
    </row>
    <row r="852" ht="21" customHeight="1">
      <c r="A852" s="59" t="n"/>
      <c r="B852" s="42">
        <f>'設定'!$I$15</f>
        <v/>
      </c>
      <c r="C852" s="60" t="n"/>
      <c r="D852" s="60" t="n"/>
      <c r="E852" s="60" t="n"/>
      <c r="F852" s="60" t="n"/>
      <c r="G852" s="60" t="n"/>
      <c r="H852" s="60" t="n"/>
      <c r="I852" s="60" t="n"/>
      <c r="J852" s="60" t="n"/>
      <c r="K852" s="60" t="n"/>
      <c r="L852" s="60" t="n"/>
    </row>
    <row r="853" ht="21" customHeight="1">
      <c r="A853" s="59" t="n"/>
      <c r="B853" s="42">
        <f>'設定'!$I$16</f>
        <v/>
      </c>
      <c r="C853" s="60" t="n"/>
      <c r="D853" s="60" t="n"/>
      <c r="E853" s="60" t="n"/>
      <c r="F853" s="60" t="n"/>
      <c r="G853" s="60" t="n"/>
      <c r="H853" s="60" t="n"/>
      <c r="I853" s="60" t="n"/>
      <c r="J853" s="60" t="n"/>
      <c r="K853" s="60" t="n"/>
      <c r="L853" s="60" t="n"/>
    </row>
    <row r="854" ht="21" customHeight="1">
      <c r="A854" s="59" t="n"/>
      <c r="B854" s="42">
        <f>'設定'!$I$17</f>
        <v/>
      </c>
      <c r="C854" s="60" t="n"/>
      <c r="D854" s="60" t="n"/>
      <c r="E854" s="60" t="n"/>
      <c r="F854" s="60" t="n"/>
      <c r="G854" s="60" t="n"/>
      <c r="H854" s="60" t="n"/>
      <c r="I854" s="60" t="n"/>
      <c r="J854" s="60" t="n"/>
      <c r="K854" s="60" t="n"/>
      <c r="L854" s="60" t="n"/>
    </row>
    <row r="855" ht="21" customHeight="1">
      <c r="A855" s="59" t="n"/>
      <c r="B855" s="42">
        <f>'設定'!$I$18</f>
        <v/>
      </c>
      <c r="C855" s="60" t="n"/>
      <c r="D855" s="60" t="n"/>
      <c r="E855" s="60" t="n"/>
      <c r="F855" s="60" t="n"/>
      <c r="G855" s="60" t="n"/>
      <c r="H855" s="60" t="n"/>
      <c r="I855" s="60" t="n"/>
      <c r="J855" s="60" t="n"/>
      <c r="K855" s="60" t="n"/>
      <c r="L855" s="60" t="n"/>
    </row>
    <row r="856" ht="21" customHeight="1">
      <c r="A856" s="59" t="n"/>
      <c r="B856" s="42">
        <f>'設定'!$I$19</f>
        <v/>
      </c>
      <c r="C856" s="60" t="n"/>
      <c r="D856" s="60" t="n"/>
      <c r="E856" s="60" t="n"/>
      <c r="F856" s="60" t="n"/>
      <c r="G856" s="60" t="n"/>
      <c r="H856" s="60" t="n"/>
      <c r="I856" s="60" t="n"/>
      <c r="J856" s="60" t="n"/>
      <c r="K856" s="60" t="n"/>
      <c r="L856" s="60" t="n"/>
    </row>
    <row r="857" ht="21" customHeight="1">
      <c r="A857" s="59" t="n"/>
      <c r="B857" s="42">
        <f>'設定'!$I$20</f>
        <v/>
      </c>
      <c r="C857" s="60" t="n"/>
      <c r="D857" s="60" t="n"/>
      <c r="E857" s="60" t="n"/>
      <c r="F857" s="60" t="n"/>
      <c r="G857" s="60" t="n"/>
      <c r="H857" s="60" t="n"/>
      <c r="I857" s="60" t="n"/>
      <c r="J857" s="60" t="n"/>
      <c r="K857" s="60" t="n"/>
      <c r="L857" s="60" t="n"/>
    </row>
    <row r="858" ht="21" customHeight="1">
      <c r="A858" s="59" t="n"/>
      <c r="B858" s="42">
        <f>'設定'!$I$21</f>
        <v/>
      </c>
      <c r="C858" s="60" t="n"/>
      <c r="D858" s="60" t="n"/>
      <c r="E858" s="60" t="n"/>
      <c r="F858" s="60" t="n"/>
      <c r="G858" s="60" t="n"/>
      <c r="H858" s="60" t="n"/>
      <c r="I858" s="60" t="n"/>
      <c r="J858" s="60" t="n"/>
      <c r="K858" s="60" t="n"/>
      <c r="L858" s="60" t="n"/>
    </row>
    <row r="859" ht="21" customHeight="1">
      <c r="A859" s="59" t="n"/>
      <c r="B859" s="42">
        <f>'設定'!$I$22</f>
        <v/>
      </c>
      <c r="C859" s="60" t="n"/>
      <c r="D859" s="60" t="n"/>
      <c r="E859" s="60" t="n"/>
      <c r="F859" s="60" t="n"/>
      <c r="G859" s="60" t="n"/>
      <c r="H859" s="60" t="n"/>
      <c r="I859" s="60" t="n"/>
      <c r="J859" s="60" t="n"/>
      <c r="K859" s="60" t="n"/>
      <c r="L859" s="60" t="n"/>
    </row>
    <row r="860" ht="21" customHeight="1">
      <c r="A860" s="59" t="n"/>
      <c r="B860" s="42">
        <f>'設定'!$I$23</f>
        <v/>
      </c>
      <c r="C860" s="60" t="n"/>
      <c r="D860" s="60" t="n"/>
      <c r="E860" s="60" t="n"/>
      <c r="F860" s="60" t="n"/>
      <c r="G860" s="60" t="n"/>
      <c r="H860" s="60" t="n"/>
      <c r="I860" s="60" t="n"/>
      <c r="J860" s="60" t="n"/>
      <c r="K860" s="60" t="n"/>
      <c r="L860" s="60" t="n"/>
    </row>
    <row r="861" ht="21" customHeight="1">
      <c r="A861" s="59" t="n"/>
      <c r="B861" s="42">
        <f>'設定'!$I$24</f>
        <v/>
      </c>
      <c r="C861" s="60" t="n"/>
      <c r="D861" s="60" t="n"/>
      <c r="E861" s="60" t="n"/>
      <c r="F861" s="60" t="n"/>
      <c r="G861" s="60" t="n"/>
      <c r="H861" s="60" t="n"/>
      <c r="I861" s="60" t="n"/>
      <c r="J861" s="60" t="n"/>
      <c r="K861" s="60" t="n"/>
      <c r="L861" s="60" t="n"/>
    </row>
    <row r="862" ht="21" customHeight="1">
      <c r="A862" s="59" t="n"/>
      <c r="B862" s="42">
        <f>'設定'!$I$25</f>
        <v/>
      </c>
      <c r="C862" s="60" t="n"/>
      <c r="D862" s="60" t="n"/>
      <c r="E862" s="60" t="n"/>
      <c r="F862" s="60" t="n"/>
      <c r="G862" s="60" t="n"/>
      <c r="H862" s="60" t="n"/>
      <c r="I862" s="60" t="n"/>
      <c r="J862" s="60" t="n"/>
      <c r="K862" s="60" t="n"/>
      <c r="L862" s="60" t="n"/>
    </row>
    <row r="863" ht="21" customHeight="1">
      <c r="A863" s="59" t="n"/>
      <c r="B863" s="42">
        <f>'設定'!$I$26</f>
        <v/>
      </c>
      <c r="C863" s="60" t="n"/>
      <c r="D863" s="60" t="n"/>
      <c r="E863" s="60" t="n"/>
      <c r="F863" s="60" t="n"/>
      <c r="G863" s="60" t="n"/>
      <c r="H863" s="60" t="n"/>
      <c r="I863" s="60" t="n"/>
      <c r="J863" s="60" t="n"/>
      <c r="K863" s="60" t="n"/>
      <c r="L863" s="60" t="n"/>
    </row>
    <row r="864" ht="21" customHeight="1">
      <c r="A864" s="59" t="n"/>
      <c r="B864" s="42">
        <f>'設定'!$I$27</f>
        <v/>
      </c>
      <c r="C864" s="60" t="n"/>
      <c r="D864" s="60" t="n"/>
      <c r="E864" s="60" t="n"/>
      <c r="F864" s="60" t="n"/>
      <c r="G864" s="60" t="n"/>
      <c r="H864" s="60" t="n"/>
      <c r="I864" s="60" t="n"/>
      <c r="J864" s="60" t="n"/>
      <c r="K864" s="60" t="n"/>
      <c r="L864" s="60" t="n"/>
    </row>
    <row r="865" ht="21" customHeight="1">
      <c r="A865" s="59" t="n"/>
      <c r="B865" s="42">
        <f>'設定'!$I$28</f>
        <v/>
      </c>
      <c r="C865" s="60" t="n"/>
      <c r="D865" s="60" t="n"/>
      <c r="E865" s="60" t="n"/>
      <c r="F865" s="60" t="n"/>
      <c r="G865" s="60" t="n"/>
      <c r="H865" s="60" t="n"/>
      <c r="I865" s="60" t="n"/>
      <c r="J865" s="60" t="n"/>
      <c r="K865" s="60" t="n"/>
      <c r="L865" s="60" t="n"/>
    </row>
    <row r="866" ht="21" customHeight="1">
      <c r="A866" s="59" t="n"/>
      <c r="B866" s="42">
        <f>'設定'!$I$29</f>
        <v/>
      </c>
      <c r="C866" s="60" t="n"/>
      <c r="D866" s="60" t="n"/>
      <c r="E866" s="60" t="n"/>
      <c r="F866" s="60" t="n"/>
      <c r="G866" s="60" t="n"/>
      <c r="H866" s="60" t="n"/>
      <c r="I866" s="60" t="n"/>
      <c r="J866" s="60" t="n"/>
      <c r="K866" s="60" t="n"/>
      <c r="L866" s="60" t="n"/>
    </row>
    <row r="867" ht="21" customHeight="1">
      <c r="A867" s="59" t="n"/>
      <c r="B867" s="42">
        <f>'設定'!$I$30</f>
        <v/>
      </c>
      <c r="C867" s="60" t="n"/>
      <c r="D867" s="60" t="n"/>
      <c r="E867" s="60" t="n"/>
      <c r="F867" s="60" t="n"/>
      <c r="G867" s="60" t="n"/>
      <c r="H867" s="60" t="n"/>
      <c r="I867" s="60" t="n"/>
      <c r="J867" s="60" t="n"/>
      <c r="K867" s="60" t="n"/>
      <c r="L867" s="60" t="n"/>
    </row>
    <row r="868" ht="21" customHeight="1">
      <c r="A868" s="59" t="n"/>
      <c r="B868" s="42">
        <f>'設定'!$I$31</f>
        <v/>
      </c>
      <c r="C868" s="60" t="n"/>
      <c r="D868" s="60" t="n"/>
      <c r="E868" s="60" t="n"/>
      <c r="F868" s="60" t="n"/>
      <c r="G868" s="60" t="n"/>
      <c r="H868" s="60" t="n"/>
      <c r="I868" s="60" t="n"/>
      <c r="J868" s="60" t="n"/>
      <c r="K868" s="60" t="n"/>
      <c r="L868" s="60" t="n"/>
    </row>
    <row r="869" ht="21" customHeight="1">
      <c r="A869" s="59" t="n"/>
      <c r="B869" s="42">
        <f>'設定'!$I$32</f>
        <v/>
      </c>
      <c r="C869" s="60" t="n"/>
      <c r="D869" s="60" t="n"/>
      <c r="E869" s="60" t="n"/>
      <c r="F869" s="60" t="n"/>
      <c r="G869" s="60" t="n"/>
      <c r="H869" s="60" t="n"/>
      <c r="I869" s="60" t="n"/>
      <c r="J869" s="60" t="n"/>
      <c r="K869" s="60" t="n"/>
      <c r="L869" s="60" t="n"/>
    </row>
    <row r="870" ht="21" customHeight="1">
      <c r="A870" s="59" t="n"/>
      <c r="B870" s="42">
        <f>'設定'!$I$33</f>
        <v/>
      </c>
      <c r="C870" s="60" t="n"/>
      <c r="D870" s="60" t="n"/>
      <c r="E870" s="60" t="n"/>
      <c r="F870" s="60" t="n"/>
      <c r="G870" s="60" t="n"/>
      <c r="H870" s="60" t="n"/>
      <c r="I870" s="60" t="n"/>
      <c r="J870" s="60" t="n"/>
      <c r="K870" s="60" t="n"/>
      <c r="L870" s="60" t="n"/>
    </row>
    <row r="871" ht="21" customHeight="1">
      <c r="A871" s="59" t="n"/>
      <c r="B871" s="42">
        <f>'設定'!$I$34</f>
        <v/>
      </c>
      <c r="C871" s="60" t="n"/>
      <c r="D871" s="60" t="n"/>
      <c r="E871" s="60" t="n"/>
      <c r="F871" s="60" t="n"/>
      <c r="G871" s="60" t="n"/>
      <c r="H871" s="60" t="n"/>
      <c r="I871" s="60" t="n"/>
      <c r="J871" s="60" t="n"/>
      <c r="K871" s="60" t="n"/>
      <c r="L871" s="60" t="n"/>
    </row>
    <row r="872"/>
    <row r="873" ht="26" customHeight="1">
      <c r="B873" s="53">
        <f>IF('名簿'!B36="","（名簿 32行目：なし）",'名簿'!G36)</f>
        <v/>
      </c>
      <c r="C873" s="4" t="n"/>
      <c r="D873" s="4" t="n"/>
      <c r="E873" s="54" t="inlineStr">
        <is>
          <t>提出状況 ▶</t>
        </is>
      </c>
      <c r="F873" s="38" t="n"/>
      <c r="G873" s="29" t="n"/>
      <c r="H873" s="55" t="inlineStr">
        <is>
          <t>状況：</t>
        </is>
      </c>
      <c r="I873" s="56">
        <f>'名簿'!H36</f>
        <v/>
      </c>
      <c r="J873" s="55" t="inlineStr">
        <is>
          <t>×の数：</t>
        </is>
      </c>
      <c r="K873" s="57">
        <f>'名簿'!I36</f>
        <v/>
      </c>
      <c r="L873" s="58">
        <f>HYPERLINK("#'×入力'!B901","次の人へ ▼")</f>
        <v/>
      </c>
    </row>
    <row r="874" ht="22" customHeight="1">
      <c r="A874" s="30" t="inlineStr">
        <is>
          <t>この日全部 ▶</t>
        </is>
      </c>
      <c r="C874" s="59" t="n"/>
      <c r="D874" s="59" t="n"/>
      <c r="E874" s="59" t="n"/>
      <c r="F874" s="59" t="n"/>
      <c r="G874" s="59" t="n"/>
      <c r="H874" s="59" t="n"/>
      <c r="I874" s="59" t="n"/>
      <c r="J874" s="59" t="n"/>
      <c r="K874" s="59" t="n"/>
      <c r="L874" s="59" t="n"/>
    </row>
    <row r="875" ht="28" customHeight="1">
      <c r="A875" s="33" t="inlineStr">
        <is>
          <t>この時間
全部 ▼</t>
        </is>
      </c>
      <c r="B875" s="34" t="inlineStr"/>
      <c r="C875" s="35">
        <f>'設定'!$E$11</f>
        <v/>
      </c>
      <c r="D875" s="35">
        <f>'設定'!$E$12</f>
        <v/>
      </c>
      <c r="E875" s="35">
        <f>'設定'!$E$13</f>
        <v/>
      </c>
      <c r="F875" s="35">
        <f>'設定'!$E$14</f>
        <v/>
      </c>
      <c r="G875" s="35">
        <f>'設定'!$E$15</f>
        <v/>
      </c>
      <c r="H875" s="35">
        <f>'設定'!$E$16</f>
        <v/>
      </c>
      <c r="I875" s="35">
        <f>'設定'!$E$17</f>
        <v/>
      </c>
      <c r="J875" s="35">
        <f>'設定'!$E$18</f>
        <v/>
      </c>
      <c r="K875" s="35">
        <f>'設定'!$E$19</f>
        <v/>
      </c>
      <c r="L875" s="35">
        <f>'設定'!$E$20</f>
        <v/>
      </c>
    </row>
    <row r="876" ht="21" customHeight="1">
      <c r="A876" s="59" t="n"/>
      <c r="B876" s="42">
        <f>'設定'!$I$11</f>
        <v/>
      </c>
      <c r="C876" s="60" t="n"/>
      <c r="D876" s="60" t="n"/>
      <c r="E876" s="60" t="n"/>
      <c r="F876" s="60" t="n"/>
      <c r="G876" s="60" t="n"/>
      <c r="H876" s="60" t="n"/>
      <c r="I876" s="60" t="n"/>
      <c r="J876" s="60" t="n"/>
      <c r="K876" s="60" t="n"/>
      <c r="L876" s="60" t="n"/>
    </row>
    <row r="877" ht="21" customHeight="1">
      <c r="A877" s="59" t="n"/>
      <c r="B877" s="42">
        <f>'設定'!$I$12</f>
        <v/>
      </c>
      <c r="C877" s="60" t="n"/>
      <c r="D877" s="60" t="n"/>
      <c r="E877" s="60" t="n"/>
      <c r="F877" s="60" t="n"/>
      <c r="G877" s="60" t="n"/>
      <c r="H877" s="60" t="n"/>
      <c r="I877" s="60" t="n"/>
      <c r="J877" s="60" t="n"/>
      <c r="K877" s="60" t="n"/>
      <c r="L877" s="60" t="n"/>
    </row>
    <row r="878" ht="21" customHeight="1">
      <c r="A878" s="59" t="n"/>
      <c r="B878" s="42">
        <f>'設定'!$I$13</f>
        <v/>
      </c>
      <c r="C878" s="60" t="n"/>
      <c r="D878" s="60" t="n"/>
      <c r="E878" s="60" t="n"/>
      <c r="F878" s="60" t="n"/>
      <c r="G878" s="60" t="n"/>
      <c r="H878" s="60" t="n"/>
      <c r="I878" s="60" t="n"/>
      <c r="J878" s="60" t="n"/>
      <c r="K878" s="60" t="n"/>
      <c r="L878" s="60" t="n"/>
    </row>
    <row r="879" ht="21" customHeight="1">
      <c r="A879" s="59" t="n"/>
      <c r="B879" s="42">
        <f>'設定'!$I$14</f>
        <v/>
      </c>
      <c r="C879" s="60" t="n"/>
      <c r="D879" s="60" t="n"/>
      <c r="E879" s="60" t="n"/>
      <c r="F879" s="60" t="n"/>
      <c r="G879" s="60" t="n"/>
      <c r="H879" s="60" t="n"/>
      <c r="I879" s="60" t="n"/>
      <c r="J879" s="60" t="n"/>
      <c r="K879" s="60" t="n"/>
      <c r="L879" s="60" t="n"/>
    </row>
    <row r="880" ht="21" customHeight="1">
      <c r="A880" s="59" t="n"/>
      <c r="B880" s="42">
        <f>'設定'!$I$15</f>
        <v/>
      </c>
      <c r="C880" s="60" t="n"/>
      <c r="D880" s="60" t="n"/>
      <c r="E880" s="60" t="n"/>
      <c r="F880" s="60" t="n"/>
      <c r="G880" s="60" t="n"/>
      <c r="H880" s="60" t="n"/>
      <c r="I880" s="60" t="n"/>
      <c r="J880" s="60" t="n"/>
      <c r="K880" s="60" t="n"/>
      <c r="L880" s="60" t="n"/>
    </row>
    <row r="881" ht="21" customHeight="1">
      <c r="A881" s="59" t="n"/>
      <c r="B881" s="42">
        <f>'設定'!$I$16</f>
        <v/>
      </c>
      <c r="C881" s="60" t="n"/>
      <c r="D881" s="60" t="n"/>
      <c r="E881" s="60" t="n"/>
      <c r="F881" s="60" t="n"/>
      <c r="G881" s="60" t="n"/>
      <c r="H881" s="60" t="n"/>
      <c r="I881" s="60" t="n"/>
      <c r="J881" s="60" t="n"/>
      <c r="K881" s="60" t="n"/>
      <c r="L881" s="60" t="n"/>
    </row>
    <row r="882" ht="21" customHeight="1">
      <c r="A882" s="59" t="n"/>
      <c r="B882" s="42">
        <f>'設定'!$I$17</f>
        <v/>
      </c>
      <c r="C882" s="60" t="n"/>
      <c r="D882" s="60" t="n"/>
      <c r="E882" s="60" t="n"/>
      <c r="F882" s="60" t="n"/>
      <c r="G882" s="60" t="n"/>
      <c r="H882" s="60" t="n"/>
      <c r="I882" s="60" t="n"/>
      <c r="J882" s="60" t="n"/>
      <c r="K882" s="60" t="n"/>
      <c r="L882" s="60" t="n"/>
    </row>
    <row r="883" ht="21" customHeight="1">
      <c r="A883" s="59" t="n"/>
      <c r="B883" s="42">
        <f>'設定'!$I$18</f>
        <v/>
      </c>
      <c r="C883" s="60" t="n"/>
      <c r="D883" s="60" t="n"/>
      <c r="E883" s="60" t="n"/>
      <c r="F883" s="60" t="n"/>
      <c r="G883" s="60" t="n"/>
      <c r="H883" s="60" t="n"/>
      <c r="I883" s="60" t="n"/>
      <c r="J883" s="60" t="n"/>
      <c r="K883" s="60" t="n"/>
      <c r="L883" s="60" t="n"/>
    </row>
    <row r="884" ht="21" customHeight="1">
      <c r="A884" s="59" t="n"/>
      <c r="B884" s="42">
        <f>'設定'!$I$19</f>
        <v/>
      </c>
      <c r="C884" s="60" t="n"/>
      <c r="D884" s="60" t="n"/>
      <c r="E884" s="60" t="n"/>
      <c r="F884" s="60" t="n"/>
      <c r="G884" s="60" t="n"/>
      <c r="H884" s="60" t="n"/>
      <c r="I884" s="60" t="n"/>
      <c r="J884" s="60" t="n"/>
      <c r="K884" s="60" t="n"/>
      <c r="L884" s="60" t="n"/>
    </row>
    <row r="885" ht="21" customHeight="1">
      <c r="A885" s="59" t="n"/>
      <c r="B885" s="42">
        <f>'設定'!$I$20</f>
        <v/>
      </c>
      <c r="C885" s="60" t="n"/>
      <c r="D885" s="60" t="n"/>
      <c r="E885" s="60" t="n"/>
      <c r="F885" s="60" t="n"/>
      <c r="G885" s="60" t="n"/>
      <c r="H885" s="60" t="n"/>
      <c r="I885" s="60" t="n"/>
      <c r="J885" s="60" t="n"/>
      <c r="K885" s="60" t="n"/>
      <c r="L885" s="60" t="n"/>
    </row>
    <row r="886" ht="21" customHeight="1">
      <c r="A886" s="59" t="n"/>
      <c r="B886" s="42">
        <f>'設定'!$I$21</f>
        <v/>
      </c>
      <c r="C886" s="60" t="n"/>
      <c r="D886" s="60" t="n"/>
      <c r="E886" s="60" t="n"/>
      <c r="F886" s="60" t="n"/>
      <c r="G886" s="60" t="n"/>
      <c r="H886" s="60" t="n"/>
      <c r="I886" s="60" t="n"/>
      <c r="J886" s="60" t="n"/>
      <c r="K886" s="60" t="n"/>
      <c r="L886" s="60" t="n"/>
    </row>
    <row r="887" ht="21" customHeight="1">
      <c r="A887" s="59" t="n"/>
      <c r="B887" s="42">
        <f>'設定'!$I$22</f>
        <v/>
      </c>
      <c r="C887" s="60" t="n"/>
      <c r="D887" s="60" t="n"/>
      <c r="E887" s="60" t="n"/>
      <c r="F887" s="60" t="n"/>
      <c r="G887" s="60" t="n"/>
      <c r="H887" s="60" t="n"/>
      <c r="I887" s="60" t="n"/>
      <c r="J887" s="60" t="n"/>
      <c r="K887" s="60" t="n"/>
      <c r="L887" s="60" t="n"/>
    </row>
    <row r="888" ht="21" customHeight="1">
      <c r="A888" s="59" t="n"/>
      <c r="B888" s="42">
        <f>'設定'!$I$23</f>
        <v/>
      </c>
      <c r="C888" s="60" t="n"/>
      <c r="D888" s="60" t="n"/>
      <c r="E888" s="60" t="n"/>
      <c r="F888" s="60" t="n"/>
      <c r="G888" s="60" t="n"/>
      <c r="H888" s="60" t="n"/>
      <c r="I888" s="60" t="n"/>
      <c r="J888" s="60" t="n"/>
      <c r="K888" s="60" t="n"/>
      <c r="L888" s="60" t="n"/>
    </row>
    <row r="889" ht="21" customHeight="1">
      <c r="A889" s="59" t="n"/>
      <c r="B889" s="42">
        <f>'設定'!$I$24</f>
        <v/>
      </c>
      <c r="C889" s="60" t="n"/>
      <c r="D889" s="60" t="n"/>
      <c r="E889" s="60" t="n"/>
      <c r="F889" s="60" t="n"/>
      <c r="G889" s="60" t="n"/>
      <c r="H889" s="60" t="n"/>
      <c r="I889" s="60" t="n"/>
      <c r="J889" s="60" t="n"/>
      <c r="K889" s="60" t="n"/>
      <c r="L889" s="60" t="n"/>
    </row>
    <row r="890" ht="21" customHeight="1">
      <c r="A890" s="59" t="n"/>
      <c r="B890" s="42">
        <f>'設定'!$I$25</f>
        <v/>
      </c>
      <c r="C890" s="60" t="n"/>
      <c r="D890" s="60" t="n"/>
      <c r="E890" s="60" t="n"/>
      <c r="F890" s="60" t="n"/>
      <c r="G890" s="60" t="n"/>
      <c r="H890" s="60" t="n"/>
      <c r="I890" s="60" t="n"/>
      <c r="J890" s="60" t="n"/>
      <c r="K890" s="60" t="n"/>
      <c r="L890" s="60" t="n"/>
    </row>
    <row r="891" ht="21" customHeight="1">
      <c r="A891" s="59" t="n"/>
      <c r="B891" s="42">
        <f>'設定'!$I$26</f>
        <v/>
      </c>
      <c r="C891" s="60" t="n"/>
      <c r="D891" s="60" t="n"/>
      <c r="E891" s="60" t="n"/>
      <c r="F891" s="60" t="n"/>
      <c r="G891" s="60" t="n"/>
      <c r="H891" s="60" t="n"/>
      <c r="I891" s="60" t="n"/>
      <c r="J891" s="60" t="n"/>
      <c r="K891" s="60" t="n"/>
      <c r="L891" s="60" t="n"/>
    </row>
    <row r="892" ht="21" customHeight="1">
      <c r="A892" s="59" t="n"/>
      <c r="B892" s="42">
        <f>'設定'!$I$27</f>
        <v/>
      </c>
      <c r="C892" s="60" t="n"/>
      <c r="D892" s="60" t="n"/>
      <c r="E892" s="60" t="n"/>
      <c r="F892" s="60" t="n"/>
      <c r="G892" s="60" t="n"/>
      <c r="H892" s="60" t="n"/>
      <c r="I892" s="60" t="n"/>
      <c r="J892" s="60" t="n"/>
      <c r="K892" s="60" t="n"/>
      <c r="L892" s="60" t="n"/>
    </row>
    <row r="893" ht="21" customHeight="1">
      <c r="A893" s="59" t="n"/>
      <c r="B893" s="42">
        <f>'設定'!$I$28</f>
        <v/>
      </c>
      <c r="C893" s="60" t="n"/>
      <c r="D893" s="60" t="n"/>
      <c r="E893" s="60" t="n"/>
      <c r="F893" s="60" t="n"/>
      <c r="G893" s="60" t="n"/>
      <c r="H893" s="60" t="n"/>
      <c r="I893" s="60" t="n"/>
      <c r="J893" s="60" t="n"/>
      <c r="K893" s="60" t="n"/>
      <c r="L893" s="60" t="n"/>
    </row>
    <row r="894" ht="21" customHeight="1">
      <c r="A894" s="59" t="n"/>
      <c r="B894" s="42">
        <f>'設定'!$I$29</f>
        <v/>
      </c>
      <c r="C894" s="60" t="n"/>
      <c r="D894" s="60" t="n"/>
      <c r="E894" s="60" t="n"/>
      <c r="F894" s="60" t="n"/>
      <c r="G894" s="60" t="n"/>
      <c r="H894" s="60" t="n"/>
      <c r="I894" s="60" t="n"/>
      <c r="J894" s="60" t="n"/>
      <c r="K894" s="60" t="n"/>
      <c r="L894" s="60" t="n"/>
    </row>
    <row r="895" ht="21" customHeight="1">
      <c r="A895" s="59" t="n"/>
      <c r="B895" s="42">
        <f>'設定'!$I$30</f>
        <v/>
      </c>
      <c r="C895" s="60" t="n"/>
      <c r="D895" s="60" t="n"/>
      <c r="E895" s="60" t="n"/>
      <c r="F895" s="60" t="n"/>
      <c r="G895" s="60" t="n"/>
      <c r="H895" s="60" t="n"/>
      <c r="I895" s="60" t="n"/>
      <c r="J895" s="60" t="n"/>
      <c r="K895" s="60" t="n"/>
      <c r="L895" s="60" t="n"/>
    </row>
    <row r="896" ht="21" customHeight="1">
      <c r="A896" s="59" t="n"/>
      <c r="B896" s="42">
        <f>'設定'!$I$31</f>
        <v/>
      </c>
      <c r="C896" s="60" t="n"/>
      <c r="D896" s="60" t="n"/>
      <c r="E896" s="60" t="n"/>
      <c r="F896" s="60" t="n"/>
      <c r="G896" s="60" t="n"/>
      <c r="H896" s="60" t="n"/>
      <c r="I896" s="60" t="n"/>
      <c r="J896" s="60" t="n"/>
      <c r="K896" s="60" t="n"/>
      <c r="L896" s="60" t="n"/>
    </row>
    <row r="897" ht="21" customHeight="1">
      <c r="A897" s="59" t="n"/>
      <c r="B897" s="42">
        <f>'設定'!$I$32</f>
        <v/>
      </c>
      <c r="C897" s="60" t="n"/>
      <c r="D897" s="60" t="n"/>
      <c r="E897" s="60" t="n"/>
      <c r="F897" s="60" t="n"/>
      <c r="G897" s="60" t="n"/>
      <c r="H897" s="60" t="n"/>
      <c r="I897" s="60" t="n"/>
      <c r="J897" s="60" t="n"/>
      <c r="K897" s="60" t="n"/>
      <c r="L897" s="60" t="n"/>
    </row>
    <row r="898" ht="21" customHeight="1">
      <c r="A898" s="59" t="n"/>
      <c r="B898" s="42">
        <f>'設定'!$I$33</f>
        <v/>
      </c>
      <c r="C898" s="60" t="n"/>
      <c r="D898" s="60" t="n"/>
      <c r="E898" s="60" t="n"/>
      <c r="F898" s="60" t="n"/>
      <c r="G898" s="60" t="n"/>
      <c r="H898" s="60" t="n"/>
      <c r="I898" s="60" t="n"/>
      <c r="J898" s="60" t="n"/>
      <c r="K898" s="60" t="n"/>
      <c r="L898" s="60" t="n"/>
    </row>
    <row r="899" ht="21" customHeight="1">
      <c r="A899" s="59" t="n"/>
      <c r="B899" s="42">
        <f>'設定'!$I$34</f>
        <v/>
      </c>
      <c r="C899" s="60" t="n"/>
      <c r="D899" s="60" t="n"/>
      <c r="E899" s="60" t="n"/>
      <c r="F899" s="60" t="n"/>
      <c r="G899" s="60" t="n"/>
      <c r="H899" s="60" t="n"/>
      <c r="I899" s="60" t="n"/>
      <c r="J899" s="60" t="n"/>
      <c r="K899" s="60" t="n"/>
      <c r="L899" s="60" t="n"/>
    </row>
    <row r="900"/>
    <row r="901" ht="26" customHeight="1">
      <c r="B901" s="53">
        <f>IF('名簿'!B37="","（名簿 33行目：なし）",'名簿'!G37)</f>
        <v/>
      </c>
      <c r="C901" s="4" t="n"/>
      <c r="D901" s="4" t="n"/>
      <c r="E901" s="54" t="inlineStr">
        <is>
          <t>提出状況 ▶</t>
        </is>
      </c>
      <c r="F901" s="38" t="n"/>
      <c r="G901" s="29" t="n"/>
      <c r="H901" s="55" t="inlineStr">
        <is>
          <t>状況：</t>
        </is>
      </c>
      <c r="I901" s="56">
        <f>'名簿'!H37</f>
        <v/>
      </c>
      <c r="J901" s="55" t="inlineStr">
        <is>
          <t>×の数：</t>
        </is>
      </c>
      <c r="K901" s="57">
        <f>'名簿'!I37</f>
        <v/>
      </c>
      <c r="L901" s="58">
        <f>HYPERLINK("#'×入力'!B929","次の人へ ▼")</f>
        <v/>
      </c>
    </row>
    <row r="902" ht="22" customHeight="1">
      <c r="A902" s="30" t="inlineStr">
        <is>
          <t>この日全部 ▶</t>
        </is>
      </c>
      <c r="C902" s="59" t="n"/>
      <c r="D902" s="59" t="n"/>
      <c r="E902" s="59" t="n"/>
      <c r="F902" s="59" t="n"/>
      <c r="G902" s="59" t="n"/>
      <c r="H902" s="59" t="n"/>
      <c r="I902" s="59" t="n"/>
      <c r="J902" s="59" t="n"/>
      <c r="K902" s="59" t="n"/>
      <c r="L902" s="59" t="n"/>
    </row>
    <row r="903" ht="28" customHeight="1">
      <c r="A903" s="33" t="inlineStr">
        <is>
          <t>この時間
全部 ▼</t>
        </is>
      </c>
      <c r="B903" s="34" t="inlineStr"/>
      <c r="C903" s="35">
        <f>'設定'!$E$11</f>
        <v/>
      </c>
      <c r="D903" s="35">
        <f>'設定'!$E$12</f>
        <v/>
      </c>
      <c r="E903" s="35">
        <f>'設定'!$E$13</f>
        <v/>
      </c>
      <c r="F903" s="35">
        <f>'設定'!$E$14</f>
        <v/>
      </c>
      <c r="G903" s="35">
        <f>'設定'!$E$15</f>
        <v/>
      </c>
      <c r="H903" s="35">
        <f>'設定'!$E$16</f>
        <v/>
      </c>
      <c r="I903" s="35">
        <f>'設定'!$E$17</f>
        <v/>
      </c>
      <c r="J903" s="35">
        <f>'設定'!$E$18</f>
        <v/>
      </c>
      <c r="K903" s="35">
        <f>'設定'!$E$19</f>
        <v/>
      </c>
      <c r="L903" s="35">
        <f>'設定'!$E$20</f>
        <v/>
      </c>
    </row>
    <row r="904" ht="21" customHeight="1">
      <c r="A904" s="59" t="n"/>
      <c r="B904" s="42">
        <f>'設定'!$I$11</f>
        <v/>
      </c>
      <c r="C904" s="60" t="n"/>
      <c r="D904" s="60" t="n"/>
      <c r="E904" s="60" t="n"/>
      <c r="F904" s="60" t="n"/>
      <c r="G904" s="60" t="n"/>
      <c r="H904" s="60" t="n"/>
      <c r="I904" s="60" t="n"/>
      <c r="J904" s="60" t="n"/>
      <c r="K904" s="60" t="n"/>
      <c r="L904" s="60" t="n"/>
    </row>
    <row r="905" ht="21" customHeight="1">
      <c r="A905" s="59" t="n"/>
      <c r="B905" s="42">
        <f>'設定'!$I$12</f>
        <v/>
      </c>
      <c r="C905" s="60" t="n"/>
      <c r="D905" s="60" t="n"/>
      <c r="E905" s="60" t="n"/>
      <c r="F905" s="60" t="n"/>
      <c r="G905" s="60" t="n"/>
      <c r="H905" s="60" t="n"/>
      <c r="I905" s="60" t="n"/>
      <c r="J905" s="60" t="n"/>
      <c r="K905" s="60" t="n"/>
      <c r="L905" s="60" t="n"/>
    </row>
    <row r="906" ht="21" customHeight="1">
      <c r="A906" s="59" t="n"/>
      <c r="B906" s="42">
        <f>'設定'!$I$13</f>
        <v/>
      </c>
      <c r="C906" s="60" t="n"/>
      <c r="D906" s="60" t="n"/>
      <c r="E906" s="60" t="n"/>
      <c r="F906" s="60" t="n"/>
      <c r="G906" s="60" t="n"/>
      <c r="H906" s="60" t="n"/>
      <c r="I906" s="60" t="n"/>
      <c r="J906" s="60" t="n"/>
      <c r="K906" s="60" t="n"/>
      <c r="L906" s="60" t="n"/>
    </row>
    <row r="907" ht="21" customHeight="1">
      <c r="A907" s="59" t="n"/>
      <c r="B907" s="42">
        <f>'設定'!$I$14</f>
        <v/>
      </c>
      <c r="C907" s="60" t="n"/>
      <c r="D907" s="60" t="n"/>
      <c r="E907" s="60" t="n"/>
      <c r="F907" s="60" t="n"/>
      <c r="G907" s="60" t="n"/>
      <c r="H907" s="60" t="n"/>
      <c r="I907" s="60" t="n"/>
      <c r="J907" s="60" t="n"/>
      <c r="K907" s="60" t="n"/>
      <c r="L907" s="60" t="n"/>
    </row>
    <row r="908" ht="21" customHeight="1">
      <c r="A908" s="59" t="n"/>
      <c r="B908" s="42">
        <f>'設定'!$I$15</f>
        <v/>
      </c>
      <c r="C908" s="60" t="n"/>
      <c r="D908" s="60" t="n"/>
      <c r="E908" s="60" t="n"/>
      <c r="F908" s="60" t="n"/>
      <c r="G908" s="60" t="n"/>
      <c r="H908" s="60" t="n"/>
      <c r="I908" s="60" t="n"/>
      <c r="J908" s="60" t="n"/>
      <c r="K908" s="60" t="n"/>
      <c r="L908" s="60" t="n"/>
    </row>
    <row r="909" ht="21" customHeight="1">
      <c r="A909" s="59" t="n"/>
      <c r="B909" s="42">
        <f>'設定'!$I$16</f>
        <v/>
      </c>
      <c r="C909" s="60" t="n"/>
      <c r="D909" s="60" t="n"/>
      <c r="E909" s="60" t="n"/>
      <c r="F909" s="60" t="n"/>
      <c r="G909" s="60" t="n"/>
      <c r="H909" s="60" t="n"/>
      <c r="I909" s="60" t="n"/>
      <c r="J909" s="60" t="n"/>
      <c r="K909" s="60" t="n"/>
      <c r="L909" s="60" t="n"/>
    </row>
    <row r="910" ht="21" customHeight="1">
      <c r="A910" s="59" t="n"/>
      <c r="B910" s="42">
        <f>'設定'!$I$17</f>
        <v/>
      </c>
      <c r="C910" s="60" t="n"/>
      <c r="D910" s="60" t="n"/>
      <c r="E910" s="60" t="n"/>
      <c r="F910" s="60" t="n"/>
      <c r="G910" s="60" t="n"/>
      <c r="H910" s="60" t="n"/>
      <c r="I910" s="60" t="n"/>
      <c r="J910" s="60" t="n"/>
      <c r="K910" s="60" t="n"/>
      <c r="L910" s="60" t="n"/>
    </row>
    <row r="911" ht="21" customHeight="1">
      <c r="A911" s="59" t="n"/>
      <c r="B911" s="42">
        <f>'設定'!$I$18</f>
        <v/>
      </c>
      <c r="C911" s="60" t="n"/>
      <c r="D911" s="60" t="n"/>
      <c r="E911" s="60" t="n"/>
      <c r="F911" s="60" t="n"/>
      <c r="G911" s="60" t="n"/>
      <c r="H911" s="60" t="n"/>
      <c r="I911" s="60" t="n"/>
      <c r="J911" s="60" t="n"/>
      <c r="K911" s="60" t="n"/>
      <c r="L911" s="60" t="n"/>
    </row>
    <row r="912" ht="21" customHeight="1">
      <c r="A912" s="59" t="n"/>
      <c r="B912" s="42">
        <f>'設定'!$I$19</f>
        <v/>
      </c>
      <c r="C912" s="60" t="n"/>
      <c r="D912" s="60" t="n"/>
      <c r="E912" s="60" t="n"/>
      <c r="F912" s="60" t="n"/>
      <c r="G912" s="60" t="n"/>
      <c r="H912" s="60" t="n"/>
      <c r="I912" s="60" t="n"/>
      <c r="J912" s="60" t="n"/>
      <c r="K912" s="60" t="n"/>
      <c r="L912" s="60" t="n"/>
    </row>
    <row r="913" ht="21" customHeight="1">
      <c r="A913" s="59" t="n"/>
      <c r="B913" s="42">
        <f>'設定'!$I$20</f>
        <v/>
      </c>
      <c r="C913" s="60" t="n"/>
      <c r="D913" s="60" t="n"/>
      <c r="E913" s="60" t="n"/>
      <c r="F913" s="60" t="n"/>
      <c r="G913" s="60" t="n"/>
      <c r="H913" s="60" t="n"/>
      <c r="I913" s="60" t="n"/>
      <c r="J913" s="60" t="n"/>
      <c r="K913" s="60" t="n"/>
      <c r="L913" s="60" t="n"/>
    </row>
    <row r="914" ht="21" customHeight="1">
      <c r="A914" s="59" t="n"/>
      <c r="B914" s="42">
        <f>'設定'!$I$21</f>
        <v/>
      </c>
      <c r="C914" s="60" t="n"/>
      <c r="D914" s="60" t="n"/>
      <c r="E914" s="60" t="n"/>
      <c r="F914" s="60" t="n"/>
      <c r="G914" s="60" t="n"/>
      <c r="H914" s="60" t="n"/>
      <c r="I914" s="60" t="n"/>
      <c r="J914" s="60" t="n"/>
      <c r="K914" s="60" t="n"/>
      <c r="L914" s="60" t="n"/>
    </row>
    <row r="915" ht="21" customHeight="1">
      <c r="A915" s="59" t="n"/>
      <c r="B915" s="42">
        <f>'設定'!$I$22</f>
        <v/>
      </c>
      <c r="C915" s="60" t="n"/>
      <c r="D915" s="60" t="n"/>
      <c r="E915" s="60" t="n"/>
      <c r="F915" s="60" t="n"/>
      <c r="G915" s="60" t="n"/>
      <c r="H915" s="60" t="n"/>
      <c r="I915" s="60" t="n"/>
      <c r="J915" s="60" t="n"/>
      <c r="K915" s="60" t="n"/>
      <c r="L915" s="60" t="n"/>
    </row>
    <row r="916" ht="21" customHeight="1">
      <c r="A916" s="59" t="n"/>
      <c r="B916" s="42">
        <f>'設定'!$I$23</f>
        <v/>
      </c>
      <c r="C916" s="60" t="n"/>
      <c r="D916" s="60" t="n"/>
      <c r="E916" s="60" t="n"/>
      <c r="F916" s="60" t="n"/>
      <c r="G916" s="60" t="n"/>
      <c r="H916" s="60" t="n"/>
      <c r="I916" s="60" t="n"/>
      <c r="J916" s="60" t="n"/>
      <c r="K916" s="60" t="n"/>
      <c r="L916" s="60" t="n"/>
    </row>
    <row r="917" ht="21" customHeight="1">
      <c r="A917" s="59" t="n"/>
      <c r="B917" s="42">
        <f>'設定'!$I$24</f>
        <v/>
      </c>
      <c r="C917" s="60" t="n"/>
      <c r="D917" s="60" t="n"/>
      <c r="E917" s="60" t="n"/>
      <c r="F917" s="60" t="n"/>
      <c r="G917" s="60" t="n"/>
      <c r="H917" s="60" t="n"/>
      <c r="I917" s="60" t="n"/>
      <c r="J917" s="60" t="n"/>
      <c r="K917" s="60" t="n"/>
      <c r="L917" s="60" t="n"/>
    </row>
    <row r="918" ht="21" customHeight="1">
      <c r="A918" s="59" t="n"/>
      <c r="B918" s="42">
        <f>'設定'!$I$25</f>
        <v/>
      </c>
      <c r="C918" s="60" t="n"/>
      <c r="D918" s="60" t="n"/>
      <c r="E918" s="60" t="n"/>
      <c r="F918" s="60" t="n"/>
      <c r="G918" s="60" t="n"/>
      <c r="H918" s="60" t="n"/>
      <c r="I918" s="60" t="n"/>
      <c r="J918" s="60" t="n"/>
      <c r="K918" s="60" t="n"/>
      <c r="L918" s="60" t="n"/>
    </row>
    <row r="919" ht="21" customHeight="1">
      <c r="A919" s="59" t="n"/>
      <c r="B919" s="42">
        <f>'設定'!$I$26</f>
        <v/>
      </c>
      <c r="C919" s="60" t="n"/>
      <c r="D919" s="60" t="n"/>
      <c r="E919" s="60" t="n"/>
      <c r="F919" s="60" t="n"/>
      <c r="G919" s="60" t="n"/>
      <c r="H919" s="60" t="n"/>
      <c r="I919" s="60" t="n"/>
      <c r="J919" s="60" t="n"/>
      <c r="K919" s="60" t="n"/>
      <c r="L919" s="60" t="n"/>
    </row>
    <row r="920" ht="21" customHeight="1">
      <c r="A920" s="59" t="n"/>
      <c r="B920" s="42">
        <f>'設定'!$I$27</f>
        <v/>
      </c>
      <c r="C920" s="60" t="n"/>
      <c r="D920" s="60" t="n"/>
      <c r="E920" s="60" t="n"/>
      <c r="F920" s="60" t="n"/>
      <c r="G920" s="60" t="n"/>
      <c r="H920" s="60" t="n"/>
      <c r="I920" s="60" t="n"/>
      <c r="J920" s="60" t="n"/>
      <c r="K920" s="60" t="n"/>
      <c r="L920" s="60" t="n"/>
    </row>
    <row r="921" ht="21" customHeight="1">
      <c r="A921" s="59" t="n"/>
      <c r="B921" s="42">
        <f>'設定'!$I$28</f>
        <v/>
      </c>
      <c r="C921" s="60" t="n"/>
      <c r="D921" s="60" t="n"/>
      <c r="E921" s="60" t="n"/>
      <c r="F921" s="60" t="n"/>
      <c r="G921" s="60" t="n"/>
      <c r="H921" s="60" t="n"/>
      <c r="I921" s="60" t="n"/>
      <c r="J921" s="60" t="n"/>
      <c r="K921" s="60" t="n"/>
      <c r="L921" s="60" t="n"/>
    </row>
    <row r="922" ht="21" customHeight="1">
      <c r="A922" s="59" t="n"/>
      <c r="B922" s="42">
        <f>'設定'!$I$29</f>
        <v/>
      </c>
      <c r="C922" s="60" t="n"/>
      <c r="D922" s="60" t="n"/>
      <c r="E922" s="60" t="n"/>
      <c r="F922" s="60" t="n"/>
      <c r="G922" s="60" t="n"/>
      <c r="H922" s="60" t="n"/>
      <c r="I922" s="60" t="n"/>
      <c r="J922" s="60" t="n"/>
      <c r="K922" s="60" t="n"/>
      <c r="L922" s="60" t="n"/>
    </row>
    <row r="923" ht="21" customHeight="1">
      <c r="A923" s="59" t="n"/>
      <c r="B923" s="42">
        <f>'設定'!$I$30</f>
        <v/>
      </c>
      <c r="C923" s="60" t="n"/>
      <c r="D923" s="60" t="n"/>
      <c r="E923" s="60" t="n"/>
      <c r="F923" s="60" t="n"/>
      <c r="G923" s="60" t="n"/>
      <c r="H923" s="60" t="n"/>
      <c r="I923" s="60" t="n"/>
      <c r="J923" s="60" t="n"/>
      <c r="K923" s="60" t="n"/>
      <c r="L923" s="60" t="n"/>
    </row>
    <row r="924" ht="21" customHeight="1">
      <c r="A924" s="59" t="n"/>
      <c r="B924" s="42">
        <f>'設定'!$I$31</f>
        <v/>
      </c>
      <c r="C924" s="60" t="n"/>
      <c r="D924" s="60" t="n"/>
      <c r="E924" s="60" t="n"/>
      <c r="F924" s="60" t="n"/>
      <c r="G924" s="60" t="n"/>
      <c r="H924" s="60" t="n"/>
      <c r="I924" s="60" t="n"/>
      <c r="J924" s="60" t="n"/>
      <c r="K924" s="60" t="n"/>
      <c r="L924" s="60" t="n"/>
    </row>
    <row r="925" ht="21" customHeight="1">
      <c r="A925" s="59" t="n"/>
      <c r="B925" s="42">
        <f>'設定'!$I$32</f>
        <v/>
      </c>
      <c r="C925" s="60" t="n"/>
      <c r="D925" s="60" t="n"/>
      <c r="E925" s="60" t="n"/>
      <c r="F925" s="60" t="n"/>
      <c r="G925" s="60" t="n"/>
      <c r="H925" s="60" t="n"/>
      <c r="I925" s="60" t="n"/>
      <c r="J925" s="60" t="n"/>
      <c r="K925" s="60" t="n"/>
      <c r="L925" s="60" t="n"/>
    </row>
    <row r="926" ht="21" customHeight="1">
      <c r="A926" s="59" t="n"/>
      <c r="B926" s="42">
        <f>'設定'!$I$33</f>
        <v/>
      </c>
      <c r="C926" s="60" t="n"/>
      <c r="D926" s="60" t="n"/>
      <c r="E926" s="60" t="n"/>
      <c r="F926" s="60" t="n"/>
      <c r="G926" s="60" t="n"/>
      <c r="H926" s="60" t="n"/>
      <c r="I926" s="60" t="n"/>
      <c r="J926" s="60" t="n"/>
      <c r="K926" s="60" t="n"/>
      <c r="L926" s="60" t="n"/>
    </row>
    <row r="927" ht="21" customHeight="1">
      <c r="A927" s="59" t="n"/>
      <c r="B927" s="42">
        <f>'設定'!$I$34</f>
        <v/>
      </c>
      <c r="C927" s="60" t="n"/>
      <c r="D927" s="60" t="n"/>
      <c r="E927" s="60" t="n"/>
      <c r="F927" s="60" t="n"/>
      <c r="G927" s="60" t="n"/>
      <c r="H927" s="60" t="n"/>
      <c r="I927" s="60" t="n"/>
      <c r="J927" s="60" t="n"/>
      <c r="K927" s="60" t="n"/>
      <c r="L927" s="60" t="n"/>
    </row>
    <row r="928"/>
    <row r="929" ht="26" customHeight="1">
      <c r="B929" s="53">
        <f>IF('名簿'!B38="","（名簿 34行目：なし）",'名簿'!G38)</f>
        <v/>
      </c>
      <c r="C929" s="4" t="n"/>
      <c r="D929" s="4" t="n"/>
      <c r="E929" s="54" t="inlineStr">
        <is>
          <t>提出状況 ▶</t>
        </is>
      </c>
      <c r="F929" s="38" t="n"/>
      <c r="G929" s="29" t="n"/>
      <c r="H929" s="55" t="inlineStr">
        <is>
          <t>状況：</t>
        </is>
      </c>
      <c r="I929" s="56">
        <f>'名簿'!H38</f>
        <v/>
      </c>
      <c r="J929" s="55" t="inlineStr">
        <is>
          <t>×の数：</t>
        </is>
      </c>
      <c r="K929" s="57">
        <f>'名簿'!I38</f>
        <v/>
      </c>
      <c r="L929" s="58">
        <f>HYPERLINK("#'×入力'!B957","次の人へ ▼")</f>
        <v/>
      </c>
    </row>
    <row r="930" ht="22" customHeight="1">
      <c r="A930" s="30" t="inlineStr">
        <is>
          <t>この日全部 ▶</t>
        </is>
      </c>
      <c r="C930" s="59" t="n"/>
      <c r="D930" s="59" t="n"/>
      <c r="E930" s="59" t="n"/>
      <c r="F930" s="59" t="n"/>
      <c r="G930" s="59" t="n"/>
      <c r="H930" s="59" t="n"/>
      <c r="I930" s="59" t="n"/>
      <c r="J930" s="59" t="n"/>
      <c r="K930" s="59" t="n"/>
      <c r="L930" s="59" t="n"/>
    </row>
    <row r="931" ht="28" customHeight="1">
      <c r="A931" s="33" t="inlineStr">
        <is>
          <t>この時間
全部 ▼</t>
        </is>
      </c>
      <c r="B931" s="34" t="inlineStr"/>
      <c r="C931" s="35">
        <f>'設定'!$E$11</f>
        <v/>
      </c>
      <c r="D931" s="35">
        <f>'設定'!$E$12</f>
        <v/>
      </c>
      <c r="E931" s="35">
        <f>'設定'!$E$13</f>
        <v/>
      </c>
      <c r="F931" s="35">
        <f>'設定'!$E$14</f>
        <v/>
      </c>
      <c r="G931" s="35">
        <f>'設定'!$E$15</f>
        <v/>
      </c>
      <c r="H931" s="35">
        <f>'設定'!$E$16</f>
        <v/>
      </c>
      <c r="I931" s="35">
        <f>'設定'!$E$17</f>
        <v/>
      </c>
      <c r="J931" s="35">
        <f>'設定'!$E$18</f>
        <v/>
      </c>
      <c r="K931" s="35">
        <f>'設定'!$E$19</f>
        <v/>
      </c>
      <c r="L931" s="35">
        <f>'設定'!$E$20</f>
        <v/>
      </c>
    </row>
    <row r="932" ht="21" customHeight="1">
      <c r="A932" s="59" t="n"/>
      <c r="B932" s="42">
        <f>'設定'!$I$11</f>
        <v/>
      </c>
      <c r="C932" s="60" t="n"/>
      <c r="D932" s="60" t="n"/>
      <c r="E932" s="60" t="n"/>
      <c r="F932" s="60" t="n"/>
      <c r="G932" s="60" t="n"/>
      <c r="H932" s="60" t="n"/>
      <c r="I932" s="60" t="n"/>
      <c r="J932" s="60" t="n"/>
      <c r="K932" s="60" t="n"/>
      <c r="L932" s="60" t="n"/>
    </row>
    <row r="933" ht="21" customHeight="1">
      <c r="A933" s="59" t="n"/>
      <c r="B933" s="42">
        <f>'設定'!$I$12</f>
        <v/>
      </c>
      <c r="C933" s="60" t="n"/>
      <c r="D933" s="60" t="n"/>
      <c r="E933" s="60" t="n"/>
      <c r="F933" s="60" t="n"/>
      <c r="G933" s="60" t="n"/>
      <c r="H933" s="60" t="n"/>
      <c r="I933" s="60" t="n"/>
      <c r="J933" s="60" t="n"/>
      <c r="K933" s="60" t="n"/>
      <c r="L933" s="60" t="n"/>
    </row>
    <row r="934" ht="21" customHeight="1">
      <c r="A934" s="59" t="n"/>
      <c r="B934" s="42">
        <f>'設定'!$I$13</f>
        <v/>
      </c>
      <c r="C934" s="60" t="n"/>
      <c r="D934" s="60" t="n"/>
      <c r="E934" s="60" t="n"/>
      <c r="F934" s="60" t="n"/>
      <c r="G934" s="60" t="n"/>
      <c r="H934" s="60" t="n"/>
      <c r="I934" s="60" t="n"/>
      <c r="J934" s="60" t="n"/>
      <c r="K934" s="60" t="n"/>
      <c r="L934" s="60" t="n"/>
    </row>
    <row r="935" ht="21" customHeight="1">
      <c r="A935" s="59" t="n"/>
      <c r="B935" s="42">
        <f>'設定'!$I$14</f>
        <v/>
      </c>
      <c r="C935" s="60" t="n"/>
      <c r="D935" s="60" t="n"/>
      <c r="E935" s="60" t="n"/>
      <c r="F935" s="60" t="n"/>
      <c r="G935" s="60" t="n"/>
      <c r="H935" s="60" t="n"/>
      <c r="I935" s="60" t="n"/>
      <c r="J935" s="60" t="n"/>
      <c r="K935" s="60" t="n"/>
      <c r="L935" s="60" t="n"/>
    </row>
    <row r="936" ht="21" customHeight="1">
      <c r="A936" s="59" t="n"/>
      <c r="B936" s="42">
        <f>'設定'!$I$15</f>
        <v/>
      </c>
      <c r="C936" s="60" t="n"/>
      <c r="D936" s="60" t="n"/>
      <c r="E936" s="60" t="n"/>
      <c r="F936" s="60" t="n"/>
      <c r="G936" s="60" t="n"/>
      <c r="H936" s="60" t="n"/>
      <c r="I936" s="60" t="n"/>
      <c r="J936" s="60" t="n"/>
      <c r="K936" s="60" t="n"/>
      <c r="L936" s="60" t="n"/>
    </row>
    <row r="937" ht="21" customHeight="1">
      <c r="A937" s="59" t="n"/>
      <c r="B937" s="42">
        <f>'設定'!$I$16</f>
        <v/>
      </c>
      <c r="C937" s="60" t="n"/>
      <c r="D937" s="60" t="n"/>
      <c r="E937" s="60" t="n"/>
      <c r="F937" s="60" t="n"/>
      <c r="G937" s="60" t="n"/>
      <c r="H937" s="60" t="n"/>
      <c r="I937" s="60" t="n"/>
      <c r="J937" s="60" t="n"/>
      <c r="K937" s="60" t="n"/>
      <c r="L937" s="60" t="n"/>
    </row>
    <row r="938" ht="21" customHeight="1">
      <c r="A938" s="59" t="n"/>
      <c r="B938" s="42">
        <f>'設定'!$I$17</f>
        <v/>
      </c>
      <c r="C938" s="60" t="n"/>
      <c r="D938" s="60" t="n"/>
      <c r="E938" s="60" t="n"/>
      <c r="F938" s="60" t="n"/>
      <c r="G938" s="60" t="n"/>
      <c r="H938" s="60" t="n"/>
      <c r="I938" s="60" t="n"/>
      <c r="J938" s="60" t="n"/>
      <c r="K938" s="60" t="n"/>
      <c r="L938" s="60" t="n"/>
    </row>
    <row r="939" ht="21" customHeight="1">
      <c r="A939" s="59" t="n"/>
      <c r="B939" s="42">
        <f>'設定'!$I$18</f>
        <v/>
      </c>
      <c r="C939" s="60" t="n"/>
      <c r="D939" s="60" t="n"/>
      <c r="E939" s="60" t="n"/>
      <c r="F939" s="60" t="n"/>
      <c r="G939" s="60" t="n"/>
      <c r="H939" s="60" t="n"/>
      <c r="I939" s="60" t="n"/>
      <c r="J939" s="60" t="n"/>
      <c r="K939" s="60" t="n"/>
      <c r="L939" s="60" t="n"/>
    </row>
    <row r="940" ht="21" customHeight="1">
      <c r="A940" s="59" t="n"/>
      <c r="B940" s="42">
        <f>'設定'!$I$19</f>
        <v/>
      </c>
      <c r="C940" s="60" t="n"/>
      <c r="D940" s="60" t="n"/>
      <c r="E940" s="60" t="n"/>
      <c r="F940" s="60" t="n"/>
      <c r="G940" s="60" t="n"/>
      <c r="H940" s="60" t="n"/>
      <c r="I940" s="60" t="n"/>
      <c r="J940" s="60" t="n"/>
      <c r="K940" s="60" t="n"/>
      <c r="L940" s="60" t="n"/>
    </row>
    <row r="941" ht="21" customHeight="1">
      <c r="A941" s="59" t="n"/>
      <c r="B941" s="42">
        <f>'設定'!$I$20</f>
        <v/>
      </c>
      <c r="C941" s="60" t="n"/>
      <c r="D941" s="60" t="n"/>
      <c r="E941" s="60" t="n"/>
      <c r="F941" s="60" t="n"/>
      <c r="G941" s="60" t="n"/>
      <c r="H941" s="60" t="n"/>
      <c r="I941" s="60" t="n"/>
      <c r="J941" s="60" t="n"/>
      <c r="K941" s="60" t="n"/>
      <c r="L941" s="60" t="n"/>
    </row>
    <row r="942" ht="21" customHeight="1">
      <c r="A942" s="59" t="n"/>
      <c r="B942" s="42">
        <f>'設定'!$I$21</f>
        <v/>
      </c>
      <c r="C942" s="60" t="n"/>
      <c r="D942" s="60" t="n"/>
      <c r="E942" s="60" t="n"/>
      <c r="F942" s="60" t="n"/>
      <c r="G942" s="60" t="n"/>
      <c r="H942" s="60" t="n"/>
      <c r="I942" s="60" t="n"/>
      <c r="J942" s="60" t="n"/>
      <c r="K942" s="60" t="n"/>
      <c r="L942" s="60" t="n"/>
    </row>
    <row r="943" ht="21" customHeight="1">
      <c r="A943" s="59" t="n"/>
      <c r="B943" s="42">
        <f>'設定'!$I$22</f>
        <v/>
      </c>
      <c r="C943" s="60" t="n"/>
      <c r="D943" s="60" t="n"/>
      <c r="E943" s="60" t="n"/>
      <c r="F943" s="60" t="n"/>
      <c r="G943" s="60" t="n"/>
      <c r="H943" s="60" t="n"/>
      <c r="I943" s="60" t="n"/>
      <c r="J943" s="60" t="n"/>
      <c r="K943" s="60" t="n"/>
      <c r="L943" s="60" t="n"/>
    </row>
    <row r="944" ht="21" customHeight="1">
      <c r="A944" s="59" t="n"/>
      <c r="B944" s="42">
        <f>'設定'!$I$23</f>
        <v/>
      </c>
      <c r="C944" s="60" t="n"/>
      <c r="D944" s="60" t="n"/>
      <c r="E944" s="60" t="n"/>
      <c r="F944" s="60" t="n"/>
      <c r="G944" s="60" t="n"/>
      <c r="H944" s="60" t="n"/>
      <c r="I944" s="60" t="n"/>
      <c r="J944" s="60" t="n"/>
      <c r="K944" s="60" t="n"/>
      <c r="L944" s="60" t="n"/>
    </row>
    <row r="945" ht="21" customHeight="1">
      <c r="A945" s="59" t="n"/>
      <c r="B945" s="42">
        <f>'設定'!$I$24</f>
        <v/>
      </c>
      <c r="C945" s="60" t="n"/>
      <c r="D945" s="60" t="n"/>
      <c r="E945" s="60" t="n"/>
      <c r="F945" s="60" t="n"/>
      <c r="G945" s="60" t="n"/>
      <c r="H945" s="60" t="n"/>
      <c r="I945" s="60" t="n"/>
      <c r="J945" s="60" t="n"/>
      <c r="K945" s="60" t="n"/>
      <c r="L945" s="60" t="n"/>
    </row>
    <row r="946" ht="21" customHeight="1">
      <c r="A946" s="59" t="n"/>
      <c r="B946" s="42">
        <f>'設定'!$I$25</f>
        <v/>
      </c>
      <c r="C946" s="60" t="n"/>
      <c r="D946" s="60" t="n"/>
      <c r="E946" s="60" t="n"/>
      <c r="F946" s="60" t="n"/>
      <c r="G946" s="60" t="n"/>
      <c r="H946" s="60" t="n"/>
      <c r="I946" s="60" t="n"/>
      <c r="J946" s="60" t="n"/>
      <c r="K946" s="60" t="n"/>
      <c r="L946" s="60" t="n"/>
    </row>
    <row r="947" ht="21" customHeight="1">
      <c r="A947" s="59" t="n"/>
      <c r="B947" s="42">
        <f>'設定'!$I$26</f>
        <v/>
      </c>
      <c r="C947" s="60" t="n"/>
      <c r="D947" s="60" t="n"/>
      <c r="E947" s="60" t="n"/>
      <c r="F947" s="60" t="n"/>
      <c r="G947" s="60" t="n"/>
      <c r="H947" s="60" t="n"/>
      <c r="I947" s="60" t="n"/>
      <c r="J947" s="60" t="n"/>
      <c r="K947" s="60" t="n"/>
      <c r="L947" s="60" t="n"/>
    </row>
    <row r="948" ht="21" customHeight="1">
      <c r="A948" s="59" t="n"/>
      <c r="B948" s="42">
        <f>'設定'!$I$27</f>
        <v/>
      </c>
      <c r="C948" s="60" t="n"/>
      <c r="D948" s="60" t="n"/>
      <c r="E948" s="60" t="n"/>
      <c r="F948" s="60" t="n"/>
      <c r="G948" s="60" t="n"/>
      <c r="H948" s="60" t="n"/>
      <c r="I948" s="60" t="n"/>
      <c r="J948" s="60" t="n"/>
      <c r="K948" s="60" t="n"/>
      <c r="L948" s="60" t="n"/>
    </row>
    <row r="949" ht="21" customHeight="1">
      <c r="A949" s="59" t="n"/>
      <c r="B949" s="42">
        <f>'設定'!$I$28</f>
        <v/>
      </c>
      <c r="C949" s="60" t="n"/>
      <c r="D949" s="60" t="n"/>
      <c r="E949" s="60" t="n"/>
      <c r="F949" s="60" t="n"/>
      <c r="G949" s="60" t="n"/>
      <c r="H949" s="60" t="n"/>
      <c r="I949" s="60" t="n"/>
      <c r="J949" s="60" t="n"/>
      <c r="K949" s="60" t="n"/>
      <c r="L949" s="60" t="n"/>
    </row>
    <row r="950" ht="21" customHeight="1">
      <c r="A950" s="59" t="n"/>
      <c r="B950" s="42">
        <f>'設定'!$I$29</f>
        <v/>
      </c>
      <c r="C950" s="60" t="n"/>
      <c r="D950" s="60" t="n"/>
      <c r="E950" s="60" t="n"/>
      <c r="F950" s="60" t="n"/>
      <c r="G950" s="60" t="n"/>
      <c r="H950" s="60" t="n"/>
      <c r="I950" s="60" t="n"/>
      <c r="J950" s="60" t="n"/>
      <c r="K950" s="60" t="n"/>
      <c r="L950" s="60" t="n"/>
    </row>
    <row r="951" ht="21" customHeight="1">
      <c r="A951" s="59" t="n"/>
      <c r="B951" s="42">
        <f>'設定'!$I$30</f>
        <v/>
      </c>
      <c r="C951" s="60" t="n"/>
      <c r="D951" s="60" t="n"/>
      <c r="E951" s="60" t="n"/>
      <c r="F951" s="60" t="n"/>
      <c r="G951" s="60" t="n"/>
      <c r="H951" s="60" t="n"/>
      <c r="I951" s="60" t="n"/>
      <c r="J951" s="60" t="n"/>
      <c r="K951" s="60" t="n"/>
      <c r="L951" s="60" t="n"/>
    </row>
    <row r="952" ht="21" customHeight="1">
      <c r="A952" s="59" t="n"/>
      <c r="B952" s="42">
        <f>'設定'!$I$31</f>
        <v/>
      </c>
      <c r="C952" s="60" t="n"/>
      <c r="D952" s="60" t="n"/>
      <c r="E952" s="60" t="n"/>
      <c r="F952" s="60" t="n"/>
      <c r="G952" s="60" t="n"/>
      <c r="H952" s="60" t="n"/>
      <c r="I952" s="60" t="n"/>
      <c r="J952" s="60" t="n"/>
      <c r="K952" s="60" t="n"/>
      <c r="L952" s="60" t="n"/>
    </row>
    <row r="953" ht="21" customHeight="1">
      <c r="A953" s="59" t="n"/>
      <c r="B953" s="42">
        <f>'設定'!$I$32</f>
        <v/>
      </c>
      <c r="C953" s="60" t="n"/>
      <c r="D953" s="60" t="n"/>
      <c r="E953" s="60" t="n"/>
      <c r="F953" s="60" t="n"/>
      <c r="G953" s="60" t="n"/>
      <c r="H953" s="60" t="n"/>
      <c r="I953" s="60" t="n"/>
      <c r="J953" s="60" t="n"/>
      <c r="K953" s="60" t="n"/>
      <c r="L953" s="60" t="n"/>
    </row>
    <row r="954" ht="21" customHeight="1">
      <c r="A954" s="59" t="n"/>
      <c r="B954" s="42">
        <f>'設定'!$I$33</f>
        <v/>
      </c>
      <c r="C954" s="60" t="n"/>
      <c r="D954" s="60" t="n"/>
      <c r="E954" s="60" t="n"/>
      <c r="F954" s="60" t="n"/>
      <c r="G954" s="60" t="n"/>
      <c r="H954" s="60" t="n"/>
      <c r="I954" s="60" t="n"/>
      <c r="J954" s="60" t="n"/>
      <c r="K954" s="60" t="n"/>
      <c r="L954" s="60" t="n"/>
    </row>
    <row r="955" ht="21" customHeight="1">
      <c r="A955" s="59" t="n"/>
      <c r="B955" s="42">
        <f>'設定'!$I$34</f>
        <v/>
      </c>
      <c r="C955" s="60" t="n"/>
      <c r="D955" s="60" t="n"/>
      <c r="E955" s="60" t="n"/>
      <c r="F955" s="60" t="n"/>
      <c r="G955" s="60" t="n"/>
      <c r="H955" s="60" t="n"/>
      <c r="I955" s="60" t="n"/>
      <c r="J955" s="60" t="n"/>
      <c r="K955" s="60" t="n"/>
      <c r="L955" s="60" t="n"/>
    </row>
    <row r="956"/>
    <row r="957" ht="26" customHeight="1">
      <c r="B957" s="53">
        <f>IF('名簿'!B39="","（名簿 35行目：なし）",'名簿'!G39)</f>
        <v/>
      </c>
      <c r="C957" s="4" t="n"/>
      <c r="D957" s="4" t="n"/>
      <c r="E957" s="54" t="inlineStr">
        <is>
          <t>提出状況 ▶</t>
        </is>
      </c>
      <c r="F957" s="38" t="n"/>
      <c r="G957" s="29" t="n"/>
      <c r="H957" s="55" t="inlineStr">
        <is>
          <t>状況：</t>
        </is>
      </c>
      <c r="I957" s="56">
        <f>'名簿'!H39</f>
        <v/>
      </c>
      <c r="J957" s="55" t="inlineStr">
        <is>
          <t>×の数：</t>
        </is>
      </c>
      <c r="K957" s="57">
        <f>'名簿'!I39</f>
        <v/>
      </c>
      <c r="L957" s="58">
        <f>HYPERLINK("#'×入力'!B985","次の人へ ▼")</f>
        <v/>
      </c>
    </row>
    <row r="958" ht="22" customHeight="1">
      <c r="A958" s="30" t="inlineStr">
        <is>
          <t>この日全部 ▶</t>
        </is>
      </c>
      <c r="C958" s="59" t="n"/>
      <c r="D958" s="59" t="n"/>
      <c r="E958" s="59" t="n"/>
      <c r="F958" s="59" t="n"/>
      <c r="G958" s="59" t="n"/>
      <c r="H958" s="59" t="n"/>
      <c r="I958" s="59" t="n"/>
      <c r="J958" s="59" t="n"/>
      <c r="K958" s="59" t="n"/>
      <c r="L958" s="59" t="n"/>
    </row>
    <row r="959" ht="28" customHeight="1">
      <c r="A959" s="33" t="inlineStr">
        <is>
          <t>この時間
全部 ▼</t>
        </is>
      </c>
      <c r="B959" s="34" t="inlineStr"/>
      <c r="C959" s="35">
        <f>'設定'!$E$11</f>
        <v/>
      </c>
      <c r="D959" s="35">
        <f>'設定'!$E$12</f>
        <v/>
      </c>
      <c r="E959" s="35">
        <f>'設定'!$E$13</f>
        <v/>
      </c>
      <c r="F959" s="35">
        <f>'設定'!$E$14</f>
        <v/>
      </c>
      <c r="G959" s="35">
        <f>'設定'!$E$15</f>
        <v/>
      </c>
      <c r="H959" s="35">
        <f>'設定'!$E$16</f>
        <v/>
      </c>
      <c r="I959" s="35">
        <f>'設定'!$E$17</f>
        <v/>
      </c>
      <c r="J959" s="35">
        <f>'設定'!$E$18</f>
        <v/>
      </c>
      <c r="K959" s="35">
        <f>'設定'!$E$19</f>
        <v/>
      </c>
      <c r="L959" s="35">
        <f>'設定'!$E$20</f>
        <v/>
      </c>
    </row>
    <row r="960" ht="21" customHeight="1">
      <c r="A960" s="59" t="n"/>
      <c r="B960" s="42">
        <f>'設定'!$I$11</f>
        <v/>
      </c>
      <c r="C960" s="60" t="n"/>
      <c r="D960" s="60" t="n"/>
      <c r="E960" s="60" t="n"/>
      <c r="F960" s="60" t="n"/>
      <c r="G960" s="60" t="n"/>
      <c r="H960" s="60" t="n"/>
      <c r="I960" s="60" t="n"/>
      <c r="J960" s="60" t="n"/>
      <c r="K960" s="60" t="n"/>
      <c r="L960" s="60" t="n"/>
    </row>
    <row r="961" ht="21" customHeight="1">
      <c r="A961" s="59" t="n"/>
      <c r="B961" s="42">
        <f>'設定'!$I$12</f>
        <v/>
      </c>
      <c r="C961" s="60" t="n"/>
      <c r="D961" s="60" t="n"/>
      <c r="E961" s="60" t="n"/>
      <c r="F961" s="60" t="n"/>
      <c r="G961" s="60" t="n"/>
      <c r="H961" s="60" t="n"/>
      <c r="I961" s="60" t="n"/>
      <c r="J961" s="60" t="n"/>
      <c r="K961" s="60" t="n"/>
      <c r="L961" s="60" t="n"/>
    </row>
    <row r="962" ht="21" customHeight="1">
      <c r="A962" s="59" t="n"/>
      <c r="B962" s="42">
        <f>'設定'!$I$13</f>
        <v/>
      </c>
      <c r="C962" s="60" t="n"/>
      <c r="D962" s="60" t="n"/>
      <c r="E962" s="60" t="n"/>
      <c r="F962" s="60" t="n"/>
      <c r="G962" s="60" t="n"/>
      <c r="H962" s="60" t="n"/>
      <c r="I962" s="60" t="n"/>
      <c r="J962" s="60" t="n"/>
      <c r="K962" s="60" t="n"/>
      <c r="L962" s="60" t="n"/>
    </row>
    <row r="963" ht="21" customHeight="1">
      <c r="A963" s="59" t="n"/>
      <c r="B963" s="42">
        <f>'設定'!$I$14</f>
        <v/>
      </c>
      <c r="C963" s="60" t="n"/>
      <c r="D963" s="60" t="n"/>
      <c r="E963" s="60" t="n"/>
      <c r="F963" s="60" t="n"/>
      <c r="G963" s="60" t="n"/>
      <c r="H963" s="60" t="n"/>
      <c r="I963" s="60" t="n"/>
      <c r="J963" s="60" t="n"/>
      <c r="K963" s="60" t="n"/>
      <c r="L963" s="60" t="n"/>
    </row>
    <row r="964" ht="21" customHeight="1">
      <c r="A964" s="59" t="n"/>
      <c r="B964" s="42">
        <f>'設定'!$I$15</f>
        <v/>
      </c>
      <c r="C964" s="60" t="n"/>
      <c r="D964" s="60" t="n"/>
      <c r="E964" s="60" t="n"/>
      <c r="F964" s="60" t="n"/>
      <c r="G964" s="60" t="n"/>
      <c r="H964" s="60" t="n"/>
      <c r="I964" s="60" t="n"/>
      <c r="J964" s="60" t="n"/>
      <c r="K964" s="60" t="n"/>
      <c r="L964" s="60" t="n"/>
    </row>
    <row r="965" ht="21" customHeight="1">
      <c r="A965" s="59" t="n"/>
      <c r="B965" s="42">
        <f>'設定'!$I$16</f>
        <v/>
      </c>
      <c r="C965" s="60" t="n"/>
      <c r="D965" s="60" t="n"/>
      <c r="E965" s="60" t="n"/>
      <c r="F965" s="60" t="n"/>
      <c r="G965" s="60" t="n"/>
      <c r="H965" s="60" t="n"/>
      <c r="I965" s="60" t="n"/>
      <c r="J965" s="60" t="n"/>
      <c r="K965" s="60" t="n"/>
      <c r="L965" s="60" t="n"/>
    </row>
    <row r="966" ht="21" customHeight="1">
      <c r="A966" s="59" t="n"/>
      <c r="B966" s="42">
        <f>'設定'!$I$17</f>
        <v/>
      </c>
      <c r="C966" s="60" t="n"/>
      <c r="D966" s="60" t="n"/>
      <c r="E966" s="60" t="n"/>
      <c r="F966" s="60" t="n"/>
      <c r="G966" s="60" t="n"/>
      <c r="H966" s="60" t="n"/>
      <c r="I966" s="60" t="n"/>
      <c r="J966" s="60" t="n"/>
      <c r="K966" s="60" t="n"/>
      <c r="L966" s="60" t="n"/>
    </row>
    <row r="967" ht="21" customHeight="1">
      <c r="A967" s="59" t="n"/>
      <c r="B967" s="42">
        <f>'設定'!$I$18</f>
        <v/>
      </c>
      <c r="C967" s="60" t="n"/>
      <c r="D967" s="60" t="n"/>
      <c r="E967" s="60" t="n"/>
      <c r="F967" s="60" t="n"/>
      <c r="G967" s="60" t="n"/>
      <c r="H967" s="60" t="n"/>
      <c r="I967" s="60" t="n"/>
      <c r="J967" s="60" t="n"/>
      <c r="K967" s="60" t="n"/>
      <c r="L967" s="60" t="n"/>
    </row>
    <row r="968" ht="21" customHeight="1">
      <c r="A968" s="59" t="n"/>
      <c r="B968" s="42">
        <f>'設定'!$I$19</f>
        <v/>
      </c>
      <c r="C968" s="60" t="n"/>
      <c r="D968" s="60" t="n"/>
      <c r="E968" s="60" t="n"/>
      <c r="F968" s="60" t="n"/>
      <c r="G968" s="60" t="n"/>
      <c r="H968" s="60" t="n"/>
      <c r="I968" s="60" t="n"/>
      <c r="J968" s="60" t="n"/>
      <c r="K968" s="60" t="n"/>
      <c r="L968" s="60" t="n"/>
    </row>
    <row r="969" ht="21" customHeight="1">
      <c r="A969" s="59" t="n"/>
      <c r="B969" s="42">
        <f>'設定'!$I$20</f>
        <v/>
      </c>
      <c r="C969" s="60" t="n"/>
      <c r="D969" s="60" t="n"/>
      <c r="E969" s="60" t="n"/>
      <c r="F969" s="60" t="n"/>
      <c r="G969" s="60" t="n"/>
      <c r="H969" s="60" t="n"/>
      <c r="I969" s="60" t="n"/>
      <c r="J969" s="60" t="n"/>
      <c r="K969" s="60" t="n"/>
      <c r="L969" s="60" t="n"/>
    </row>
    <row r="970" ht="21" customHeight="1">
      <c r="A970" s="59" t="n"/>
      <c r="B970" s="42">
        <f>'設定'!$I$21</f>
        <v/>
      </c>
      <c r="C970" s="60" t="n"/>
      <c r="D970" s="60" t="n"/>
      <c r="E970" s="60" t="n"/>
      <c r="F970" s="60" t="n"/>
      <c r="G970" s="60" t="n"/>
      <c r="H970" s="60" t="n"/>
      <c r="I970" s="60" t="n"/>
      <c r="J970" s="60" t="n"/>
      <c r="K970" s="60" t="n"/>
      <c r="L970" s="60" t="n"/>
    </row>
    <row r="971" ht="21" customHeight="1">
      <c r="A971" s="59" t="n"/>
      <c r="B971" s="42">
        <f>'設定'!$I$22</f>
        <v/>
      </c>
      <c r="C971" s="60" t="n"/>
      <c r="D971" s="60" t="n"/>
      <c r="E971" s="60" t="n"/>
      <c r="F971" s="60" t="n"/>
      <c r="G971" s="60" t="n"/>
      <c r="H971" s="60" t="n"/>
      <c r="I971" s="60" t="n"/>
      <c r="J971" s="60" t="n"/>
      <c r="K971" s="60" t="n"/>
      <c r="L971" s="60" t="n"/>
    </row>
    <row r="972" ht="21" customHeight="1">
      <c r="A972" s="59" t="n"/>
      <c r="B972" s="42">
        <f>'設定'!$I$23</f>
        <v/>
      </c>
      <c r="C972" s="60" t="n"/>
      <c r="D972" s="60" t="n"/>
      <c r="E972" s="60" t="n"/>
      <c r="F972" s="60" t="n"/>
      <c r="G972" s="60" t="n"/>
      <c r="H972" s="60" t="n"/>
      <c r="I972" s="60" t="n"/>
      <c r="J972" s="60" t="n"/>
      <c r="K972" s="60" t="n"/>
      <c r="L972" s="60" t="n"/>
    </row>
    <row r="973" ht="21" customHeight="1">
      <c r="A973" s="59" t="n"/>
      <c r="B973" s="42">
        <f>'設定'!$I$24</f>
        <v/>
      </c>
      <c r="C973" s="60" t="n"/>
      <c r="D973" s="60" t="n"/>
      <c r="E973" s="60" t="n"/>
      <c r="F973" s="60" t="n"/>
      <c r="G973" s="60" t="n"/>
      <c r="H973" s="60" t="n"/>
      <c r="I973" s="60" t="n"/>
      <c r="J973" s="60" t="n"/>
      <c r="K973" s="60" t="n"/>
      <c r="L973" s="60" t="n"/>
    </row>
    <row r="974" ht="21" customHeight="1">
      <c r="A974" s="59" t="n"/>
      <c r="B974" s="42">
        <f>'設定'!$I$25</f>
        <v/>
      </c>
      <c r="C974" s="60" t="n"/>
      <c r="D974" s="60" t="n"/>
      <c r="E974" s="60" t="n"/>
      <c r="F974" s="60" t="n"/>
      <c r="G974" s="60" t="n"/>
      <c r="H974" s="60" t="n"/>
      <c r="I974" s="60" t="n"/>
      <c r="J974" s="60" t="n"/>
      <c r="K974" s="60" t="n"/>
      <c r="L974" s="60" t="n"/>
    </row>
    <row r="975" ht="21" customHeight="1">
      <c r="A975" s="59" t="n"/>
      <c r="B975" s="42">
        <f>'設定'!$I$26</f>
        <v/>
      </c>
      <c r="C975" s="60" t="n"/>
      <c r="D975" s="60" t="n"/>
      <c r="E975" s="60" t="n"/>
      <c r="F975" s="60" t="n"/>
      <c r="G975" s="60" t="n"/>
      <c r="H975" s="60" t="n"/>
      <c r="I975" s="60" t="n"/>
      <c r="J975" s="60" t="n"/>
      <c r="K975" s="60" t="n"/>
      <c r="L975" s="60" t="n"/>
    </row>
    <row r="976" ht="21" customHeight="1">
      <c r="A976" s="59" t="n"/>
      <c r="B976" s="42">
        <f>'設定'!$I$27</f>
        <v/>
      </c>
      <c r="C976" s="60" t="n"/>
      <c r="D976" s="60" t="n"/>
      <c r="E976" s="60" t="n"/>
      <c r="F976" s="60" t="n"/>
      <c r="G976" s="60" t="n"/>
      <c r="H976" s="60" t="n"/>
      <c r="I976" s="60" t="n"/>
      <c r="J976" s="60" t="n"/>
      <c r="K976" s="60" t="n"/>
      <c r="L976" s="60" t="n"/>
    </row>
    <row r="977" ht="21" customHeight="1">
      <c r="A977" s="59" t="n"/>
      <c r="B977" s="42">
        <f>'設定'!$I$28</f>
        <v/>
      </c>
      <c r="C977" s="60" t="n"/>
      <c r="D977" s="60" t="n"/>
      <c r="E977" s="60" t="n"/>
      <c r="F977" s="60" t="n"/>
      <c r="G977" s="60" t="n"/>
      <c r="H977" s="60" t="n"/>
      <c r="I977" s="60" t="n"/>
      <c r="J977" s="60" t="n"/>
      <c r="K977" s="60" t="n"/>
      <c r="L977" s="60" t="n"/>
    </row>
    <row r="978" ht="21" customHeight="1">
      <c r="A978" s="59" t="n"/>
      <c r="B978" s="42">
        <f>'設定'!$I$29</f>
        <v/>
      </c>
      <c r="C978" s="60" t="n"/>
      <c r="D978" s="60" t="n"/>
      <c r="E978" s="60" t="n"/>
      <c r="F978" s="60" t="n"/>
      <c r="G978" s="60" t="n"/>
      <c r="H978" s="60" t="n"/>
      <c r="I978" s="60" t="n"/>
      <c r="J978" s="60" t="n"/>
      <c r="K978" s="60" t="n"/>
      <c r="L978" s="60" t="n"/>
    </row>
    <row r="979" ht="21" customHeight="1">
      <c r="A979" s="59" t="n"/>
      <c r="B979" s="42">
        <f>'設定'!$I$30</f>
        <v/>
      </c>
      <c r="C979" s="60" t="n"/>
      <c r="D979" s="60" t="n"/>
      <c r="E979" s="60" t="n"/>
      <c r="F979" s="60" t="n"/>
      <c r="G979" s="60" t="n"/>
      <c r="H979" s="60" t="n"/>
      <c r="I979" s="60" t="n"/>
      <c r="J979" s="60" t="n"/>
      <c r="K979" s="60" t="n"/>
      <c r="L979" s="60" t="n"/>
    </row>
    <row r="980" ht="21" customHeight="1">
      <c r="A980" s="59" t="n"/>
      <c r="B980" s="42">
        <f>'設定'!$I$31</f>
        <v/>
      </c>
      <c r="C980" s="60" t="n"/>
      <c r="D980" s="60" t="n"/>
      <c r="E980" s="60" t="n"/>
      <c r="F980" s="60" t="n"/>
      <c r="G980" s="60" t="n"/>
      <c r="H980" s="60" t="n"/>
      <c r="I980" s="60" t="n"/>
      <c r="J980" s="60" t="n"/>
      <c r="K980" s="60" t="n"/>
      <c r="L980" s="60" t="n"/>
    </row>
    <row r="981" ht="21" customHeight="1">
      <c r="A981" s="59" t="n"/>
      <c r="B981" s="42">
        <f>'設定'!$I$32</f>
        <v/>
      </c>
      <c r="C981" s="60" t="n"/>
      <c r="D981" s="60" t="n"/>
      <c r="E981" s="60" t="n"/>
      <c r="F981" s="60" t="n"/>
      <c r="G981" s="60" t="n"/>
      <c r="H981" s="60" t="n"/>
      <c r="I981" s="60" t="n"/>
      <c r="J981" s="60" t="n"/>
      <c r="K981" s="60" t="n"/>
      <c r="L981" s="60" t="n"/>
    </row>
    <row r="982" ht="21" customHeight="1">
      <c r="A982" s="59" t="n"/>
      <c r="B982" s="42">
        <f>'設定'!$I$33</f>
        <v/>
      </c>
      <c r="C982" s="60" t="n"/>
      <c r="D982" s="60" t="n"/>
      <c r="E982" s="60" t="n"/>
      <c r="F982" s="60" t="n"/>
      <c r="G982" s="60" t="n"/>
      <c r="H982" s="60" t="n"/>
      <c r="I982" s="60" t="n"/>
      <c r="J982" s="60" t="n"/>
      <c r="K982" s="60" t="n"/>
      <c r="L982" s="60" t="n"/>
    </row>
    <row r="983" ht="21" customHeight="1">
      <c r="A983" s="59" t="n"/>
      <c r="B983" s="42">
        <f>'設定'!$I$34</f>
        <v/>
      </c>
      <c r="C983" s="60" t="n"/>
      <c r="D983" s="60" t="n"/>
      <c r="E983" s="60" t="n"/>
      <c r="F983" s="60" t="n"/>
      <c r="G983" s="60" t="n"/>
      <c r="H983" s="60" t="n"/>
      <c r="I983" s="60" t="n"/>
      <c r="J983" s="60" t="n"/>
      <c r="K983" s="60" t="n"/>
      <c r="L983" s="60" t="n"/>
    </row>
    <row r="984"/>
    <row r="985" ht="26" customHeight="1">
      <c r="B985" s="53">
        <f>IF('名簿'!B40="","（名簿 36行目：なし）",'名簿'!G40)</f>
        <v/>
      </c>
      <c r="C985" s="4" t="n"/>
      <c r="D985" s="4" t="n"/>
      <c r="E985" s="54" t="inlineStr">
        <is>
          <t>提出状況 ▶</t>
        </is>
      </c>
      <c r="F985" s="38" t="n"/>
      <c r="G985" s="29" t="n"/>
      <c r="H985" s="55" t="inlineStr">
        <is>
          <t>状況：</t>
        </is>
      </c>
      <c r="I985" s="56">
        <f>'名簿'!H40</f>
        <v/>
      </c>
      <c r="J985" s="55" t="inlineStr">
        <is>
          <t>×の数：</t>
        </is>
      </c>
      <c r="K985" s="57">
        <f>'名簿'!I40</f>
        <v/>
      </c>
      <c r="L985" s="58">
        <f>HYPERLINK("#'×入力'!B1013","次の人へ ▼")</f>
        <v/>
      </c>
    </row>
    <row r="986" ht="22" customHeight="1">
      <c r="A986" s="30" t="inlineStr">
        <is>
          <t>この日全部 ▶</t>
        </is>
      </c>
      <c r="C986" s="59" t="n"/>
      <c r="D986" s="59" t="n"/>
      <c r="E986" s="59" t="n"/>
      <c r="F986" s="59" t="n"/>
      <c r="G986" s="59" t="n"/>
      <c r="H986" s="59" t="n"/>
      <c r="I986" s="59" t="n"/>
      <c r="J986" s="59" t="n"/>
      <c r="K986" s="59" t="n"/>
      <c r="L986" s="59" t="n"/>
    </row>
    <row r="987" ht="28" customHeight="1">
      <c r="A987" s="33" t="inlineStr">
        <is>
          <t>この時間
全部 ▼</t>
        </is>
      </c>
      <c r="B987" s="34" t="inlineStr"/>
      <c r="C987" s="35">
        <f>'設定'!$E$11</f>
        <v/>
      </c>
      <c r="D987" s="35">
        <f>'設定'!$E$12</f>
        <v/>
      </c>
      <c r="E987" s="35">
        <f>'設定'!$E$13</f>
        <v/>
      </c>
      <c r="F987" s="35">
        <f>'設定'!$E$14</f>
        <v/>
      </c>
      <c r="G987" s="35">
        <f>'設定'!$E$15</f>
        <v/>
      </c>
      <c r="H987" s="35">
        <f>'設定'!$E$16</f>
        <v/>
      </c>
      <c r="I987" s="35">
        <f>'設定'!$E$17</f>
        <v/>
      </c>
      <c r="J987" s="35">
        <f>'設定'!$E$18</f>
        <v/>
      </c>
      <c r="K987" s="35">
        <f>'設定'!$E$19</f>
        <v/>
      </c>
      <c r="L987" s="35">
        <f>'設定'!$E$20</f>
        <v/>
      </c>
    </row>
    <row r="988" ht="21" customHeight="1">
      <c r="A988" s="59" t="n"/>
      <c r="B988" s="42">
        <f>'設定'!$I$11</f>
        <v/>
      </c>
      <c r="C988" s="60" t="n"/>
      <c r="D988" s="60" t="n"/>
      <c r="E988" s="60" t="n"/>
      <c r="F988" s="60" t="n"/>
      <c r="G988" s="60" t="n"/>
      <c r="H988" s="60" t="n"/>
      <c r="I988" s="60" t="n"/>
      <c r="J988" s="60" t="n"/>
      <c r="K988" s="60" t="n"/>
      <c r="L988" s="60" t="n"/>
    </row>
    <row r="989" ht="21" customHeight="1">
      <c r="A989" s="59" t="n"/>
      <c r="B989" s="42">
        <f>'設定'!$I$12</f>
        <v/>
      </c>
      <c r="C989" s="60" t="n"/>
      <c r="D989" s="60" t="n"/>
      <c r="E989" s="60" t="n"/>
      <c r="F989" s="60" t="n"/>
      <c r="G989" s="60" t="n"/>
      <c r="H989" s="60" t="n"/>
      <c r="I989" s="60" t="n"/>
      <c r="J989" s="60" t="n"/>
      <c r="K989" s="60" t="n"/>
      <c r="L989" s="60" t="n"/>
    </row>
    <row r="990" ht="21" customHeight="1">
      <c r="A990" s="59" t="n"/>
      <c r="B990" s="42">
        <f>'設定'!$I$13</f>
        <v/>
      </c>
      <c r="C990" s="60" t="n"/>
      <c r="D990" s="60" t="n"/>
      <c r="E990" s="60" t="n"/>
      <c r="F990" s="60" t="n"/>
      <c r="G990" s="60" t="n"/>
      <c r="H990" s="60" t="n"/>
      <c r="I990" s="60" t="n"/>
      <c r="J990" s="60" t="n"/>
      <c r="K990" s="60" t="n"/>
      <c r="L990" s="60" t="n"/>
    </row>
    <row r="991" ht="21" customHeight="1">
      <c r="A991" s="59" t="n"/>
      <c r="B991" s="42">
        <f>'設定'!$I$14</f>
        <v/>
      </c>
      <c r="C991" s="60" t="n"/>
      <c r="D991" s="60" t="n"/>
      <c r="E991" s="60" t="n"/>
      <c r="F991" s="60" t="n"/>
      <c r="G991" s="60" t="n"/>
      <c r="H991" s="60" t="n"/>
      <c r="I991" s="60" t="n"/>
      <c r="J991" s="60" t="n"/>
      <c r="K991" s="60" t="n"/>
      <c r="L991" s="60" t="n"/>
    </row>
    <row r="992" ht="21" customHeight="1">
      <c r="A992" s="59" t="n"/>
      <c r="B992" s="42">
        <f>'設定'!$I$15</f>
        <v/>
      </c>
      <c r="C992" s="60" t="n"/>
      <c r="D992" s="60" t="n"/>
      <c r="E992" s="60" t="n"/>
      <c r="F992" s="60" t="n"/>
      <c r="G992" s="60" t="n"/>
      <c r="H992" s="60" t="n"/>
      <c r="I992" s="60" t="n"/>
      <c r="J992" s="60" t="n"/>
      <c r="K992" s="60" t="n"/>
      <c r="L992" s="60" t="n"/>
    </row>
    <row r="993" ht="21" customHeight="1">
      <c r="A993" s="59" t="n"/>
      <c r="B993" s="42">
        <f>'設定'!$I$16</f>
        <v/>
      </c>
      <c r="C993" s="60" t="n"/>
      <c r="D993" s="60" t="n"/>
      <c r="E993" s="60" t="n"/>
      <c r="F993" s="60" t="n"/>
      <c r="G993" s="60" t="n"/>
      <c r="H993" s="60" t="n"/>
      <c r="I993" s="60" t="n"/>
      <c r="J993" s="60" t="n"/>
      <c r="K993" s="60" t="n"/>
      <c r="L993" s="60" t="n"/>
    </row>
    <row r="994" ht="21" customHeight="1">
      <c r="A994" s="59" t="n"/>
      <c r="B994" s="42">
        <f>'設定'!$I$17</f>
        <v/>
      </c>
      <c r="C994" s="60" t="n"/>
      <c r="D994" s="60" t="n"/>
      <c r="E994" s="60" t="n"/>
      <c r="F994" s="60" t="n"/>
      <c r="G994" s="60" t="n"/>
      <c r="H994" s="60" t="n"/>
      <c r="I994" s="60" t="n"/>
      <c r="J994" s="60" t="n"/>
      <c r="K994" s="60" t="n"/>
      <c r="L994" s="60" t="n"/>
    </row>
    <row r="995" ht="21" customHeight="1">
      <c r="A995" s="59" t="n"/>
      <c r="B995" s="42">
        <f>'設定'!$I$18</f>
        <v/>
      </c>
      <c r="C995" s="60" t="n"/>
      <c r="D995" s="60" t="n"/>
      <c r="E995" s="60" t="n"/>
      <c r="F995" s="60" t="n"/>
      <c r="G995" s="60" t="n"/>
      <c r="H995" s="60" t="n"/>
      <c r="I995" s="60" t="n"/>
      <c r="J995" s="60" t="n"/>
      <c r="K995" s="60" t="n"/>
      <c r="L995" s="60" t="n"/>
    </row>
    <row r="996" ht="21" customHeight="1">
      <c r="A996" s="59" t="n"/>
      <c r="B996" s="42">
        <f>'設定'!$I$19</f>
        <v/>
      </c>
      <c r="C996" s="60" t="n"/>
      <c r="D996" s="60" t="n"/>
      <c r="E996" s="60" t="n"/>
      <c r="F996" s="60" t="n"/>
      <c r="G996" s="60" t="n"/>
      <c r="H996" s="60" t="n"/>
      <c r="I996" s="60" t="n"/>
      <c r="J996" s="60" t="n"/>
      <c r="K996" s="60" t="n"/>
      <c r="L996" s="60" t="n"/>
    </row>
    <row r="997" ht="21" customHeight="1">
      <c r="A997" s="59" t="n"/>
      <c r="B997" s="42">
        <f>'設定'!$I$20</f>
        <v/>
      </c>
      <c r="C997" s="60" t="n"/>
      <c r="D997" s="60" t="n"/>
      <c r="E997" s="60" t="n"/>
      <c r="F997" s="60" t="n"/>
      <c r="G997" s="60" t="n"/>
      <c r="H997" s="60" t="n"/>
      <c r="I997" s="60" t="n"/>
      <c r="J997" s="60" t="n"/>
      <c r="K997" s="60" t="n"/>
      <c r="L997" s="60" t="n"/>
    </row>
    <row r="998" ht="21" customHeight="1">
      <c r="A998" s="59" t="n"/>
      <c r="B998" s="42">
        <f>'設定'!$I$21</f>
        <v/>
      </c>
      <c r="C998" s="60" t="n"/>
      <c r="D998" s="60" t="n"/>
      <c r="E998" s="60" t="n"/>
      <c r="F998" s="60" t="n"/>
      <c r="G998" s="60" t="n"/>
      <c r="H998" s="60" t="n"/>
      <c r="I998" s="60" t="n"/>
      <c r="J998" s="60" t="n"/>
      <c r="K998" s="60" t="n"/>
      <c r="L998" s="60" t="n"/>
    </row>
    <row r="999" ht="21" customHeight="1">
      <c r="A999" s="59" t="n"/>
      <c r="B999" s="42">
        <f>'設定'!$I$22</f>
        <v/>
      </c>
      <c r="C999" s="60" t="n"/>
      <c r="D999" s="60" t="n"/>
      <c r="E999" s="60" t="n"/>
      <c r="F999" s="60" t="n"/>
      <c r="G999" s="60" t="n"/>
      <c r="H999" s="60" t="n"/>
      <c r="I999" s="60" t="n"/>
      <c r="J999" s="60" t="n"/>
      <c r="K999" s="60" t="n"/>
      <c r="L999" s="60" t="n"/>
    </row>
    <row r="1000" ht="21" customHeight="1">
      <c r="A1000" s="59" t="n"/>
      <c r="B1000" s="42">
        <f>'設定'!$I$23</f>
        <v/>
      </c>
      <c r="C1000" s="60" t="n"/>
      <c r="D1000" s="60" t="n"/>
      <c r="E1000" s="60" t="n"/>
      <c r="F1000" s="60" t="n"/>
      <c r="G1000" s="60" t="n"/>
      <c r="H1000" s="60" t="n"/>
      <c r="I1000" s="60" t="n"/>
      <c r="J1000" s="60" t="n"/>
      <c r="K1000" s="60" t="n"/>
      <c r="L1000" s="60" t="n"/>
    </row>
    <row r="1001" ht="21" customHeight="1">
      <c r="A1001" s="59" t="n"/>
      <c r="B1001" s="42">
        <f>'設定'!$I$24</f>
        <v/>
      </c>
      <c r="C1001" s="60" t="n"/>
      <c r="D1001" s="60" t="n"/>
      <c r="E1001" s="60" t="n"/>
      <c r="F1001" s="60" t="n"/>
      <c r="G1001" s="60" t="n"/>
      <c r="H1001" s="60" t="n"/>
      <c r="I1001" s="60" t="n"/>
      <c r="J1001" s="60" t="n"/>
      <c r="K1001" s="60" t="n"/>
      <c r="L1001" s="60" t="n"/>
    </row>
    <row r="1002" ht="21" customHeight="1">
      <c r="A1002" s="59" t="n"/>
      <c r="B1002" s="42">
        <f>'設定'!$I$25</f>
        <v/>
      </c>
      <c r="C1002" s="60" t="n"/>
      <c r="D1002" s="60" t="n"/>
      <c r="E1002" s="60" t="n"/>
      <c r="F1002" s="60" t="n"/>
      <c r="G1002" s="60" t="n"/>
      <c r="H1002" s="60" t="n"/>
      <c r="I1002" s="60" t="n"/>
      <c r="J1002" s="60" t="n"/>
      <c r="K1002" s="60" t="n"/>
      <c r="L1002" s="60" t="n"/>
    </row>
    <row r="1003" ht="21" customHeight="1">
      <c r="A1003" s="59" t="n"/>
      <c r="B1003" s="42">
        <f>'設定'!$I$26</f>
        <v/>
      </c>
      <c r="C1003" s="60" t="n"/>
      <c r="D1003" s="60" t="n"/>
      <c r="E1003" s="60" t="n"/>
      <c r="F1003" s="60" t="n"/>
      <c r="G1003" s="60" t="n"/>
      <c r="H1003" s="60" t="n"/>
      <c r="I1003" s="60" t="n"/>
      <c r="J1003" s="60" t="n"/>
      <c r="K1003" s="60" t="n"/>
      <c r="L1003" s="60" t="n"/>
    </row>
    <row r="1004" ht="21" customHeight="1">
      <c r="A1004" s="59" t="n"/>
      <c r="B1004" s="42">
        <f>'設定'!$I$27</f>
        <v/>
      </c>
      <c r="C1004" s="60" t="n"/>
      <c r="D1004" s="60" t="n"/>
      <c r="E1004" s="60" t="n"/>
      <c r="F1004" s="60" t="n"/>
      <c r="G1004" s="60" t="n"/>
      <c r="H1004" s="60" t="n"/>
      <c r="I1004" s="60" t="n"/>
      <c r="J1004" s="60" t="n"/>
      <c r="K1004" s="60" t="n"/>
      <c r="L1004" s="60" t="n"/>
    </row>
    <row r="1005" ht="21" customHeight="1">
      <c r="A1005" s="59" t="n"/>
      <c r="B1005" s="42">
        <f>'設定'!$I$28</f>
        <v/>
      </c>
      <c r="C1005" s="60" t="n"/>
      <c r="D1005" s="60" t="n"/>
      <c r="E1005" s="60" t="n"/>
      <c r="F1005" s="60" t="n"/>
      <c r="G1005" s="60" t="n"/>
      <c r="H1005" s="60" t="n"/>
      <c r="I1005" s="60" t="n"/>
      <c r="J1005" s="60" t="n"/>
      <c r="K1005" s="60" t="n"/>
      <c r="L1005" s="60" t="n"/>
    </row>
    <row r="1006" ht="21" customHeight="1">
      <c r="A1006" s="59" t="n"/>
      <c r="B1006" s="42">
        <f>'設定'!$I$29</f>
        <v/>
      </c>
      <c r="C1006" s="60" t="n"/>
      <c r="D1006" s="60" t="n"/>
      <c r="E1006" s="60" t="n"/>
      <c r="F1006" s="60" t="n"/>
      <c r="G1006" s="60" t="n"/>
      <c r="H1006" s="60" t="n"/>
      <c r="I1006" s="60" t="n"/>
      <c r="J1006" s="60" t="n"/>
      <c r="K1006" s="60" t="n"/>
      <c r="L1006" s="60" t="n"/>
    </row>
    <row r="1007" ht="21" customHeight="1">
      <c r="A1007" s="59" t="n"/>
      <c r="B1007" s="42">
        <f>'設定'!$I$30</f>
        <v/>
      </c>
      <c r="C1007" s="60" t="n"/>
      <c r="D1007" s="60" t="n"/>
      <c r="E1007" s="60" t="n"/>
      <c r="F1007" s="60" t="n"/>
      <c r="G1007" s="60" t="n"/>
      <c r="H1007" s="60" t="n"/>
      <c r="I1007" s="60" t="n"/>
      <c r="J1007" s="60" t="n"/>
      <c r="K1007" s="60" t="n"/>
      <c r="L1007" s="60" t="n"/>
    </row>
    <row r="1008" ht="21" customHeight="1">
      <c r="A1008" s="59" t="n"/>
      <c r="B1008" s="42">
        <f>'設定'!$I$31</f>
        <v/>
      </c>
      <c r="C1008" s="60" t="n"/>
      <c r="D1008" s="60" t="n"/>
      <c r="E1008" s="60" t="n"/>
      <c r="F1008" s="60" t="n"/>
      <c r="G1008" s="60" t="n"/>
      <c r="H1008" s="60" t="n"/>
      <c r="I1008" s="60" t="n"/>
      <c r="J1008" s="60" t="n"/>
      <c r="K1008" s="60" t="n"/>
      <c r="L1008" s="60" t="n"/>
    </row>
    <row r="1009" ht="21" customHeight="1">
      <c r="A1009" s="59" t="n"/>
      <c r="B1009" s="42">
        <f>'設定'!$I$32</f>
        <v/>
      </c>
      <c r="C1009" s="60" t="n"/>
      <c r="D1009" s="60" t="n"/>
      <c r="E1009" s="60" t="n"/>
      <c r="F1009" s="60" t="n"/>
      <c r="G1009" s="60" t="n"/>
      <c r="H1009" s="60" t="n"/>
      <c r="I1009" s="60" t="n"/>
      <c r="J1009" s="60" t="n"/>
      <c r="K1009" s="60" t="n"/>
      <c r="L1009" s="60" t="n"/>
    </row>
    <row r="1010" ht="21" customHeight="1">
      <c r="A1010" s="59" t="n"/>
      <c r="B1010" s="42">
        <f>'設定'!$I$33</f>
        <v/>
      </c>
      <c r="C1010" s="60" t="n"/>
      <c r="D1010" s="60" t="n"/>
      <c r="E1010" s="60" t="n"/>
      <c r="F1010" s="60" t="n"/>
      <c r="G1010" s="60" t="n"/>
      <c r="H1010" s="60" t="n"/>
      <c r="I1010" s="60" t="n"/>
      <c r="J1010" s="60" t="n"/>
      <c r="K1010" s="60" t="n"/>
      <c r="L1010" s="60" t="n"/>
    </row>
    <row r="1011" ht="21" customHeight="1">
      <c r="A1011" s="59" t="n"/>
      <c r="B1011" s="42">
        <f>'設定'!$I$34</f>
        <v/>
      </c>
      <c r="C1011" s="60" t="n"/>
      <c r="D1011" s="60" t="n"/>
      <c r="E1011" s="60" t="n"/>
      <c r="F1011" s="60" t="n"/>
      <c r="G1011" s="60" t="n"/>
      <c r="H1011" s="60" t="n"/>
      <c r="I1011" s="60" t="n"/>
      <c r="J1011" s="60" t="n"/>
      <c r="K1011" s="60" t="n"/>
      <c r="L1011" s="60" t="n"/>
    </row>
    <row r="1012"/>
    <row r="1013" ht="26" customHeight="1">
      <c r="B1013" s="53">
        <f>IF('名簿'!B41="","（名簿 37行目：なし）",'名簿'!G41)</f>
        <v/>
      </c>
      <c r="C1013" s="4" t="n"/>
      <c r="D1013" s="4" t="n"/>
      <c r="E1013" s="54" t="inlineStr">
        <is>
          <t>提出状況 ▶</t>
        </is>
      </c>
      <c r="F1013" s="38" t="n"/>
      <c r="G1013" s="29" t="n"/>
      <c r="H1013" s="55" t="inlineStr">
        <is>
          <t>状況：</t>
        </is>
      </c>
      <c r="I1013" s="56">
        <f>'名簿'!H41</f>
        <v/>
      </c>
      <c r="J1013" s="55" t="inlineStr">
        <is>
          <t>×の数：</t>
        </is>
      </c>
      <c r="K1013" s="57">
        <f>'名簿'!I41</f>
        <v/>
      </c>
      <c r="L1013" s="58">
        <f>HYPERLINK("#'×入力'!B1041","次の人へ ▼")</f>
        <v/>
      </c>
    </row>
    <row r="1014" ht="22" customHeight="1">
      <c r="A1014" s="30" t="inlineStr">
        <is>
          <t>この日全部 ▶</t>
        </is>
      </c>
      <c r="C1014" s="59" t="n"/>
      <c r="D1014" s="59" t="n"/>
      <c r="E1014" s="59" t="n"/>
      <c r="F1014" s="59" t="n"/>
      <c r="G1014" s="59" t="n"/>
      <c r="H1014" s="59" t="n"/>
      <c r="I1014" s="59" t="n"/>
      <c r="J1014" s="59" t="n"/>
      <c r="K1014" s="59" t="n"/>
      <c r="L1014" s="59" t="n"/>
    </row>
    <row r="1015" ht="28" customHeight="1">
      <c r="A1015" s="33" t="inlineStr">
        <is>
          <t>この時間
全部 ▼</t>
        </is>
      </c>
      <c r="B1015" s="34" t="inlineStr"/>
      <c r="C1015" s="35">
        <f>'設定'!$E$11</f>
        <v/>
      </c>
      <c r="D1015" s="35">
        <f>'設定'!$E$12</f>
        <v/>
      </c>
      <c r="E1015" s="35">
        <f>'設定'!$E$13</f>
        <v/>
      </c>
      <c r="F1015" s="35">
        <f>'設定'!$E$14</f>
        <v/>
      </c>
      <c r="G1015" s="35">
        <f>'設定'!$E$15</f>
        <v/>
      </c>
      <c r="H1015" s="35">
        <f>'設定'!$E$16</f>
        <v/>
      </c>
      <c r="I1015" s="35">
        <f>'設定'!$E$17</f>
        <v/>
      </c>
      <c r="J1015" s="35">
        <f>'設定'!$E$18</f>
        <v/>
      </c>
      <c r="K1015" s="35">
        <f>'設定'!$E$19</f>
        <v/>
      </c>
      <c r="L1015" s="35">
        <f>'設定'!$E$20</f>
        <v/>
      </c>
    </row>
    <row r="1016" ht="21" customHeight="1">
      <c r="A1016" s="59" t="n"/>
      <c r="B1016" s="42">
        <f>'設定'!$I$11</f>
        <v/>
      </c>
      <c r="C1016" s="60" t="n"/>
      <c r="D1016" s="60" t="n"/>
      <c r="E1016" s="60" t="n"/>
      <c r="F1016" s="60" t="n"/>
      <c r="G1016" s="60" t="n"/>
      <c r="H1016" s="60" t="n"/>
      <c r="I1016" s="60" t="n"/>
      <c r="J1016" s="60" t="n"/>
      <c r="K1016" s="60" t="n"/>
      <c r="L1016" s="60" t="n"/>
    </row>
    <row r="1017" ht="21" customHeight="1">
      <c r="A1017" s="59" t="n"/>
      <c r="B1017" s="42">
        <f>'設定'!$I$12</f>
        <v/>
      </c>
      <c r="C1017" s="60" t="n"/>
      <c r="D1017" s="60" t="n"/>
      <c r="E1017" s="60" t="n"/>
      <c r="F1017" s="60" t="n"/>
      <c r="G1017" s="60" t="n"/>
      <c r="H1017" s="60" t="n"/>
      <c r="I1017" s="60" t="n"/>
      <c r="J1017" s="60" t="n"/>
      <c r="K1017" s="60" t="n"/>
      <c r="L1017" s="60" t="n"/>
    </row>
    <row r="1018" ht="21" customHeight="1">
      <c r="A1018" s="59" t="n"/>
      <c r="B1018" s="42">
        <f>'設定'!$I$13</f>
        <v/>
      </c>
      <c r="C1018" s="60" t="n"/>
      <c r="D1018" s="60" t="n"/>
      <c r="E1018" s="60" t="n"/>
      <c r="F1018" s="60" t="n"/>
      <c r="G1018" s="60" t="n"/>
      <c r="H1018" s="60" t="n"/>
      <c r="I1018" s="60" t="n"/>
      <c r="J1018" s="60" t="n"/>
      <c r="K1018" s="60" t="n"/>
      <c r="L1018" s="60" t="n"/>
    </row>
    <row r="1019" ht="21" customHeight="1">
      <c r="A1019" s="59" t="n"/>
      <c r="B1019" s="42">
        <f>'設定'!$I$14</f>
        <v/>
      </c>
      <c r="C1019" s="60" t="n"/>
      <c r="D1019" s="60" t="n"/>
      <c r="E1019" s="60" t="n"/>
      <c r="F1019" s="60" t="n"/>
      <c r="G1019" s="60" t="n"/>
      <c r="H1019" s="60" t="n"/>
      <c r="I1019" s="60" t="n"/>
      <c r="J1019" s="60" t="n"/>
      <c r="K1019" s="60" t="n"/>
      <c r="L1019" s="60" t="n"/>
    </row>
    <row r="1020" ht="21" customHeight="1">
      <c r="A1020" s="59" t="n"/>
      <c r="B1020" s="42">
        <f>'設定'!$I$15</f>
        <v/>
      </c>
      <c r="C1020" s="60" t="n"/>
      <c r="D1020" s="60" t="n"/>
      <c r="E1020" s="60" t="n"/>
      <c r="F1020" s="60" t="n"/>
      <c r="G1020" s="60" t="n"/>
      <c r="H1020" s="60" t="n"/>
      <c r="I1020" s="60" t="n"/>
      <c r="J1020" s="60" t="n"/>
      <c r="K1020" s="60" t="n"/>
      <c r="L1020" s="60" t="n"/>
    </row>
    <row r="1021" ht="21" customHeight="1">
      <c r="A1021" s="59" t="n"/>
      <c r="B1021" s="42">
        <f>'設定'!$I$16</f>
        <v/>
      </c>
      <c r="C1021" s="60" t="n"/>
      <c r="D1021" s="60" t="n"/>
      <c r="E1021" s="60" t="n"/>
      <c r="F1021" s="60" t="n"/>
      <c r="G1021" s="60" t="n"/>
      <c r="H1021" s="60" t="n"/>
      <c r="I1021" s="60" t="n"/>
      <c r="J1021" s="60" t="n"/>
      <c r="K1021" s="60" t="n"/>
      <c r="L1021" s="60" t="n"/>
    </row>
    <row r="1022" ht="21" customHeight="1">
      <c r="A1022" s="59" t="n"/>
      <c r="B1022" s="42">
        <f>'設定'!$I$17</f>
        <v/>
      </c>
      <c r="C1022" s="60" t="n"/>
      <c r="D1022" s="60" t="n"/>
      <c r="E1022" s="60" t="n"/>
      <c r="F1022" s="60" t="n"/>
      <c r="G1022" s="60" t="n"/>
      <c r="H1022" s="60" t="n"/>
      <c r="I1022" s="60" t="n"/>
      <c r="J1022" s="60" t="n"/>
      <c r="K1022" s="60" t="n"/>
      <c r="L1022" s="60" t="n"/>
    </row>
    <row r="1023" ht="21" customHeight="1">
      <c r="A1023" s="59" t="n"/>
      <c r="B1023" s="42">
        <f>'設定'!$I$18</f>
        <v/>
      </c>
      <c r="C1023" s="60" t="n"/>
      <c r="D1023" s="60" t="n"/>
      <c r="E1023" s="60" t="n"/>
      <c r="F1023" s="60" t="n"/>
      <c r="G1023" s="60" t="n"/>
      <c r="H1023" s="60" t="n"/>
      <c r="I1023" s="60" t="n"/>
      <c r="J1023" s="60" t="n"/>
      <c r="K1023" s="60" t="n"/>
      <c r="L1023" s="60" t="n"/>
    </row>
    <row r="1024" ht="21" customHeight="1">
      <c r="A1024" s="59" t="n"/>
      <c r="B1024" s="42">
        <f>'設定'!$I$19</f>
        <v/>
      </c>
      <c r="C1024" s="60" t="n"/>
      <c r="D1024" s="60" t="n"/>
      <c r="E1024" s="60" t="n"/>
      <c r="F1024" s="60" t="n"/>
      <c r="G1024" s="60" t="n"/>
      <c r="H1024" s="60" t="n"/>
      <c r="I1024" s="60" t="n"/>
      <c r="J1024" s="60" t="n"/>
      <c r="K1024" s="60" t="n"/>
      <c r="L1024" s="60" t="n"/>
    </row>
    <row r="1025" ht="21" customHeight="1">
      <c r="A1025" s="59" t="n"/>
      <c r="B1025" s="42">
        <f>'設定'!$I$20</f>
        <v/>
      </c>
      <c r="C1025" s="60" t="n"/>
      <c r="D1025" s="60" t="n"/>
      <c r="E1025" s="60" t="n"/>
      <c r="F1025" s="60" t="n"/>
      <c r="G1025" s="60" t="n"/>
      <c r="H1025" s="60" t="n"/>
      <c r="I1025" s="60" t="n"/>
      <c r="J1025" s="60" t="n"/>
      <c r="K1025" s="60" t="n"/>
      <c r="L1025" s="60" t="n"/>
    </row>
    <row r="1026" ht="21" customHeight="1">
      <c r="A1026" s="59" t="n"/>
      <c r="B1026" s="42">
        <f>'設定'!$I$21</f>
        <v/>
      </c>
      <c r="C1026" s="60" t="n"/>
      <c r="D1026" s="60" t="n"/>
      <c r="E1026" s="60" t="n"/>
      <c r="F1026" s="60" t="n"/>
      <c r="G1026" s="60" t="n"/>
      <c r="H1026" s="60" t="n"/>
      <c r="I1026" s="60" t="n"/>
      <c r="J1026" s="60" t="n"/>
      <c r="K1026" s="60" t="n"/>
      <c r="L1026" s="60" t="n"/>
    </row>
    <row r="1027" ht="21" customHeight="1">
      <c r="A1027" s="59" t="n"/>
      <c r="B1027" s="42">
        <f>'設定'!$I$22</f>
        <v/>
      </c>
      <c r="C1027" s="60" t="n"/>
      <c r="D1027" s="60" t="n"/>
      <c r="E1027" s="60" t="n"/>
      <c r="F1027" s="60" t="n"/>
      <c r="G1027" s="60" t="n"/>
      <c r="H1027" s="60" t="n"/>
      <c r="I1027" s="60" t="n"/>
      <c r="J1027" s="60" t="n"/>
      <c r="K1027" s="60" t="n"/>
      <c r="L1027" s="60" t="n"/>
    </row>
    <row r="1028" ht="21" customHeight="1">
      <c r="A1028" s="59" t="n"/>
      <c r="B1028" s="42">
        <f>'設定'!$I$23</f>
        <v/>
      </c>
      <c r="C1028" s="60" t="n"/>
      <c r="D1028" s="60" t="n"/>
      <c r="E1028" s="60" t="n"/>
      <c r="F1028" s="60" t="n"/>
      <c r="G1028" s="60" t="n"/>
      <c r="H1028" s="60" t="n"/>
      <c r="I1028" s="60" t="n"/>
      <c r="J1028" s="60" t="n"/>
      <c r="K1028" s="60" t="n"/>
      <c r="L1028" s="60" t="n"/>
    </row>
    <row r="1029" ht="21" customHeight="1">
      <c r="A1029" s="59" t="n"/>
      <c r="B1029" s="42">
        <f>'設定'!$I$24</f>
        <v/>
      </c>
      <c r="C1029" s="60" t="n"/>
      <c r="D1029" s="60" t="n"/>
      <c r="E1029" s="60" t="n"/>
      <c r="F1029" s="60" t="n"/>
      <c r="G1029" s="60" t="n"/>
      <c r="H1029" s="60" t="n"/>
      <c r="I1029" s="60" t="n"/>
      <c r="J1029" s="60" t="n"/>
      <c r="K1029" s="60" t="n"/>
      <c r="L1029" s="60" t="n"/>
    </row>
    <row r="1030" ht="21" customHeight="1">
      <c r="A1030" s="59" t="n"/>
      <c r="B1030" s="42">
        <f>'設定'!$I$25</f>
        <v/>
      </c>
      <c r="C1030" s="60" t="n"/>
      <c r="D1030" s="60" t="n"/>
      <c r="E1030" s="60" t="n"/>
      <c r="F1030" s="60" t="n"/>
      <c r="G1030" s="60" t="n"/>
      <c r="H1030" s="60" t="n"/>
      <c r="I1030" s="60" t="n"/>
      <c r="J1030" s="60" t="n"/>
      <c r="K1030" s="60" t="n"/>
      <c r="L1030" s="60" t="n"/>
    </row>
    <row r="1031" ht="21" customHeight="1">
      <c r="A1031" s="59" t="n"/>
      <c r="B1031" s="42">
        <f>'設定'!$I$26</f>
        <v/>
      </c>
      <c r="C1031" s="60" t="n"/>
      <c r="D1031" s="60" t="n"/>
      <c r="E1031" s="60" t="n"/>
      <c r="F1031" s="60" t="n"/>
      <c r="G1031" s="60" t="n"/>
      <c r="H1031" s="60" t="n"/>
      <c r="I1031" s="60" t="n"/>
      <c r="J1031" s="60" t="n"/>
      <c r="K1031" s="60" t="n"/>
      <c r="L1031" s="60" t="n"/>
    </row>
    <row r="1032" ht="21" customHeight="1">
      <c r="A1032" s="59" t="n"/>
      <c r="B1032" s="42">
        <f>'設定'!$I$27</f>
        <v/>
      </c>
      <c r="C1032" s="60" t="n"/>
      <c r="D1032" s="60" t="n"/>
      <c r="E1032" s="60" t="n"/>
      <c r="F1032" s="60" t="n"/>
      <c r="G1032" s="60" t="n"/>
      <c r="H1032" s="60" t="n"/>
      <c r="I1032" s="60" t="n"/>
      <c r="J1032" s="60" t="n"/>
      <c r="K1032" s="60" t="n"/>
      <c r="L1032" s="60" t="n"/>
    </row>
    <row r="1033" ht="21" customHeight="1">
      <c r="A1033" s="59" t="n"/>
      <c r="B1033" s="42">
        <f>'設定'!$I$28</f>
        <v/>
      </c>
      <c r="C1033" s="60" t="n"/>
      <c r="D1033" s="60" t="n"/>
      <c r="E1033" s="60" t="n"/>
      <c r="F1033" s="60" t="n"/>
      <c r="G1033" s="60" t="n"/>
      <c r="H1033" s="60" t="n"/>
      <c r="I1033" s="60" t="n"/>
      <c r="J1033" s="60" t="n"/>
      <c r="K1033" s="60" t="n"/>
      <c r="L1033" s="60" t="n"/>
    </row>
    <row r="1034" ht="21" customHeight="1">
      <c r="A1034" s="59" t="n"/>
      <c r="B1034" s="42">
        <f>'設定'!$I$29</f>
        <v/>
      </c>
      <c r="C1034" s="60" t="n"/>
      <c r="D1034" s="60" t="n"/>
      <c r="E1034" s="60" t="n"/>
      <c r="F1034" s="60" t="n"/>
      <c r="G1034" s="60" t="n"/>
      <c r="H1034" s="60" t="n"/>
      <c r="I1034" s="60" t="n"/>
      <c r="J1034" s="60" t="n"/>
      <c r="K1034" s="60" t="n"/>
      <c r="L1034" s="60" t="n"/>
    </row>
    <row r="1035" ht="21" customHeight="1">
      <c r="A1035" s="59" t="n"/>
      <c r="B1035" s="42">
        <f>'設定'!$I$30</f>
        <v/>
      </c>
      <c r="C1035" s="60" t="n"/>
      <c r="D1035" s="60" t="n"/>
      <c r="E1035" s="60" t="n"/>
      <c r="F1035" s="60" t="n"/>
      <c r="G1035" s="60" t="n"/>
      <c r="H1035" s="60" t="n"/>
      <c r="I1035" s="60" t="n"/>
      <c r="J1035" s="60" t="n"/>
      <c r="K1035" s="60" t="n"/>
      <c r="L1035" s="60" t="n"/>
    </row>
    <row r="1036" ht="21" customHeight="1">
      <c r="A1036" s="59" t="n"/>
      <c r="B1036" s="42">
        <f>'設定'!$I$31</f>
        <v/>
      </c>
      <c r="C1036" s="60" t="n"/>
      <c r="D1036" s="60" t="n"/>
      <c r="E1036" s="60" t="n"/>
      <c r="F1036" s="60" t="n"/>
      <c r="G1036" s="60" t="n"/>
      <c r="H1036" s="60" t="n"/>
      <c r="I1036" s="60" t="n"/>
      <c r="J1036" s="60" t="n"/>
      <c r="K1036" s="60" t="n"/>
      <c r="L1036" s="60" t="n"/>
    </row>
    <row r="1037" ht="21" customHeight="1">
      <c r="A1037" s="59" t="n"/>
      <c r="B1037" s="42">
        <f>'設定'!$I$32</f>
        <v/>
      </c>
      <c r="C1037" s="60" t="n"/>
      <c r="D1037" s="60" t="n"/>
      <c r="E1037" s="60" t="n"/>
      <c r="F1037" s="60" t="n"/>
      <c r="G1037" s="60" t="n"/>
      <c r="H1037" s="60" t="n"/>
      <c r="I1037" s="60" t="n"/>
      <c r="J1037" s="60" t="n"/>
      <c r="K1037" s="60" t="n"/>
      <c r="L1037" s="60" t="n"/>
    </row>
    <row r="1038" ht="21" customHeight="1">
      <c r="A1038" s="59" t="n"/>
      <c r="B1038" s="42">
        <f>'設定'!$I$33</f>
        <v/>
      </c>
      <c r="C1038" s="60" t="n"/>
      <c r="D1038" s="60" t="n"/>
      <c r="E1038" s="60" t="n"/>
      <c r="F1038" s="60" t="n"/>
      <c r="G1038" s="60" t="n"/>
      <c r="H1038" s="60" t="n"/>
      <c r="I1038" s="60" t="n"/>
      <c r="J1038" s="60" t="n"/>
      <c r="K1038" s="60" t="n"/>
      <c r="L1038" s="60" t="n"/>
    </row>
    <row r="1039" ht="21" customHeight="1">
      <c r="A1039" s="59" t="n"/>
      <c r="B1039" s="42">
        <f>'設定'!$I$34</f>
        <v/>
      </c>
      <c r="C1039" s="60" t="n"/>
      <c r="D1039" s="60" t="n"/>
      <c r="E1039" s="60" t="n"/>
      <c r="F1039" s="60" t="n"/>
      <c r="G1039" s="60" t="n"/>
      <c r="H1039" s="60" t="n"/>
      <c r="I1039" s="60" t="n"/>
      <c r="J1039" s="60" t="n"/>
      <c r="K1039" s="60" t="n"/>
      <c r="L1039" s="60" t="n"/>
    </row>
    <row r="1040"/>
    <row r="1041" ht="26" customHeight="1">
      <c r="B1041" s="53">
        <f>IF('名簿'!B42="","（名簿 38行目：なし）",'名簿'!G42)</f>
        <v/>
      </c>
      <c r="C1041" s="4" t="n"/>
      <c r="D1041" s="4" t="n"/>
      <c r="E1041" s="54" t="inlineStr">
        <is>
          <t>提出状況 ▶</t>
        </is>
      </c>
      <c r="F1041" s="38" t="n"/>
      <c r="G1041" s="29" t="n"/>
      <c r="H1041" s="55" t="inlineStr">
        <is>
          <t>状況：</t>
        </is>
      </c>
      <c r="I1041" s="56">
        <f>'名簿'!H42</f>
        <v/>
      </c>
      <c r="J1041" s="55" t="inlineStr">
        <is>
          <t>×の数：</t>
        </is>
      </c>
      <c r="K1041" s="57">
        <f>'名簿'!I42</f>
        <v/>
      </c>
      <c r="L1041" s="58">
        <f>HYPERLINK("#'×入力'!B1069","次の人へ ▼")</f>
        <v/>
      </c>
    </row>
    <row r="1042" ht="22" customHeight="1">
      <c r="A1042" s="30" t="inlineStr">
        <is>
          <t>この日全部 ▶</t>
        </is>
      </c>
      <c r="C1042" s="59" t="n"/>
      <c r="D1042" s="59" t="n"/>
      <c r="E1042" s="59" t="n"/>
      <c r="F1042" s="59" t="n"/>
      <c r="G1042" s="59" t="n"/>
      <c r="H1042" s="59" t="n"/>
      <c r="I1042" s="59" t="n"/>
      <c r="J1042" s="59" t="n"/>
      <c r="K1042" s="59" t="n"/>
      <c r="L1042" s="59" t="n"/>
    </row>
    <row r="1043" ht="28" customHeight="1">
      <c r="A1043" s="33" t="inlineStr">
        <is>
          <t>この時間
全部 ▼</t>
        </is>
      </c>
      <c r="B1043" s="34" t="inlineStr"/>
      <c r="C1043" s="35">
        <f>'設定'!$E$11</f>
        <v/>
      </c>
      <c r="D1043" s="35">
        <f>'設定'!$E$12</f>
        <v/>
      </c>
      <c r="E1043" s="35">
        <f>'設定'!$E$13</f>
        <v/>
      </c>
      <c r="F1043" s="35">
        <f>'設定'!$E$14</f>
        <v/>
      </c>
      <c r="G1043" s="35">
        <f>'設定'!$E$15</f>
        <v/>
      </c>
      <c r="H1043" s="35">
        <f>'設定'!$E$16</f>
        <v/>
      </c>
      <c r="I1043" s="35">
        <f>'設定'!$E$17</f>
        <v/>
      </c>
      <c r="J1043" s="35">
        <f>'設定'!$E$18</f>
        <v/>
      </c>
      <c r="K1043" s="35">
        <f>'設定'!$E$19</f>
        <v/>
      </c>
      <c r="L1043" s="35">
        <f>'設定'!$E$20</f>
        <v/>
      </c>
    </row>
    <row r="1044" ht="21" customHeight="1">
      <c r="A1044" s="59" t="n"/>
      <c r="B1044" s="42">
        <f>'設定'!$I$11</f>
        <v/>
      </c>
      <c r="C1044" s="60" t="n"/>
      <c r="D1044" s="60" t="n"/>
      <c r="E1044" s="60" t="n"/>
      <c r="F1044" s="60" t="n"/>
      <c r="G1044" s="60" t="n"/>
      <c r="H1044" s="60" t="n"/>
      <c r="I1044" s="60" t="n"/>
      <c r="J1044" s="60" t="n"/>
      <c r="K1044" s="60" t="n"/>
      <c r="L1044" s="60" t="n"/>
    </row>
    <row r="1045" ht="21" customHeight="1">
      <c r="A1045" s="59" t="n"/>
      <c r="B1045" s="42">
        <f>'設定'!$I$12</f>
        <v/>
      </c>
      <c r="C1045" s="60" t="n"/>
      <c r="D1045" s="60" t="n"/>
      <c r="E1045" s="60" t="n"/>
      <c r="F1045" s="60" t="n"/>
      <c r="G1045" s="60" t="n"/>
      <c r="H1045" s="60" t="n"/>
      <c r="I1045" s="60" t="n"/>
      <c r="J1045" s="60" t="n"/>
      <c r="K1045" s="60" t="n"/>
      <c r="L1045" s="60" t="n"/>
    </row>
    <row r="1046" ht="21" customHeight="1">
      <c r="A1046" s="59" t="n"/>
      <c r="B1046" s="42">
        <f>'設定'!$I$13</f>
        <v/>
      </c>
      <c r="C1046" s="60" t="n"/>
      <c r="D1046" s="60" t="n"/>
      <c r="E1046" s="60" t="n"/>
      <c r="F1046" s="60" t="n"/>
      <c r="G1046" s="60" t="n"/>
      <c r="H1046" s="60" t="n"/>
      <c r="I1046" s="60" t="n"/>
      <c r="J1046" s="60" t="n"/>
      <c r="K1046" s="60" t="n"/>
      <c r="L1046" s="60" t="n"/>
    </row>
    <row r="1047" ht="21" customHeight="1">
      <c r="A1047" s="59" t="n"/>
      <c r="B1047" s="42">
        <f>'設定'!$I$14</f>
        <v/>
      </c>
      <c r="C1047" s="60" t="n"/>
      <c r="D1047" s="60" t="n"/>
      <c r="E1047" s="60" t="n"/>
      <c r="F1047" s="60" t="n"/>
      <c r="G1047" s="60" t="n"/>
      <c r="H1047" s="60" t="n"/>
      <c r="I1047" s="60" t="n"/>
      <c r="J1047" s="60" t="n"/>
      <c r="K1047" s="60" t="n"/>
      <c r="L1047" s="60" t="n"/>
    </row>
    <row r="1048" ht="21" customHeight="1">
      <c r="A1048" s="59" t="n"/>
      <c r="B1048" s="42">
        <f>'設定'!$I$15</f>
        <v/>
      </c>
      <c r="C1048" s="60" t="n"/>
      <c r="D1048" s="60" t="n"/>
      <c r="E1048" s="60" t="n"/>
      <c r="F1048" s="60" t="n"/>
      <c r="G1048" s="60" t="n"/>
      <c r="H1048" s="60" t="n"/>
      <c r="I1048" s="60" t="n"/>
      <c r="J1048" s="60" t="n"/>
      <c r="K1048" s="60" t="n"/>
      <c r="L1048" s="60" t="n"/>
    </row>
    <row r="1049" ht="21" customHeight="1">
      <c r="A1049" s="59" t="n"/>
      <c r="B1049" s="42">
        <f>'設定'!$I$16</f>
        <v/>
      </c>
      <c r="C1049" s="60" t="n"/>
      <c r="D1049" s="60" t="n"/>
      <c r="E1049" s="60" t="n"/>
      <c r="F1049" s="60" t="n"/>
      <c r="G1049" s="60" t="n"/>
      <c r="H1049" s="60" t="n"/>
      <c r="I1049" s="60" t="n"/>
      <c r="J1049" s="60" t="n"/>
      <c r="K1049" s="60" t="n"/>
      <c r="L1049" s="60" t="n"/>
    </row>
    <row r="1050" ht="21" customHeight="1">
      <c r="A1050" s="59" t="n"/>
      <c r="B1050" s="42">
        <f>'設定'!$I$17</f>
        <v/>
      </c>
      <c r="C1050" s="60" t="n"/>
      <c r="D1050" s="60" t="n"/>
      <c r="E1050" s="60" t="n"/>
      <c r="F1050" s="60" t="n"/>
      <c r="G1050" s="60" t="n"/>
      <c r="H1050" s="60" t="n"/>
      <c r="I1050" s="60" t="n"/>
      <c r="J1050" s="60" t="n"/>
      <c r="K1050" s="60" t="n"/>
      <c r="L1050" s="60" t="n"/>
    </row>
    <row r="1051" ht="21" customHeight="1">
      <c r="A1051" s="59" t="n"/>
      <c r="B1051" s="42">
        <f>'設定'!$I$18</f>
        <v/>
      </c>
      <c r="C1051" s="60" t="n"/>
      <c r="D1051" s="60" t="n"/>
      <c r="E1051" s="60" t="n"/>
      <c r="F1051" s="60" t="n"/>
      <c r="G1051" s="60" t="n"/>
      <c r="H1051" s="60" t="n"/>
      <c r="I1051" s="60" t="n"/>
      <c r="J1051" s="60" t="n"/>
      <c r="K1051" s="60" t="n"/>
      <c r="L1051" s="60" t="n"/>
    </row>
    <row r="1052" ht="21" customHeight="1">
      <c r="A1052" s="59" t="n"/>
      <c r="B1052" s="42">
        <f>'設定'!$I$19</f>
        <v/>
      </c>
      <c r="C1052" s="60" t="n"/>
      <c r="D1052" s="60" t="n"/>
      <c r="E1052" s="60" t="n"/>
      <c r="F1052" s="60" t="n"/>
      <c r="G1052" s="60" t="n"/>
      <c r="H1052" s="60" t="n"/>
      <c r="I1052" s="60" t="n"/>
      <c r="J1052" s="60" t="n"/>
      <c r="K1052" s="60" t="n"/>
      <c r="L1052" s="60" t="n"/>
    </row>
    <row r="1053" ht="21" customHeight="1">
      <c r="A1053" s="59" t="n"/>
      <c r="B1053" s="42">
        <f>'設定'!$I$20</f>
        <v/>
      </c>
      <c r="C1053" s="60" t="n"/>
      <c r="D1053" s="60" t="n"/>
      <c r="E1053" s="60" t="n"/>
      <c r="F1053" s="60" t="n"/>
      <c r="G1053" s="60" t="n"/>
      <c r="H1053" s="60" t="n"/>
      <c r="I1053" s="60" t="n"/>
      <c r="J1053" s="60" t="n"/>
      <c r="K1053" s="60" t="n"/>
      <c r="L1053" s="60" t="n"/>
    </row>
    <row r="1054" ht="21" customHeight="1">
      <c r="A1054" s="59" t="n"/>
      <c r="B1054" s="42">
        <f>'設定'!$I$21</f>
        <v/>
      </c>
      <c r="C1054" s="60" t="n"/>
      <c r="D1054" s="60" t="n"/>
      <c r="E1054" s="60" t="n"/>
      <c r="F1054" s="60" t="n"/>
      <c r="G1054" s="60" t="n"/>
      <c r="H1054" s="60" t="n"/>
      <c r="I1054" s="60" t="n"/>
      <c r="J1054" s="60" t="n"/>
      <c r="K1054" s="60" t="n"/>
      <c r="L1054" s="60" t="n"/>
    </row>
    <row r="1055" ht="21" customHeight="1">
      <c r="A1055" s="59" t="n"/>
      <c r="B1055" s="42">
        <f>'設定'!$I$22</f>
        <v/>
      </c>
      <c r="C1055" s="60" t="n"/>
      <c r="D1055" s="60" t="n"/>
      <c r="E1055" s="60" t="n"/>
      <c r="F1055" s="60" t="n"/>
      <c r="G1055" s="60" t="n"/>
      <c r="H1055" s="60" t="n"/>
      <c r="I1055" s="60" t="n"/>
      <c r="J1055" s="60" t="n"/>
      <c r="K1055" s="60" t="n"/>
      <c r="L1055" s="60" t="n"/>
    </row>
    <row r="1056" ht="21" customHeight="1">
      <c r="A1056" s="59" t="n"/>
      <c r="B1056" s="42">
        <f>'設定'!$I$23</f>
        <v/>
      </c>
      <c r="C1056" s="60" t="n"/>
      <c r="D1056" s="60" t="n"/>
      <c r="E1056" s="60" t="n"/>
      <c r="F1056" s="60" t="n"/>
      <c r="G1056" s="60" t="n"/>
      <c r="H1056" s="60" t="n"/>
      <c r="I1056" s="60" t="n"/>
      <c r="J1056" s="60" t="n"/>
      <c r="K1056" s="60" t="n"/>
      <c r="L1056" s="60" t="n"/>
    </row>
    <row r="1057" ht="21" customHeight="1">
      <c r="A1057" s="59" t="n"/>
      <c r="B1057" s="42">
        <f>'設定'!$I$24</f>
        <v/>
      </c>
      <c r="C1057" s="60" t="n"/>
      <c r="D1057" s="60" t="n"/>
      <c r="E1057" s="60" t="n"/>
      <c r="F1057" s="60" t="n"/>
      <c r="G1057" s="60" t="n"/>
      <c r="H1057" s="60" t="n"/>
      <c r="I1057" s="60" t="n"/>
      <c r="J1057" s="60" t="n"/>
      <c r="K1057" s="60" t="n"/>
      <c r="L1057" s="60" t="n"/>
    </row>
    <row r="1058" ht="21" customHeight="1">
      <c r="A1058" s="59" t="n"/>
      <c r="B1058" s="42">
        <f>'設定'!$I$25</f>
        <v/>
      </c>
      <c r="C1058" s="60" t="n"/>
      <c r="D1058" s="60" t="n"/>
      <c r="E1058" s="60" t="n"/>
      <c r="F1058" s="60" t="n"/>
      <c r="G1058" s="60" t="n"/>
      <c r="H1058" s="60" t="n"/>
      <c r="I1058" s="60" t="n"/>
      <c r="J1058" s="60" t="n"/>
      <c r="K1058" s="60" t="n"/>
      <c r="L1058" s="60" t="n"/>
    </row>
    <row r="1059" ht="21" customHeight="1">
      <c r="A1059" s="59" t="n"/>
      <c r="B1059" s="42">
        <f>'設定'!$I$26</f>
        <v/>
      </c>
      <c r="C1059" s="60" t="n"/>
      <c r="D1059" s="60" t="n"/>
      <c r="E1059" s="60" t="n"/>
      <c r="F1059" s="60" t="n"/>
      <c r="G1059" s="60" t="n"/>
      <c r="H1059" s="60" t="n"/>
      <c r="I1059" s="60" t="n"/>
      <c r="J1059" s="60" t="n"/>
      <c r="K1059" s="60" t="n"/>
      <c r="L1059" s="60" t="n"/>
    </row>
    <row r="1060" ht="21" customHeight="1">
      <c r="A1060" s="59" t="n"/>
      <c r="B1060" s="42">
        <f>'設定'!$I$27</f>
        <v/>
      </c>
      <c r="C1060" s="60" t="n"/>
      <c r="D1060" s="60" t="n"/>
      <c r="E1060" s="60" t="n"/>
      <c r="F1060" s="60" t="n"/>
      <c r="G1060" s="60" t="n"/>
      <c r="H1060" s="60" t="n"/>
      <c r="I1060" s="60" t="n"/>
      <c r="J1060" s="60" t="n"/>
      <c r="K1060" s="60" t="n"/>
      <c r="L1060" s="60" t="n"/>
    </row>
    <row r="1061" ht="21" customHeight="1">
      <c r="A1061" s="59" t="n"/>
      <c r="B1061" s="42">
        <f>'設定'!$I$28</f>
        <v/>
      </c>
      <c r="C1061" s="60" t="n"/>
      <c r="D1061" s="60" t="n"/>
      <c r="E1061" s="60" t="n"/>
      <c r="F1061" s="60" t="n"/>
      <c r="G1061" s="60" t="n"/>
      <c r="H1061" s="60" t="n"/>
      <c r="I1061" s="60" t="n"/>
      <c r="J1061" s="60" t="n"/>
      <c r="K1061" s="60" t="n"/>
      <c r="L1061" s="60" t="n"/>
    </row>
    <row r="1062" ht="21" customHeight="1">
      <c r="A1062" s="59" t="n"/>
      <c r="B1062" s="42">
        <f>'設定'!$I$29</f>
        <v/>
      </c>
      <c r="C1062" s="60" t="n"/>
      <c r="D1062" s="60" t="n"/>
      <c r="E1062" s="60" t="n"/>
      <c r="F1062" s="60" t="n"/>
      <c r="G1062" s="60" t="n"/>
      <c r="H1062" s="60" t="n"/>
      <c r="I1062" s="60" t="n"/>
      <c r="J1062" s="60" t="n"/>
      <c r="K1062" s="60" t="n"/>
      <c r="L1062" s="60" t="n"/>
    </row>
    <row r="1063" ht="21" customHeight="1">
      <c r="A1063" s="59" t="n"/>
      <c r="B1063" s="42">
        <f>'設定'!$I$30</f>
        <v/>
      </c>
      <c r="C1063" s="60" t="n"/>
      <c r="D1063" s="60" t="n"/>
      <c r="E1063" s="60" t="n"/>
      <c r="F1063" s="60" t="n"/>
      <c r="G1063" s="60" t="n"/>
      <c r="H1063" s="60" t="n"/>
      <c r="I1063" s="60" t="n"/>
      <c r="J1063" s="60" t="n"/>
      <c r="K1063" s="60" t="n"/>
      <c r="L1063" s="60" t="n"/>
    </row>
    <row r="1064" ht="21" customHeight="1">
      <c r="A1064" s="59" t="n"/>
      <c r="B1064" s="42">
        <f>'設定'!$I$31</f>
        <v/>
      </c>
      <c r="C1064" s="60" t="n"/>
      <c r="D1064" s="60" t="n"/>
      <c r="E1064" s="60" t="n"/>
      <c r="F1064" s="60" t="n"/>
      <c r="G1064" s="60" t="n"/>
      <c r="H1064" s="60" t="n"/>
      <c r="I1064" s="60" t="n"/>
      <c r="J1064" s="60" t="n"/>
      <c r="K1064" s="60" t="n"/>
      <c r="L1064" s="60" t="n"/>
    </row>
    <row r="1065" ht="21" customHeight="1">
      <c r="A1065" s="59" t="n"/>
      <c r="B1065" s="42">
        <f>'設定'!$I$32</f>
        <v/>
      </c>
      <c r="C1065" s="60" t="n"/>
      <c r="D1065" s="60" t="n"/>
      <c r="E1065" s="60" t="n"/>
      <c r="F1065" s="60" t="n"/>
      <c r="G1065" s="60" t="n"/>
      <c r="H1065" s="60" t="n"/>
      <c r="I1065" s="60" t="n"/>
      <c r="J1065" s="60" t="n"/>
      <c r="K1065" s="60" t="n"/>
      <c r="L1065" s="60" t="n"/>
    </row>
    <row r="1066" ht="21" customHeight="1">
      <c r="A1066" s="59" t="n"/>
      <c r="B1066" s="42">
        <f>'設定'!$I$33</f>
        <v/>
      </c>
      <c r="C1066" s="60" t="n"/>
      <c r="D1066" s="60" t="n"/>
      <c r="E1066" s="60" t="n"/>
      <c r="F1066" s="60" t="n"/>
      <c r="G1066" s="60" t="n"/>
      <c r="H1066" s="60" t="n"/>
      <c r="I1066" s="60" t="n"/>
      <c r="J1066" s="60" t="n"/>
      <c r="K1066" s="60" t="n"/>
      <c r="L1066" s="60" t="n"/>
    </row>
    <row r="1067" ht="21" customHeight="1">
      <c r="A1067" s="59" t="n"/>
      <c r="B1067" s="42">
        <f>'設定'!$I$34</f>
        <v/>
      </c>
      <c r="C1067" s="60" t="n"/>
      <c r="D1067" s="60" t="n"/>
      <c r="E1067" s="60" t="n"/>
      <c r="F1067" s="60" t="n"/>
      <c r="G1067" s="60" t="n"/>
      <c r="H1067" s="60" t="n"/>
      <c r="I1067" s="60" t="n"/>
      <c r="J1067" s="60" t="n"/>
      <c r="K1067" s="60" t="n"/>
      <c r="L1067" s="60" t="n"/>
    </row>
    <row r="1068"/>
    <row r="1069" ht="26" customHeight="1">
      <c r="B1069" s="53">
        <f>IF('名簿'!B43="","（名簿 39行目：なし）",'名簿'!G43)</f>
        <v/>
      </c>
      <c r="C1069" s="4" t="n"/>
      <c r="D1069" s="4" t="n"/>
      <c r="E1069" s="54" t="inlineStr">
        <is>
          <t>提出状況 ▶</t>
        </is>
      </c>
      <c r="F1069" s="38" t="n"/>
      <c r="G1069" s="29" t="n"/>
      <c r="H1069" s="55" t="inlineStr">
        <is>
          <t>状況：</t>
        </is>
      </c>
      <c r="I1069" s="56">
        <f>'名簿'!H43</f>
        <v/>
      </c>
      <c r="J1069" s="55" t="inlineStr">
        <is>
          <t>×の数：</t>
        </is>
      </c>
      <c r="K1069" s="57">
        <f>'名簿'!I43</f>
        <v/>
      </c>
      <c r="L1069" s="58">
        <f>HYPERLINK("#'×入力'!B1097","次の人へ ▼")</f>
        <v/>
      </c>
    </row>
    <row r="1070" ht="22" customHeight="1">
      <c r="A1070" s="30" t="inlineStr">
        <is>
          <t>この日全部 ▶</t>
        </is>
      </c>
      <c r="C1070" s="59" t="n"/>
      <c r="D1070" s="59" t="n"/>
      <c r="E1070" s="59" t="n"/>
      <c r="F1070" s="59" t="n"/>
      <c r="G1070" s="59" t="n"/>
      <c r="H1070" s="59" t="n"/>
      <c r="I1070" s="59" t="n"/>
      <c r="J1070" s="59" t="n"/>
      <c r="K1070" s="59" t="n"/>
      <c r="L1070" s="59" t="n"/>
    </row>
    <row r="1071" ht="28" customHeight="1">
      <c r="A1071" s="33" t="inlineStr">
        <is>
          <t>この時間
全部 ▼</t>
        </is>
      </c>
      <c r="B1071" s="34" t="inlineStr"/>
      <c r="C1071" s="35">
        <f>'設定'!$E$11</f>
        <v/>
      </c>
      <c r="D1071" s="35">
        <f>'設定'!$E$12</f>
        <v/>
      </c>
      <c r="E1071" s="35">
        <f>'設定'!$E$13</f>
        <v/>
      </c>
      <c r="F1071" s="35">
        <f>'設定'!$E$14</f>
        <v/>
      </c>
      <c r="G1071" s="35">
        <f>'設定'!$E$15</f>
        <v/>
      </c>
      <c r="H1071" s="35">
        <f>'設定'!$E$16</f>
        <v/>
      </c>
      <c r="I1071" s="35">
        <f>'設定'!$E$17</f>
        <v/>
      </c>
      <c r="J1071" s="35">
        <f>'設定'!$E$18</f>
        <v/>
      </c>
      <c r="K1071" s="35">
        <f>'設定'!$E$19</f>
        <v/>
      </c>
      <c r="L1071" s="35">
        <f>'設定'!$E$20</f>
        <v/>
      </c>
    </row>
    <row r="1072" ht="21" customHeight="1">
      <c r="A1072" s="59" t="n"/>
      <c r="B1072" s="42">
        <f>'設定'!$I$11</f>
        <v/>
      </c>
      <c r="C1072" s="60" t="n"/>
      <c r="D1072" s="60" t="n"/>
      <c r="E1072" s="60" t="n"/>
      <c r="F1072" s="60" t="n"/>
      <c r="G1072" s="60" t="n"/>
      <c r="H1072" s="60" t="n"/>
      <c r="I1072" s="60" t="n"/>
      <c r="J1072" s="60" t="n"/>
      <c r="K1072" s="60" t="n"/>
      <c r="L1072" s="60" t="n"/>
    </row>
    <row r="1073" ht="21" customHeight="1">
      <c r="A1073" s="59" t="n"/>
      <c r="B1073" s="42">
        <f>'設定'!$I$12</f>
        <v/>
      </c>
      <c r="C1073" s="60" t="n"/>
      <c r="D1073" s="60" t="n"/>
      <c r="E1073" s="60" t="n"/>
      <c r="F1073" s="60" t="n"/>
      <c r="G1073" s="60" t="n"/>
      <c r="H1073" s="60" t="n"/>
      <c r="I1073" s="60" t="n"/>
      <c r="J1073" s="60" t="n"/>
      <c r="K1073" s="60" t="n"/>
      <c r="L1073" s="60" t="n"/>
    </row>
    <row r="1074" ht="21" customHeight="1">
      <c r="A1074" s="59" t="n"/>
      <c r="B1074" s="42">
        <f>'設定'!$I$13</f>
        <v/>
      </c>
      <c r="C1074" s="60" t="n"/>
      <c r="D1074" s="60" t="n"/>
      <c r="E1074" s="60" t="n"/>
      <c r="F1074" s="60" t="n"/>
      <c r="G1074" s="60" t="n"/>
      <c r="H1074" s="60" t="n"/>
      <c r="I1074" s="60" t="n"/>
      <c r="J1074" s="60" t="n"/>
      <c r="K1074" s="60" t="n"/>
      <c r="L1074" s="60" t="n"/>
    </row>
    <row r="1075" ht="21" customHeight="1">
      <c r="A1075" s="59" t="n"/>
      <c r="B1075" s="42">
        <f>'設定'!$I$14</f>
        <v/>
      </c>
      <c r="C1075" s="60" t="n"/>
      <c r="D1075" s="60" t="n"/>
      <c r="E1075" s="60" t="n"/>
      <c r="F1075" s="60" t="n"/>
      <c r="G1075" s="60" t="n"/>
      <c r="H1075" s="60" t="n"/>
      <c r="I1075" s="60" t="n"/>
      <c r="J1075" s="60" t="n"/>
      <c r="K1075" s="60" t="n"/>
      <c r="L1075" s="60" t="n"/>
    </row>
    <row r="1076" ht="21" customHeight="1">
      <c r="A1076" s="59" t="n"/>
      <c r="B1076" s="42">
        <f>'設定'!$I$15</f>
        <v/>
      </c>
      <c r="C1076" s="60" t="n"/>
      <c r="D1076" s="60" t="n"/>
      <c r="E1076" s="60" t="n"/>
      <c r="F1076" s="60" t="n"/>
      <c r="G1076" s="60" t="n"/>
      <c r="H1076" s="60" t="n"/>
      <c r="I1076" s="60" t="n"/>
      <c r="J1076" s="60" t="n"/>
      <c r="K1076" s="60" t="n"/>
      <c r="L1076" s="60" t="n"/>
    </row>
    <row r="1077" ht="21" customHeight="1">
      <c r="A1077" s="59" t="n"/>
      <c r="B1077" s="42">
        <f>'設定'!$I$16</f>
        <v/>
      </c>
      <c r="C1077" s="60" t="n"/>
      <c r="D1077" s="60" t="n"/>
      <c r="E1077" s="60" t="n"/>
      <c r="F1077" s="60" t="n"/>
      <c r="G1077" s="60" t="n"/>
      <c r="H1077" s="60" t="n"/>
      <c r="I1077" s="60" t="n"/>
      <c r="J1077" s="60" t="n"/>
      <c r="K1077" s="60" t="n"/>
      <c r="L1077" s="60" t="n"/>
    </row>
    <row r="1078" ht="21" customHeight="1">
      <c r="A1078" s="59" t="n"/>
      <c r="B1078" s="42">
        <f>'設定'!$I$17</f>
        <v/>
      </c>
      <c r="C1078" s="60" t="n"/>
      <c r="D1078" s="60" t="n"/>
      <c r="E1078" s="60" t="n"/>
      <c r="F1078" s="60" t="n"/>
      <c r="G1078" s="60" t="n"/>
      <c r="H1078" s="60" t="n"/>
      <c r="I1078" s="60" t="n"/>
      <c r="J1078" s="60" t="n"/>
      <c r="K1078" s="60" t="n"/>
      <c r="L1078" s="60" t="n"/>
    </row>
    <row r="1079" ht="21" customHeight="1">
      <c r="A1079" s="59" t="n"/>
      <c r="B1079" s="42">
        <f>'設定'!$I$18</f>
        <v/>
      </c>
      <c r="C1079" s="60" t="n"/>
      <c r="D1079" s="60" t="n"/>
      <c r="E1079" s="60" t="n"/>
      <c r="F1079" s="60" t="n"/>
      <c r="G1079" s="60" t="n"/>
      <c r="H1079" s="60" t="n"/>
      <c r="I1079" s="60" t="n"/>
      <c r="J1079" s="60" t="n"/>
      <c r="K1079" s="60" t="n"/>
      <c r="L1079" s="60" t="n"/>
    </row>
    <row r="1080" ht="21" customHeight="1">
      <c r="A1080" s="59" t="n"/>
      <c r="B1080" s="42">
        <f>'設定'!$I$19</f>
        <v/>
      </c>
      <c r="C1080" s="60" t="n"/>
      <c r="D1080" s="60" t="n"/>
      <c r="E1080" s="60" t="n"/>
      <c r="F1080" s="60" t="n"/>
      <c r="G1080" s="60" t="n"/>
      <c r="H1080" s="60" t="n"/>
      <c r="I1080" s="60" t="n"/>
      <c r="J1080" s="60" t="n"/>
      <c r="K1080" s="60" t="n"/>
      <c r="L1080" s="60" t="n"/>
    </row>
    <row r="1081" ht="21" customHeight="1">
      <c r="A1081" s="59" t="n"/>
      <c r="B1081" s="42">
        <f>'設定'!$I$20</f>
        <v/>
      </c>
      <c r="C1081" s="60" t="n"/>
      <c r="D1081" s="60" t="n"/>
      <c r="E1081" s="60" t="n"/>
      <c r="F1081" s="60" t="n"/>
      <c r="G1081" s="60" t="n"/>
      <c r="H1081" s="60" t="n"/>
      <c r="I1081" s="60" t="n"/>
      <c r="J1081" s="60" t="n"/>
      <c r="K1081" s="60" t="n"/>
      <c r="L1081" s="60" t="n"/>
    </row>
    <row r="1082" ht="21" customHeight="1">
      <c r="A1082" s="59" t="n"/>
      <c r="B1082" s="42">
        <f>'設定'!$I$21</f>
        <v/>
      </c>
      <c r="C1082" s="60" t="n"/>
      <c r="D1082" s="60" t="n"/>
      <c r="E1082" s="60" t="n"/>
      <c r="F1082" s="60" t="n"/>
      <c r="G1082" s="60" t="n"/>
      <c r="H1082" s="60" t="n"/>
      <c r="I1082" s="60" t="n"/>
      <c r="J1082" s="60" t="n"/>
      <c r="K1082" s="60" t="n"/>
      <c r="L1082" s="60" t="n"/>
    </row>
    <row r="1083" ht="21" customHeight="1">
      <c r="A1083" s="59" t="n"/>
      <c r="B1083" s="42">
        <f>'設定'!$I$22</f>
        <v/>
      </c>
      <c r="C1083" s="60" t="n"/>
      <c r="D1083" s="60" t="n"/>
      <c r="E1083" s="60" t="n"/>
      <c r="F1083" s="60" t="n"/>
      <c r="G1083" s="60" t="n"/>
      <c r="H1083" s="60" t="n"/>
      <c r="I1083" s="60" t="n"/>
      <c r="J1083" s="60" t="n"/>
      <c r="K1083" s="60" t="n"/>
      <c r="L1083" s="60" t="n"/>
    </row>
    <row r="1084" ht="21" customHeight="1">
      <c r="A1084" s="59" t="n"/>
      <c r="B1084" s="42">
        <f>'設定'!$I$23</f>
        <v/>
      </c>
      <c r="C1084" s="60" t="n"/>
      <c r="D1084" s="60" t="n"/>
      <c r="E1084" s="60" t="n"/>
      <c r="F1084" s="60" t="n"/>
      <c r="G1084" s="60" t="n"/>
      <c r="H1084" s="60" t="n"/>
      <c r="I1084" s="60" t="n"/>
      <c r="J1084" s="60" t="n"/>
      <c r="K1084" s="60" t="n"/>
      <c r="L1084" s="60" t="n"/>
    </row>
    <row r="1085" ht="21" customHeight="1">
      <c r="A1085" s="59" t="n"/>
      <c r="B1085" s="42">
        <f>'設定'!$I$24</f>
        <v/>
      </c>
      <c r="C1085" s="60" t="n"/>
      <c r="D1085" s="60" t="n"/>
      <c r="E1085" s="60" t="n"/>
      <c r="F1085" s="60" t="n"/>
      <c r="G1085" s="60" t="n"/>
      <c r="H1085" s="60" t="n"/>
      <c r="I1085" s="60" t="n"/>
      <c r="J1085" s="60" t="n"/>
      <c r="K1085" s="60" t="n"/>
      <c r="L1085" s="60" t="n"/>
    </row>
    <row r="1086" ht="21" customHeight="1">
      <c r="A1086" s="59" t="n"/>
      <c r="B1086" s="42">
        <f>'設定'!$I$25</f>
        <v/>
      </c>
      <c r="C1086" s="60" t="n"/>
      <c r="D1086" s="60" t="n"/>
      <c r="E1086" s="60" t="n"/>
      <c r="F1086" s="60" t="n"/>
      <c r="G1086" s="60" t="n"/>
      <c r="H1086" s="60" t="n"/>
      <c r="I1086" s="60" t="n"/>
      <c r="J1086" s="60" t="n"/>
      <c r="K1086" s="60" t="n"/>
      <c r="L1086" s="60" t="n"/>
    </row>
    <row r="1087" ht="21" customHeight="1">
      <c r="A1087" s="59" t="n"/>
      <c r="B1087" s="42">
        <f>'設定'!$I$26</f>
        <v/>
      </c>
      <c r="C1087" s="60" t="n"/>
      <c r="D1087" s="60" t="n"/>
      <c r="E1087" s="60" t="n"/>
      <c r="F1087" s="60" t="n"/>
      <c r="G1087" s="60" t="n"/>
      <c r="H1087" s="60" t="n"/>
      <c r="I1087" s="60" t="n"/>
      <c r="J1087" s="60" t="n"/>
      <c r="K1087" s="60" t="n"/>
      <c r="L1087" s="60" t="n"/>
    </row>
    <row r="1088" ht="21" customHeight="1">
      <c r="A1088" s="59" t="n"/>
      <c r="B1088" s="42">
        <f>'設定'!$I$27</f>
        <v/>
      </c>
      <c r="C1088" s="60" t="n"/>
      <c r="D1088" s="60" t="n"/>
      <c r="E1088" s="60" t="n"/>
      <c r="F1088" s="60" t="n"/>
      <c r="G1088" s="60" t="n"/>
      <c r="H1088" s="60" t="n"/>
      <c r="I1088" s="60" t="n"/>
      <c r="J1088" s="60" t="n"/>
      <c r="K1088" s="60" t="n"/>
      <c r="L1088" s="60" t="n"/>
    </row>
    <row r="1089" ht="21" customHeight="1">
      <c r="A1089" s="59" t="n"/>
      <c r="B1089" s="42">
        <f>'設定'!$I$28</f>
        <v/>
      </c>
      <c r="C1089" s="60" t="n"/>
      <c r="D1089" s="60" t="n"/>
      <c r="E1089" s="60" t="n"/>
      <c r="F1089" s="60" t="n"/>
      <c r="G1089" s="60" t="n"/>
      <c r="H1089" s="60" t="n"/>
      <c r="I1089" s="60" t="n"/>
      <c r="J1089" s="60" t="n"/>
      <c r="K1089" s="60" t="n"/>
      <c r="L1089" s="60" t="n"/>
    </row>
    <row r="1090" ht="21" customHeight="1">
      <c r="A1090" s="59" t="n"/>
      <c r="B1090" s="42">
        <f>'設定'!$I$29</f>
        <v/>
      </c>
      <c r="C1090" s="60" t="n"/>
      <c r="D1090" s="60" t="n"/>
      <c r="E1090" s="60" t="n"/>
      <c r="F1090" s="60" t="n"/>
      <c r="G1090" s="60" t="n"/>
      <c r="H1090" s="60" t="n"/>
      <c r="I1090" s="60" t="n"/>
      <c r="J1090" s="60" t="n"/>
      <c r="K1090" s="60" t="n"/>
      <c r="L1090" s="60" t="n"/>
    </row>
    <row r="1091" ht="21" customHeight="1">
      <c r="A1091" s="59" t="n"/>
      <c r="B1091" s="42">
        <f>'設定'!$I$30</f>
        <v/>
      </c>
      <c r="C1091" s="60" t="n"/>
      <c r="D1091" s="60" t="n"/>
      <c r="E1091" s="60" t="n"/>
      <c r="F1091" s="60" t="n"/>
      <c r="G1091" s="60" t="n"/>
      <c r="H1091" s="60" t="n"/>
      <c r="I1091" s="60" t="n"/>
      <c r="J1091" s="60" t="n"/>
      <c r="K1091" s="60" t="n"/>
      <c r="L1091" s="60" t="n"/>
    </row>
    <row r="1092" ht="21" customHeight="1">
      <c r="A1092" s="59" t="n"/>
      <c r="B1092" s="42">
        <f>'設定'!$I$31</f>
        <v/>
      </c>
      <c r="C1092" s="60" t="n"/>
      <c r="D1092" s="60" t="n"/>
      <c r="E1092" s="60" t="n"/>
      <c r="F1092" s="60" t="n"/>
      <c r="G1092" s="60" t="n"/>
      <c r="H1092" s="60" t="n"/>
      <c r="I1092" s="60" t="n"/>
      <c r="J1092" s="60" t="n"/>
      <c r="K1092" s="60" t="n"/>
      <c r="L1092" s="60" t="n"/>
    </row>
    <row r="1093" ht="21" customHeight="1">
      <c r="A1093" s="59" t="n"/>
      <c r="B1093" s="42">
        <f>'設定'!$I$32</f>
        <v/>
      </c>
      <c r="C1093" s="60" t="n"/>
      <c r="D1093" s="60" t="n"/>
      <c r="E1093" s="60" t="n"/>
      <c r="F1093" s="60" t="n"/>
      <c r="G1093" s="60" t="n"/>
      <c r="H1093" s="60" t="n"/>
      <c r="I1093" s="60" t="n"/>
      <c r="J1093" s="60" t="n"/>
      <c r="K1093" s="60" t="n"/>
      <c r="L1093" s="60" t="n"/>
    </row>
    <row r="1094" ht="21" customHeight="1">
      <c r="A1094" s="59" t="n"/>
      <c r="B1094" s="42">
        <f>'設定'!$I$33</f>
        <v/>
      </c>
      <c r="C1094" s="60" t="n"/>
      <c r="D1094" s="60" t="n"/>
      <c r="E1094" s="60" t="n"/>
      <c r="F1094" s="60" t="n"/>
      <c r="G1094" s="60" t="n"/>
      <c r="H1094" s="60" t="n"/>
      <c r="I1094" s="60" t="n"/>
      <c r="J1094" s="60" t="n"/>
      <c r="K1094" s="60" t="n"/>
      <c r="L1094" s="60" t="n"/>
    </row>
    <row r="1095" ht="21" customHeight="1">
      <c r="A1095" s="59" t="n"/>
      <c r="B1095" s="42">
        <f>'設定'!$I$34</f>
        <v/>
      </c>
      <c r="C1095" s="60" t="n"/>
      <c r="D1095" s="60" t="n"/>
      <c r="E1095" s="60" t="n"/>
      <c r="F1095" s="60" t="n"/>
      <c r="G1095" s="60" t="n"/>
      <c r="H1095" s="60" t="n"/>
      <c r="I1095" s="60" t="n"/>
      <c r="J1095" s="60" t="n"/>
      <c r="K1095" s="60" t="n"/>
      <c r="L1095" s="60" t="n"/>
    </row>
    <row r="1096"/>
    <row r="1097" ht="26" customHeight="1">
      <c r="B1097" s="53">
        <f>IF('名簿'!B44="","（名簿 40行目：なし）",'名簿'!G44)</f>
        <v/>
      </c>
      <c r="C1097" s="4" t="n"/>
      <c r="D1097" s="4" t="n"/>
      <c r="E1097" s="54" t="inlineStr">
        <is>
          <t>提出状況 ▶</t>
        </is>
      </c>
      <c r="F1097" s="38" t="n"/>
      <c r="G1097" s="29" t="n"/>
      <c r="H1097" s="55" t="inlineStr">
        <is>
          <t>状況：</t>
        </is>
      </c>
      <c r="I1097" s="56">
        <f>'名簿'!H44</f>
        <v/>
      </c>
      <c r="J1097" s="55" t="inlineStr">
        <is>
          <t>×の数：</t>
        </is>
      </c>
      <c r="K1097" s="57">
        <f>'名簿'!I44</f>
        <v/>
      </c>
      <c r="L1097" s="58">
        <f>HYPERLINK("#'×入力'!B1125","次の人へ ▼")</f>
        <v/>
      </c>
    </row>
    <row r="1098" ht="22" customHeight="1">
      <c r="A1098" s="30" t="inlineStr">
        <is>
          <t>この日全部 ▶</t>
        </is>
      </c>
      <c r="C1098" s="59" t="n"/>
      <c r="D1098" s="59" t="n"/>
      <c r="E1098" s="59" t="n"/>
      <c r="F1098" s="59" t="n"/>
      <c r="G1098" s="59" t="n"/>
      <c r="H1098" s="59" t="n"/>
      <c r="I1098" s="59" t="n"/>
      <c r="J1098" s="59" t="n"/>
      <c r="K1098" s="59" t="n"/>
      <c r="L1098" s="59" t="n"/>
    </row>
    <row r="1099" ht="28" customHeight="1">
      <c r="A1099" s="33" t="inlineStr">
        <is>
          <t>この時間
全部 ▼</t>
        </is>
      </c>
      <c r="B1099" s="34" t="inlineStr"/>
      <c r="C1099" s="35">
        <f>'設定'!$E$11</f>
        <v/>
      </c>
      <c r="D1099" s="35">
        <f>'設定'!$E$12</f>
        <v/>
      </c>
      <c r="E1099" s="35">
        <f>'設定'!$E$13</f>
        <v/>
      </c>
      <c r="F1099" s="35">
        <f>'設定'!$E$14</f>
        <v/>
      </c>
      <c r="G1099" s="35">
        <f>'設定'!$E$15</f>
        <v/>
      </c>
      <c r="H1099" s="35">
        <f>'設定'!$E$16</f>
        <v/>
      </c>
      <c r="I1099" s="35">
        <f>'設定'!$E$17</f>
        <v/>
      </c>
      <c r="J1099" s="35">
        <f>'設定'!$E$18</f>
        <v/>
      </c>
      <c r="K1099" s="35">
        <f>'設定'!$E$19</f>
        <v/>
      </c>
      <c r="L1099" s="35">
        <f>'設定'!$E$20</f>
        <v/>
      </c>
    </row>
    <row r="1100" ht="21" customHeight="1">
      <c r="A1100" s="59" t="n"/>
      <c r="B1100" s="42">
        <f>'設定'!$I$11</f>
        <v/>
      </c>
      <c r="C1100" s="60" t="n"/>
      <c r="D1100" s="60" t="n"/>
      <c r="E1100" s="60" t="n"/>
      <c r="F1100" s="60" t="n"/>
      <c r="G1100" s="60" t="n"/>
      <c r="H1100" s="60" t="n"/>
      <c r="I1100" s="60" t="n"/>
      <c r="J1100" s="60" t="n"/>
      <c r="K1100" s="60" t="n"/>
      <c r="L1100" s="60" t="n"/>
    </row>
    <row r="1101" ht="21" customHeight="1">
      <c r="A1101" s="59" t="n"/>
      <c r="B1101" s="42">
        <f>'設定'!$I$12</f>
        <v/>
      </c>
      <c r="C1101" s="60" t="n"/>
      <c r="D1101" s="60" t="n"/>
      <c r="E1101" s="60" t="n"/>
      <c r="F1101" s="60" t="n"/>
      <c r="G1101" s="60" t="n"/>
      <c r="H1101" s="60" t="n"/>
      <c r="I1101" s="60" t="n"/>
      <c r="J1101" s="60" t="n"/>
      <c r="K1101" s="60" t="n"/>
      <c r="L1101" s="60" t="n"/>
    </row>
    <row r="1102" ht="21" customHeight="1">
      <c r="A1102" s="59" t="n"/>
      <c r="B1102" s="42">
        <f>'設定'!$I$13</f>
        <v/>
      </c>
      <c r="C1102" s="60" t="n"/>
      <c r="D1102" s="60" t="n"/>
      <c r="E1102" s="60" t="n"/>
      <c r="F1102" s="60" t="n"/>
      <c r="G1102" s="60" t="n"/>
      <c r="H1102" s="60" t="n"/>
      <c r="I1102" s="60" t="n"/>
      <c r="J1102" s="60" t="n"/>
      <c r="K1102" s="60" t="n"/>
      <c r="L1102" s="60" t="n"/>
    </row>
    <row r="1103" ht="21" customHeight="1">
      <c r="A1103" s="59" t="n"/>
      <c r="B1103" s="42">
        <f>'設定'!$I$14</f>
        <v/>
      </c>
      <c r="C1103" s="60" t="n"/>
      <c r="D1103" s="60" t="n"/>
      <c r="E1103" s="60" t="n"/>
      <c r="F1103" s="60" t="n"/>
      <c r="G1103" s="60" t="n"/>
      <c r="H1103" s="60" t="n"/>
      <c r="I1103" s="60" t="n"/>
      <c r="J1103" s="60" t="n"/>
      <c r="K1103" s="60" t="n"/>
      <c r="L1103" s="60" t="n"/>
    </row>
    <row r="1104" ht="21" customHeight="1">
      <c r="A1104" s="59" t="n"/>
      <c r="B1104" s="42">
        <f>'設定'!$I$15</f>
        <v/>
      </c>
      <c r="C1104" s="60" t="n"/>
      <c r="D1104" s="60" t="n"/>
      <c r="E1104" s="60" t="n"/>
      <c r="F1104" s="60" t="n"/>
      <c r="G1104" s="60" t="n"/>
      <c r="H1104" s="60" t="n"/>
      <c r="I1104" s="60" t="n"/>
      <c r="J1104" s="60" t="n"/>
      <c r="K1104" s="60" t="n"/>
      <c r="L1104" s="60" t="n"/>
    </row>
    <row r="1105" ht="21" customHeight="1">
      <c r="A1105" s="59" t="n"/>
      <c r="B1105" s="42">
        <f>'設定'!$I$16</f>
        <v/>
      </c>
      <c r="C1105" s="60" t="n"/>
      <c r="D1105" s="60" t="n"/>
      <c r="E1105" s="60" t="n"/>
      <c r="F1105" s="60" t="n"/>
      <c r="G1105" s="60" t="n"/>
      <c r="H1105" s="60" t="n"/>
      <c r="I1105" s="60" t="n"/>
      <c r="J1105" s="60" t="n"/>
      <c r="K1105" s="60" t="n"/>
      <c r="L1105" s="60" t="n"/>
    </row>
    <row r="1106" ht="21" customHeight="1">
      <c r="A1106" s="59" t="n"/>
      <c r="B1106" s="42">
        <f>'設定'!$I$17</f>
        <v/>
      </c>
      <c r="C1106" s="60" t="n"/>
      <c r="D1106" s="60" t="n"/>
      <c r="E1106" s="60" t="n"/>
      <c r="F1106" s="60" t="n"/>
      <c r="G1106" s="60" t="n"/>
      <c r="H1106" s="60" t="n"/>
      <c r="I1106" s="60" t="n"/>
      <c r="J1106" s="60" t="n"/>
      <c r="K1106" s="60" t="n"/>
      <c r="L1106" s="60" t="n"/>
    </row>
    <row r="1107" ht="21" customHeight="1">
      <c r="A1107" s="59" t="n"/>
      <c r="B1107" s="42">
        <f>'設定'!$I$18</f>
        <v/>
      </c>
      <c r="C1107" s="60" t="n"/>
      <c r="D1107" s="60" t="n"/>
      <c r="E1107" s="60" t="n"/>
      <c r="F1107" s="60" t="n"/>
      <c r="G1107" s="60" t="n"/>
      <c r="H1107" s="60" t="n"/>
      <c r="I1107" s="60" t="n"/>
      <c r="J1107" s="60" t="n"/>
      <c r="K1107" s="60" t="n"/>
      <c r="L1107" s="60" t="n"/>
    </row>
    <row r="1108" ht="21" customHeight="1">
      <c r="A1108" s="59" t="n"/>
      <c r="B1108" s="42">
        <f>'設定'!$I$19</f>
        <v/>
      </c>
      <c r="C1108" s="60" t="n"/>
      <c r="D1108" s="60" t="n"/>
      <c r="E1108" s="60" t="n"/>
      <c r="F1108" s="60" t="n"/>
      <c r="G1108" s="60" t="n"/>
      <c r="H1108" s="60" t="n"/>
      <c r="I1108" s="60" t="n"/>
      <c r="J1108" s="60" t="n"/>
      <c r="K1108" s="60" t="n"/>
      <c r="L1108" s="60" t="n"/>
    </row>
    <row r="1109" ht="21" customHeight="1">
      <c r="A1109" s="59" t="n"/>
      <c r="B1109" s="42">
        <f>'設定'!$I$20</f>
        <v/>
      </c>
      <c r="C1109" s="60" t="n"/>
      <c r="D1109" s="60" t="n"/>
      <c r="E1109" s="60" t="n"/>
      <c r="F1109" s="60" t="n"/>
      <c r="G1109" s="60" t="n"/>
      <c r="H1109" s="60" t="n"/>
      <c r="I1109" s="60" t="n"/>
      <c r="J1109" s="60" t="n"/>
      <c r="K1109" s="60" t="n"/>
      <c r="L1109" s="60" t="n"/>
    </row>
    <row r="1110" ht="21" customHeight="1">
      <c r="A1110" s="59" t="n"/>
      <c r="B1110" s="42">
        <f>'設定'!$I$21</f>
        <v/>
      </c>
      <c r="C1110" s="60" t="n"/>
      <c r="D1110" s="60" t="n"/>
      <c r="E1110" s="60" t="n"/>
      <c r="F1110" s="60" t="n"/>
      <c r="G1110" s="60" t="n"/>
      <c r="H1110" s="60" t="n"/>
      <c r="I1110" s="60" t="n"/>
      <c r="J1110" s="60" t="n"/>
      <c r="K1110" s="60" t="n"/>
      <c r="L1110" s="60" t="n"/>
    </row>
    <row r="1111" ht="21" customHeight="1">
      <c r="A1111" s="59" t="n"/>
      <c r="B1111" s="42">
        <f>'設定'!$I$22</f>
        <v/>
      </c>
      <c r="C1111" s="60" t="n"/>
      <c r="D1111" s="60" t="n"/>
      <c r="E1111" s="60" t="n"/>
      <c r="F1111" s="60" t="n"/>
      <c r="G1111" s="60" t="n"/>
      <c r="H1111" s="60" t="n"/>
      <c r="I1111" s="60" t="n"/>
      <c r="J1111" s="60" t="n"/>
      <c r="K1111" s="60" t="n"/>
      <c r="L1111" s="60" t="n"/>
    </row>
    <row r="1112" ht="21" customHeight="1">
      <c r="A1112" s="59" t="n"/>
      <c r="B1112" s="42">
        <f>'設定'!$I$23</f>
        <v/>
      </c>
      <c r="C1112" s="60" t="n"/>
      <c r="D1112" s="60" t="n"/>
      <c r="E1112" s="60" t="n"/>
      <c r="F1112" s="60" t="n"/>
      <c r="G1112" s="60" t="n"/>
      <c r="H1112" s="60" t="n"/>
      <c r="I1112" s="60" t="n"/>
      <c r="J1112" s="60" t="n"/>
      <c r="K1112" s="60" t="n"/>
      <c r="L1112" s="60" t="n"/>
    </row>
    <row r="1113" ht="21" customHeight="1">
      <c r="A1113" s="59" t="n"/>
      <c r="B1113" s="42">
        <f>'設定'!$I$24</f>
        <v/>
      </c>
      <c r="C1113" s="60" t="n"/>
      <c r="D1113" s="60" t="n"/>
      <c r="E1113" s="60" t="n"/>
      <c r="F1113" s="60" t="n"/>
      <c r="G1113" s="60" t="n"/>
      <c r="H1113" s="60" t="n"/>
      <c r="I1113" s="60" t="n"/>
      <c r="J1113" s="60" t="n"/>
      <c r="K1113" s="60" t="n"/>
      <c r="L1113" s="60" t="n"/>
    </row>
    <row r="1114" ht="21" customHeight="1">
      <c r="A1114" s="59" t="n"/>
      <c r="B1114" s="42">
        <f>'設定'!$I$25</f>
        <v/>
      </c>
      <c r="C1114" s="60" t="n"/>
      <c r="D1114" s="60" t="n"/>
      <c r="E1114" s="60" t="n"/>
      <c r="F1114" s="60" t="n"/>
      <c r="G1114" s="60" t="n"/>
      <c r="H1114" s="60" t="n"/>
      <c r="I1114" s="60" t="n"/>
      <c r="J1114" s="60" t="n"/>
      <c r="K1114" s="60" t="n"/>
      <c r="L1114" s="60" t="n"/>
    </row>
    <row r="1115" ht="21" customHeight="1">
      <c r="A1115" s="59" t="n"/>
      <c r="B1115" s="42">
        <f>'設定'!$I$26</f>
        <v/>
      </c>
      <c r="C1115" s="60" t="n"/>
      <c r="D1115" s="60" t="n"/>
      <c r="E1115" s="60" t="n"/>
      <c r="F1115" s="60" t="n"/>
      <c r="G1115" s="60" t="n"/>
      <c r="H1115" s="60" t="n"/>
      <c r="I1115" s="60" t="n"/>
      <c r="J1115" s="60" t="n"/>
      <c r="K1115" s="60" t="n"/>
      <c r="L1115" s="60" t="n"/>
    </row>
    <row r="1116" ht="21" customHeight="1">
      <c r="A1116" s="59" t="n"/>
      <c r="B1116" s="42">
        <f>'設定'!$I$27</f>
        <v/>
      </c>
      <c r="C1116" s="60" t="n"/>
      <c r="D1116" s="60" t="n"/>
      <c r="E1116" s="60" t="n"/>
      <c r="F1116" s="60" t="n"/>
      <c r="G1116" s="60" t="n"/>
      <c r="H1116" s="60" t="n"/>
      <c r="I1116" s="60" t="n"/>
      <c r="J1116" s="60" t="n"/>
      <c r="K1116" s="60" t="n"/>
      <c r="L1116" s="60" t="n"/>
    </row>
    <row r="1117" ht="21" customHeight="1">
      <c r="A1117" s="59" t="n"/>
      <c r="B1117" s="42">
        <f>'設定'!$I$28</f>
        <v/>
      </c>
      <c r="C1117" s="60" t="n"/>
      <c r="D1117" s="60" t="n"/>
      <c r="E1117" s="60" t="n"/>
      <c r="F1117" s="60" t="n"/>
      <c r="G1117" s="60" t="n"/>
      <c r="H1117" s="60" t="n"/>
      <c r="I1117" s="60" t="n"/>
      <c r="J1117" s="60" t="n"/>
      <c r="K1117" s="60" t="n"/>
      <c r="L1117" s="60" t="n"/>
    </row>
    <row r="1118" ht="21" customHeight="1">
      <c r="A1118" s="59" t="n"/>
      <c r="B1118" s="42">
        <f>'設定'!$I$29</f>
        <v/>
      </c>
      <c r="C1118" s="60" t="n"/>
      <c r="D1118" s="60" t="n"/>
      <c r="E1118" s="60" t="n"/>
      <c r="F1118" s="60" t="n"/>
      <c r="G1118" s="60" t="n"/>
      <c r="H1118" s="60" t="n"/>
      <c r="I1118" s="60" t="n"/>
      <c r="J1118" s="60" t="n"/>
      <c r="K1118" s="60" t="n"/>
      <c r="L1118" s="60" t="n"/>
    </row>
    <row r="1119" ht="21" customHeight="1">
      <c r="A1119" s="59" t="n"/>
      <c r="B1119" s="42">
        <f>'設定'!$I$30</f>
        <v/>
      </c>
      <c r="C1119" s="60" t="n"/>
      <c r="D1119" s="60" t="n"/>
      <c r="E1119" s="60" t="n"/>
      <c r="F1119" s="60" t="n"/>
      <c r="G1119" s="60" t="n"/>
      <c r="H1119" s="60" t="n"/>
      <c r="I1119" s="60" t="n"/>
      <c r="J1119" s="60" t="n"/>
      <c r="K1119" s="60" t="n"/>
      <c r="L1119" s="60" t="n"/>
    </row>
    <row r="1120" ht="21" customHeight="1">
      <c r="A1120" s="59" t="n"/>
      <c r="B1120" s="42">
        <f>'設定'!$I$31</f>
        <v/>
      </c>
      <c r="C1120" s="60" t="n"/>
      <c r="D1120" s="60" t="n"/>
      <c r="E1120" s="60" t="n"/>
      <c r="F1120" s="60" t="n"/>
      <c r="G1120" s="60" t="n"/>
      <c r="H1120" s="60" t="n"/>
      <c r="I1120" s="60" t="n"/>
      <c r="J1120" s="60" t="n"/>
      <c r="K1120" s="60" t="n"/>
      <c r="L1120" s="60" t="n"/>
    </row>
    <row r="1121" ht="21" customHeight="1">
      <c r="A1121" s="59" t="n"/>
      <c r="B1121" s="42">
        <f>'設定'!$I$32</f>
        <v/>
      </c>
      <c r="C1121" s="60" t="n"/>
      <c r="D1121" s="60" t="n"/>
      <c r="E1121" s="60" t="n"/>
      <c r="F1121" s="60" t="n"/>
      <c r="G1121" s="60" t="n"/>
      <c r="H1121" s="60" t="n"/>
      <c r="I1121" s="60" t="n"/>
      <c r="J1121" s="60" t="n"/>
      <c r="K1121" s="60" t="n"/>
      <c r="L1121" s="60" t="n"/>
    </row>
    <row r="1122" ht="21" customHeight="1">
      <c r="A1122" s="59" t="n"/>
      <c r="B1122" s="42">
        <f>'設定'!$I$33</f>
        <v/>
      </c>
      <c r="C1122" s="60" t="n"/>
      <c r="D1122" s="60" t="n"/>
      <c r="E1122" s="60" t="n"/>
      <c r="F1122" s="60" t="n"/>
      <c r="G1122" s="60" t="n"/>
      <c r="H1122" s="60" t="n"/>
      <c r="I1122" s="60" t="n"/>
      <c r="J1122" s="60" t="n"/>
      <c r="K1122" s="60" t="n"/>
      <c r="L1122" s="60" t="n"/>
    </row>
    <row r="1123" ht="21" customHeight="1">
      <c r="A1123" s="59" t="n"/>
      <c r="B1123" s="42">
        <f>'設定'!$I$34</f>
        <v/>
      </c>
      <c r="C1123" s="60" t="n"/>
      <c r="D1123" s="60" t="n"/>
      <c r="E1123" s="60" t="n"/>
      <c r="F1123" s="60" t="n"/>
      <c r="G1123" s="60" t="n"/>
      <c r="H1123" s="60" t="n"/>
      <c r="I1123" s="60" t="n"/>
      <c r="J1123" s="60" t="n"/>
      <c r="K1123" s="60" t="n"/>
      <c r="L1123" s="60" t="n"/>
    </row>
    <row r="1124"/>
    <row r="1125" ht="26" customHeight="1">
      <c r="B1125" s="53">
        <f>IF('名簿'!B45="","（名簿 41行目：なし）",'名簿'!G45)</f>
        <v/>
      </c>
      <c r="C1125" s="4" t="n"/>
      <c r="D1125" s="4" t="n"/>
      <c r="E1125" s="54" t="inlineStr">
        <is>
          <t>提出状況 ▶</t>
        </is>
      </c>
      <c r="F1125" s="38" t="n"/>
      <c r="G1125" s="29" t="n"/>
      <c r="H1125" s="55" t="inlineStr">
        <is>
          <t>状況：</t>
        </is>
      </c>
      <c r="I1125" s="56">
        <f>'名簿'!H45</f>
        <v/>
      </c>
      <c r="J1125" s="55" t="inlineStr">
        <is>
          <t>×の数：</t>
        </is>
      </c>
      <c r="K1125" s="57">
        <f>'名簿'!I45</f>
        <v/>
      </c>
      <c r="L1125" s="58">
        <f>HYPERLINK("#'×入力'!B1153","次の人へ ▼")</f>
        <v/>
      </c>
    </row>
    <row r="1126" ht="22" customHeight="1">
      <c r="A1126" s="30" t="inlineStr">
        <is>
          <t>この日全部 ▶</t>
        </is>
      </c>
      <c r="C1126" s="59" t="n"/>
      <c r="D1126" s="59" t="n"/>
      <c r="E1126" s="59" t="n"/>
      <c r="F1126" s="59" t="n"/>
      <c r="G1126" s="59" t="n"/>
      <c r="H1126" s="59" t="n"/>
      <c r="I1126" s="59" t="n"/>
      <c r="J1126" s="59" t="n"/>
      <c r="K1126" s="59" t="n"/>
      <c r="L1126" s="59" t="n"/>
    </row>
    <row r="1127" ht="28" customHeight="1">
      <c r="A1127" s="33" t="inlineStr">
        <is>
          <t>この時間
全部 ▼</t>
        </is>
      </c>
      <c r="B1127" s="34" t="inlineStr"/>
      <c r="C1127" s="35">
        <f>'設定'!$E$11</f>
        <v/>
      </c>
      <c r="D1127" s="35">
        <f>'設定'!$E$12</f>
        <v/>
      </c>
      <c r="E1127" s="35">
        <f>'設定'!$E$13</f>
        <v/>
      </c>
      <c r="F1127" s="35">
        <f>'設定'!$E$14</f>
        <v/>
      </c>
      <c r="G1127" s="35">
        <f>'設定'!$E$15</f>
        <v/>
      </c>
      <c r="H1127" s="35">
        <f>'設定'!$E$16</f>
        <v/>
      </c>
      <c r="I1127" s="35">
        <f>'設定'!$E$17</f>
        <v/>
      </c>
      <c r="J1127" s="35">
        <f>'設定'!$E$18</f>
        <v/>
      </c>
      <c r="K1127" s="35">
        <f>'設定'!$E$19</f>
        <v/>
      </c>
      <c r="L1127" s="35">
        <f>'設定'!$E$20</f>
        <v/>
      </c>
    </row>
    <row r="1128" ht="21" customHeight="1">
      <c r="A1128" s="59" t="n"/>
      <c r="B1128" s="42">
        <f>'設定'!$I$11</f>
        <v/>
      </c>
      <c r="C1128" s="60" t="n"/>
      <c r="D1128" s="60" t="n"/>
      <c r="E1128" s="60" t="n"/>
      <c r="F1128" s="60" t="n"/>
      <c r="G1128" s="60" t="n"/>
      <c r="H1128" s="60" t="n"/>
      <c r="I1128" s="60" t="n"/>
      <c r="J1128" s="60" t="n"/>
      <c r="K1128" s="60" t="n"/>
      <c r="L1128" s="60" t="n"/>
    </row>
    <row r="1129" ht="21" customHeight="1">
      <c r="A1129" s="59" t="n"/>
      <c r="B1129" s="42">
        <f>'設定'!$I$12</f>
        <v/>
      </c>
      <c r="C1129" s="60" t="n"/>
      <c r="D1129" s="60" t="n"/>
      <c r="E1129" s="60" t="n"/>
      <c r="F1129" s="60" t="n"/>
      <c r="G1129" s="60" t="n"/>
      <c r="H1129" s="60" t="n"/>
      <c r="I1129" s="60" t="n"/>
      <c r="J1129" s="60" t="n"/>
      <c r="K1129" s="60" t="n"/>
      <c r="L1129" s="60" t="n"/>
    </row>
    <row r="1130" ht="21" customHeight="1">
      <c r="A1130" s="59" t="n"/>
      <c r="B1130" s="42">
        <f>'設定'!$I$13</f>
        <v/>
      </c>
      <c r="C1130" s="60" t="n"/>
      <c r="D1130" s="60" t="n"/>
      <c r="E1130" s="60" t="n"/>
      <c r="F1130" s="60" t="n"/>
      <c r="G1130" s="60" t="n"/>
      <c r="H1130" s="60" t="n"/>
      <c r="I1130" s="60" t="n"/>
      <c r="J1130" s="60" t="n"/>
      <c r="K1130" s="60" t="n"/>
      <c r="L1130" s="60" t="n"/>
    </row>
    <row r="1131" ht="21" customHeight="1">
      <c r="A1131" s="59" t="n"/>
      <c r="B1131" s="42">
        <f>'設定'!$I$14</f>
        <v/>
      </c>
      <c r="C1131" s="60" t="n"/>
      <c r="D1131" s="60" t="n"/>
      <c r="E1131" s="60" t="n"/>
      <c r="F1131" s="60" t="n"/>
      <c r="G1131" s="60" t="n"/>
      <c r="H1131" s="60" t="n"/>
      <c r="I1131" s="60" t="n"/>
      <c r="J1131" s="60" t="n"/>
      <c r="K1131" s="60" t="n"/>
      <c r="L1131" s="60" t="n"/>
    </row>
    <row r="1132" ht="21" customHeight="1">
      <c r="A1132" s="59" t="n"/>
      <c r="B1132" s="42">
        <f>'設定'!$I$15</f>
        <v/>
      </c>
      <c r="C1132" s="60" t="n"/>
      <c r="D1132" s="60" t="n"/>
      <c r="E1132" s="60" t="n"/>
      <c r="F1132" s="60" t="n"/>
      <c r="G1132" s="60" t="n"/>
      <c r="H1132" s="60" t="n"/>
      <c r="I1132" s="60" t="n"/>
      <c r="J1132" s="60" t="n"/>
      <c r="K1132" s="60" t="n"/>
      <c r="L1132" s="60" t="n"/>
    </row>
    <row r="1133" ht="21" customHeight="1">
      <c r="A1133" s="59" t="n"/>
      <c r="B1133" s="42">
        <f>'設定'!$I$16</f>
        <v/>
      </c>
      <c r="C1133" s="60" t="n"/>
      <c r="D1133" s="60" t="n"/>
      <c r="E1133" s="60" t="n"/>
      <c r="F1133" s="60" t="n"/>
      <c r="G1133" s="60" t="n"/>
      <c r="H1133" s="60" t="n"/>
      <c r="I1133" s="60" t="n"/>
      <c r="J1133" s="60" t="n"/>
      <c r="K1133" s="60" t="n"/>
      <c r="L1133" s="60" t="n"/>
    </row>
    <row r="1134" ht="21" customHeight="1">
      <c r="A1134" s="59" t="n"/>
      <c r="B1134" s="42">
        <f>'設定'!$I$17</f>
        <v/>
      </c>
      <c r="C1134" s="60" t="n"/>
      <c r="D1134" s="60" t="n"/>
      <c r="E1134" s="60" t="n"/>
      <c r="F1134" s="60" t="n"/>
      <c r="G1134" s="60" t="n"/>
      <c r="H1134" s="60" t="n"/>
      <c r="I1134" s="60" t="n"/>
      <c r="J1134" s="60" t="n"/>
      <c r="K1134" s="60" t="n"/>
      <c r="L1134" s="60" t="n"/>
    </row>
    <row r="1135" ht="21" customHeight="1">
      <c r="A1135" s="59" t="n"/>
      <c r="B1135" s="42">
        <f>'設定'!$I$18</f>
        <v/>
      </c>
      <c r="C1135" s="60" t="n"/>
      <c r="D1135" s="60" t="n"/>
      <c r="E1135" s="60" t="n"/>
      <c r="F1135" s="60" t="n"/>
      <c r="G1135" s="60" t="n"/>
      <c r="H1135" s="60" t="n"/>
      <c r="I1135" s="60" t="n"/>
      <c r="J1135" s="60" t="n"/>
      <c r="K1135" s="60" t="n"/>
      <c r="L1135" s="60" t="n"/>
    </row>
    <row r="1136" ht="21" customHeight="1">
      <c r="A1136" s="59" t="n"/>
      <c r="B1136" s="42">
        <f>'設定'!$I$19</f>
        <v/>
      </c>
      <c r="C1136" s="60" t="n"/>
      <c r="D1136" s="60" t="n"/>
      <c r="E1136" s="60" t="n"/>
      <c r="F1136" s="60" t="n"/>
      <c r="G1136" s="60" t="n"/>
      <c r="H1136" s="60" t="n"/>
      <c r="I1136" s="60" t="n"/>
      <c r="J1136" s="60" t="n"/>
      <c r="K1136" s="60" t="n"/>
      <c r="L1136" s="60" t="n"/>
    </row>
    <row r="1137" ht="21" customHeight="1">
      <c r="A1137" s="59" t="n"/>
      <c r="B1137" s="42">
        <f>'設定'!$I$20</f>
        <v/>
      </c>
      <c r="C1137" s="60" t="n"/>
      <c r="D1137" s="60" t="n"/>
      <c r="E1137" s="60" t="n"/>
      <c r="F1137" s="60" t="n"/>
      <c r="G1137" s="60" t="n"/>
      <c r="H1137" s="60" t="n"/>
      <c r="I1137" s="60" t="n"/>
      <c r="J1137" s="60" t="n"/>
      <c r="K1137" s="60" t="n"/>
      <c r="L1137" s="60" t="n"/>
    </row>
    <row r="1138" ht="21" customHeight="1">
      <c r="A1138" s="59" t="n"/>
      <c r="B1138" s="42">
        <f>'設定'!$I$21</f>
        <v/>
      </c>
      <c r="C1138" s="60" t="n"/>
      <c r="D1138" s="60" t="n"/>
      <c r="E1138" s="60" t="n"/>
      <c r="F1138" s="60" t="n"/>
      <c r="G1138" s="60" t="n"/>
      <c r="H1138" s="60" t="n"/>
      <c r="I1138" s="60" t="n"/>
      <c r="J1138" s="60" t="n"/>
      <c r="K1138" s="60" t="n"/>
      <c r="L1138" s="60" t="n"/>
    </row>
    <row r="1139" ht="21" customHeight="1">
      <c r="A1139" s="59" t="n"/>
      <c r="B1139" s="42">
        <f>'設定'!$I$22</f>
        <v/>
      </c>
      <c r="C1139" s="60" t="n"/>
      <c r="D1139" s="60" t="n"/>
      <c r="E1139" s="60" t="n"/>
      <c r="F1139" s="60" t="n"/>
      <c r="G1139" s="60" t="n"/>
      <c r="H1139" s="60" t="n"/>
      <c r="I1139" s="60" t="n"/>
      <c r="J1139" s="60" t="n"/>
      <c r="K1139" s="60" t="n"/>
      <c r="L1139" s="60" t="n"/>
    </row>
    <row r="1140" ht="21" customHeight="1">
      <c r="A1140" s="59" t="n"/>
      <c r="B1140" s="42">
        <f>'設定'!$I$23</f>
        <v/>
      </c>
      <c r="C1140" s="60" t="n"/>
      <c r="D1140" s="60" t="n"/>
      <c r="E1140" s="60" t="n"/>
      <c r="F1140" s="60" t="n"/>
      <c r="G1140" s="60" t="n"/>
      <c r="H1140" s="60" t="n"/>
      <c r="I1140" s="60" t="n"/>
      <c r="J1140" s="60" t="n"/>
      <c r="K1140" s="60" t="n"/>
      <c r="L1140" s="60" t="n"/>
    </row>
    <row r="1141" ht="21" customHeight="1">
      <c r="A1141" s="59" t="n"/>
      <c r="B1141" s="42">
        <f>'設定'!$I$24</f>
        <v/>
      </c>
      <c r="C1141" s="60" t="n"/>
      <c r="D1141" s="60" t="n"/>
      <c r="E1141" s="60" t="n"/>
      <c r="F1141" s="60" t="n"/>
      <c r="G1141" s="60" t="n"/>
      <c r="H1141" s="60" t="n"/>
      <c r="I1141" s="60" t="n"/>
      <c r="J1141" s="60" t="n"/>
      <c r="K1141" s="60" t="n"/>
      <c r="L1141" s="60" t="n"/>
    </row>
    <row r="1142" ht="21" customHeight="1">
      <c r="A1142" s="59" t="n"/>
      <c r="B1142" s="42">
        <f>'設定'!$I$25</f>
        <v/>
      </c>
      <c r="C1142" s="60" t="n"/>
      <c r="D1142" s="60" t="n"/>
      <c r="E1142" s="60" t="n"/>
      <c r="F1142" s="60" t="n"/>
      <c r="G1142" s="60" t="n"/>
      <c r="H1142" s="60" t="n"/>
      <c r="I1142" s="60" t="n"/>
      <c r="J1142" s="60" t="n"/>
      <c r="K1142" s="60" t="n"/>
      <c r="L1142" s="60" t="n"/>
    </row>
    <row r="1143" ht="21" customHeight="1">
      <c r="A1143" s="59" t="n"/>
      <c r="B1143" s="42">
        <f>'設定'!$I$26</f>
        <v/>
      </c>
      <c r="C1143" s="60" t="n"/>
      <c r="D1143" s="60" t="n"/>
      <c r="E1143" s="60" t="n"/>
      <c r="F1143" s="60" t="n"/>
      <c r="G1143" s="60" t="n"/>
      <c r="H1143" s="60" t="n"/>
      <c r="I1143" s="60" t="n"/>
      <c r="J1143" s="60" t="n"/>
      <c r="K1143" s="60" t="n"/>
      <c r="L1143" s="60" t="n"/>
    </row>
    <row r="1144" ht="21" customHeight="1">
      <c r="A1144" s="59" t="n"/>
      <c r="B1144" s="42">
        <f>'設定'!$I$27</f>
        <v/>
      </c>
      <c r="C1144" s="60" t="n"/>
      <c r="D1144" s="60" t="n"/>
      <c r="E1144" s="60" t="n"/>
      <c r="F1144" s="60" t="n"/>
      <c r="G1144" s="60" t="n"/>
      <c r="H1144" s="60" t="n"/>
      <c r="I1144" s="60" t="n"/>
      <c r="J1144" s="60" t="n"/>
      <c r="K1144" s="60" t="n"/>
      <c r="L1144" s="60" t="n"/>
    </row>
    <row r="1145" ht="21" customHeight="1">
      <c r="A1145" s="59" t="n"/>
      <c r="B1145" s="42">
        <f>'設定'!$I$28</f>
        <v/>
      </c>
      <c r="C1145" s="60" t="n"/>
      <c r="D1145" s="60" t="n"/>
      <c r="E1145" s="60" t="n"/>
      <c r="F1145" s="60" t="n"/>
      <c r="G1145" s="60" t="n"/>
      <c r="H1145" s="60" t="n"/>
      <c r="I1145" s="60" t="n"/>
      <c r="J1145" s="60" t="n"/>
      <c r="K1145" s="60" t="n"/>
      <c r="L1145" s="60" t="n"/>
    </row>
    <row r="1146" ht="21" customHeight="1">
      <c r="A1146" s="59" t="n"/>
      <c r="B1146" s="42">
        <f>'設定'!$I$29</f>
        <v/>
      </c>
      <c r="C1146" s="60" t="n"/>
      <c r="D1146" s="60" t="n"/>
      <c r="E1146" s="60" t="n"/>
      <c r="F1146" s="60" t="n"/>
      <c r="G1146" s="60" t="n"/>
      <c r="H1146" s="60" t="n"/>
      <c r="I1146" s="60" t="n"/>
      <c r="J1146" s="60" t="n"/>
      <c r="K1146" s="60" t="n"/>
      <c r="L1146" s="60" t="n"/>
    </row>
    <row r="1147" ht="21" customHeight="1">
      <c r="A1147" s="59" t="n"/>
      <c r="B1147" s="42">
        <f>'設定'!$I$30</f>
        <v/>
      </c>
      <c r="C1147" s="60" t="n"/>
      <c r="D1147" s="60" t="n"/>
      <c r="E1147" s="60" t="n"/>
      <c r="F1147" s="60" t="n"/>
      <c r="G1147" s="60" t="n"/>
      <c r="H1147" s="60" t="n"/>
      <c r="I1147" s="60" t="n"/>
      <c r="J1147" s="60" t="n"/>
      <c r="K1147" s="60" t="n"/>
      <c r="L1147" s="60" t="n"/>
    </row>
    <row r="1148" ht="21" customHeight="1">
      <c r="A1148" s="59" t="n"/>
      <c r="B1148" s="42">
        <f>'設定'!$I$31</f>
        <v/>
      </c>
      <c r="C1148" s="60" t="n"/>
      <c r="D1148" s="60" t="n"/>
      <c r="E1148" s="60" t="n"/>
      <c r="F1148" s="60" t="n"/>
      <c r="G1148" s="60" t="n"/>
      <c r="H1148" s="60" t="n"/>
      <c r="I1148" s="60" t="n"/>
      <c r="J1148" s="60" t="n"/>
      <c r="K1148" s="60" t="n"/>
      <c r="L1148" s="60" t="n"/>
    </row>
    <row r="1149" ht="21" customHeight="1">
      <c r="A1149" s="59" t="n"/>
      <c r="B1149" s="42">
        <f>'設定'!$I$32</f>
        <v/>
      </c>
      <c r="C1149" s="60" t="n"/>
      <c r="D1149" s="60" t="n"/>
      <c r="E1149" s="60" t="n"/>
      <c r="F1149" s="60" t="n"/>
      <c r="G1149" s="60" t="n"/>
      <c r="H1149" s="60" t="n"/>
      <c r="I1149" s="60" t="n"/>
      <c r="J1149" s="60" t="n"/>
      <c r="K1149" s="60" t="n"/>
      <c r="L1149" s="60" t="n"/>
    </row>
    <row r="1150" ht="21" customHeight="1">
      <c r="A1150" s="59" t="n"/>
      <c r="B1150" s="42">
        <f>'設定'!$I$33</f>
        <v/>
      </c>
      <c r="C1150" s="60" t="n"/>
      <c r="D1150" s="60" t="n"/>
      <c r="E1150" s="60" t="n"/>
      <c r="F1150" s="60" t="n"/>
      <c r="G1150" s="60" t="n"/>
      <c r="H1150" s="60" t="n"/>
      <c r="I1150" s="60" t="n"/>
      <c r="J1150" s="60" t="n"/>
      <c r="K1150" s="60" t="n"/>
      <c r="L1150" s="60" t="n"/>
    </row>
    <row r="1151" ht="21" customHeight="1">
      <c r="A1151" s="59" t="n"/>
      <c r="B1151" s="42">
        <f>'設定'!$I$34</f>
        <v/>
      </c>
      <c r="C1151" s="60" t="n"/>
      <c r="D1151" s="60" t="n"/>
      <c r="E1151" s="60" t="n"/>
      <c r="F1151" s="60" t="n"/>
      <c r="G1151" s="60" t="n"/>
      <c r="H1151" s="60" t="n"/>
      <c r="I1151" s="60" t="n"/>
      <c r="J1151" s="60" t="n"/>
      <c r="K1151" s="60" t="n"/>
      <c r="L1151" s="60" t="n"/>
    </row>
    <row r="1152"/>
    <row r="1153" ht="26" customHeight="1">
      <c r="B1153" s="53">
        <f>IF('名簿'!B46="","（名簿 42行目：なし）",'名簿'!G46)</f>
        <v/>
      </c>
      <c r="C1153" s="4" t="n"/>
      <c r="D1153" s="4" t="n"/>
      <c r="E1153" s="54" t="inlineStr">
        <is>
          <t>提出状況 ▶</t>
        </is>
      </c>
      <c r="F1153" s="38" t="n"/>
      <c r="G1153" s="29" t="n"/>
      <c r="H1153" s="55" t="inlineStr">
        <is>
          <t>状況：</t>
        </is>
      </c>
      <c r="I1153" s="56">
        <f>'名簿'!H46</f>
        <v/>
      </c>
      <c r="J1153" s="55" t="inlineStr">
        <is>
          <t>×の数：</t>
        </is>
      </c>
      <c r="K1153" s="57">
        <f>'名簿'!I46</f>
        <v/>
      </c>
      <c r="L1153" s="58">
        <f>HYPERLINK("#'×入力'!B1181","次の人へ ▼")</f>
        <v/>
      </c>
    </row>
    <row r="1154" ht="22" customHeight="1">
      <c r="A1154" s="30" t="inlineStr">
        <is>
          <t>この日全部 ▶</t>
        </is>
      </c>
      <c r="C1154" s="59" t="n"/>
      <c r="D1154" s="59" t="n"/>
      <c r="E1154" s="59" t="n"/>
      <c r="F1154" s="59" t="n"/>
      <c r="G1154" s="59" t="n"/>
      <c r="H1154" s="59" t="n"/>
      <c r="I1154" s="59" t="n"/>
      <c r="J1154" s="59" t="n"/>
      <c r="K1154" s="59" t="n"/>
      <c r="L1154" s="59" t="n"/>
    </row>
    <row r="1155" ht="28" customHeight="1">
      <c r="A1155" s="33" t="inlineStr">
        <is>
          <t>この時間
全部 ▼</t>
        </is>
      </c>
      <c r="B1155" s="34" t="inlineStr"/>
      <c r="C1155" s="35">
        <f>'設定'!$E$11</f>
        <v/>
      </c>
      <c r="D1155" s="35">
        <f>'設定'!$E$12</f>
        <v/>
      </c>
      <c r="E1155" s="35">
        <f>'設定'!$E$13</f>
        <v/>
      </c>
      <c r="F1155" s="35">
        <f>'設定'!$E$14</f>
        <v/>
      </c>
      <c r="G1155" s="35">
        <f>'設定'!$E$15</f>
        <v/>
      </c>
      <c r="H1155" s="35">
        <f>'設定'!$E$16</f>
        <v/>
      </c>
      <c r="I1155" s="35">
        <f>'設定'!$E$17</f>
        <v/>
      </c>
      <c r="J1155" s="35">
        <f>'設定'!$E$18</f>
        <v/>
      </c>
      <c r="K1155" s="35">
        <f>'設定'!$E$19</f>
        <v/>
      </c>
      <c r="L1155" s="35">
        <f>'設定'!$E$20</f>
        <v/>
      </c>
    </row>
    <row r="1156" ht="21" customHeight="1">
      <c r="A1156" s="59" t="n"/>
      <c r="B1156" s="42">
        <f>'設定'!$I$11</f>
        <v/>
      </c>
      <c r="C1156" s="60" t="n"/>
      <c r="D1156" s="60" t="n"/>
      <c r="E1156" s="60" t="n"/>
      <c r="F1156" s="60" t="n"/>
      <c r="G1156" s="60" t="n"/>
      <c r="H1156" s="60" t="n"/>
      <c r="I1156" s="60" t="n"/>
      <c r="J1156" s="60" t="n"/>
      <c r="K1156" s="60" t="n"/>
      <c r="L1156" s="60" t="n"/>
    </row>
    <row r="1157" ht="21" customHeight="1">
      <c r="A1157" s="59" t="n"/>
      <c r="B1157" s="42">
        <f>'設定'!$I$12</f>
        <v/>
      </c>
      <c r="C1157" s="60" t="n"/>
      <c r="D1157" s="60" t="n"/>
      <c r="E1157" s="60" t="n"/>
      <c r="F1157" s="60" t="n"/>
      <c r="G1157" s="60" t="n"/>
      <c r="H1157" s="60" t="n"/>
      <c r="I1157" s="60" t="n"/>
      <c r="J1157" s="60" t="n"/>
      <c r="K1157" s="60" t="n"/>
      <c r="L1157" s="60" t="n"/>
    </row>
    <row r="1158" ht="21" customHeight="1">
      <c r="A1158" s="59" t="n"/>
      <c r="B1158" s="42">
        <f>'設定'!$I$13</f>
        <v/>
      </c>
      <c r="C1158" s="60" t="n"/>
      <c r="D1158" s="60" t="n"/>
      <c r="E1158" s="60" t="n"/>
      <c r="F1158" s="60" t="n"/>
      <c r="G1158" s="60" t="n"/>
      <c r="H1158" s="60" t="n"/>
      <c r="I1158" s="60" t="n"/>
      <c r="J1158" s="60" t="n"/>
      <c r="K1158" s="60" t="n"/>
      <c r="L1158" s="60" t="n"/>
    </row>
    <row r="1159" ht="21" customHeight="1">
      <c r="A1159" s="59" t="n"/>
      <c r="B1159" s="42">
        <f>'設定'!$I$14</f>
        <v/>
      </c>
      <c r="C1159" s="60" t="n"/>
      <c r="D1159" s="60" t="n"/>
      <c r="E1159" s="60" t="n"/>
      <c r="F1159" s="60" t="n"/>
      <c r="G1159" s="60" t="n"/>
      <c r="H1159" s="60" t="n"/>
      <c r="I1159" s="60" t="n"/>
      <c r="J1159" s="60" t="n"/>
      <c r="K1159" s="60" t="n"/>
      <c r="L1159" s="60" t="n"/>
    </row>
    <row r="1160" ht="21" customHeight="1">
      <c r="A1160" s="59" t="n"/>
      <c r="B1160" s="42">
        <f>'設定'!$I$15</f>
        <v/>
      </c>
      <c r="C1160" s="60" t="n"/>
      <c r="D1160" s="60" t="n"/>
      <c r="E1160" s="60" t="n"/>
      <c r="F1160" s="60" t="n"/>
      <c r="G1160" s="60" t="n"/>
      <c r="H1160" s="60" t="n"/>
      <c r="I1160" s="60" t="n"/>
      <c r="J1160" s="60" t="n"/>
      <c r="K1160" s="60" t="n"/>
      <c r="L1160" s="60" t="n"/>
    </row>
    <row r="1161" ht="21" customHeight="1">
      <c r="A1161" s="59" t="n"/>
      <c r="B1161" s="42">
        <f>'設定'!$I$16</f>
        <v/>
      </c>
      <c r="C1161" s="60" t="n"/>
      <c r="D1161" s="60" t="n"/>
      <c r="E1161" s="60" t="n"/>
      <c r="F1161" s="60" t="n"/>
      <c r="G1161" s="60" t="n"/>
      <c r="H1161" s="60" t="n"/>
      <c r="I1161" s="60" t="n"/>
      <c r="J1161" s="60" t="n"/>
      <c r="K1161" s="60" t="n"/>
      <c r="L1161" s="60" t="n"/>
    </row>
    <row r="1162" ht="21" customHeight="1">
      <c r="A1162" s="59" t="n"/>
      <c r="B1162" s="42">
        <f>'設定'!$I$17</f>
        <v/>
      </c>
      <c r="C1162" s="60" t="n"/>
      <c r="D1162" s="60" t="n"/>
      <c r="E1162" s="60" t="n"/>
      <c r="F1162" s="60" t="n"/>
      <c r="G1162" s="60" t="n"/>
      <c r="H1162" s="60" t="n"/>
      <c r="I1162" s="60" t="n"/>
      <c r="J1162" s="60" t="n"/>
      <c r="K1162" s="60" t="n"/>
      <c r="L1162" s="60" t="n"/>
    </row>
    <row r="1163" ht="21" customHeight="1">
      <c r="A1163" s="59" t="n"/>
      <c r="B1163" s="42">
        <f>'設定'!$I$18</f>
        <v/>
      </c>
      <c r="C1163" s="60" t="n"/>
      <c r="D1163" s="60" t="n"/>
      <c r="E1163" s="60" t="n"/>
      <c r="F1163" s="60" t="n"/>
      <c r="G1163" s="60" t="n"/>
      <c r="H1163" s="60" t="n"/>
      <c r="I1163" s="60" t="n"/>
      <c r="J1163" s="60" t="n"/>
      <c r="K1163" s="60" t="n"/>
      <c r="L1163" s="60" t="n"/>
    </row>
    <row r="1164" ht="21" customHeight="1">
      <c r="A1164" s="59" t="n"/>
      <c r="B1164" s="42">
        <f>'設定'!$I$19</f>
        <v/>
      </c>
      <c r="C1164" s="60" t="n"/>
      <c r="D1164" s="60" t="n"/>
      <c r="E1164" s="60" t="n"/>
      <c r="F1164" s="60" t="n"/>
      <c r="G1164" s="60" t="n"/>
      <c r="H1164" s="60" t="n"/>
      <c r="I1164" s="60" t="n"/>
      <c r="J1164" s="60" t="n"/>
      <c r="K1164" s="60" t="n"/>
      <c r="L1164" s="60" t="n"/>
    </row>
    <row r="1165" ht="21" customHeight="1">
      <c r="A1165" s="59" t="n"/>
      <c r="B1165" s="42">
        <f>'設定'!$I$20</f>
        <v/>
      </c>
      <c r="C1165" s="60" t="n"/>
      <c r="D1165" s="60" t="n"/>
      <c r="E1165" s="60" t="n"/>
      <c r="F1165" s="60" t="n"/>
      <c r="G1165" s="60" t="n"/>
      <c r="H1165" s="60" t="n"/>
      <c r="I1165" s="60" t="n"/>
      <c r="J1165" s="60" t="n"/>
      <c r="K1165" s="60" t="n"/>
      <c r="L1165" s="60" t="n"/>
    </row>
    <row r="1166" ht="21" customHeight="1">
      <c r="A1166" s="59" t="n"/>
      <c r="B1166" s="42">
        <f>'設定'!$I$21</f>
        <v/>
      </c>
      <c r="C1166" s="60" t="n"/>
      <c r="D1166" s="60" t="n"/>
      <c r="E1166" s="60" t="n"/>
      <c r="F1166" s="60" t="n"/>
      <c r="G1166" s="60" t="n"/>
      <c r="H1166" s="60" t="n"/>
      <c r="I1166" s="60" t="n"/>
      <c r="J1166" s="60" t="n"/>
      <c r="K1166" s="60" t="n"/>
      <c r="L1166" s="60" t="n"/>
    </row>
    <row r="1167" ht="21" customHeight="1">
      <c r="A1167" s="59" t="n"/>
      <c r="B1167" s="42">
        <f>'設定'!$I$22</f>
        <v/>
      </c>
      <c r="C1167" s="60" t="n"/>
      <c r="D1167" s="60" t="n"/>
      <c r="E1167" s="60" t="n"/>
      <c r="F1167" s="60" t="n"/>
      <c r="G1167" s="60" t="n"/>
      <c r="H1167" s="60" t="n"/>
      <c r="I1167" s="60" t="n"/>
      <c r="J1167" s="60" t="n"/>
      <c r="K1167" s="60" t="n"/>
      <c r="L1167" s="60" t="n"/>
    </row>
    <row r="1168" ht="21" customHeight="1">
      <c r="A1168" s="59" t="n"/>
      <c r="B1168" s="42">
        <f>'設定'!$I$23</f>
        <v/>
      </c>
      <c r="C1168" s="60" t="n"/>
      <c r="D1168" s="60" t="n"/>
      <c r="E1168" s="60" t="n"/>
      <c r="F1168" s="60" t="n"/>
      <c r="G1168" s="60" t="n"/>
      <c r="H1168" s="60" t="n"/>
      <c r="I1168" s="60" t="n"/>
      <c r="J1168" s="60" t="n"/>
      <c r="K1168" s="60" t="n"/>
      <c r="L1168" s="60" t="n"/>
    </row>
    <row r="1169" ht="21" customHeight="1">
      <c r="A1169" s="59" t="n"/>
      <c r="B1169" s="42">
        <f>'設定'!$I$24</f>
        <v/>
      </c>
      <c r="C1169" s="60" t="n"/>
      <c r="D1169" s="60" t="n"/>
      <c r="E1169" s="60" t="n"/>
      <c r="F1169" s="60" t="n"/>
      <c r="G1169" s="60" t="n"/>
      <c r="H1169" s="60" t="n"/>
      <c r="I1169" s="60" t="n"/>
      <c r="J1169" s="60" t="n"/>
      <c r="K1169" s="60" t="n"/>
      <c r="L1169" s="60" t="n"/>
    </row>
    <row r="1170" ht="21" customHeight="1">
      <c r="A1170" s="59" t="n"/>
      <c r="B1170" s="42">
        <f>'設定'!$I$25</f>
        <v/>
      </c>
      <c r="C1170" s="60" t="n"/>
      <c r="D1170" s="60" t="n"/>
      <c r="E1170" s="60" t="n"/>
      <c r="F1170" s="60" t="n"/>
      <c r="G1170" s="60" t="n"/>
      <c r="H1170" s="60" t="n"/>
      <c r="I1170" s="60" t="n"/>
      <c r="J1170" s="60" t="n"/>
      <c r="K1170" s="60" t="n"/>
      <c r="L1170" s="60" t="n"/>
    </row>
    <row r="1171" ht="21" customHeight="1">
      <c r="A1171" s="59" t="n"/>
      <c r="B1171" s="42">
        <f>'設定'!$I$26</f>
        <v/>
      </c>
      <c r="C1171" s="60" t="n"/>
      <c r="D1171" s="60" t="n"/>
      <c r="E1171" s="60" t="n"/>
      <c r="F1171" s="60" t="n"/>
      <c r="G1171" s="60" t="n"/>
      <c r="H1171" s="60" t="n"/>
      <c r="I1171" s="60" t="n"/>
      <c r="J1171" s="60" t="n"/>
      <c r="K1171" s="60" t="n"/>
      <c r="L1171" s="60" t="n"/>
    </row>
    <row r="1172" ht="21" customHeight="1">
      <c r="A1172" s="59" t="n"/>
      <c r="B1172" s="42">
        <f>'設定'!$I$27</f>
        <v/>
      </c>
      <c r="C1172" s="60" t="n"/>
      <c r="D1172" s="60" t="n"/>
      <c r="E1172" s="60" t="n"/>
      <c r="F1172" s="60" t="n"/>
      <c r="G1172" s="60" t="n"/>
      <c r="H1172" s="60" t="n"/>
      <c r="I1172" s="60" t="n"/>
      <c r="J1172" s="60" t="n"/>
      <c r="K1172" s="60" t="n"/>
      <c r="L1172" s="60" t="n"/>
    </row>
    <row r="1173" ht="21" customHeight="1">
      <c r="A1173" s="59" t="n"/>
      <c r="B1173" s="42">
        <f>'設定'!$I$28</f>
        <v/>
      </c>
      <c r="C1173" s="60" t="n"/>
      <c r="D1173" s="60" t="n"/>
      <c r="E1173" s="60" t="n"/>
      <c r="F1173" s="60" t="n"/>
      <c r="G1173" s="60" t="n"/>
      <c r="H1173" s="60" t="n"/>
      <c r="I1173" s="60" t="n"/>
      <c r="J1173" s="60" t="n"/>
      <c r="K1173" s="60" t="n"/>
      <c r="L1173" s="60" t="n"/>
    </row>
    <row r="1174" ht="21" customHeight="1">
      <c r="A1174" s="59" t="n"/>
      <c r="B1174" s="42">
        <f>'設定'!$I$29</f>
        <v/>
      </c>
      <c r="C1174" s="60" t="n"/>
      <c r="D1174" s="60" t="n"/>
      <c r="E1174" s="60" t="n"/>
      <c r="F1174" s="60" t="n"/>
      <c r="G1174" s="60" t="n"/>
      <c r="H1174" s="60" t="n"/>
      <c r="I1174" s="60" t="n"/>
      <c r="J1174" s="60" t="n"/>
      <c r="K1174" s="60" t="n"/>
      <c r="L1174" s="60" t="n"/>
    </row>
    <row r="1175" ht="21" customHeight="1">
      <c r="A1175" s="59" t="n"/>
      <c r="B1175" s="42">
        <f>'設定'!$I$30</f>
        <v/>
      </c>
      <c r="C1175" s="60" t="n"/>
      <c r="D1175" s="60" t="n"/>
      <c r="E1175" s="60" t="n"/>
      <c r="F1175" s="60" t="n"/>
      <c r="G1175" s="60" t="n"/>
      <c r="H1175" s="60" t="n"/>
      <c r="I1175" s="60" t="n"/>
      <c r="J1175" s="60" t="n"/>
      <c r="K1175" s="60" t="n"/>
      <c r="L1175" s="60" t="n"/>
    </row>
    <row r="1176" ht="21" customHeight="1">
      <c r="A1176" s="59" t="n"/>
      <c r="B1176" s="42">
        <f>'設定'!$I$31</f>
        <v/>
      </c>
      <c r="C1176" s="60" t="n"/>
      <c r="D1176" s="60" t="n"/>
      <c r="E1176" s="60" t="n"/>
      <c r="F1176" s="60" t="n"/>
      <c r="G1176" s="60" t="n"/>
      <c r="H1176" s="60" t="n"/>
      <c r="I1176" s="60" t="n"/>
      <c r="J1176" s="60" t="n"/>
      <c r="K1176" s="60" t="n"/>
      <c r="L1176" s="60" t="n"/>
    </row>
    <row r="1177" ht="21" customHeight="1">
      <c r="A1177" s="59" t="n"/>
      <c r="B1177" s="42">
        <f>'設定'!$I$32</f>
        <v/>
      </c>
      <c r="C1177" s="60" t="n"/>
      <c r="D1177" s="60" t="n"/>
      <c r="E1177" s="60" t="n"/>
      <c r="F1177" s="60" t="n"/>
      <c r="G1177" s="60" t="n"/>
      <c r="H1177" s="60" t="n"/>
      <c r="I1177" s="60" t="n"/>
      <c r="J1177" s="60" t="n"/>
      <c r="K1177" s="60" t="n"/>
      <c r="L1177" s="60" t="n"/>
    </row>
    <row r="1178" ht="21" customHeight="1">
      <c r="A1178" s="59" t="n"/>
      <c r="B1178" s="42">
        <f>'設定'!$I$33</f>
        <v/>
      </c>
      <c r="C1178" s="60" t="n"/>
      <c r="D1178" s="60" t="n"/>
      <c r="E1178" s="60" t="n"/>
      <c r="F1178" s="60" t="n"/>
      <c r="G1178" s="60" t="n"/>
      <c r="H1178" s="60" t="n"/>
      <c r="I1178" s="60" t="n"/>
      <c r="J1178" s="60" t="n"/>
      <c r="K1178" s="60" t="n"/>
      <c r="L1178" s="60" t="n"/>
    </row>
    <row r="1179" ht="21" customHeight="1">
      <c r="A1179" s="59" t="n"/>
      <c r="B1179" s="42">
        <f>'設定'!$I$34</f>
        <v/>
      </c>
      <c r="C1179" s="60" t="n"/>
      <c r="D1179" s="60" t="n"/>
      <c r="E1179" s="60" t="n"/>
      <c r="F1179" s="60" t="n"/>
      <c r="G1179" s="60" t="n"/>
      <c r="H1179" s="60" t="n"/>
      <c r="I1179" s="60" t="n"/>
      <c r="J1179" s="60" t="n"/>
      <c r="K1179" s="60" t="n"/>
      <c r="L1179" s="60" t="n"/>
    </row>
    <row r="1180"/>
    <row r="1181" ht="26" customHeight="1">
      <c r="B1181" s="53">
        <f>IF('名簿'!B47="","（名簿 43行目：なし）",'名簿'!G47)</f>
        <v/>
      </c>
      <c r="C1181" s="4" t="n"/>
      <c r="D1181" s="4" t="n"/>
      <c r="E1181" s="54" t="inlineStr">
        <is>
          <t>提出状況 ▶</t>
        </is>
      </c>
      <c r="F1181" s="38" t="n"/>
      <c r="G1181" s="29" t="n"/>
      <c r="H1181" s="55" t="inlineStr">
        <is>
          <t>状況：</t>
        </is>
      </c>
      <c r="I1181" s="56">
        <f>'名簿'!H47</f>
        <v/>
      </c>
      <c r="J1181" s="55" t="inlineStr">
        <is>
          <t>×の数：</t>
        </is>
      </c>
      <c r="K1181" s="57">
        <f>'名簿'!I47</f>
        <v/>
      </c>
      <c r="L1181" s="58">
        <f>HYPERLINK("#'×入力'!B1209","次の人へ ▼")</f>
        <v/>
      </c>
    </row>
    <row r="1182" ht="22" customHeight="1">
      <c r="A1182" s="30" t="inlineStr">
        <is>
          <t>この日全部 ▶</t>
        </is>
      </c>
      <c r="C1182" s="59" t="n"/>
      <c r="D1182" s="59" t="n"/>
      <c r="E1182" s="59" t="n"/>
      <c r="F1182" s="59" t="n"/>
      <c r="G1182" s="59" t="n"/>
      <c r="H1182" s="59" t="n"/>
      <c r="I1182" s="59" t="n"/>
      <c r="J1182" s="59" t="n"/>
      <c r="K1182" s="59" t="n"/>
      <c r="L1182" s="59" t="n"/>
    </row>
    <row r="1183" ht="28" customHeight="1">
      <c r="A1183" s="33" t="inlineStr">
        <is>
          <t>この時間
全部 ▼</t>
        </is>
      </c>
      <c r="B1183" s="34" t="inlineStr"/>
      <c r="C1183" s="35">
        <f>'設定'!$E$11</f>
        <v/>
      </c>
      <c r="D1183" s="35">
        <f>'設定'!$E$12</f>
        <v/>
      </c>
      <c r="E1183" s="35">
        <f>'設定'!$E$13</f>
        <v/>
      </c>
      <c r="F1183" s="35">
        <f>'設定'!$E$14</f>
        <v/>
      </c>
      <c r="G1183" s="35">
        <f>'設定'!$E$15</f>
        <v/>
      </c>
      <c r="H1183" s="35">
        <f>'設定'!$E$16</f>
        <v/>
      </c>
      <c r="I1183" s="35">
        <f>'設定'!$E$17</f>
        <v/>
      </c>
      <c r="J1183" s="35">
        <f>'設定'!$E$18</f>
        <v/>
      </c>
      <c r="K1183" s="35">
        <f>'設定'!$E$19</f>
        <v/>
      </c>
      <c r="L1183" s="35">
        <f>'設定'!$E$20</f>
        <v/>
      </c>
    </row>
    <row r="1184" ht="21" customHeight="1">
      <c r="A1184" s="59" t="n"/>
      <c r="B1184" s="42">
        <f>'設定'!$I$11</f>
        <v/>
      </c>
      <c r="C1184" s="60" t="n"/>
      <c r="D1184" s="60" t="n"/>
      <c r="E1184" s="60" t="n"/>
      <c r="F1184" s="60" t="n"/>
      <c r="G1184" s="60" t="n"/>
      <c r="H1184" s="60" t="n"/>
      <c r="I1184" s="60" t="n"/>
      <c r="J1184" s="60" t="n"/>
      <c r="K1184" s="60" t="n"/>
      <c r="L1184" s="60" t="n"/>
    </row>
    <row r="1185" ht="21" customHeight="1">
      <c r="A1185" s="59" t="n"/>
      <c r="B1185" s="42">
        <f>'設定'!$I$12</f>
        <v/>
      </c>
      <c r="C1185" s="60" t="n"/>
      <c r="D1185" s="60" t="n"/>
      <c r="E1185" s="60" t="n"/>
      <c r="F1185" s="60" t="n"/>
      <c r="G1185" s="60" t="n"/>
      <c r="H1185" s="60" t="n"/>
      <c r="I1185" s="60" t="n"/>
      <c r="J1185" s="60" t="n"/>
      <c r="K1185" s="60" t="n"/>
      <c r="L1185" s="60" t="n"/>
    </row>
    <row r="1186" ht="21" customHeight="1">
      <c r="A1186" s="59" t="n"/>
      <c r="B1186" s="42">
        <f>'設定'!$I$13</f>
        <v/>
      </c>
      <c r="C1186" s="60" t="n"/>
      <c r="D1186" s="60" t="n"/>
      <c r="E1186" s="60" t="n"/>
      <c r="F1186" s="60" t="n"/>
      <c r="G1186" s="60" t="n"/>
      <c r="H1186" s="60" t="n"/>
      <c r="I1186" s="60" t="n"/>
      <c r="J1186" s="60" t="n"/>
      <c r="K1186" s="60" t="n"/>
      <c r="L1186" s="60" t="n"/>
    </row>
    <row r="1187" ht="21" customHeight="1">
      <c r="A1187" s="59" t="n"/>
      <c r="B1187" s="42">
        <f>'設定'!$I$14</f>
        <v/>
      </c>
      <c r="C1187" s="60" t="n"/>
      <c r="D1187" s="60" t="n"/>
      <c r="E1187" s="60" t="n"/>
      <c r="F1187" s="60" t="n"/>
      <c r="G1187" s="60" t="n"/>
      <c r="H1187" s="60" t="n"/>
      <c r="I1187" s="60" t="n"/>
      <c r="J1187" s="60" t="n"/>
      <c r="K1187" s="60" t="n"/>
      <c r="L1187" s="60" t="n"/>
    </row>
    <row r="1188" ht="21" customHeight="1">
      <c r="A1188" s="59" t="n"/>
      <c r="B1188" s="42">
        <f>'設定'!$I$15</f>
        <v/>
      </c>
      <c r="C1188" s="60" t="n"/>
      <c r="D1188" s="60" t="n"/>
      <c r="E1188" s="60" t="n"/>
      <c r="F1188" s="60" t="n"/>
      <c r="G1188" s="60" t="n"/>
      <c r="H1188" s="60" t="n"/>
      <c r="I1188" s="60" t="n"/>
      <c r="J1188" s="60" t="n"/>
      <c r="K1188" s="60" t="n"/>
      <c r="L1188" s="60" t="n"/>
    </row>
    <row r="1189" ht="21" customHeight="1">
      <c r="A1189" s="59" t="n"/>
      <c r="B1189" s="42">
        <f>'設定'!$I$16</f>
        <v/>
      </c>
      <c r="C1189" s="60" t="n"/>
      <c r="D1189" s="60" t="n"/>
      <c r="E1189" s="60" t="n"/>
      <c r="F1189" s="60" t="n"/>
      <c r="G1189" s="60" t="n"/>
      <c r="H1189" s="60" t="n"/>
      <c r="I1189" s="60" t="n"/>
      <c r="J1189" s="60" t="n"/>
      <c r="K1189" s="60" t="n"/>
      <c r="L1189" s="60" t="n"/>
    </row>
    <row r="1190" ht="21" customHeight="1">
      <c r="A1190" s="59" t="n"/>
      <c r="B1190" s="42">
        <f>'設定'!$I$17</f>
        <v/>
      </c>
      <c r="C1190" s="60" t="n"/>
      <c r="D1190" s="60" t="n"/>
      <c r="E1190" s="60" t="n"/>
      <c r="F1190" s="60" t="n"/>
      <c r="G1190" s="60" t="n"/>
      <c r="H1190" s="60" t="n"/>
      <c r="I1190" s="60" t="n"/>
      <c r="J1190" s="60" t="n"/>
      <c r="K1190" s="60" t="n"/>
      <c r="L1190" s="60" t="n"/>
    </row>
    <row r="1191" ht="21" customHeight="1">
      <c r="A1191" s="59" t="n"/>
      <c r="B1191" s="42">
        <f>'設定'!$I$18</f>
        <v/>
      </c>
      <c r="C1191" s="60" t="n"/>
      <c r="D1191" s="60" t="n"/>
      <c r="E1191" s="60" t="n"/>
      <c r="F1191" s="60" t="n"/>
      <c r="G1191" s="60" t="n"/>
      <c r="H1191" s="60" t="n"/>
      <c r="I1191" s="60" t="n"/>
      <c r="J1191" s="60" t="n"/>
      <c r="K1191" s="60" t="n"/>
      <c r="L1191" s="60" t="n"/>
    </row>
    <row r="1192" ht="21" customHeight="1">
      <c r="A1192" s="59" t="n"/>
      <c r="B1192" s="42">
        <f>'設定'!$I$19</f>
        <v/>
      </c>
      <c r="C1192" s="60" t="n"/>
      <c r="D1192" s="60" t="n"/>
      <c r="E1192" s="60" t="n"/>
      <c r="F1192" s="60" t="n"/>
      <c r="G1192" s="60" t="n"/>
      <c r="H1192" s="60" t="n"/>
      <c r="I1192" s="60" t="n"/>
      <c r="J1192" s="60" t="n"/>
      <c r="K1192" s="60" t="n"/>
      <c r="L1192" s="60" t="n"/>
    </row>
    <row r="1193" ht="21" customHeight="1">
      <c r="A1193" s="59" t="n"/>
      <c r="B1193" s="42">
        <f>'設定'!$I$20</f>
        <v/>
      </c>
      <c r="C1193" s="60" t="n"/>
      <c r="D1193" s="60" t="n"/>
      <c r="E1193" s="60" t="n"/>
      <c r="F1193" s="60" t="n"/>
      <c r="G1193" s="60" t="n"/>
      <c r="H1193" s="60" t="n"/>
      <c r="I1193" s="60" t="n"/>
      <c r="J1193" s="60" t="n"/>
      <c r="K1193" s="60" t="n"/>
      <c r="L1193" s="60" t="n"/>
    </row>
    <row r="1194" ht="21" customHeight="1">
      <c r="A1194" s="59" t="n"/>
      <c r="B1194" s="42">
        <f>'設定'!$I$21</f>
        <v/>
      </c>
      <c r="C1194" s="60" t="n"/>
      <c r="D1194" s="60" t="n"/>
      <c r="E1194" s="60" t="n"/>
      <c r="F1194" s="60" t="n"/>
      <c r="G1194" s="60" t="n"/>
      <c r="H1194" s="60" t="n"/>
      <c r="I1194" s="60" t="n"/>
      <c r="J1194" s="60" t="n"/>
      <c r="K1194" s="60" t="n"/>
      <c r="L1194" s="60" t="n"/>
    </row>
    <row r="1195" ht="21" customHeight="1">
      <c r="A1195" s="59" t="n"/>
      <c r="B1195" s="42">
        <f>'設定'!$I$22</f>
        <v/>
      </c>
      <c r="C1195" s="60" t="n"/>
      <c r="D1195" s="60" t="n"/>
      <c r="E1195" s="60" t="n"/>
      <c r="F1195" s="60" t="n"/>
      <c r="G1195" s="60" t="n"/>
      <c r="H1195" s="60" t="n"/>
      <c r="I1195" s="60" t="n"/>
      <c r="J1195" s="60" t="n"/>
      <c r="K1195" s="60" t="n"/>
      <c r="L1195" s="60" t="n"/>
    </row>
    <row r="1196" ht="21" customHeight="1">
      <c r="A1196" s="59" t="n"/>
      <c r="B1196" s="42">
        <f>'設定'!$I$23</f>
        <v/>
      </c>
      <c r="C1196" s="60" t="n"/>
      <c r="D1196" s="60" t="n"/>
      <c r="E1196" s="60" t="n"/>
      <c r="F1196" s="60" t="n"/>
      <c r="G1196" s="60" t="n"/>
      <c r="H1196" s="60" t="n"/>
      <c r="I1196" s="60" t="n"/>
      <c r="J1196" s="60" t="n"/>
      <c r="K1196" s="60" t="n"/>
      <c r="L1196" s="60" t="n"/>
    </row>
    <row r="1197" ht="21" customHeight="1">
      <c r="A1197" s="59" t="n"/>
      <c r="B1197" s="42">
        <f>'設定'!$I$24</f>
        <v/>
      </c>
      <c r="C1197" s="60" t="n"/>
      <c r="D1197" s="60" t="n"/>
      <c r="E1197" s="60" t="n"/>
      <c r="F1197" s="60" t="n"/>
      <c r="G1197" s="60" t="n"/>
      <c r="H1197" s="60" t="n"/>
      <c r="I1197" s="60" t="n"/>
      <c r="J1197" s="60" t="n"/>
      <c r="K1197" s="60" t="n"/>
      <c r="L1197" s="60" t="n"/>
    </row>
    <row r="1198" ht="21" customHeight="1">
      <c r="A1198" s="59" t="n"/>
      <c r="B1198" s="42">
        <f>'設定'!$I$25</f>
        <v/>
      </c>
      <c r="C1198" s="60" t="n"/>
      <c r="D1198" s="60" t="n"/>
      <c r="E1198" s="60" t="n"/>
      <c r="F1198" s="60" t="n"/>
      <c r="G1198" s="60" t="n"/>
      <c r="H1198" s="60" t="n"/>
      <c r="I1198" s="60" t="n"/>
      <c r="J1198" s="60" t="n"/>
      <c r="K1198" s="60" t="n"/>
      <c r="L1198" s="60" t="n"/>
    </row>
    <row r="1199" ht="21" customHeight="1">
      <c r="A1199" s="59" t="n"/>
      <c r="B1199" s="42">
        <f>'設定'!$I$26</f>
        <v/>
      </c>
      <c r="C1199" s="60" t="n"/>
      <c r="D1199" s="60" t="n"/>
      <c r="E1199" s="60" t="n"/>
      <c r="F1199" s="60" t="n"/>
      <c r="G1199" s="60" t="n"/>
      <c r="H1199" s="60" t="n"/>
      <c r="I1199" s="60" t="n"/>
      <c r="J1199" s="60" t="n"/>
      <c r="K1199" s="60" t="n"/>
      <c r="L1199" s="60" t="n"/>
    </row>
    <row r="1200" ht="21" customHeight="1">
      <c r="A1200" s="59" t="n"/>
      <c r="B1200" s="42">
        <f>'設定'!$I$27</f>
        <v/>
      </c>
      <c r="C1200" s="60" t="n"/>
      <c r="D1200" s="60" t="n"/>
      <c r="E1200" s="60" t="n"/>
      <c r="F1200" s="60" t="n"/>
      <c r="G1200" s="60" t="n"/>
      <c r="H1200" s="60" t="n"/>
      <c r="I1200" s="60" t="n"/>
      <c r="J1200" s="60" t="n"/>
      <c r="K1200" s="60" t="n"/>
      <c r="L1200" s="60" t="n"/>
    </row>
    <row r="1201" ht="21" customHeight="1">
      <c r="A1201" s="59" t="n"/>
      <c r="B1201" s="42">
        <f>'設定'!$I$28</f>
        <v/>
      </c>
      <c r="C1201" s="60" t="n"/>
      <c r="D1201" s="60" t="n"/>
      <c r="E1201" s="60" t="n"/>
      <c r="F1201" s="60" t="n"/>
      <c r="G1201" s="60" t="n"/>
      <c r="H1201" s="60" t="n"/>
      <c r="I1201" s="60" t="n"/>
      <c r="J1201" s="60" t="n"/>
      <c r="K1201" s="60" t="n"/>
      <c r="L1201" s="60" t="n"/>
    </row>
    <row r="1202" ht="21" customHeight="1">
      <c r="A1202" s="59" t="n"/>
      <c r="B1202" s="42">
        <f>'設定'!$I$29</f>
        <v/>
      </c>
      <c r="C1202" s="60" t="n"/>
      <c r="D1202" s="60" t="n"/>
      <c r="E1202" s="60" t="n"/>
      <c r="F1202" s="60" t="n"/>
      <c r="G1202" s="60" t="n"/>
      <c r="H1202" s="60" t="n"/>
      <c r="I1202" s="60" t="n"/>
      <c r="J1202" s="60" t="n"/>
      <c r="K1202" s="60" t="n"/>
      <c r="L1202" s="60" t="n"/>
    </row>
    <row r="1203" ht="21" customHeight="1">
      <c r="A1203" s="59" t="n"/>
      <c r="B1203" s="42">
        <f>'設定'!$I$30</f>
        <v/>
      </c>
      <c r="C1203" s="60" t="n"/>
      <c r="D1203" s="60" t="n"/>
      <c r="E1203" s="60" t="n"/>
      <c r="F1203" s="60" t="n"/>
      <c r="G1203" s="60" t="n"/>
      <c r="H1203" s="60" t="n"/>
      <c r="I1203" s="60" t="n"/>
      <c r="J1203" s="60" t="n"/>
      <c r="K1203" s="60" t="n"/>
      <c r="L1203" s="60" t="n"/>
    </row>
    <row r="1204" ht="21" customHeight="1">
      <c r="A1204" s="59" t="n"/>
      <c r="B1204" s="42">
        <f>'設定'!$I$31</f>
        <v/>
      </c>
      <c r="C1204" s="60" t="n"/>
      <c r="D1204" s="60" t="n"/>
      <c r="E1204" s="60" t="n"/>
      <c r="F1204" s="60" t="n"/>
      <c r="G1204" s="60" t="n"/>
      <c r="H1204" s="60" t="n"/>
      <c r="I1204" s="60" t="n"/>
      <c r="J1204" s="60" t="n"/>
      <c r="K1204" s="60" t="n"/>
      <c r="L1204" s="60" t="n"/>
    </row>
    <row r="1205" ht="21" customHeight="1">
      <c r="A1205" s="59" t="n"/>
      <c r="B1205" s="42">
        <f>'設定'!$I$32</f>
        <v/>
      </c>
      <c r="C1205" s="60" t="n"/>
      <c r="D1205" s="60" t="n"/>
      <c r="E1205" s="60" t="n"/>
      <c r="F1205" s="60" t="n"/>
      <c r="G1205" s="60" t="n"/>
      <c r="H1205" s="60" t="n"/>
      <c r="I1205" s="60" t="n"/>
      <c r="J1205" s="60" t="n"/>
      <c r="K1205" s="60" t="n"/>
      <c r="L1205" s="60" t="n"/>
    </row>
    <row r="1206" ht="21" customHeight="1">
      <c r="A1206" s="59" t="n"/>
      <c r="B1206" s="42">
        <f>'設定'!$I$33</f>
        <v/>
      </c>
      <c r="C1206" s="60" t="n"/>
      <c r="D1206" s="60" t="n"/>
      <c r="E1206" s="60" t="n"/>
      <c r="F1206" s="60" t="n"/>
      <c r="G1206" s="60" t="n"/>
      <c r="H1206" s="60" t="n"/>
      <c r="I1206" s="60" t="n"/>
      <c r="J1206" s="60" t="n"/>
      <c r="K1206" s="60" t="n"/>
      <c r="L1206" s="60" t="n"/>
    </row>
    <row r="1207" ht="21" customHeight="1">
      <c r="A1207" s="59" t="n"/>
      <c r="B1207" s="42">
        <f>'設定'!$I$34</f>
        <v/>
      </c>
      <c r="C1207" s="60" t="n"/>
      <c r="D1207" s="60" t="n"/>
      <c r="E1207" s="60" t="n"/>
      <c r="F1207" s="60" t="n"/>
      <c r="G1207" s="60" t="n"/>
      <c r="H1207" s="60" t="n"/>
      <c r="I1207" s="60" t="n"/>
      <c r="J1207" s="60" t="n"/>
      <c r="K1207" s="60" t="n"/>
      <c r="L1207" s="60" t="n"/>
    </row>
    <row r="1208"/>
    <row r="1209" ht="26" customHeight="1">
      <c r="B1209" s="53">
        <f>IF('名簿'!B48="","（名簿 44行目：なし）",'名簿'!G48)</f>
        <v/>
      </c>
      <c r="C1209" s="4" t="n"/>
      <c r="D1209" s="4" t="n"/>
      <c r="E1209" s="54" t="inlineStr">
        <is>
          <t>提出状況 ▶</t>
        </is>
      </c>
      <c r="F1209" s="38" t="n"/>
      <c r="G1209" s="29" t="n"/>
      <c r="H1209" s="55" t="inlineStr">
        <is>
          <t>状況：</t>
        </is>
      </c>
      <c r="I1209" s="56">
        <f>'名簿'!H48</f>
        <v/>
      </c>
      <c r="J1209" s="55" t="inlineStr">
        <is>
          <t>×の数：</t>
        </is>
      </c>
      <c r="K1209" s="57">
        <f>'名簿'!I48</f>
        <v/>
      </c>
      <c r="L1209" s="58">
        <f>HYPERLINK("#'×入力'!B1237","次の人へ ▼")</f>
        <v/>
      </c>
    </row>
    <row r="1210" ht="22" customHeight="1">
      <c r="A1210" s="30" t="inlineStr">
        <is>
          <t>この日全部 ▶</t>
        </is>
      </c>
      <c r="C1210" s="59" t="n"/>
      <c r="D1210" s="59" t="n"/>
      <c r="E1210" s="59" t="n"/>
      <c r="F1210" s="59" t="n"/>
      <c r="G1210" s="59" t="n"/>
      <c r="H1210" s="59" t="n"/>
      <c r="I1210" s="59" t="n"/>
      <c r="J1210" s="59" t="n"/>
      <c r="K1210" s="59" t="n"/>
      <c r="L1210" s="59" t="n"/>
    </row>
    <row r="1211" ht="28" customHeight="1">
      <c r="A1211" s="33" t="inlineStr">
        <is>
          <t>この時間
全部 ▼</t>
        </is>
      </c>
      <c r="B1211" s="34" t="inlineStr"/>
      <c r="C1211" s="35">
        <f>'設定'!$E$11</f>
        <v/>
      </c>
      <c r="D1211" s="35">
        <f>'設定'!$E$12</f>
        <v/>
      </c>
      <c r="E1211" s="35">
        <f>'設定'!$E$13</f>
        <v/>
      </c>
      <c r="F1211" s="35">
        <f>'設定'!$E$14</f>
        <v/>
      </c>
      <c r="G1211" s="35">
        <f>'設定'!$E$15</f>
        <v/>
      </c>
      <c r="H1211" s="35">
        <f>'設定'!$E$16</f>
        <v/>
      </c>
      <c r="I1211" s="35">
        <f>'設定'!$E$17</f>
        <v/>
      </c>
      <c r="J1211" s="35">
        <f>'設定'!$E$18</f>
        <v/>
      </c>
      <c r="K1211" s="35">
        <f>'設定'!$E$19</f>
        <v/>
      </c>
      <c r="L1211" s="35">
        <f>'設定'!$E$20</f>
        <v/>
      </c>
    </row>
    <row r="1212" ht="21" customHeight="1">
      <c r="A1212" s="59" t="n"/>
      <c r="B1212" s="42">
        <f>'設定'!$I$11</f>
        <v/>
      </c>
      <c r="C1212" s="60" t="n"/>
      <c r="D1212" s="60" t="n"/>
      <c r="E1212" s="60" t="n"/>
      <c r="F1212" s="60" t="n"/>
      <c r="G1212" s="60" t="n"/>
      <c r="H1212" s="60" t="n"/>
      <c r="I1212" s="60" t="n"/>
      <c r="J1212" s="60" t="n"/>
      <c r="K1212" s="60" t="n"/>
      <c r="L1212" s="60" t="n"/>
    </row>
    <row r="1213" ht="21" customHeight="1">
      <c r="A1213" s="59" t="n"/>
      <c r="B1213" s="42">
        <f>'設定'!$I$12</f>
        <v/>
      </c>
      <c r="C1213" s="60" t="n"/>
      <c r="D1213" s="60" t="n"/>
      <c r="E1213" s="60" t="n"/>
      <c r="F1213" s="60" t="n"/>
      <c r="G1213" s="60" t="n"/>
      <c r="H1213" s="60" t="n"/>
      <c r="I1213" s="60" t="n"/>
      <c r="J1213" s="60" t="n"/>
      <c r="K1213" s="60" t="n"/>
      <c r="L1213" s="60" t="n"/>
    </row>
    <row r="1214" ht="21" customHeight="1">
      <c r="A1214" s="59" t="n"/>
      <c r="B1214" s="42">
        <f>'設定'!$I$13</f>
        <v/>
      </c>
      <c r="C1214" s="60" t="n"/>
      <c r="D1214" s="60" t="n"/>
      <c r="E1214" s="60" t="n"/>
      <c r="F1214" s="60" t="n"/>
      <c r="G1214" s="60" t="n"/>
      <c r="H1214" s="60" t="n"/>
      <c r="I1214" s="60" t="n"/>
      <c r="J1214" s="60" t="n"/>
      <c r="K1214" s="60" t="n"/>
      <c r="L1214" s="60" t="n"/>
    </row>
    <row r="1215" ht="21" customHeight="1">
      <c r="A1215" s="59" t="n"/>
      <c r="B1215" s="42">
        <f>'設定'!$I$14</f>
        <v/>
      </c>
      <c r="C1215" s="60" t="n"/>
      <c r="D1215" s="60" t="n"/>
      <c r="E1215" s="60" t="n"/>
      <c r="F1215" s="60" t="n"/>
      <c r="G1215" s="60" t="n"/>
      <c r="H1215" s="60" t="n"/>
      <c r="I1215" s="60" t="n"/>
      <c r="J1215" s="60" t="n"/>
      <c r="K1215" s="60" t="n"/>
      <c r="L1215" s="60" t="n"/>
    </row>
    <row r="1216" ht="21" customHeight="1">
      <c r="A1216" s="59" t="n"/>
      <c r="B1216" s="42">
        <f>'設定'!$I$15</f>
        <v/>
      </c>
      <c r="C1216" s="60" t="n"/>
      <c r="D1216" s="60" t="n"/>
      <c r="E1216" s="60" t="n"/>
      <c r="F1216" s="60" t="n"/>
      <c r="G1216" s="60" t="n"/>
      <c r="H1216" s="60" t="n"/>
      <c r="I1216" s="60" t="n"/>
      <c r="J1216" s="60" t="n"/>
      <c r="K1216" s="60" t="n"/>
      <c r="L1216" s="60" t="n"/>
    </row>
    <row r="1217" ht="21" customHeight="1">
      <c r="A1217" s="59" t="n"/>
      <c r="B1217" s="42">
        <f>'設定'!$I$16</f>
        <v/>
      </c>
      <c r="C1217" s="60" t="n"/>
      <c r="D1217" s="60" t="n"/>
      <c r="E1217" s="60" t="n"/>
      <c r="F1217" s="60" t="n"/>
      <c r="G1217" s="60" t="n"/>
      <c r="H1217" s="60" t="n"/>
      <c r="I1217" s="60" t="n"/>
      <c r="J1217" s="60" t="n"/>
      <c r="K1217" s="60" t="n"/>
      <c r="L1217" s="60" t="n"/>
    </row>
    <row r="1218" ht="21" customHeight="1">
      <c r="A1218" s="59" t="n"/>
      <c r="B1218" s="42">
        <f>'設定'!$I$17</f>
        <v/>
      </c>
      <c r="C1218" s="60" t="n"/>
      <c r="D1218" s="60" t="n"/>
      <c r="E1218" s="60" t="n"/>
      <c r="F1218" s="60" t="n"/>
      <c r="G1218" s="60" t="n"/>
      <c r="H1218" s="60" t="n"/>
      <c r="I1218" s="60" t="n"/>
      <c r="J1218" s="60" t="n"/>
      <c r="K1218" s="60" t="n"/>
      <c r="L1218" s="60" t="n"/>
    </row>
    <row r="1219" ht="21" customHeight="1">
      <c r="A1219" s="59" t="n"/>
      <c r="B1219" s="42">
        <f>'設定'!$I$18</f>
        <v/>
      </c>
      <c r="C1219" s="60" t="n"/>
      <c r="D1219" s="60" t="n"/>
      <c r="E1219" s="60" t="n"/>
      <c r="F1219" s="60" t="n"/>
      <c r="G1219" s="60" t="n"/>
      <c r="H1219" s="60" t="n"/>
      <c r="I1219" s="60" t="n"/>
      <c r="J1219" s="60" t="n"/>
      <c r="K1219" s="60" t="n"/>
      <c r="L1219" s="60" t="n"/>
    </row>
    <row r="1220" ht="21" customHeight="1">
      <c r="A1220" s="59" t="n"/>
      <c r="B1220" s="42">
        <f>'設定'!$I$19</f>
        <v/>
      </c>
      <c r="C1220" s="60" t="n"/>
      <c r="D1220" s="60" t="n"/>
      <c r="E1220" s="60" t="n"/>
      <c r="F1220" s="60" t="n"/>
      <c r="G1220" s="60" t="n"/>
      <c r="H1220" s="60" t="n"/>
      <c r="I1220" s="60" t="n"/>
      <c r="J1220" s="60" t="n"/>
      <c r="K1220" s="60" t="n"/>
      <c r="L1220" s="60" t="n"/>
    </row>
    <row r="1221" ht="21" customHeight="1">
      <c r="A1221" s="59" t="n"/>
      <c r="B1221" s="42">
        <f>'設定'!$I$20</f>
        <v/>
      </c>
      <c r="C1221" s="60" t="n"/>
      <c r="D1221" s="60" t="n"/>
      <c r="E1221" s="60" t="n"/>
      <c r="F1221" s="60" t="n"/>
      <c r="G1221" s="60" t="n"/>
      <c r="H1221" s="60" t="n"/>
      <c r="I1221" s="60" t="n"/>
      <c r="J1221" s="60" t="n"/>
      <c r="K1221" s="60" t="n"/>
      <c r="L1221" s="60" t="n"/>
    </row>
    <row r="1222" ht="21" customHeight="1">
      <c r="A1222" s="59" t="n"/>
      <c r="B1222" s="42">
        <f>'設定'!$I$21</f>
        <v/>
      </c>
      <c r="C1222" s="60" t="n"/>
      <c r="D1222" s="60" t="n"/>
      <c r="E1222" s="60" t="n"/>
      <c r="F1222" s="60" t="n"/>
      <c r="G1222" s="60" t="n"/>
      <c r="H1222" s="60" t="n"/>
      <c r="I1222" s="60" t="n"/>
      <c r="J1222" s="60" t="n"/>
      <c r="K1222" s="60" t="n"/>
      <c r="L1222" s="60" t="n"/>
    </row>
    <row r="1223" ht="21" customHeight="1">
      <c r="A1223" s="59" t="n"/>
      <c r="B1223" s="42">
        <f>'設定'!$I$22</f>
        <v/>
      </c>
      <c r="C1223" s="60" t="n"/>
      <c r="D1223" s="60" t="n"/>
      <c r="E1223" s="60" t="n"/>
      <c r="F1223" s="60" t="n"/>
      <c r="G1223" s="60" t="n"/>
      <c r="H1223" s="60" t="n"/>
      <c r="I1223" s="60" t="n"/>
      <c r="J1223" s="60" t="n"/>
      <c r="K1223" s="60" t="n"/>
      <c r="L1223" s="60" t="n"/>
    </row>
    <row r="1224" ht="21" customHeight="1">
      <c r="A1224" s="59" t="n"/>
      <c r="B1224" s="42">
        <f>'設定'!$I$23</f>
        <v/>
      </c>
      <c r="C1224" s="60" t="n"/>
      <c r="D1224" s="60" t="n"/>
      <c r="E1224" s="60" t="n"/>
      <c r="F1224" s="60" t="n"/>
      <c r="G1224" s="60" t="n"/>
      <c r="H1224" s="60" t="n"/>
      <c r="I1224" s="60" t="n"/>
      <c r="J1224" s="60" t="n"/>
      <c r="K1224" s="60" t="n"/>
      <c r="L1224" s="60" t="n"/>
    </row>
    <row r="1225" ht="21" customHeight="1">
      <c r="A1225" s="59" t="n"/>
      <c r="B1225" s="42">
        <f>'設定'!$I$24</f>
        <v/>
      </c>
      <c r="C1225" s="60" t="n"/>
      <c r="D1225" s="60" t="n"/>
      <c r="E1225" s="60" t="n"/>
      <c r="F1225" s="60" t="n"/>
      <c r="G1225" s="60" t="n"/>
      <c r="H1225" s="60" t="n"/>
      <c r="I1225" s="60" t="n"/>
      <c r="J1225" s="60" t="n"/>
      <c r="K1225" s="60" t="n"/>
      <c r="L1225" s="60" t="n"/>
    </row>
    <row r="1226" ht="21" customHeight="1">
      <c r="A1226" s="59" t="n"/>
      <c r="B1226" s="42">
        <f>'設定'!$I$25</f>
        <v/>
      </c>
      <c r="C1226" s="60" t="n"/>
      <c r="D1226" s="60" t="n"/>
      <c r="E1226" s="60" t="n"/>
      <c r="F1226" s="60" t="n"/>
      <c r="G1226" s="60" t="n"/>
      <c r="H1226" s="60" t="n"/>
      <c r="I1226" s="60" t="n"/>
      <c r="J1226" s="60" t="n"/>
      <c r="K1226" s="60" t="n"/>
      <c r="L1226" s="60" t="n"/>
    </row>
    <row r="1227" ht="21" customHeight="1">
      <c r="A1227" s="59" t="n"/>
      <c r="B1227" s="42">
        <f>'設定'!$I$26</f>
        <v/>
      </c>
      <c r="C1227" s="60" t="n"/>
      <c r="D1227" s="60" t="n"/>
      <c r="E1227" s="60" t="n"/>
      <c r="F1227" s="60" t="n"/>
      <c r="G1227" s="60" t="n"/>
      <c r="H1227" s="60" t="n"/>
      <c r="I1227" s="60" t="n"/>
      <c r="J1227" s="60" t="n"/>
      <c r="K1227" s="60" t="n"/>
      <c r="L1227" s="60" t="n"/>
    </row>
    <row r="1228" ht="21" customHeight="1">
      <c r="A1228" s="59" t="n"/>
      <c r="B1228" s="42">
        <f>'設定'!$I$27</f>
        <v/>
      </c>
      <c r="C1228" s="60" t="n"/>
      <c r="D1228" s="60" t="n"/>
      <c r="E1228" s="60" t="n"/>
      <c r="F1228" s="60" t="n"/>
      <c r="G1228" s="60" t="n"/>
      <c r="H1228" s="60" t="n"/>
      <c r="I1228" s="60" t="n"/>
      <c r="J1228" s="60" t="n"/>
      <c r="K1228" s="60" t="n"/>
      <c r="L1228" s="60" t="n"/>
    </row>
    <row r="1229" ht="21" customHeight="1">
      <c r="A1229" s="59" t="n"/>
      <c r="B1229" s="42">
        <f>'設定'!$I$28</f>
        <v/>
      </c>
      <c r="C1229" s="60" t="n"/>
      <c r="D1229" s="60" t="n"/>
      <c r="E1229" s="60" t="n"/>
      <c r="F1229" s="60" t="n"/>
      <c r="G1229" s="60" t="n"/>
      <c r="H1229" s="60" t="n"/>
      <c r="I1229" s="60" t="n"/>
      <c r="J1229" s="60" t="n"/>
      <c r="K1229" s="60" t="n"/>
      <c r="L1229" s="60" t="n"/>
    </row>
    <row r="1230" ht="21" customHeight="1">
      <c r="A1230" s="59" t="n"/>
      <c r="B1230" s="42">
        <f>'設定'!$I$29</f>
        <v/>
      </c>
      <c r="C1230" s="60" t="n"/>
      <c r="D1230" s="60" t="n"/>
      <c r="E1230" s="60" t="n"/>
      <c r="F1230" s="60" t="n"/>
      <c r="G1230" s="60" t="n"/>
      <c r="H1230" s="60" t="n"/>
      <c r="I1230" s="60" t="n"/>
      <c r="J1230" s="60" t="n"/>
      <c r="K1230" s="60" t="n"/>
      <c r="L1230" s="60" t="n"/>
    </row>
    <row r="1231" ht="21" customHeight="1">
      <c r="A1231" s="59" t="n"/>
      <c r="B1231" s="42">
        <f>'設定'!$I$30</f>
        <v/>
      </c>
      <c r="C1231" s="60" t="n"/>
      <c r="D1231" s="60" t="n"/>
      <c r="E1231" s="60" t="n"/>
      <c r="F1231" s="60" t="n"/>
      <c r="G1231" s="60" t="n"/>
      <c r="H1231" s="60" t="n"/>
      <c r="I1231" s="60" t="n"/>
      <c r="J1231" s="60" t="n"/>
      <c r="K1231" s="60" t="n"/>
      <c r="L1231" s="60" t="n"/>
    </row>
    <row r="1232" ht="21" customHeight="1">
      <c r="A1232" s="59" t="n"/>
      <c r="B1232" s="42">
        <f>'設定'!$I$31</f>
        <v/>
      </c>
      <c r="C1232" s="60" t="n"/>
      <c r="D1232" s="60" t="n"/>
      <c r="E1232" s="60" t="n"/>
      <c r="F1232" s="60" t="n"/>
      <c r="G1232" s="60" t="n"/>
      <c r="H1232" s="60" t="n"/>
      <c r="I1232" s="60" t="n"/>
      <c r="J1232" s="60" t="n"/>
      <c r="K1232" s="60" t="n"/>
      <c r="L1232" s="60" t="n"/>
    </row>
    <row r="1233" ht="21" customHeight="1">
      <c r="A1233" s="59" t="n"/>
      <c r="B1233" s="42">
        <f>'設定'!$I$32</f>
        <v/>
      </c>
      <c r="C1233" s="60" t="n"/>
      <c r="D1233" s="60" t="n"/>
      <c r="E1233" s="60" t="n"/>
      <c r="F1233" s="60" t="n"/>
      <c r="G1233" s="60" t="n"/>
      <c r="H1233" s="60" t="n"/>
      <c r="I1233" s="60" t="n"/>
      <c r="J1233" s="60" t="n"/>
      <c r="K1233" s="60" t="n"/>
      <c r="L1233" s="60" t="n"/>
    </row>
    <row r="1234" ht="21" customHeight="1">
      <c r="A1234" s="59" t="n"/>
      <c r="B1234" s="42">
        <f>'設定'!$I$33</f>
        <v/>
      </c>
      <c r="C1234" s="60" t="n"/>
      <c r="D1234" s="60" t="n"/>
      <c r="E1234" s="60" t="n"/>
      <c r="F1234" s="60" t="n"/>
      <c r="G1234" s="60" t="n"/>
      <c r="H1234" s="60" t="n"/>
      <c r="I1234" s="60" t="n"/>
      <c r="J1234" s="60" t="n"/>
      <c r="K1234" s="60" t="n"/>
      <c r="L1234" s="60" t="n"/>
    </row>
    <row r="1235" ht="21" customHeight="1">
      <c r="A1235" s="59" t="n"/>
      <c r="B1235" s="42">
        <f>'設定'!$I$34</f>
        <v/>
      </c>
      <c r="C1235" s="60" t="n"/>
      <c r="D1235" s="60" t="n"/>
      <c r="E1235" s="60" t="n"/>
      <c r="F1235" s="60" t="n"/>
      <c r="G1235" s="60" t="n"/>
      <c r="H1235" s="60" t="n"/>
      <c r="I1235" s="60" t="n"/>
      <c r="J1235" s="60" t="n"/>
      <c r="K1235" s="60" t="n"/>
      <c r="L1235" s="60" t="n"/>
    </row>
    <row r="1236"/>
    <row r="1237" ht="26" customHeight="1">
      <c r="B1237" s="53">
        <f>IF('名簿'!B49="","（名簿 45行目：なし）",'名簿'!G49)</f>
        <v/>
      </c>
      <c r="C1237" s="4" t="n"/>
      <c r="D1237" s="4" t="n"/>
      <c r="E1237" s="54" t="inlineStr">
        <is>
          <t>提出状況 ▶</t>
        </is>
      </c>
      <c r="F1237" s="38" t="n"/>
      <c r="G1237" s="29" t="n"/>
      <c r="H1237" s="55" t="inlineStr">
        <is>
          <t>状況：</t>
        </is>
      </c>
      <c r="I1237" s="56">
        <f>'名簿'!H49</f>
        <v/>
      </c>
      <c r="J1237" s="55" t="inlineStr">
        <is>
          <t>×の数：</t>
        </is>
      </c>
      <c r="K1237" s="57">
        <f>'名簿'!I49</f>
        <v/>
      </c>
      <c r="L1237" s="4" t="n"/>
    </row>
    <row r="1238" ht="22" customHeight="1">
      <c r="A1238" s="30" t="inlineStr">
        <is>
          <t>この日全部 ▶</t>
        </is>
      </c>
      <c r="C1238" s="59" t="n"/>
      <c r="D1238" s="59" t="n"/>
      <c r="E1238" s="59" t="n"/>
      <c r="F1238" s="59" t="n"/>
      <c r="G1238" s="59" t="n"/>
      <c r="H1238" s="59" t="n"/>
      <c r="I1238" s="59" t="n"/>
      <c r="J1238" s="59" t="n"/>
      <c r="K1238" s="59" t="n"/>
      <c r="L1238" s="59" t="n"/>
    </row>
    <row r="1239" ht="28" customHeight="1">
      <c r="A1239" s="33" t="inlineStr">
        <is>
          <t>この時間
全部 ▼</t>
        </is>
      </c>
      <c r="B1239" s="34" t="inlineStr"/>
      <c r="C1239" s="35">
        <f>'設定'!$E$11</f>
        <v/>
      </c>
      <c r="D1239" s="35">
        <f>'設定'!$E$12</f>
        <v/>
      </c>
      <c r="E1239" s="35">
        <f>'設定'!$E$13</f>
        <v/>
      </c>
      <c r="F1239" s="35">
        <f>'設定'!$E$14</f>
        <v/>
      </c>
      <c r="G1239" s="35">
        <f>'設定'!$E$15</f>
        <v/>
      </c>
      <c r="H1239" s="35">
        <f>'設定'!$E$16</f>
        <v/>
      </c>
      <c r="I1239" s="35">
        <f>'設定'!$E$17</f>
        <v/>
      </c>
      <c r="J1239" s="35">
        <f>'設定'!$E$18</f>
        <v/>
      </c>
      <c r="K1239" s="35">
        <f>'設定'!$E$19</f>
        <v/>
      </c>
      <c r="L1239" s="35">
        <f>'設定'!$E$20</f>
        <v/>
      </c>
    </row>
    <row r="1240" ht="21" customHeight="1">
      <c r="A1240" s="59" t="n"/>
      <c r="B1240" s="42">
        <f>'設定'!$I$11</f>
        <v/>
      </c>
      <c r="C1240" s="60" t="n"/>
      <c r="D1240" s="60" t="n"/>
      <c r="E1240" s="60" t="n"/>
      <c r="F1240" s="60" t="n"/>
      <c r="G1240" s="60" t="n"/>
      <c r="H1240" s="60" t="n"/>
      <c r="I1240" s="60" t="n"/>
      <c r="J1240" s="60" t="n"/>
      <c r="K1240" s="60" t="n"/>
      <c r="L1240" s="60" t="n"/>
    </row>
    <row r="1241" ht="21" customHeight="1">
      <c r="A1241" s="59" t="n"/>
      <c r="B1241" s="42">
        <f>'設定'!$I$12</f>
        <v/>
      </c>
      <c r="C1241" s="60" t="n"/>
      <c r="D1241" s="60" t="n"/>
      <c r="E1241" s="60" t="n"/>
      <c r="F1241" s="60" t="n"/>
      <c r="G1241" s="60" t="n"/>
      <c r="H1241" s="60" t="n"/>
      <c r="I1241" s="60" t="n"/>
      <c r="J1241" s="60" t="n"/>
      <c r="K1241" s="60" t="n"/>
      <c r="L1241" s="60" t="n"/>
    </row>
    <row r="1242" ht="21" customHeight="1">
      <c r="A1242" s="59" t="n"/>
      <c r="B1242" s="42">
        <f>'設定'!$I$13</f>
        <v/>
      </c>
      <c r="C1242" s="60" t="n"/>
      <c r="D1242" s="60" t="n"/>
      <c r="E1242" s="60" t="n"/>
      <c r="F1242" s="60" t="n"/>
      <c r="G1242" s="60" t="n"/>
      <c r="H1242" s="60" t="n"/>
      <c r="I1242" s="60" t="n"/>
      <c r="J1242" s="60" t="n"/>
      <c r="K1242" s="60" t="n"/>
      <c r="L1242" s="60" t="n"/>
    </row>
    <row r="1243" ht="21" customHeight="1">
      <c r="A1243" s="59" t="n"/>
      <c r="B1243" s="42">
        <f>'設定'!$I$14</f>
        <v/>
      </c>
      <c r="C1243" s="60" t="n"/>
      <c r="D1243" s="60" t="n"/>
      <c r="E1243" s="60" t="n"/>
      <c r="F1243" s="60" t="n"/>
      <c r="G1243" s="60" t="n"/>
      <c r="H1243" s="60" t="n"/>
      <c r="I1243" s="60" t="n"/>
      <c r="J1243" s="60" t="n"/>
      <c r="K1243" s="60" t="n"/>
      <c r="L1243" s="60" t="n"/>
    </row>
    <row r="1244" ht="21" customHeight="1">
      <c r="A1244" s="59" t="n"/>
      <c r="B1244" s="42">
        <f>'設定'!$I$15</f>
        <v/>
      </c>
      <c r="C1244" s="60" t="n"/>
      <c r="D1244" s="60" t="n"/>
      <c r="E1244" s="60" t="n"/>
      <c r="F1244" s="60" t="n"/>
      <c r="G1244" s="60" t="n"/>
      <c r="H1244" s="60" t="n"/>
      <c r="I1244" s="60" t="n"/>
      <c r="J1244" s="60" t="n"/>
      <c r="K1244" s="60" t="n"/>
      <c r="L1244" s="60" t="n"/>
    </row>
    <row r="1245" ht="21" customHeight="1">
      <c r="A1245" s="59" t="n"/>
      <c r="B1245" s="42">
        <f>'設定'!$I$16</f>
        <v/>
      </c>
      <c r="C1245" s="60" t="n"/>
      <c r="D1245" s="60" t="n"/>
      <c r="E1245" s="60" t="n"/>
      <c r="F1245" s="60" t="n"/>
      <c r="G1245" s="60" t="n"/>
      <c r="H1245" s="60" t="n"/>
      <c r="I1245" s="60" t="n"/>
      <c r="J1245" s="60" t="n"/>
      <c r="K1245" s="60" t="n"/>
      <c r="L1245" s="60" t="n"/>
    </row>
    <row r="1246" ht="21" customHeight="1">
      <c r="A1246" s="59" t="n"/>
      <c r="B1246" s="42">
        <f>'設定'!$I$17</f>
        <v/>
      </c>
      <c r="C1246" s="60" t="n"/>
      <c r="D1246" s="60" t="n"/>
      <c r="E1246" s="60" t="n"/>
      <c r="F1246" s="60" t="n"/>
      <c r="G1246" s="60" t="n"/>
      <c r="H1246" s="60" t="n"/>
      <c r="I1246" s="60" t="n"/>
      <c r="J1246" s="60" t="n"/>
      <c r="K1246" s="60" t="n"/>
      <c r="L1246" s="60" t="n"/>
    </row>
    <row r="1247" ht="21" customHeight="1">
      <c r="A1247" s="59" t="n"/>
      <c r="B1247" s="42">
        <f>'設定'!$I$18</f>
        <v/>
      </c>
      <c r="C1247" s="60" t="n"/>
      <c r="D1247" s="60" t="n"/>
      <c r="E1247" s="60" t="n"/>
      <c r="F1247" s="60" t="n"/>
      <c r="G1247" s="60" t="n"/>
      <c r="H1247" s="60" t="n"/>
      <c r="I1247" s="60" t="n"/>
      <c r="J1247" s="60" t="n"/>
      <c r="K1247" s="60" t="n"/>
      <c r="L1247" s="60" t="n"/>
    </row>
    <row r="1248" ht="21" customHeight="1">
      <c r="A1248" s="59" t="n"/>
      <c r="B1248" s="42">
        <f>'設定'!$I$19</f>
        <v/>
      </c>
      <c r="C1248" s="60" t="n"/>
      <c r="D1248" s="60" t="n"/>
      <c r="E1248" s="60" t="n"/>
      <c r="F1248" s="60" t="n"/>
      <c r="G1248" s="60" t="n"/>
      <c r="H1248" s="60" t="n"/>
      <c r="I1248" s="60" t="n"/>
      <c r="J1248" s="60" t="n"/>
      <c r="K1248" s="60" t="n"/>
      <c r="L1248" s="60" t="n"/>
    </row>
    <row r="1249" ht="21" customHeight="1">
      <c r="A1249" s="59" t="n"/>
      <c r="B1249" s="42">
        <f>'設定'!$I$20</f>
        <v/>
      </c>
      <c r="C1249" s="60" t="n"/>
      <c r="D1249" s="60" t="n"/>
      <c r="E1249" s="60" t="n"/>
      <c r="F1249" s="60" t="n"/>
      <c r="G1249" s="60" t="n"/>
      <c r="H1249" s="60" t="n"/>
      <c r="I1249" s="60" t="n"/>
      <c r="J1249" s="60" t="n"/>
      <c r="K1249" s="60" t="n"/>
      <c r="L1249" s="60" t="n"/>
    </row>
    <row r="1250" ht="21" customHeight="1">
      <c r="A1250" s="59" t="n"/>
      <c r="B1250" s="42">
        <f>'設定'!$I$21</f>
        <v/>
      </c>
      <c r="C1250" s="60" t="n"/>
      <c r="D1250" s="60" t="n"/>
      <c r="E1250" s="60" t="n"/>
      <c r="F1250" s="60" t="n"/>
      <c r="G1250" s="60" t="n"/>
      <c r="H1250" s="60" t="n"/>
      <c r="I1250" s="60" t="n"/>
      <c r="J1250" s="60" t="n"/>
      <c r="K1250" s="60" t="n"/>
      <c r="L1250" s="60" t="n"/>
    </row>
    <row r="1251" ht="21" customHeight="1">
      <c r="A1251" s="59" t="n"/>
      <c r="B1251" s="42">
        <f>'設定'!$I$22</f>
        <v/>
      </c>
      <c r="C1251" s="60" t="n"/>
      <c r="D1251" s="60" t="n"/>
      <c r="E1251" s="60" t="n"/>
      <c r="F1251" s="60" t="n"/>
      <c r="G1251" s="60" t="n"/>
      <c r="H1251" s="60" t="n"/>
      <c r="I1251" s="60" t="n"/>
      <c r="J1251" s="60" t="n"/>
      <c r="K1251" s="60" t="n"/>
      <c r="L1251" s="60" t="n"/>
    </row>
    <row r="1252" ht="21" customHeight="1">
      <c r="A1252" s="59" t="n"/>
      <c r="B1252" s="42">
        <f>'設定'!$I$23</f>
        <v/>
      </c>
      <c r="C1252" s="60" t="n"/>
      <c r="D1252" s="60" t="n"/>
      <c r="E1252" s="60" t="n"/>
      <c r="F1252" s="60" t="n"/>
      <c r="G1252" s="60" t="n"/>
      <c r="H1252" s="60" t="n"/>
      <c r="I1252" s="60" t="n"/>
      <c r="J1252" s="60" t="n"/>
      <c r="K1252" s="60" t="n"/>
      <c r="L1252" s="60" t="n"/>
    </row>
    <row r="1253" ht="21" customHeight="1">
      <c r="A1253" s="59" t="n"/>
      <c r="B1253" s="42">
        <f>'設定'!$I$24</f>
        <v/>
      </c>
      <c r="C1253" s="60" t="n"/>
      <c r="D1253" s="60" t="n"/>
      <c r="E1253" s="60" t="n"/>
      <c r="F1253" s="60" t="n"/>
      <c r="G1253" s="60" t="n"/>
      <c r="H1253" s="60" t="n"/>
      <c r="I1253" s="60" t="n"/>
      <c r="J1253" s="60" t="n"/>
      <c r="K1253" s="60" t="n"/>
      <c r="L1253" s="60" t="n"/>
    </row>
    <row r="1254" ht="21" customHeight="1">
      <c r="A1254" s="59" t="n"/>
      <c r="B1254" s="42">
        <f>'設定'!$I$25</f>
        <v/>
      </c>
      <c r="C1254" s="60" t="n"/>
      <c r="D1254" s="60" t="n"/>
      <c r="E1254" s="60" t="n"/>
      <c r="F1254" s="60" t="n"/>
      <c r="G1254" s="60" t="n"/>
      <c r="H1254" s="60" t="n"/>
      <c r="I1254" s="60" t="n"/>
      <c r="J1254" s="60" t="n"/>
      <c r="K1254" s="60" t="n"/>
      <c r="L1254" s="60" t="n"/>
    </row>
    <row r="1255" ht="21" customHeight="1">
      <c r="A1255" s="59" t="n"/>
      <c r="B1255" s="42">
        <f>'設定'!$I$26</f>
        <v/>
      </c>
      <c r="C1255" s="60" t="n"/>
      <c r="D1255" s="60" t="n"/>
      <c r="E1255" s="60" t="n"/>
      <c r="F1255" s="60" t="n"/>
      <c r="G1255" s="60" t="n"/>
      <c r="H1255" s="60" t="n"/>
      <c r="I1255" s="60" t="n"/>
      <c r="J1255" s="60" t="n"/>
      <c r="K1255" s="60" t="n"/>
      <c r="L1255" s="60" t="n"/>
    </row>
    <row r="1256" ht="21" customHeight="1">
      <c r="A1256" s="59" t="n"/>
      <c r="B1256" s="42">
        <f>'設定'!$I$27</f>
        <v/>
      </c>
      <c r="C1256" s="60" t="n"/>
      <c r="D1256" s="60" t="n"/>
      <c r="E1256" s="60" t="n"/>
      <c r="F1256" s="60" t="n"/>
      <c r="G1256" s="60" t="n"/>
      <c r="H1256" s="60" t="n"/>
      <c r="I1256" s="60" t="n"/>
      <c r="J1256" s="60" t="n"/>
      <c r="K1256" s="60" t="n"/>
      <c r="L1256" s="60" t="n"/>
    </row>
    <row r="1257" ht="21" customHeight="1">
      <c r="A1257" s="59" t="n"/>
      <c r="B1257" s="42">
        <f>'設定'!$I$28</f>
        <v/>
      </c>
      <c r="C1257" s="60" t="n"/>
      <c r="D1257" s="60" t="n"/>
      <c r="E1257" s="60" t="n"/>
      <c r="F1257" s="60" t="n"/>
      <c r="G1257" s="60" t="n"/>
      <c r="H1257" s="60" t="n"/>
      <c r="I1257" s="60" t="n"/>
      <c r="J1257" s="60" t="n"/>
      <c r="K1257" s="60" t="n"/>
      <c r="L1257" s="60" t="n"/>
    </row>
    <row r="1258" ht="21" customHeight="1">
      <c r="A1258" s="59" t="n"/>
      <c r="B1258" s="42">
        <f>'設定'!$I$29</f>
        <v/>
      </c>
      <c r="C1258" s="60" t="n"/>
      <c r="D1258" s="60" t="n"/>
      <c r="E1258" s="60" t="n"/>
      <c r="F1258" s="60" t="n"/>
      <c r="G1258" s="60" t="n"/>
      <c r="H1258" s="60" t="n"/>
      <c r="I1258" s="60" t="n"/>
      <c r="J1258" s="60" t="n"/>
      <c r="K1258" s="60" t="n"/>
      <c r="L1258" s="60" t="n"/>
    </row>
    <row r="1259" ht="21" customHeight="1">
      <c r="A1259" s="59" t="n"/>
      <c r="B1259" s="42">
        <f>'設定'!$I$30</f>
        <v/>
      </c>
      <c r="C1259" s="60" t="n"/>
      <c r="D1259" s="60" t="n"/>
      <c r="E1259" s="60" t="n"/>
      <c r="F1259" s="60" t="n"/>
      <c r="G1259" s="60" t="n"/>
      <c r="H1259" s="60" t="n"/>
      <c r="I1259" s="60" t="n"/>
      <c r="J1259" s="60" t="n"/>
      <c r="K1259" s="60" t="n"/>
      <c r="L1259" s="60" t="n"/>
    </row>
    <row r="1260" ht="21" customHeight="1">
      <c r="A1260" s="59" t="n"/>
      <c r="B1260" s="42">
        <f>'設定'!$I$31</f>
        <v/>
      </c>
      <c r="C1260" s="60" t="n"/>
      <c r="D1260" s="60" t="n"/>
      <c r="E1260" s="60" t="n"/>
      <c r="F1260" s="60" t="n"/>
      <c r="G1260" s="60" t="n"/>
      <c r="H1260" s="60" t="n"/>
      <c r="I1260" s="60" t="n"/>
      <c r="J1260" s="60" t="n"/>
      <c r="K1260" s="60" t="n"/>
      <c r="L1260" s="60" t="n"/>
    </row>
    <row r="1261" ht="21" customHeight="1">
      <c r="A1261" s="59" t="n"/>
      <c r="B1261" s="42">
        <f>'設定'!$I$32</f>
        <v/>
      </c>
      <c r="C1261" s="60" t="n"/>
      <c r="D1261" s="60" t="n"/>
      <c r="E1261" s="60" t="n"/>
      <c r="F1261" s="60" t="n"/>
      <c r="G1261" s="60" t="n"/>
      <c r="H1261" s="60" t="n"/>
      <c r="I1261" s="60" t="n"/>
      <c r="J1261" s="60" t="n"/>
      <c r="K1261" s="60" t="n"/>
      <c r="L1261" s="60" t="n"/>
    </row>
    <row r="1262" ht="21" customHeight="1">
      <c r="A1262" s="59" t="n"/>
      <c r="B1262" s="42">
        <f>'設定'!$I$33</f>
        <v/>
      </c>
      <c r="C1262" s="60" t="n"/>
      <c r="D1262" s="60" t="n"/>
      <c r="E1262" s="60" t="n"/>
      <c r="F1262" s="60" t="n"/>
      <c r="G1262" s="60" t="n"/>
      <c r="H1262" s="60" t="n"/>
      <c r="I1262" s="60" t="n"/>
      <c r="J1262" s="60" t="n"/>
      <c r="K1262" s="60" t="n"/>
      <c r="L1262" s="60" t="n"/>
    </row>
    <row r="1263" ht="21" customHeight="1">
      <c r="A1263" s="59" t="n"/>
      <c r="B1263" s="42">
        <f>'設定'!$I$34</f>
        <v/>
      </c>
      <c r="C1263" s="60" t="n"/>
      <c r="D1263" s="60" t="n"/>
      <c r="E1263" s="60" t="n"/>
      <c r="F1263" s="60" t="n"/>
      <c r="G1263" s="60" t="n"/>
      <c r="H1263" s="60" t="n"/>
      <c r="I1263" s="60" t="n"/>
      <c r="J1263" s="60" t="n"/>
      <c r="K1263" s="60" t="n"/>
      <c r="L1263" s="60"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1"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HYPERLINK("#'調整・決定'!A1","⑤ 調整・決定")</f>
        <v/>
      </c>
      <c r="L1" s="2" t="n"/>
      <c r="M1" s="2" t="n"/>
      <c r="N1" s="2" t="n"/>
      <c r="O1" s="2" t="n"/>
    </row>
    <row r="2" ht="24" customHeight="1">
      <c r="A2" s="4" t="n"/>
      <c r="B2" s="52" t="inlineStr">
        <is>
          <t>入れられる枠が少ない家庭から順に、自動で組んだ案です。緑が新しく入った人。よければ表をコピーし（名前ボックスで「自動案の表」を選ぶと全体を選べます）、「調整・決定」の表の左上に［値の貼り付け］をします。</t>
        </is>
      </c>
      <c r="C2" s="4" t="n"/>
      <c r="D2" s="4" t="n"/>
      <c r="E2" s="4" t="n"/>
      <c r="F2" s="4" t="n"/>
      <c r="G2" s="4" t="n"/>
      <c r="H2" s="4" t="n"/>
      <c r="I2" s="4" t="n"/>
      <c r="J2" s="4" t="n"/>
      <c r="K2" s="4" t="n"/>
      <c r="L2" s="4" t="n"/>
      <c r="M2" s="4" t="n"/>
      <c r="N2" s="4" t="n"/>
      <c r="O2" s="4" t="n"/>
    </row>
    <row r="3" ht="24" customHeight="1">
      <c r="C3" s="61" t="inlineStr">
        <is>
          <t>新しく入った人</t>
        </is>
      </c>
      <c r="D3" s="62" t="inlineStr">
        <is>
          <t>後ろを空ける枠</t>
        </is>
      </c>
      <c r="E3" s="63" t="inlineStr">
        <is>
          <t>なるべく空ける日・休憩</t>
        </is>
      </c>
      <c r="F3" s="64" t="inlineStr">
        <is>
          <t>先生の都合で使えない</t>
        </is>
      </c>
    </row>
    <row r="4"/>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65" t="inlineStr">
        <is>
          <t>決定済み（調整・決定シート）</t>
        </is>
      </c>
      <c r="O5" s="66">
        <f>SUMPRODUCT(('調整・決定'!$C$6:$L$29&lt;&gt;"")*1)&amp;" 人"</f>
        <v/>
      </c>
    </row>
    <row r="6" ht="26" customHeight="1">
      <c r="B6" s="42">
        <f>'設定'!$I$11</f>
        <v/>
      </c>
      <c r="C6" s="23">
        <f>IF('計算A'!D$4=0,"",IF('調整・決定'!C6&lt;&gt;"",'調整・決定'!C6,IFERROR(INDEX('名簿'!$G$5:$G$49,INDEX('計算B'!$B$3:$B$47,MATCH(1,'計算B'!$C$3:$C$47,0))),"")))</f>
        <v/>
      </c>
      <c r="D6" s="23">
        <f>IF('計算A'!AB$4=0,"",IF('調整・決定'!D6&lt;&gt;"",'調整・決定'!D6,IFERROR(INDEX('名簿'!$G$5:$G$49,INDEX('計算B'!$B$3:$B$47,MATCH(25,'計算B'!$C$3:$C$47,0))),"")))</f>
        <v/>
      </c>
      <c r="E6" s="23">
        <f>IF('計算A'!AZ$4=0,"",IF('調整・決定'!E6&lt;&gt;"",'調整・決定'!E6,IFERROR(INDEX('名簿'!$G$5:$G$49,INDEX('計算B'!$B$3:$B$47,MATCH(49,'計算B'!$C$3:$C$47,0))),"")))</f>
        <v/>
      </c>
      <c r="F6" s="23">
        <f>IF('計算A'!BX$4=0,"",IF('調整・決定'!F6&lt;&gt;"",'調整・決定'!F6,IFERROR(INDEX('名簿'!$G$5:$G$49,INDEX('計算B'!$B$3:$B$47,MATCH(73,'計算B'!$C$3:$C$47,0))),"")))</f>
        <v/>
      </c>
      <c r="G6" s="23">
        <f>IF('計算A'!CV$4=0,"",IF('調整・決定'!G6&lt;&gt;"",'調整・決定'!G6,IFERROR(INDEX('名簿'!$G$5:$G$49,INDEX('計算B'!$B$3:$B$47,MATCH(97,'計算B'!$C$3:$C$47,0))),"")))</f>
        <v/>
      </c>
      <c r="H6" s="23">
        <f>IF('計算A'!DT$4=0,"",IF('調整・決定'!H6&lt;&gt;"",'調整・決定'!H6,IFERROR(INDEX('名簿'!$G$5:$G$49,INDEX('計算B'!$B$3:$B$47,MATCH(121,'計算B'!$C$3:$C$47,0))),"")))</f>
        <v/>
      </c>
      <c r="I6" s="23">
        <f>IF('計算A'!ER$4=0,"",IF('調整・決定'!I6&lt;&gt;"",'調整・決定'!I6,IFERROR(INDEX('名簿'!$G$5:$G$49,INDEX('計算B'!$B$3:$B$47,MATCH(145,'計算B'!$C$3:$C$47,0))),"")))</f>
        <v/>
      </c>
      <c r="J6" s="23">
        <f>IF('計算A'!FP$4=0,"",IF('調整・決定'!J6&lt;&gt;"",'調整・決定'!J6,IFERROR(INDEX('名簿'!$G$5:$G$49,INDEX('計算B'!$B$3:$B$47,MATCH(169,'計算B'!$C$3:$C$47,0))),"")))</f>
        <v/>
      </c>
      <c r="K6" s="23">
        <f>IF('計算A'!GN$4=0,"",IF('調整・決定'!K6&lt;&gt;"",'調整・決定'!K6,IFERROR(INDEX('名簿'!$G$5:$G$49,INDEX('計算B'!$B$3:$B$47,MATCH(193,'計算B'!$C$3:$C$47,0))),"")))</f>
        <v/>
      </c>
      <c r="L6" s="23">
        <f>IF('計算A'!HL$4=0,"",IF('調整・決定'!L6&lt;&gt;"",'調整・決定'!L6,IFERROR(INDEX('名簿'!$G$5:$G$49,INDEX('計算B'!$B$3:$B$47,MATCH(217,'計算B'!$C$3:$C$47,0))),"")))</f>
        <v/>
      </c>
      <c r="N6" s="65" t="inlineStr">
        <is>
          <t>自動で新しく入った</t>
        </is>
      </c>
      <c r="O6" s="66">
        <f>SUMPRODUCT(('計算B'!$B$3:$B$47&gt;0)*('計算B'!$C$3:$C$47&gt;0))&amp;" 人"</f>
        <v/>
      </c>
    </row>
    <row r="7" ht="26" customHeight="1">
      <c r="B7" s="42">
        <f>'設定'!$I$12</f>
        <v/>
      </c>
      <c r="C7" s="23">
        <f>IF('計算A'!E$4=0,"",IF('調整・決定'!C7&lt;&gt;"",'調整・決定'!C7,IFERROR(INDEX('名簿'!$G$5:$G$49,INDEX('計算B'!$B$3:$B$47,MATCH(2,'計算B'!$C$3:$C$47,0))),"")))</f>
        <v/>
      </c>
      <c r="D7" s="23">
        <f>IF('計算A'!AC$4=0,"",IF('調整・決定'!D7&lt;&gt;"",'調整・決定'!D7,IFERROR(INDEX('名簿'!$G$5:$G$49,INDEX('計算B'!$B$3:$B$47,MATCH(26,'計算B'!$C$3:$C$47,0))),"")))</f>
        <v/>
      </c>
      <c r="E7" s="23">
        <f>IF('計算A'!BA$4=0,"",IF('調整・決定'!E7&lt;&gt;"",'調整・決定'!E7,IFERROR(INDEX('名簿'!$G$5:$G$49,INDEX('計算B'!$B$3:$B$47,MATCH(50,'計算B'!$C$3:$C$47,0))),"")))</f>
        <v/>
      </c>
      <c r="F7" s="23">
        <f>IF('計算A'!BY$4=0,"",IF('調整・決定'!F7&lt;&gt;"",'調整・決定'!F7,IFERROR(INDEX('名簿'!$G$5:$G$49,INDEX('計算B'!$B$3:$B$47,MATCH(74,'計算B'!$C$3:$C$47,0))),"")))</f>
        <v/>
      </c>
      <c r="G7" s="23">
        <f>IF('計算A'!CW$4=0,"",IF('調整・決定'!G7&lt;&gt;"",'調整・決定'!G7,IFERROR(INDEX('名簿'!$G$5:$G$49,INDEX('計算B'!$B$3:$B$47,MATCH(98,'計算B'!$C$3:$C$47,0))),"")))</f>
        <v/>
      </c>
      <c r="H7" s="23">
        <f>IF('計算A'!DU$4=0,"",IF('調整・決定'!H7&lt;&gt;"",'調整・決定'!H7,IFERROR(INDEX('名簿'!$G$5:$G$49,INDEX('計算B'!$B$3:$B$47,MATCH(122,'計算B'!$C$3:$C$47,0))),"")))</f>
        <v/>
      </c>
      <c r="I7" s="23">
        <f>IF('計算A'!ES$4=0,"",IF('調整・決定'!I7&lt;&gt;"",'調整・決定'!I7,IFERROR(INDEX('名簿'!$G$5:$G$49,INDEX('計算B'!$B$3:$B$47,MATCH(146,'計算B'!$C$3:$C$47,0))),"")))</f>
        <v/>
      </c>
      <c r="J7" s="23">
        <f>IF('計算A'!FQ$4=0,"",IF('調整・決定'!J7&lt;&gt;"",'調整・決定'!J7,IFERROR(INDEX('名簿'!$G$5:$G$49,INDEX('計算B'!$B$3:$B$47,MATCH(170,'計算B'!$C$3:$C$47,0))),"")))</f>
        <v/>
      </c>
      <c r="K7" s="23">
        <f>IF('計算A'!GO$4=0,"",IF('調整・決定'!K7&lt;&gt;"",'調整・決定'!K7,IFERROR(INDEX('名簿'!$G$5:$G$49,INDEX('計算B'!$B$3:$B$47,MATCH(194,'計算B'!$C$3:$C$47,0))),"")))</f>
        <v/>
      </c>
      <c r="L7" s="23">
        <f>IF('計算A'!HM$4=0,"",IF('調整・決定'!L7&lt;&gt;"",'調整・決定'!L7,IFERROR(INDEX('名簿'!$G$5:$G$49,INDEX('計算B'!$B$3:$B$47,MATCH(218,'計算B'!$C$3:$C$47,0))),"")))</f>
        <v/>
      </c>
    </row>
    <row r="8" ht="30" customHeight="1">
      <c r="B8" s="42">
        <f>'設定'!$I$13</f>
        <v/>
      </c>
      <c r="C8" s="23">
        <f>IF('計算A'!F$4=0,"",IF('調整・決定'!C8&lt;&gt;"",'調整・決定'!C8,IFERROR(INDEX('名簿'!$G$5:$G$49,INDEX('計算B'!$B$3:$B$47,MATCH(3,'計算B'!$C$3:$C$47,0))),"")))</f>
        <v/>
      </c>
      <c r="D8" s="23">
        <f>IF('計算A'!AD$4=0,"",IF('調整・決定'!D8&lt;&gt;"",'調整・決定'!D8,IFERROR(INDEX('名簿'!$G$5:$G$49,INDEX('計算B'!$B$3:$B$47,MATCH(27,'計算B'!$C$3:$C$47,0))),"")))</f>
        <v/>
      </c>
      <c r="E8" s="23">
        <f>IF('計算A'!BB$4=0,"",IF('調整・決定'!E8&lt;&gt;"",'調整・決定'!E8,IFERROR(INDEX('名簿'!$G$5:$G$49,INDEX('計算B'!$B$3:$B$47,MATCH(51,'計算B'!$C$3:$C$47,0))),"")))</f>
        <v/>
      </c>
      <c r="F8" s="23">
        <f>IF('計算A'!BZ$4=0,"",IF('調整・決定'!F8&lt;&gt;"",'調整・決定'!F8,IFERROR(INDEX('名簿'!$G$5:$G$49,INDEX('計算B'!$B$3:$B$47,MATCH(75,'計算B'!$C$3:$C$47,0))),"")))</f>
        <v/>
      </c>
      <c r="G8" s="23">
        <f>IF('計算A'!CX$4=0,"",IF('調整・決定'!G8&lt;&gt;"",'調整・決定'!G8,IFERROR(INDEX('名簿'!$G$5:$G$49,INDEX('計算B'!$B$3:$B$47,MATCH(99,'計算B'!$C$3:$C$47,0))),"")))</f>
        <v/>
      </c>
      <c r="H8" s="23">
        <f>IF('計算A'!DV$4=0,"",IF('調整・決定'!H8&lt;&gt;"",'調整・決定'!H8,IFERROR(INDEX('名簿'!$G$5:$G$49,INDEX('計算B'!$B$3:$B$47,MATCH(123,'計算B'!$C$3:$C$47,0))),"")))</f>
        <v/>
      </c>
      <c r="I8" s="23">
        <f>IF('計算A'!ET$4=0,"",IF('調整・決定'!I8&lt;&gt;"",'調整・決定'!I8,IFERROR(INDEX('名簿'!$G$5:$G$49,INDEX('計算B'!$B$3:$B$47,MATCH(147,'計算B'!$C$3:$C$47,0))),"")))</f>
        <v/>
      </c>
      <c r="J8" s="23">
        <f>IF('計算A'!FR$4=0,"",IF('調整・決定'!J8&lt;&gt;"",'調整・決定'!J8,IFERROR(INDEX('名簿'!$G$5:$G$49,INDEX('計算B'!$B$3:$B$47,MATCH(171,'計算B'!$C$3:$C$47,0))),"")))</f>
        <v/>
      </c>
      <c r="K8" s="23">
        <f>IF('計算A'!GP$4=0,"",IF('調整・決定'!K8&lt;&gt;"",'調整・決定'!K8,IFERROR(INDEX('名簿'!$G$5:$G$49,INDEX('計算B'!$B$3:$B$47,MATCH(195,'計算B'!$C$3:$C$47,0))),"")))</f>
        <v/>
      </c>
      <c r="L8" s="23">
        <f>IF('計算A'!HN$4=0,"",IF('調整・決定'!L8&lt;&gt;"",'調整・決定'!L8,IFERROR(INDEX('名簿'!$G$5:$G$49,INDEX('計算B'!$B$3:$B$47,MATCH(219,'計算B'!$C$3:$C$47,0))),"")))</f>
        <v/>
      </c>
      <c r="N8" s="67" t="inlineStr">
        <is>
          <t>入る枠がない（×・必ず空けたい）</t>
        </is>
      </c>
      <c r="O8" s="68">
        <f t="array" ref="O8">_xlfn.TEXTJOIN("、",TRUE,IF('計算A'!$IL$10:$IL$54=1,'計算A'!$B$10:$B$54,""))</f>
        <v/>
      </c>
    </row>
    <row r="9" ht="26" customHeight="1">
      <c r="B9" s="42">
        <f>'設定'!$I$14</f>
        <v/>
      </c>
      <c r="C9" s="23">
        <f>IF('計算A'!G$4=0,"",IF('調整・決定'!C9&lt;&gt;"",'調整・決定'!C9,IFERROR(INDEX('名簿'!$G$5:$G$49,INDEX('計算B'!$B$3:$B$47,MATCH(4,'計算B'!$C$3:$C$47,0))),"")))</f>
        <v/>
      </c>
      <c r="D9" s="23">
        <f>IF('計算A'!AE$4=0,"",IF('調整・決定'!D9&lt;&gt;"",'調整・決定'!D9,IFERROR(INDEX('名簿'!$G$5:$G$49,INDEX('計算B'!$B$3:$B$47,MATCH(28,'計算B'!$C$3:$C$47,0))),"")))</f>
        <v/>
      </c>
      <c r="E9" s="23">
        <f>IF('計算A'!BC$4=0,"",IF('調整・決定'!E9&lt;&gt;"",'調整・決定'!E9,IFERROR(INDEX('名簿'!$G$5:$G$49,INDEX('計算B'!$B$3:$B$47,MATCH(52,'計算B'!$C$3:$C$47,0))),"")))</f>
        <v/>
      </c>
      <c r="F9" s="23">
        <f>IF('計算A'!CA$4=0,"",IF('調整・決定'!F9&lt;&gt;"",'調整・決定'!F9,IFERROR(INDEX('名簿'!$G$5:$G$49,INDEX('計算B'!$B$3:$B$47,MATCH(76,'計算B'!$C$3:$C$47,0))),"")))</f>
        <v/>
      </c>
      <c r="G9" s="23">
        <f>IF('計算A'!CY$4=0,"",IF('調整・決定'!G9&lt;&gt;"",'調整・決定'!G9,IFERROR(INDEX('名簿'!$G$5:$G$49,INDEX('計算B'!$B$3:$B$47,MATCH(100,'計算B'!$C$3:$C$47,0))),"")))</f>
        <v/>
      </c>
      <c r="H9" s="23">
        <f>IF('計算A'!DW$4=0,"",IF('調整・決定'!H9&lt;&gt;"",'調整・決定'!H9,IFERROR(INDEX('名簿'!$G$5:$G$49,INDEX('計算B'!$B$3:$B$47,MATCH(124,'計算B'!$C$3:$C$47,0))),"")))</f>
        <v/>
      </c>
      <c r="I9" s="23">
        <f>IF('計算A'!EU$4=0,"",IF('調整・決定'!I9&lt;&gt;"",'調整・決定'!I9,IFERROR(INDEX('名簿'!$G$5:$G$49,INDEX('計算B'!$B$3:$B$47,MATCH(148,'計算B'!$C$3:$C$47,0))),"")))</f>
        <v/>
      </c>
      <c r="J9" s="23">
        <f>IF('計算A'!FS$4=0,"",IF('調整・決定'!J9&lt;&gt;"",'調整・決定'!J9,IFERROR(INDEX('名簿'!$G$5:$G$49,INDEX('計算B'!$B$3:$B$47,MATCH(172,'計算B'!$C$3:$C$47,0))),"")))</f>
        <v/>
      </c>
      <c r="K9" s="23">
        <f>IF('計算A'!GQ$4=0,"",IF('調整・決定'!K9&lt;&gt;"",'調整・決定'!K9,IFERROR(INDEX('名簿'!$G$5:$G$49,INDEX('計算B'!$B$3:$B$47,MATCH(196,'計算B'!$C$3:$C$47,0))),"")))</f>
        <v/>
      </c>
      <c r="L9" s="23">
        <f>IF('計算A'!HO$4=0,"",IF('調整・決定'!L9&lt;&gt;"",'調整・決定'!L9,IFERROR(INDEX('名簿'!$G$5:$G$49,INDEX('計算B'!$B$3:$B$47,MATCH(220,'計算B'!$C$3:$C$47,0))),"")))</f>
        <v/>
      </c>
    </row>
    <row r="10" ht="30" customHeight="1">
      <c r="B10" s="42">
        <f>'設定'!$I$15</f>
        <v/>
      </c>
      <c r="C10" s="23">
        <f>IF('計算A'!H$4=0,"",IF('調整・決定'!C10&lt;&gt;"",'調整・決定'!C10,IFERROR(INDEX('名簿'!$G$5:$G$49,INDEX('計算B'!$B$3:$B$47,MATCH(5,'計算B'!$C$3:$C$47,0))),"")))</f>
        <v/>
      </c>
      <c r="D10" s="23">
        <f>IF('計算A'!AF$4=0,"",IF('調整・決定'!D10&lt;&gt;"",'調整・決定'!D10,IFERROR(INDEX('名簿'!$G$5:$G$49,INDEX('計算B'!$B$3:$B$47,MATCH(29,'計算B'!$C$3:$C$47,0))),"")))</f>
        <v/>
      </c>
      <c r="E10" s="23">
        <f>IF('計算A'!BD$4=0,"",IF('調整・決定'!E10&lt;&gt;"",'調整・決定'!E10,IFERROR(INDEX('名簿'!$G$5:$G$49,INDEX('計算B'!$B$3:$B$47,MATCH(53,'計算B'!$C$3:$C$47,0))),"")))</f>
        <v/>
      </c>
      <c r="F10" s="23">
        <f>IF('計算A'!CB$4=0,"",IF('調整・決定'!F10&lt;&gt;"",'調整・決定'!F10,IFERROR(INDEX('名簿'!$G$5:$G$49,INDEX('計算B'!$B$3:$B$47,MATCH(77,'計算B'!$C$3:$C$47,0))),"")))</f>
        <v/>
      </c>
      <c r="G10" s="23">
        <f>IF('計算A'!CZ$4=0,"",IF('調整・決定'!G10&lt;&gt;"",'調整・決定'!G10,IFERROR(INDEX('名簿'!$G$5:$G$49,INDEX('計算B'!$B$3:$B$47,MATCH(101,'計算B'!$C$3:$C$47,0))),"")))</f>
        <v/>
      </c>
      <c r="H10" s="23">
        <f>IF('計算A'!DX$4=0,"",IF('調整・決定'!H10&lt;&gt;"",'調整・決定'!H10,IFERROR(INDEX('名簿'!$G$5:$G$49,INDEX('計算B'!$B$3:$B$47,MATCH(125,'計算B'!$C$3:$C$47,0))),"")))</f>
        <v/>
      </c>
      <c r="I10" s="23">
        <f>IF('計算A'!EV$4=0,"",IF('調整・決定'!I10&lt;&gt;"",'調整・決定'!I10,IFERROR(INDEX('名簿'!$G$5:$G$49,INDEX('計算B'!$B$3:$B$47,MATCH(149,'計算B'!$C$3:$C$47,0))),"")))</f>
        <v/>
      </c>
      <c r="J10" s="23">
        <f>IF('計算A'!FT$4=0,"",IF('調整・決定'!J10&lt;&gt;"",'調整・決定'!J10,IFERROR(INDEX('名簿'!$G$5:$G$49,INDEX('計算B'!$B$3:$B$47,MATCH(173,'計算B'!$C$3:$C$47,0))),"")))</f>
        <v/>
      </c>
      <c r="K10" s="23">
        <f>IF('計算A'!GR$4=0,"",IF('調整・決定'!K10&lt;&gt;"",'調整・決定'!K10,IFERROR(INDEX('名簿'!$G$5:$G$49,INDEX('計算B'!$B$3:$B$47,MATCH(197,'計算B'!$C$3:$C$47,0))),"")))</f>
        <v/>
      </c>
      <c r="L10" s="23">
        <f>IF('計算A'!HP$4=0,"",IF('調整・決定'!L10&lt;&gt;"",'調整・決定'!L10,IFERROR(INDEX('名簿'!$G$5:$G$49,INDEX('計算B'!$B$3:$B$47,MATCH(221,'計算B'!$C$3:$C$47,0))),"")))</f>
        <v/>
      </c>
      <c r="N10" s="69" t="inlineStr">
        <is>
          <t>未入力・未提出で外した</t>
        </is>
      </c>
      <c r="O10" s="70">
        <f t="array" ref="O10">_xlfn.TEXTJOIN("、",TRUE,IF((('名簿'!$H$5:$H$49="未入力")+('名簿'!$H$5:$H$49="未提出"))*('計算A'!$IO$10:$IO$54=0),'名簿'!$G$5:$G$49,""))</f>
        <v/>
      </c>
    </row>
    <row r="11" ht="26" customHeight="1">
      <c r="B11" s="42">
        <f>'設定'!$I$16</f>
        <v/>
      </c>
      <c r="C11" s="23">
        <f>IF('計算A'!I$4=0,"",IF('調整・決定'!C11&lt;&gt;"",'調整・決定'!C11,IFERROR(INDEX('名簿'!$G$5:$G$49,INDEX('計算B'!$B$3:$B$47,MATCH(6,'計算B'!$C$3:$C$47,0))),"")))</f>
        <v/>
      </c>
      <c r="D11" s="23">
        <f>IF('計算A'!AG$4=0,"",IF('調整・決定'!D11&lt;&gt;"",'調整・決定'!D11,IFERROR(INDEX('名簿'!$G$5:$G$49,INDEX('計算B'!$B$3:$B$47,MATCH(30,'計算B'!$C$3:$C$47,0))),"")))</f>
        <v/>
      </c>
      <c r="E11" s="23">
        <f>IF('計算A'!BE$4=0,"",IF('調整・決定'!E11&lt;&gt;"",'調整・決定'!E11,IFERROR(INDEX('名簿'!$G$5:$G$49,INDEX('計算B'!$B$3:$B$47,MATCH(54,'計算B'!$C$3:$C$47,0))),"")))</f>
        <v/>
      </c>
      <c r="F11" s="23">
        <f>IF('計算A'!CC$4=0,"",IF('調整・決定'!F11&lt;&gt;"",'調整・決定'!F11,IFERROR(INDEX('名簿'!$G$5:$G$49,INDEX('計算B'!$B$3:$B$47,MATCH(78,'計算B'!$C$3:$C$47,0))),"")))</f>
        <v/>
      </c>
      <c r="G11" s="23">
        <f>IF('計算A'!DA$4=0,"",IF('調整・決定'!G11&lt;&gt;"",'調整・決定'!G11,IFERROR(INDEX('名簿'!$G$5:$G$49,INDEX('計算B'!$B$3:$B$47,MATCH(102,'計算B'!$C$3:$C$47,0))),"")))</f>
        <v/>
      </c>
      <c r="H11" s="23">
        <f>IF('計算A'!DY$4=0,"",IF('調整・決定'!H11&lt;&gt;"",'調整・決定'!H11,IFERROR(INDEX('名簿'!$G$5:$G$49,INDEX('計算B'!$B$3:$B$47,MATCH(126,'計算B'!$C$3:$C$47,0))),"")))</f>
        <v/>
      </c>
      <c r="I11" s="23">
        <f>IF('計算A'!EW$4=0,"",IF('調整・決定'!I11&lt;&gt;"",'調整・決定'!I11,IFERROR(INDEX('名簿'!$G$5:$G$49,INDEX('計算B'!$B$3:$B$47,MATCH(150,'計算B'!$C$3:$C$47,0))),"")))</f>
        <v/>
      </c>
      <c r="J11" s="23">
        <f>IF('計算A'!FU$4=0,"",IF('調整・決定'!J11&lt;&gt;"",'調整・決定'!J11,IFERROR(INDEX('名簿'!$G$5:$G$49,INDEX('計算B'!$B$3:$B$47,MATCH(174,'計算B'!$C$3:$C$47,0))),"")))</f>
        <v/>
      </c>
      <c r="K11" s="23">
        <f>IF('計算A'!GS$4=0,"",IF('調整・決定'!K11&lt;&gt;"",'調整・決定'!K11,IFERROR(INDEX('名簿'!$G$5:$G$49,INDEX('計算B'!$B$3:$B$47,MATCH(198,'計算B'!$C$3:$C$47,0))),"")))</f>
        <v/>
      </c>
      <c r="L11" s="23">
        <f>IF('計算A'!HQ$4=0,"",IF('調整・決定'!L11&lt;&gt;"",'調整・決定'!L11,IFERROR(INDEX('名簿'!$G$5:$G$49,INDEX('計算B'!$B$3:$B$47,MATCH(222,'計算B'!$C$3:$C$47,0))),"")))</f>
        <v/>
      </c>
    </row>
    <row r="12" ht="26" customHeight="1">
      <c r="B12" s="42">
        <f>'設定'!$I$17</f>
        <v/>
      </c>
      <c r="C12" s="23">
        <f>IF('計算A'!J$4=0,"",IF('調整・決定'!C12&lt;&gt;"",'調整・決定'!C12,IFERROR(INDEX('名簿'!$G$5:$G$49,INDEX('計算B'!$B$3:$B$47,MATCH(7,'計算B'!$C$3:$C$47,0))),"")))</f>
        <v/>
      </c>
      <c r="D12" s="23">
        <f>IF('計算A'!AH$4=0,"",IF('調整・決定'!D12&lt;&gt;"",'調整・決定'!D12,IFERROR(INDEX('名簿'!$G$5:$G$49,INDEX('計算B'!$B$3:$B$47,MATCH(31,'計算B'!$C$3:$C$47,0))),"")))</f>
        <v/>
      </c>
      <c r="E12" s="23">
        <f>IF('計算A'!BF$4=0,"",IF('調整・決定'!E12&lt;&gt;"",'調整・決定'!E12,IFERROR(INDEX('名簿'!$G$5:$G$49,INDEX('計算B'!$B$3:$B$47,MATCH(55,'計算B'!$C$3:$C$47,0))),"")))</f>
        <v/>
      </c>
      <c r="F12" s="23">
        <f>IF('計算A'!CD$4=0,"",IF('調整・決定'!F12&lt;&gt;"",'調整・決定'!F12,IFERROR(INDEX('名簿'!$G$5:$G$49,INDEX('計算B'!$B$3:$B$47,MATCH(79,'計算B'!$C$3:$C$47,0))),"")))</f>
        <v/>
      </c>
      <c r="G12" s="23">
        <f>IF('計算A'!DB$4=0,"",IF('調整・決定'!G12&lt;&gt;"",'調整・決定'!G12,IFERROR(INDEX('名簿'!$G$5:$G$49,INDEX('計算B'!$B$3:$B$47,MATCH(103,'計算B'!$C$3:$C$47,0))),"")))</f>
        <v/>
      </c>
      <c r="H12" s="23">
        <f>IF('計算A'!DZ$4=0,"",IF('調整・決定'!H12&lt;&gt;"",'調整・決定'!H12,IFERROR(INDEX('名簿'!$G$5:$G$49,INDEX('計算B'!$B$3:$B$47,MATCH(127,'計算B'!$C$3:$C$47,0))),"")))</f>
        <v/>
      </c>
      <c r="I12" s="23">
        <f>IF('計算A'!EX$4=0,"",IF('調整・決定'!I12&lt;&gt;"",'調整・決定'!I12,IFERROR(INDEX('名簿'!$G$5:$G$49,INDEX('計算B'!$B$3:$B$47,MATCH(151,'計算B'!$C$3:$C$47,0))),"")))</f>
        <v/>
      </c>
      <c r="J12" s="23">
        <f>IF('計算A'!FV$4=0,"",IF('調整・決定'!J12&lt;&gt;"",'調整・決定'!J12,IFERROR(INDEX('名簿'!$G$5:$G$49,INDEX('計算B'!$B$3:$B$47,MATCH(175,'計算B'!$C$3:$C$47,0))),"")))</f>
        <v/>
      </c>
      <c r="K12" s="23">
        <f>IF('計算A'!GT$4=0,"",IF('調整・決定'!K12&lt;&gt;"",'調整・決定'!K12,IFERROR(INDEX('名簿'!$G$5:$G$49,INDEX('計算B'!$B$3:$B$47,MATCH(199,'計算B'!$C$3:$C$47,0))),"")))</f>
        <v/>
      </c>
      <c r="L12" s="23">
        <f>IF('計算A'!HR$4=0,"",IF('調整・決定'!L12&lt;&gt;"",'調整・決定'!L12,IFERROR(INDEX('名簿'!$G$5:$G$49,INDEX('計算B'!$B$3:$B$47,MATCH(223,'計算B'!$C$3:$C$47,0))),"")))</f>
        <v/>
      </c>
      <c r="N12" s="65" t="inlineStr">
        <is>
          <t>なるべく空けたい枠を使った</t>
        </is>
      </c>
      <c r="O12" s="66">
        <f>SUM('計算B'!$D$3:$D$47)&amp;" 枠"</f>
        <v/>
      </c>
    </row>
    <row r="13" ht="26" customHeight="1">
      <c r="B13" s="42">
        <f>'設定'!$I$18</f>
        <v/>
      </c>
      <c r="C13" s="23">
        <f>IF('計算A'!K$4=0,"",IF('調整・決定'!C13&lt;&gt;"",'調整・決定'!C13,IFERROR(INDEX('名簿'!$G$5:$G$49,INDEX('計算B'!$B$3:$B$47,MATCH(8,'計算B'!$C$3:$C$47,0))),"")))</f>
        <v/>
      </c>
      <c r="D13" s="23">
        <f>IF('計算A'!AI$4=0,"",IF('調整・決定'!D13&lt;&gt;"",'調整・決定'!D13,IFERROR(INDEX('名簿'!$G$5:$G$49,INDEX('計算B'!$B$3:$B$47,MATCH(32,'計算B'!$C$3:$C$47,0))),"")))</f>
        <v/>
      </c>
      <c r="E13" s="23">
        <f>IF('計算A'!BG$4=0,"",IF('調整・決定'!E13&lt;&gt;"",'調整・決定'!E13,IFERROR(INDEX('名簿'!$G$5:$G$49,INDEX('計算B'!$B$3:$B$47,MATCH(56,'計算B'!$C$3:$C$47,0))),"")))</f>
        <v/>
      </c>
      <c r="F13" s="23">
        <f>IF('計算A'!CE$4=0,"",IF('調整・決定'!F13&lt;&gt;"",'調整・決定'!F13,IFERROR(INDEX('名簿'!$G$5:$G$49,INDEX('計算B'!$B$3:$B$47,MATCH(80,'計算B'!$C$3:$C$47,0))),"")))</f>
        <v/>
      </c>
      <c r="G13" s="23">
        <f>IF('計算A'!DC$4=0,"",IF('調整・決定'!G13&lt;&gt;"",'調整・決定'!G13,IFERROR(INDEX('名簿'!$G$5:$G$49,INDEX('計算B'!$B$3:$B$47,MATCH(104,'計算B'!$C$3:$C$47,0))),"")))</f>
        <v/>
      </c>
      <c r="H13" s="23">
        <f>IF('計算A'!EA$4=0,"",IF('調整・決定'!H13&lt;&gt;"",'調整・決定'!H13,IFERROR(INDEX('名簿'!$G$5:$G$49,INDEX('計算B'!$B$3:$B$47,MATCH(128,'計算B'!$C$3:$C$47,0))),"")))</f>
        <v/>
      </c>
      <c r="I13" s="23">
        <f>IF('計算A'!EY$4=0,"",IF('調整・決定'!I13&lt;&gt;"",'調整・決定'!I13,IFERROR(INDEX('名簿'!$G$5:$G$49,INDEX('計算B'!$B$3:$B$47,MATCH(152,'計算B'!$C$3:$C$47,0))),"")))</f>
        <v/>
      </c>
      <c r="J13" s="23">
        <f>IF('計算A'!FW$4=0,"",IF('調整・決定'!J13&lt;&gt;"",'調整・決定'!J13,IFERROR(INDEX('名簿'!$G$5:$G$49,INDEX('計算B'!$B$3:$B$47,MATCH(176,'計算B'!$C$3:$C$47,0))),"")))</f>
        <v/>
      </c>
      <c r="K13" s="23">
        <f>IF('計算A'!GU$4=0,"",IF('調整・決定'!K13&lt;&gt;"",'調整・決定'!K13,IFERROR(INDEX('名簿'!$G$5:$G$49,INDEX('計算B'!$B$3:$B$47,MATCH(200,'計算B'!$C$3:$C$47,0))),"")))</f>
        <v/>
      </c>
      <c r="L13" s="23">
        <f>IF('計算A'!HS$4=0,"",IF('調整・決定'!L13&lt;&gt;"",'調整・決定'!L13,IFERROR(INDEX('名簿'!$G$5:$G$49,INDEX('計算B'!$B$3:$B$47,MATCH(224,'計算B'!$C$3:$C$47,0))),"")))</f>
        <v/>
      </c>
    </row>
    <row r="14" ht="26" customHeight="1">
      <c r="B14" s="42">
        <f>'設定'!$I$19</f>
        <v/>
      </c>
      <c r="C14" s="23">
        <f>IF('計算A'!L$4=0,"",IF('調整・決定'!C14&lt;&gt;"",'調整・決定'!C14,IFERROR(INDEX('名簿'!$G$5:$G$49,INDEX('計算B'!$B$3:$B$47,MATCH(9,'計算B'!$C$3:$C$47,0))),"")))</f>
        <v/>
      </c>
      <c r="D14" s="23">
        <f>IF('計算A'!AJ$4=0,"",IF('調整・決定'!D14&lt;&gt;"",'調整・決定'!D14,IFERROR(INDEX('名簿'!$G$5:$G$49,INDEX('計算B'!$B$3:$B$47,MATCH(33,'計算B'!$C$3:$C$47,0))),"")))</f>
        <v/>
      </c>
      <c r="E14" s="23">
        <f>IF('計算A'!BH$4=0,"",IF('調整・決定'!E14&lt;&gt;"",'調整・決定'!E14,IFERROR(INDEX('名簿'!$G$5:$G$49,INDEX('計算B'!$B$3:$B$47,MATCH(57,'計算B'!$C$3:$C$47,0))),"")))</f>
        <v/>
      </c>
      <c r="F14" s="23">
        <f>IF('計算A'!CF$4=0,"",IF('調整・決定'!F14&lt;&gt;"",'調整・決定'!F14,IFERROR(INDEX('名簿'!$G$5:$G$49,INDEX('計算B'!$B$3:$B$47,MATCH(81,'計算B'!$C$3:$C$47,0))),"")))</f>
        <v/>
      </c>
      <c r="G14" s="23">
        <f>IF('計算A'!DD$4=0,"",IF('調整・決定'!G14&lt;&gt;"",'調整・決定'!G14,IFERROR(INDEX('名簿'!$G$5:$G$49,INDEX('計算B'!$B$3:$B$47,MATCH(105,'計算B'!$C$3:$C$47,0))),"")))</f>
        <v/>
      </c>
      <c r="H14" s="23">
        <f>IF('計算A'!EB$4=0,"",IF('調整・決定'!H14&lt;&gt;"",'調整・決定'!H14,IFERROR(INDEX('名簿'!$G$5:$G$49,INDEX('計算B'!$B$3:$B$47,MATCH(129,'計算B'!$C$3:$C$47,0))),"")))</f>
        <v/>
      </c>
      <c r="I14" s="23">
        <f>IF('計算A'!EZ$4=0,"",IF('調整・決定'!I14&lt;&gt;"",'調整・決定'!I14,IFERROR(INDEX('名簿'!$G$5:$G$49,INDEX('計算B'!$B$3:$B$47,MATCH(153,'計算B'!$C$3:$C$47,0))),"")))</f>
        <v/>
      </c>
      <c r="J14" s="23">
        <f>IF('計算A'!FX$4=0,"",IF('調整・決定'!J14&lt;&gt;"",'調整・決定'!J14,IFERROR(INDEX('名簿'!$G$5:$G$49,INDEX('計算B'!$B$3:$B$47,MATCH(177,'計算B'!$C$3:$C$47,0))),"")))</f>
        <v/>
      </c>
      <c r="K14" s="23">
        <f>IF('計算A'!GV$4=0,"",IF('調整・決定'!K14&lt;&gt;"",'調整・決定'!K14,IFERROR(INDEX('名簿'!$G$5:$G$49,INDEX('計算B'!$B$3:$B$47,MATCH(201,'計算B'!$C$3:$C$47,0))),"")))</f>
        <v/>
      </c>
      <c r="L14" s="23">
        <f>IF('計算A'!HT$4=0,"",IF('調整・決定'!L14&lt;&gt;"",'調整・決定'!L14,IFERROR(INDEX('名簿'!$G$5:$G$49,INDEX('計算B'!$B$3:$B$47,MATCH(225,'計算B'!$C$3:$C$47,0))),"")))</f>
        <v/>
      </c>
    </row>
    <row r="15" ht="26" customHeight="1">
      <c r="B15" s="42">
        <f>'設定'!$I$20</f>
        <v/>
      </c>
      <c r="C15" s="23">
        <f>IF('計算A'!M$4=0,"",IF('調整・決定'!C15&lt;&gt;"",'調整・決定'!C15,IFERROR(INDEX('名簿'!$G$5:$G$49,INDEX('計算B'!$B$3:$B$47,MATCH(10,'計算B'!$C$3:$C$47,0))),"")))</f>
        <v/>
      </c>
      <c r="D15" s="23">
        <f>IF('計算A'!AK$4=0,"",IF('調整・決定'!D15&lt;&gt;"",'調整・決定'!D15,IFERROR(INDEX('名簿'!$G$5:$G$49,INDEX('計算B'!$B$3:$B$47,MATCH(34,'計算B'!$C$3:$C$47,0))),"")))</f>
        <v/>
      </c>
      <c r="E15" s="23">
        <f>IF('計算A'!BI$4=0,"",IF('調整・決定'!E15&lt;&gt;"",'調整・決定'!E15,IFERROR(INDEX('名簿'!$G$5:$G$49,INDEX('計算B'!$B$3:$B$47,MATCH(58,'計算B'!$C$3:$C$47,0))),"")))</f>
        <v/>
      </c>
      <c r="F15" s="23">
        <f>IF('計算A'!CG$4=0,"",IF('調整・決定'!F15&lt;&gt;"",'調整・決定'!F15,IFERROR(INDEX('名簿'!$G$5:$G$49,INDEX('計算B'!$B$3:$B$47,MATCH(82,'計算B'!$C$3:$C$47,0))),"")))</f>
        <v/>
      </c>
      <c r="G15" s="23">
        <f>IF('計算A'!DE$4=0,"",IF('調整・決定'!G15&lt;&gt;"",'調整・決定'!G15,IFERROR(INDEX('名簿'!$G$5:$G$49,INDEX('計算B'!$B$3:$B$47,MATCH(106,'計算B'!$C$3:$C$47,0))),"")))</f>
        <v/>
      </c>
      <c r="H15" s="23">
        <f>IF('計算A'!EC$4=0,"",IF('調整・決定'!H15&lt;&gt;"",'調整・決定'!H15,IFERROR(INDEX('名簿'!$G$5:$G$49,INDEX('計算B'!$B$3:$B$47,MATCH(130,'計算B'!$C$3:$C$47,0))),"")))</f>
        <v/>
      </c>
      <c r="I15" s="23">
        <f>IF('計算A'!FA$4=0,"",IF('調整・決定'!I15&lt;&gt;"",'調整・決定'!I15,IFERROR(INDEX('名簿'!$G$5:$G$49,INDEX('計算B'!$B$3:$B$47,MATCH(154,'計算B'!$C$3:$C$47,0))),"")))</f>
        <v/>
      </c>
      <c r="J15" s="23">
        <f>IF('計算A'!FY$4=0,"",IF('調整・決定'!J15&lt;&gt;"",'調整・決定'!J15,IFERROR(INDEX('名簿'!$G$5:$G$49,INDEX('計算B'!$B$3:$B$47,MATCH(178,'計算B'!$C$3:$C$47,0))),"")))</f>
        <v/>
      </c>
      <c r="K15" s="23">
        <f>IF('計算A'!GW$4=0,"",IF('調整・決定'!K15&lt;&gt;"",'調整・決定'!K15,IFERROR(INDEX('名簿'!$G$5:$G$49,INDEX('計算B'!$B$3:$B$47,MATCH(202,'計算B'!$C$3:$C$47,0))),"")))</f>
        <v/>
      </c>
      <c r="L15" s="23">
        <f>IF('計算A'!HU$4=0,"",IF('調整・決定'!L15&lt;&gt;"",'調整・決定'!L15,IFERROR(INDEX('名簿'!$G$5:$G$49,INDEX('計算B'!$B$3:$B$47,MATCH(226,'計算B'!$C$3:$C$47,0))),"")))</f>
        <v/>
      </c>
    </row>
    <row r="16" ht="26" customHeight="1">
      <c r="B16" s="42">
        <f>'設定'!$I$21</f>
        <v/>
      </c>
      <c r="C16" s="23">
        <f>IF('計算A'!N$4=0,"",IF('調整・決定'!C16&lt;&gt;"",'調整・決定'!C16,IFERROR(INDEX('名簿'!$G$5:$G$49,INDEX('計算B'!$B$3:$B$47,MATCH(11,'計算B'!$C$3:$C$47,0))),"")))</f>
        <v/>
      </c>
      <c r="D16" s="23">
        <f>IF('計算A'!AL$4=0,"",IF('調整・決定'!D16&lt;&gt;"",'調整・決定'!D16,IFERROR(INDEX('名簿'!$G$5:$G$49,INDEX('計算B'!$B$3:$B$47,MATCH(35,'計算B'!$C$3:$C$47,0))),"")))</f>
        <v/>
      </c>
      <c r="E16" s="23">
        <f>IF('計算A'!BJ$4=0,"",IF('調整・決定'!E16&lt;&gt;"",'調整・決定'!E16,IFERROR(INDEX('名簿'!$G$5:$G$49,INDEX('計算B'!$B$3:$B$47,MATCH(59,'計算B'!$C$3:$C$47,0))),"")))</f>
        <v/>
      </c>
      <c r="F16" s="23">
        <f>IF('計算A'!CH$4=0,"",IF('調整・決定'!F16&lt;&gt;"",'調整・決定'!F16,IFERROR(INDEX('名簿'!$G$5:$G$49,INDEX('計算B'!$B$3:$B$47,MATCH(83,'計算B'!$C$3:$C$47,0))),"")))</f>
        <v/>
      </c>
      <c r="G16" s="23">
        <f>IF('計算A'!DF$4=0,"",IF('調整・決定'!G16&lt;&gt;"",'調整・決定'!G16,IFERROR(INDEX('名簿'!$G$5:$G$49,INDEX('計算B'!$B$3:$B$47,MATCH(107,'計算B'!$C$3:$C$47,0))),"")))</f>
        <v/>
      </c>
      <c r="H16" s="23">
        <f>IF('計算A'!ED$4=0,"",IF('調整・決定'!H16&lt;&gt;"",'調整・決定'!H16,IFERROR(INDEX('名簿'!$G$5:$G$49,INDEX('計算B'!$B$3:$B$47,MATCH(131,'計算B'!$C$3:$C$47,0))),"")))</f>
        <v/>
      </c>
      <c r="I16" s="23">
        <f>IF('計算A'!FB$4=0,"",IF('調整・決定'!I16&lt;&gt;"",'調整・決定'!I16,IFERROR(INDEX('名簿'!$G$5:$G$49,INDEX('計算B'!$B$3:$B$47,MATCH(155,'計算B'!$C$3:$C$47,0))),"")))</f>
        <v/>
      </c>
      <c r="J16" s="23">
        <f>IF('計算A'!FZ$4=0,"",IF('調整・決定'!J16&lt;&gt;"",'調整・決定'!J16,IFERROR(INDEX('名簿'!$G$5:$G$49,INDEX('計算B'!$B$3:$B$47,MATCH(179,'計算B'!$C$3:$C$47,0))),"")))</f>
        <v/>
      </c>
      <c r="K16" s="23">
        <f>IF('計算A'!GX$4=0,"",IF('調整・決定'!K16&lt;&gt;"",'調整・決定'!K16,IFERROR(INDEX('名簿'!$G$5:$G$49,INDEX('計算B'!$B$3:$B$47,MATCH(203,'計算B'!$C$3:$C$47,0))),"")))</f>
        <v/>
      </c>
      <c r="L16" s="23">
        <f>IF('計算A'!HV$4=0,"",IF('調整・決定'!L16&lt;&gt;"",'調整・決定'!L16,IFERROR(INDEX('名簿'!$G$5:$G$49,INDEX('計算B'!$B$3:$B$47,MATCH(227,'計算B'!$C$3:$C$47,0))),"")))</f>
        <v/>
      </c>
    </row>
    <row r="17" ht="26" customHeight="1">
      <c r="B17" s="42">
        <f>'設定'!$I$22</f>
        <v/>
      </c>
      <c r="C17" s="23">
        <f>IF('計算A'!O$4=0,"",IF('調整・決定'!C17&lt;&gt;"",'調整・決定'!C17,IFERROR(INDEX('名簿'!$G$5:$G$49,INDEX('計算B'!$B$3:$B$47,MATCH(12,'計算B'!$C$3:$C$47,0))),"")))</f>
        <v/>
      </c>
      <c r="D17" s="23">
        <f>IF('計算A'!AM$4=0,"",IF('調整・決定'!D17&lt;&gt;"",'調整・決定'!D17,IFERROR(INDEX('名簿'!$G$5:$G$49,INDEX('計算B'!$B$3:$B$47,MATCH(36,'計算B'!$C$3:$C$47,0))),"")))</f>
        <v/>
      </c>
      <c r="E17" s="23">
        <f>IF('計算A'!BK$4=0,"",IF('調整・決定'!E17&lt;&gt;"",'調整・決定'!E17,IFERROR(INDEX('名簿'!$G$5:$G$49,INDEX('計算B'!$B$3:$B$47,MATCH(60,'計算B'!$C$3:$C$47,0))),"")))</f>
        <v/>
      </c>
      <c r="F17" s="23">
        <f>IF('計算A'!CI$4=0,"",IF('調整・決定'!F17&lt;&gt;"",'調整・決定'!F17,IFERROR(INDEX('名簿'!$G$5:$G$49,INDEX('計算B'!$B$3:$B$47,MATCH(84,'計算B'!$C$3:$C$47,0))),"")))</f>
        <v/>
      </c>
      <c r="G17" s="23">
        <f>IF('計算A'!DG$4=0,"",IF('調整・決定'!G17&lt;&gt;"",'調整・決定'!G17,IFERROR(INDEX('名簿'!$G$5:$G$49,INDEX('計算B'!$B$3:$B$47,MATCH(108,'計算B'!$C$3:$C$47,0))),"")))</f>
        <v/>
      </c>
      <c r="H17" s="23">
        <f>IF('計算A'!EE$4=0,"",IF('調整・決定'!H17&lt;&gt;"",'調整・決定'!H17,IFERROR(INDEX('名簿'!$G$5:$G$49,INDEX('計算B'!$B$3:$B$47,MATCH(132,'計算B'!$C$3:$C$47,0))),"")))</f>
        <v/>
      </c>
      <c r="I17" s="23">
        <f>IF('計算A'!FC$4=0,"",IF('調整・決定'!I17&lt;&gt;"",'調整・決定'!I17,IFERROR(INDEX('名簿'!$G$5:$G$49,INDEX('計算B'!$B$3:$B$47,MATCH(156,'計算B'!$C$3:$C$47,0))),"")))</f>
        <v/>
      </c>
      <c r="J17" s="23">
        <f>IF('計算A'!GA$4=0,"",IF('調整・決定'!J17&lt;&gt;"",'調整・決定'!J17,IFERROR(INDEX('名簿'!$G$5:$G$49,INDEX('計算B'!$B$3:$B$47,MATCH(180,'計算B'!$C$3:$C$47,0))),"")))</f>
        <v/>
      </c>
      <c r="K17" s="23">
        <f>IF('計算A'!GY$4=0,"",IF('調整・決定'!K17&lt;&gt;"",'調整・決定'!K17,IFERROR(INDEX('名簿'!$G$5:$G$49,INDEX('計算B'!$B$3:$B$47,MATCH(204,'計算B'!$C$3:$C$47,0))),"")))</f>
        <v/>
      </c>
      <c r="L17" s="23">
        <f>IF('計算A'!HW$4=0,"",IF('調整・決定'!L17&lt;&gt;"",'調整・決定'!L17,IFERROR(INDEX('名簿'!$G$5:$G$49,INDEX('計算B'!$B$3:$B$47,MATCH(228,'計算B'!$C$3:$C$47,0))),"")))</f>
        <v/>
      </c>
    </row>
    <row r="18" ht="26" customHeight="1">
      <c r="B18" s="42">
        <f>'設定'!$I$23</f>
        <v/>
      </c>
      <c r="C18" s="23">
        <f>IF('計算A'!P$4=0,"",IF('調整・決定'!C18&lt;&gt;"",'調整・決定'!C18,IFERROR(INDEX('名簿'!$G$5:$G$49,INDEX('計算B'!$B$3:$B$47,MATCH(13,'計算B'!$C$3:$C$47,0))),"")))</f>
        <v/>
      </c>
      <c r="D18" s="23">
        <f>IF('計算A'!AN$4=0,"",IF('調整・決定'!D18&lt;&gt;"",'調整・決定'!D18,IFERROR(INDEX('名簿'!$G$5:$G$49,INDEX('計算B'!$B$3:$B$47,MATCH(37,'計算B'!$C$3:$C$47,0))),"")))</f>
        <v/>
      </c>
      <c r="E18" s="23">
        <f>IF('計算A'!BL$4=0,"",IF('調整・決定'!E18&lt;&gt;"",'調整・決定'!E18,IFERROR(INDEX('名簿'!$G$5:$G$49,INDEX('計算B'!$B$3:$B$47,MATCH(61,'計算B'!$C$3:$C$47,0))),"")))</f>
        <v/>
      </c>
      <c r="F18" s="23">
        <f>IF('計算A'!CJ$4=0,"",IF('調整・決定'!F18&lt;&gt;"",'調整・決定'!F18,IFERROR(INDEX('名簿'!$G$5:$G$49,INDEX('計算B'!$B$3:$B$47,MATCH(85,'計算B'!$C$3:$C$47,0))),"")))</f>
        <v/>
      </c>
      <c r="G18" s="23">
        <f>IF('計算A'!DH$4=0,"",IF('調整・決定'!G18&lt;&gt;"",'調整・決定'!G18,IFERROR(INDEX('名簿'!$G$5:$G$49,INDEX('計算B'!$B$3:$B$47,MATCH(109,'計算B'!$C$3:$C$47,0))),"")))</f>
        <v/>
      </c>
      <c r="H18" s="23">
        <f>IF('計算A'!EF$4=0,"",IF('調整・決定'!H18&lt;&gt;"",'調整・決定'!H18,IFERROR(INDEX('名簿'!$G$5:$G$49,INDEX('計算B'!$B$3:$B$47,MATCH(133,'計算B'!$C$3:$C$47,0))),"")))</f>
        <v/>
      </c>
      <c r="I18" s="23">
        <f>IF('計算A'!FD$4=0,"",IF('調整・決定'!I18&lt;&gt;"",'調整・決定'!I18,IFERROR(INDEX('名簿'!$G$5:$G$49,INDEX('計算B'!$B$3:$B$47,MATCH(157,'計算B'!$C$3:$C$47,0))),"")))</f>
        <v/>
      </c>
      <c r="J18" s="23">
        <f>IF('計算A'!GB$4=0,"",IF('調整・決定'!J18&lt;&gt;"",'調整・決定'!J18,IFERROR(INDEX('名簿'!$G$5:$G$49,INDEX('計算B'!$B$3:$B$47,MATCH(181,'計算B'!$C$3:$C$47,0))),"")))</f>
        <v/>
      </c>
      <c r="K18" s="23">
        <f>IF('計算A'!GZ$4=0,"",IF('調整・決定'!K18&lt;&gt;"",'調整・決定'!K18,IFERROR(INDEX('名簿'!$G$5:$G$49,INDEX('計算B'!$B$3:$B$47,MATCH(205,'計算B'!$C$3:$C$47,0))),"")))</f>
        <v/>
      </c>
      <c r="L18" s="23">
        <f>IF('計算A'!HX$4=0,"",IF('調整・決定'!L18&lt;&gt;"",'調整・決定'!L18,IFERROR(INDEX('名簿'!$G$5:$G$49,INDEX('計算B'!$B$3:$B$47,MATCH(229,'計算B'!$C$3:$C$47,0))),"")))</f>
        <v/>
      </c>
    </row>
    <row r="19" ht="26" customHeight="1">
      <c r="B19" s="42">
        <f>'設定'!$I$24</f>
        <v/>
      </c>
      <c r="C19" s="23">
        <f>IF('計算A'!Q$4=0,"",IF('調整・決定'!C19&lt;&gt;"",'調整・決定'!C19,IFERROR(INDEX('名簿'!$G$5:$G$49,INDEX('計算B'!$B$3:$B$47,MATCH(14,'計算B'!$C$3:$C$47,0))),"")))</f>
        <v/>
      </c>
      <c r="D19" s="23">
        <f>IF('計算A'!AO$4=0,"",IF('調整・決定'!D19&lt;&gt;"",'調整・決定'!D19,IFERROR(INDEX('名簿'!$G$5:$G$49,INDEX('計算B'!$B$3:$B$47,MATCH(38,'計算B'!$C$3:$C$47,0))),"")))</f>
        <v/>
      </c>
      <c r="E19" s="23">
        <f>IF('計算A'!BM$4=0,"",IF('調整・決定'!E19&lt;&gt;"",'調整・決定'!E19,IFERROR(INDEX('名簿'!$G$5:$G$49,INDEX('計算B'!$B$3:$B$47,MATCH(62,'計算B'!$C$3:$C$47,0))),"")))</f>
        <v/>
      </c>
      <c r="F19" s="23">
        <f>IF('計算A'!CK$4=0,"",IF('調整・決定'!F19&lt;&gt;"",'調整・決定'!F19,IFERROR(INDEX('名簿'!$G$5:$G$49,INDEX('計算B'!$B$3:$B$47,MATCH(86,'計算B'!$C$3:$C$47,0))),"")))</f>
        <v/>
      </c>
      <c r="G19" s="23">
        <f>IF('計算A'!DI$4=0,"",IF('調整・決定'!G19&lt;&gt;"",'調整・決定'!G19,IFERROR(INDEX('名簿'!$G$5:$G$49,INDEX('計算B'!$B$3:$B$47,MATCH(110,'計算B'!$C$3:$C$47,0))),"")))</f>
        <v/>
      </c>
      <c r="H19" s="23">
        <f>IF('計算A'!EG$4=0,"",IF('調整・決定'!H19&lt;&gt;"",'調整・決定'!H19,IFERROR(INDEX('名簿'!$G$5:$G$49,INDEX('計算B'!$B$3:$B$47,MATCH(134,'計算B'!$C$3:$C$47,0))),"")))</f>
        <v/>
      </c>
      <c r="I19" s="23">
        <f>IF('計算A'!FE$4=0,"",IF('調整・決定'!I19&lt;&gt;"",'調整・決定'!I19,IFERROR(INDEX('名簿'!$G$5:$G$49,INDEX('計算B'!$B$3:$B$47,MATCH(158,'計算B'!$C$3:$C$47,0))),"")))</f>
        <v/>
      </c>
      <c r="J19" s="23">
        <f>IF('計算A'!GC$4=0,"",IF('調整・決定'!J19&lt;&gt;"",'調整・決定'!J19,IFERROR(INDEX('名簿'!$G$5:$G$49,INDEX('計算B'!$B$3:$B$47,MATCH(182,'計算B'!$C$3:$C$47,0))),"")))</f>
        <v/>
      </c>
      <c r="K19" s="23">
        <f>IF('計算A'!HA$4=0,"",IF('調整・決定'!K19&lt;&gt;"",'調整・決定'!K19,IFERROR(INDEX('名簿'!$G$5:$G$49,INDEX('計算B'!$B$3:$B$47,MATCH(206,'計算B'!$C$3:$C$47,0))),"")))</f>
        <v/>
      </c>
      <c r="L19" s="23">
        <f>IF('計算A'!HY$4=0,"",IF('調整・決定'!L19&lt;&gt;"",'調整・決定'!L19,IFERROR(INDEX('名簿'!$G$5:$G$49,INDEX('計算B'!$B$3:$B$47,MATCH(230,'計算B'!$C$3:$C$47,0))),"")))</f>
        <v/>
      </c>
    </row>
    <row r="20" ht="26" customHeight="1">
      <c r="B20" s="42">
        <f>'設定'!$I$25</f>
        <v/>
      </c>
      <c r="C20" s="23">
        <f>IF('計算A'!R$4=0,"",IF('調整・決定'!C20&lt;&gt;"",'調整・決定'!C20,IFERROR(INDEX('名簿'!$G$5:$G$49,INDEX('計算B'!$B$3:$B$47,MATCH(15,'計算B'!$C$3:$C$47,0))),"")))</f>
        <v/>
      </c>
      <c r="D20" s="23">
        <f>IF('計算A'!AP$4=0,"",IF('調整・決定'!D20&lt;&gt;"",'調整・決定'!D20,IFERROR(INDEX('名簿'!$G$5:$G$49,INDEX('計算B'!$B$3:$B$47,MATCH(39,'計算B'!$C$3:$C$47,0))),"")))</f>
        <v/>
      </c>
      <c r="E20" s="23">
        <f>IF('計算A'!BN$4=0,"",IF('調整・決定'!E20&lt;&gt;"",'調整・決定'!E20,IFERROR(INDEX('名簿'!$G$5:$G$49,INDEX('計算B'!$B$3:$B$47,MATCH(63,'計算B'!$C$3:$C$47,0))),"")))</f>
        <v/>
      </c>
      <c r="F20" s="23">
        <f>IF('計算A'!CL$4=0,"",IF('調整・決定'!F20&lt;&gt;"",'調整・決定'!F20,IFERROR(INDEX('名簿'!$G$5:$G$49,INDEX('計算B'!$B$3:$B$47,MATCH(87,'計算B'!$C$3:$C$47,0))),"")))</f>
        <v/>
      </c>
      <c r="G20" s="23">
        <f>IF('計算A'!DJ$4=0,"",IF('調整・決定'!G20&lt;&gt;"",'調整・決定'!G20,IFERROR(INDEX('名簿'!$G$5:$G$49,INDEX('計算B'!$B$3:$B$47,MATCH(111,'計算B'!$C$3:$C$47,0))),"")))</f>
        <v/>
      </c>
      <c r="H20" s="23">
        <f>IF('計算A'!EH$4=0,"",IF('調整・決定'!H20&lt;&gt;"",'調整・決定'!H20,IFERROR(INDEX('名簿'!$G$5:$G$49,INDEX('計算B'!$B$3:$B$47,MATCH(135,'計算B'!$C$3:$C$47,0))),"")))</f>
        <v/>
      </c>
      <c r="I20" s="23">
        <f>IF('計算A'!FF$4=0,"",IF('調整・決定'!I20&lt;&gt;"",'調整・決定'!I20,IFERROR(INDEX('名簿'!$G$5:$G$49,INDEX('計算B'!$B$3:$B$47,MATCH(159,'計算B'!$C$3:$C$47,0))),"")))</f>
        <v/>
      </c>
      <c r="J20" s="23">
        <f>IF('計算A'!GD$4=0,"",IF('調整・決定'!J20&lt;&gt;"",'調整・決定'!J20,IFERROR(INDEX('名簿'!$G$5:$G$49,INDEX('計算B'!$B$3:$B$47,MATCH(183,'計算B'!$C$3:$C$47,0))),"")))</f>
        <v/>
      </c>
      <c r="K20" s="23">
        <f>IF('計算A'!HB$4=0,"",IF('調整・決定'!K20&lt;&gt;"",'調整・決定'!K20,IFERROR(INDEX('名簿'!$G$5:$G$49,INDEX('計算B'!$B$3:$B$47,MATCH(207,'計算B'!$C$3:$C$47,0))),"")))</f>
        <v/>
      </c>
      <c r="L20" s="23">
        <f>IF('計算A'!HZ$4=0,"",IF('調整・決定'!L20&lt;&gt;"",'調整・決定'!L20,IFERROR(INDEX('名簿'!$G$5:$G$49,INDEX('計算B'!$B$3:$B$47,MATCH(231,'計算B'!$C$3:$C$47,0))),"")))</f>
        <v/>
      </c>
    </row>
    <row r="21" ht="26" customHeight="1">
      <c r="B21" s="42">
        <f>'設定'!$I$26</f>
        <v/>
      </c>
      <c r="C21" s="23">
        <f>IF('計算A'!S$4=0,"",IF('調整・決定'!C21&lt;&gt;"",'調整・決定'!C21,IFERROR(INDEX('名簿'!$G$5:$G$49,INDEX('計算B'!$B$3:$B$47,MATCH(16,'計算B'!$C$3:$C$47,0))),"")))</f>
        <v/>
      </c>
      <c r="D21" s="23">
        <f>IF('計算A'!AQ$4=0,"",IF('調整・決定'!D21&lt;&gt;"",'調整・決定'!D21,IFERROR(INDEX('名簿'!$G$5:$G$49,INDEX('計算B'!$B$3:$B$47,MATCH(40,'計算B'!$C$3:$C$47,0))),"")))</f>
        <v/>
      </c>
      <c r="E21" s="23">
        <f>IF('計算A'!BO$4=0,"",IF('調整・決定'!E21&lt;&gt;"",'調整・決定'!E21,IFERROR(INDEX('名簿'!$G$5:$G$49,INDEX('計算B'!$B$3:$B$47,MATCH(64,'計算B'!$C$3:$C$47,0))),"")))</f>
        <v/>
      </c>
      <c r="F21" s="23">
        <f>IF('計算A'!CM$4=0,"",IF('調整・決定'!F21&lt;&gt;"",'調整・決定'!F21,IFERROR(INDEX('名簿'!$G$5:$G$49,INDEX('計算B'!$B$3:$B$47,MATCH(88,'計算B'!$C$3:$C$47,0))),"")))</f>
        <v/>
      </c>
      <c r="G21" s="23">
        <f>IF('計算A'!DK$4=0,"",IF('調整・決定'!G21&lt;&gt;"",'調整・決定'!G21,IFERROR(INDEX('名簿'!$G$5:$G$49,INDEX('計算B'!$B$3:$B$47,MATCH(112,'計算B'!$C$3:$C$47,0))),"")))</f>
        <v/>
      </c>
      <c r="H21" s="23">
        <f>IF('計算A'!EI$4=0,"",IF('調整・決定'!H21&lt;&gt;"",'調整・決定'!H21,IFERROR(INDEX('名簿'!$G$5:$G$49,INDEX('計算B'!$B$3:$B$47,MATCH(136,'計算B'!$C$3:$C$47,0))),"")))</f>
        <v/>
      </c>
      <c r="I21" s="23">
        <f>IF('計算A'!FG$4=0,"",IF('調整・決定'!I21&lt;&gt;"",'調整・決定'!I21,IFERROR(INDEX('名簿'!$G$5:$G$49,INDEX('計算B'!$B$3:$B$47,MATCH(160,'計算B'!$C$3:$C$47,0))),"")))</f>
        <v/>
      </c>
      <c r="J21" s="23">
        <f>IF('計算A'!GE$4=0,"",IF('調整・決定'!J21&lt;&gt;"",'調整・決定'!J21,IFERROR(INDEX('名簿'!$G$5:$G$49,INDEX('計算B'!$B$3:$B$47,MATCH(184,'計算B'!$C$3:$C$47,0))),"")))</f>
        <v/>
      </c>
      <c r="K21" s="23">
        <f>IF('計算A'!HC$4=0,"",IF('調整・決定'!K21&lt;&gt;"",'調整・決定'!K21,IFERROR(INDEX('名簿'!$G$5:$G$49,INDEX('計算B'!$B$3:$B$47,MATCH(208,'計算B'!$C$3:$C$47,0))),"")))</f>
        <v/>
      </c>
      <c r="L21" s="23">
        <f>IF('計算A'!IA$4=0,"",IF('調整・決定'!L21&lt;&gt;"",'調整・決定'!L21,IFERROR(INDEX('名簿'!$G$5:$G$49,INDEX('計算B'!$B$3:$B$47,MATCH(232,'計算B'!$C$3:$C$47,0))),"")))</f>
        <v/>
      </c>
    </row>
    <row r="22" ht="26" customHeight="1">
      <c r="B22" s="42">
        <f>'設定'!$I$27</f>
        <v/>
      </c>
      <c r="C22" s="23">
        <f>IF('計算A'!T$4=0,"",IF('調整・決定'!C22&lt;&gt;"",'調整・決定'!C22,IFERROR(INDEX('名簿'!$G$5:$G$49,INDEX('計算B'!$B$3:$B$47,MATCH(17,'計算B'!$C$3:$C$47,0))),"")))</f>
        <v/>
      </c>
      <c r="D22" s="23">
        <f>IF('計算A'!AR$4=0,"",IF('調整・決定'!D22&lt;&gt;"",'調整・決定'!D22,IFERROR(INDEX('名簿'!$G$5:$G$49,INDEX('計算B'!$B$3:$B$47,MATCH(41,'計算B'!$C$3:$C$47,0))),"")))</f>
        <v/>
      </c>
      <c r="E22" s="23">
        <f>IF('計算A'!BP$4=0,"",IF('調整・決定'!E22&lt;&gt;"",'調整・決定'!E22,IFERROR(INDEX('名簿'!$G$5:$G$49,INDEX('計算B'!$B$3:$B$47,MATCH(65,'計算B'!$C$3:$C$47,0))),"")))</f>
        <v/>
      </c>
      <c r="F22" s="23">
        <f>IF('計算A'!CN$4=0,"",IF('調整・決定'!F22&lt;&gt;"",'調整・決定'!F22,IFERROR(INDEX('名簿'!$G$5:$G$49,INDEX('計算B'!$B$3:$B$47,MATCH(89,'計算B'!$C$3:$C$47,0))),"")))</f>
        <v/>
      </c>
      <c r="G22" s="23">
        <f>IF('計算A'!DL$4=0,"",IF('調整・決定'!G22&lt;&gt;"",'調整・決定'!G22,IFERROR(INDEX('名簿'!$G$5:$G$49,INDEX('計算B'!$B$3:$B$47,MATCH(113,'計算B'!$C$3:$C$47,0))),"")))</f>
        <v/>
      </c>
      <c r="H22" s="23">
        <f>IF('計算A'!EJ$4=0,"",IF('調整・決定'!H22&lt;&gt;"",'調整・決定'!H22,IFERROR(INDEX('名簿'!$G$5:$G$49,INDEX('計算B'!$B$3:$B$47,MATCH(137,'計算B'!$C$3:$C$47,0))),"")))</f>
        <v/>
      </c>
      <c r="I22" s="23">
        <f>IF('計算A'!FH$4=0,"",IF('調整・決定'!I22&lt;&gt;"",'調整・決定'!I22,IFERROR(INDEX('名簿'!$G$5:$G$49,INDEX('計算B'!$B$3:$B$47,MATCH(161,'計算B'!$C$3:$C$47,0))),"")))</f>
        <v/>
      </c>
      <c r="J22" s="23">
        <f>IF('計算A'!GF$4=0,"",IF('調整・決定'!J22&lt;&gt;"",'調整・決定'!J22,IFERROR(INDEX('名簿'!$G$5:$G$49,INDEX('計算B'!$B$3:$B$47,MATCH(185,'計算B'!$C$3:$C$47,0))),"")))</f>
        <v/>
      </c>
      <c r="K22" s="23">
        <f>IF('計算A'!HD$4=0,"",IF('調整・決定'!K22&lt;&gt;"",'調整・決定'!K22,IFERROR(INDEX('名簿'!$G$5:$G$49,INDEX('計算B'!$B$3:$B$47,MATCH(209,'計算B'!$C$3:$C$47,0))),"")))</f>
        <v/>
      </c>
      <c r="L22" s="23">
        <f>IF('計算A'!IB$4=0,"",IF('調整・決定'!L22&lt;&gt;"",'調整・決定'!L22,IFERROR(INDEX('名簿'!$G$5:$G$49,INDEX('計算B'!$B$3:$B$47,MATCH(233,'計算B'!$C$3:$C$47,0))),"")))</f>
        <v/>
      </c>
    </row>
    <row r="23" ht="26" customHeight="1">
      <c r="B23" s="42">
        <f>'設定'!$I$28</f>
        <v/>
      </c>
      <c r="C23" s="23">
        <f>IF('計算A'!U$4=0,"",IF('調整・決定'!C23&lt;&gt;"",'調整・決定'!C23,IFERROR(INDEX('名簿'!$G$5:$G$49,INDEX('計算B'!$B$3:$B$47,MATCH(18,'計算B'!$C$3:$C$47,0))),"")))</f>
        <v/>
      </c>
      <c r="D23" s="23">
        <f>IF('計算A'!AS$4=0,"",IF('調整・決定'!D23&lt;&gt;"",'調整・決定'!D23,IFERROR(INDEX('名簿'!$G$5:$G$49,INDEX('計算B'!$B$3:$B$47,MATCH(42,'計算B'!$C$3:$C$47,0))),"")))</f>
        <v/>
      </c>
      <c r="E23" s="23">
        <f>IF('計算A'!BQ$4=0,"",IF('調整・決定'!E23&lt;&gt;"",'調整・決定'!E23,IFERROR(INDEX('名簿'!$G$5:$G$49,INDEX('計算B'!$B$3:$B$47,MATCH(66,'計算B'!$C$3:$C$47,0))),"")))</f>
        <v/>
      </c>
      <c r="F23" s="23">
        <f>IF('計算A'!CO$4=0,"",IF('調整・決定'!F23&lt;&gt;"",'調整・決定'!F23,IFERROR(INDEX('名簿'!$G$5:$G$49,INDEX('計算B'!$B$3:$B$47,MATCH(90,'計算B'!$C$3:$C$47,0))),"")))</f>
        <v/>
      </c>
      <c r="G23" s="23">
        <f>IF('計算A'!DM$4=0,"",IF('調整・決定'!G23&lt;&gt;"",'調整・決定'!G23,IFERROR(INDEX('名簿'!$G$5:$G$49,INDEX('計算B'!$B$3:$B$47,MATCH(114,'計算B'!$C$3:$C$47,0))),"")))</f>
        <v/>
      </c>
      <c r="H23" s="23">
        <f>IF('計算A'!EK$4=0,"",IF('調整・決定'!H23&lt;&gt;"",'調整・決定'!H23,IFERROR(INDEX('名簿'!$G$5:$G$49,INDEX('計算B'!$B$3:$B$47,MATCH(138,'計算B'!$C$3:$C$47,0))),"")))</f>
        <v/>
      </c>
      <c r="I23" s="23">
        <f>IF('計算A'!FI$4=0,"",IF('調整・決定'!I23&lt;&gt;"",'調整・決定'!I23,IFERROR(INDEX('名簿'!$G$5:$G$49,INDEX('計算B'!$B$3:$B$47,MATCH(162,'計算B'!$C$3:$C$47,0))),"")))</f>
        <v/>
      </c>
      <c r="J23" s="23">
        <f>IF('計算A'!GG$4=0,"",IF('調整・決定'!J23&lt;&gt;"",'調整・決定'!J23,IFERROR(INDEX('名簿'!$G$5:$G$49,INDEX('計算B'!$B$3:$B$47,MATCH(186,'計算B'!$C$3:$C$47,0))),"")))</f>
        <v/>
      </c>
      <c r="K23" s="23">
        <f>IF('計算A'!HE$4=0,"",IF('調整・決定'!K23&lt;&gt;"",'調整・決定'!K23,IFERROR(INDEX('名簿'!$G$5:$G$49,INDEX('計算B'!$B$3:$B$47,MATCH(210,'計算B'!$C$3:$C$47,0))),"")))</f>
        <v/>
      </c>
      <c r="L23" s="23">
        <f>IF('計算A'!IC$4=0,"",IF('調整・決定'!L23&lt;&gt;"",'調整・決定'!L23,IFERROR(INDEX('名簿'!$G$5:$G$49,INDEX('計算B'!$B$3:$B$47,MATCH(234,'計算B'!$C$3:$C$47,0))),"")))</f>
        <v/>
      </c>
    </row>
    <row r="24" ht="26" customHeight="1">
      <c r="B24" s="42">
        <f>'設定'!$I$29</f>
        <v/>
      </c>
      <c r="C24" s="23">
        <f>IF('計算A'!V$4=0,"",IF('調整・決定'!C24&lt;&gt;"",'調整・決定'!C24,IFERROR(INDEX('名簿'!$G$5:$G$49,INDEX('計算B'!$B$3:$B$47,MATCH(19,'計算B'!$C$3:$C$47,0))),"")))</f>
        <v/>
      </c>
      <c r="D24" s="23">
        <f>IF('計算A'!AT$4=0,"",IF('調整・決定'!D24&lt;&gt;"",'調整・決定'!D24,IFERROR(INDEX('名簿'!$G$5:$G$49,INDEX('計算B'!$B$3:$B$47,MATCH(43,'計算B'!$C$3:$C$47,0))),"")))</f>
        <v/>
      </c>
      <c r="E24" s="23">
        <f>IF('計算A'!BR$4=0,"",IF('調整・決定'!E24&lt;&gt;"",'調整・決定'!E24,IFERROR(INDEX('名簿'!$G$5:$G$49,INDEX('計算B'!$B$3:$B$47,MATCH(67,'計算B'!$C$3:$C$47,0))),"")))</f>
        <v/>
      </c>
      <c r="F24" s="23">
        <f>IF('計算A'!CP$4=0,"",IF('調整・決定'!F24&lt;&gt;"",'調整・決定'!F24,IFERROR(INDEX('名簿'!$G$5:$G$49,INDEX('計算B'!$B$3:$B$47,MATCH(91,'計算B'!$C$3:$C$47,0))),"")))</f>
        <v/>
      </c>
      <c r="G24" s="23">
        <f>IF('計算A'!DN$4=0,"",IF('調整・決定'!G24&lt;&gt;"",'調整・決定'!G24,IFERROR(INDEX('名簿'!$G$5:$G$49,INDEX('計算B'!$B$3:$B$47,MATCH(115,'計算B'!$C$3:$C$47,0))),"")))</f>
        <v/>
      </c>
      <c r="H24" s="23">
        <f>IF('計算A'!EL$4=0,"",IF('調整・決定'!H24&lt;&gt;"",'調整・決定'!H24,IFERROR(INDEX('名簿'!$G$5:$G$49,INDEX('計算B'!$B$3:$B$47,MATCH(139,'計算B'!$C$3:$C$47,0))),"")))</f>
        <v/>
      </c>
      <c r="I24" s="23">
        <f>IF('計算A'!FJ$4=0,"",IF('調整・決定'!I24&lt;&gt;"",'調整・決定'!I24,IFERROR(INDEX('名簿'!$G$5:$G$49,INDEX('計算B'!$B$3:$B$47,MATCH(163,'計算B'!$C$3:$C$47,0))),"")))</f>
        <v/>
      </c>
      <c r="J24" s="23">
        <f>IF('計算A'!GH$4=0,"",IF('調整・決定'!J24&lt;&gt;"",'調整・決定'!J24,IFERROR(INDEX('名簿'!$G$5:$G$49,INDEX('計算B'!$B$3:$B$47,MATCH(187,'計算B'!$C$3:$C$47,0))),"")))</f>
        <v/>
      </c>
      <c r="K24" s="23">
        <f>IF('計算A'!HF$4=0,"",IF('調整・決定'!K24&lt;&gt;"",'調整・決定'!K24,IFERROR(INDEX('名簿'!$G$5:$G$49,INDEX('計算B'!$B$3:$B$47,MATCH(211,'計算B'!$C$3:$C$47,0))),"")))</f>
        <v/>
      </c>
      <c r="L24" s="23">
        <f>IF('計算A'!ID$4=0,"",IF('調整・決定'!L24&lt;&gt;"",'調整・決定'!L24,IFERROR(INDEX('名簿'!$G$5:$G$49,INDEX('計算B'!$B$3:$B$47,MATCH(235,'計算B'!$C$3:$C$47,0))),"")))</f>
        <v/>
      </c>
    </row>
    <row r="25" ht="26" customHeight="1">
      <c r="B25" s="42">
        <f>'設定'!$I$30</f>
        <v/>
      </c>
      <c r="C25" s="23">
        <f>IF('計算A'!W$4=0,"",IF('調整・決定'!C25&lt;&gt;"",'調整・決定'!C25,IFERROR(INDEX('名簿'!$G$5:$G$49,INDEX('計算B'!$B$3:$B$47,MATCH(20,'計算B'!$C$3:$C$47,0))),"")))</f>
        <v/>
      </c>
      <c r="D25" s="23">
        <f>IF('計算A'!AU$4=0,"",IF('調整・決定'!D25&lt;&gt;"",'調整・決定'!D25,IFERROR(INDEX('名簿'!$G$5:$G$49,INDEX('計算B'!$B$3:$B$47,MATCH(44,'計算B'!$C$3:$C$47,0))),"")))</f>
        <v/>
      </c>
      <c r="E25" s="23">
        <f>IF('計算A'!BS$4=0,"",IF('調整・決定'!E25&lt;&gt;"",'調整・決定'!E25,IFERROR(INDEX('名簿'!$G$5:$G$49,INDEX('計算B'!$B$3:$B$47,MATCH(68,'計算B'!$C$3:$C$47,0))),"")))</f>
        <v/>
      </c>
      <c r="F25" s="23">
        <f>IF('計算A'!CQ$4=0,"",IF('調整・決定'!F25&lt;&gt;"",'調整・決定'!F25,IFERROR(INDEX('名簿'!$G$5:$G$49,INDEX('計算B'!$B$3:$B$47,MATCH(92,'計算B'!$C$3:$C$47,0))),"")))</f>
        <v/>
      </c>
      <c r="G25" s="23">
        <f>IF('計算A'!DO$4=0,"",IF('調整・決定'!G25&lt;&gt;"",'調整・決定'!G25,IFERROR(INDEX('名簿'!$G$5:$G$49,INDEX('計算B'!$B$3:$B$47,MATCH(116,'計算B'!$C$3:$C$47,0))),"")))</f>
        <v/>
      </c>
      <c r="H25" s="23">
        <f>IF('計算A'!EM$4=0,"",IF('調整・決定'!H25&lt;&gt;"",'調整・決定'!H25,IFERROR(INDEX('名簿'!$G$5:$G$49,INDEX('計算B'!$B$3:$B$47,MATCH(140,'計算B'!$C$3:$C$47,0))),"")))</f>
        <v/>
      </c>
      <c r="I25" s="23">
        <f>IF('計算A'!FK$4=0,"",IF('調整・決定'!I25&lt;&gt;"",'調整・決定'!I25,IFERROR(INDEX('名簿'!$G$5:$G$49,INDEX('計算B'!$B$3:$B$47,MATCH(164,'計算B'!$C$3:$C$47,0))),"")))</f>
        <v/>
      </c>
      <c r="J25" s="23">
        <f>IF('計算A'!GI$4=0,"",IF('調整・決定'!J25&lt;&gt;"",'調整・決定'!J25,IFERROR(INDEX('名簿'!$G$5:$G$49,INDEX('計算B'!$B$3:$B$47,MATCH(188,'計算B'!$C$3:$C$47,0))),"")))</f>
        <v/>
      </c>
      <c r="K25" s="23">
        <f>IF('計算A'!HG$4=0,"",IF('調整・決定'!K25&lt;&gt;"",'調整・決定'!K25,IFERROR(INDEX('名簿'!$G$5:$G$49,INDEX('計算B'!$B$3:$B$47,MATCH(212,'計算B'!$C$3:$C$47,0))),"")))</f>
        <v/>
      </c>
      <c r="L25" s="23">
        <f>IF('計算A'!IE$4=0,"",IF('調整・決定'!L25&lt;&gt;"",'調整・決定'!L25,IFERROR(INDEX('名簿'!$G$5:$G$49,INDEX('計算B'!$B$3:$B$47,MATCH(236,'計算B'!$C$3:$C$47,0))),"")))</f>
        <v/>
      </c>
    </row>
    <row r="26" ht="26" customHeight="1">
      <c r="B26" s="42">
        <f>'設定'!$I$31</f>
        <v/>
      </c>
      <c r="C26" s="23">
        <f>IF('計算A'!X$4=0,"",IF('調整・決定'!C26&lt;&gt;"",'調整・決定'!C26,IFERROR(INDEX('名簿'!$G$5:$G$49,INDEX('計算B'!$B$3:$B$47,MATCH(21,'計算B'!$C$3:$C$47,0))),"")))</f>
        <v/>
      </c>
      <c r="D26" s="23">
        <f>IF('計算A'!AV$4=0,"",IF('調整・決定'!D26&lt;&gt;"",'調整・決定'!D26,IFERROR(INDEX('名簿'!$G$5:$G$49,INDEX('計算B'!$B$3:$B$47,MATCH(45,'計算B'!$C$3:$C$47,0))),"")))</f>
        <v/>
      </c>
      <c r="E26" s="23">
        <f>IF('計算A'!BT$4=0,"",IF('調整・決定'!E26&lt;&gt;"",'調整・決定'!E26,IFERROR(INDEX('名簿'!$G$5:$G$49,INDEX('計算B'!$B$3:$B$47,MATCH(69,'計算B'!$C$3:$C$47,0))),"")))</f>
        <v/>
      </c>
      <c r="F26" s="23">
        <f>IF('計算A'!CR$4=0,"",IF('調整・決定'!F26&lt;&gt;"",'調整・決定'!F26,IFERROR(INDEX('名簿'!$G$5:$G$49,INDEX('計算B'!$B$3:$B$47,MATCH(93,'計算B'!$C$3:$C$47,0))),"")))</f>
        <v/>
      </c>
      <c r="G26" s="23">
        <f>IF('計算A'!DP$4=0,"",IF('調整・決定'!G26&lt;&gt;"",'調整・決定'!G26,IFERROR(INDEX('名簿'!$G$5:$G$49,INDEX('計算B'!$B$3:$B$47,MATCH(117,'計算B'!$C$3:$C$47,0))),"")))</f>
        <v/>
      </c>
      <c r="H26" s="23">
        <f>IF('計算A'!EN$4=0,"",IF('調整・決定'!H26&lt;&gt;"",'調整・決定'!H26,IFERROR(INDEX('名簿'!$G$5:$G$49,INDEX('計算B'!$B$3:$B$47,MATCH(141,'計算B'!$C$3:$C$47,0))),"")))</f>
        <v/>
      </c>
      <c r="I26" s="23">
        <f>IF('計算A'!FL$4=0,"",IF('調整・決定'!I26&lt;&gt;"",'調整・決定'!I26,IFERROR(INDEX('名簿'!$G$5:$G$49,INDEX('計算B'!$B$3:$B$47,MATCH(165,'計算B'!$C$3:$C$47,0))),"")))</f>
        <v/>
      </c>
      <c r="J26" s="23">
        <f>IF('計算A'!GJ$4=0,"",IF('調整・決定'!J26&lt;&gt;"",'調整・決定'!J26,IFERROR(INDEX('名簿'!$G$5:$G$49,INDEX('計算B'!$B$3:$B$47,MATCH(189,'計算B'!$C$3:$C$47,0))),"")))</f>
        <v/>
      </c>
      <c r="K26" s="23">
        <f>IF('計算A'!HH$4=0,"",IF('調整・決定'!K26&lt;&gt;"",'調整・決定'!K26,IFERROR(INDEX('名簿'!$G$5:$G$49,INDEX('計算B'!$B$3:$B$47,MATCH(213,'計算B'!$C$3:$C$47,0))),"")))</f>
        <v/>
      </c>
      <c r="L26" s="23">
        <f>IF('計算A'!IF$4=0,"",IF('調整・決定'!L26&lt;&gt;"",'調整・決定'!L26,IFERROR(INDEX('名簿'!$G$5:$G$49,INDEX('計算B'!$B$3:$B$47,MATCH(237,'計算B'!$C$3:$C$47,0))),"")))</f>
        <v/>
      </c>
    </row>
    <row r="27" ht="26" customHeight="1">
      <c r="B27" s="42">
        <f>'設定'!$I$32</f>
        <v/>
      </c>
      <c r="C27" s="23">
        <f>IF('計算A'!Y$4=0,"",IF('調整・決定'!C27&lt;&gt;"",'調整・決定'!C27,IFERROR(INDEX('名簿'!$G$5:$G$49,INDEX('計算B'!$B$3:$B$47,MATCH(22,'計算B'!$C$3:$C$47,0))),"")))</f>
        <v/>
      </c>
      <c r="D27" s="23">
        <f>IF('計算A'!AW$4=0,"",IF('調整・決定'!D27&lt;&gt;"",'調整・決定'!D27,IFERROR(INDEX('名簿'!$G$5:$G$49,INDEX('計算B'!$B$3:$B$47,MATCH(46,'計算B'!$C$3:$C$47,0))),"")))</f>
        <v/>
      </c>
      <c r="E27" s="23">
        <f>IF('計算A'!BU$4=0,"",IF('調整・決定'!E27&lt;&gt;"",'調整・決定'!E27,IFERROR(INDEX('名簿'!$G$5:$G$49,INDEX('計算B'!$B$3:$B$47,MATCH(70,'計算B'!$C$3:$C$47,0))),"")))</f>
        <v/>
      </c>
      <c r="F27" s="23">
        <f>IF('計算A'!CS$4=0,"",IF('調整・決定'!F27&lt;&gt;"",'調整・決定'!F27,IFERROR(INDEX('名簿'!$G$5:$G$49,INDEX('計算B'!$B$3:$B$47,MATCH(94,'計算B'!$C$3:$C$47,0))),"")))</f>
        <v/>
      </c>
      <c r="G27" s="23">
        <f>IF('計算A'!DQ$4=0,"",IF('調整・決定'!G27&lt;&gt;"",'調整・決定'!G27,IFERROR(INDEX('名簿'!$G$5:$G$49,INDEX('計算B'!$B$3:$B$47,MATCH(118,'計算B'!$C$3:$C$47,0))),"")))</f>
        <v/>
      </c>
      <c r="H27" s="23">
        <f>IF('計算A'!EO$4=0,"",IF('調整・決定'!H27&lt;&gt;"",'調整・決定'!H27,IFERROR(INDEX('名簿'!$G$5:$G$49,INDEX('計算B'!$B$3:$B$47,MATCH(142,'計算B'!$C$3:$C$47,0))),"")))</f>
        <v/>
      </c>
      <c r="I27" s="23">
        <f>IF('計算A'!FM$4=0,"",IF('調整・決定'!I27&lt;&gt;"",'調整・決定'!I27,IFERROR(INDEX('名簿'!$G$5:$G$49,INDEX('計算B'!$B$3:$B$47,MATCH(166,'計算B'!$C$3:$C$47,0))),"")))</f>
        <v/>
      </c>
      <c r="J27" s="23">
        <f>IF('計算A'!GK$4=0,"",IF('調整・決定'!J27&lt;&gt;"",'調整・決定'!J27,IFERROR(INDEX('名簿'!$G$5:$G$49,INDEX('計算B'!$B$3:$B$47,MATCH(190,'計算B'!$C$3:$C$47,0))),"")))</f>
        <v/>
      </c>
      <c r="K27" s="23">
        <f>IF('計算A'!HI$4=0,"",IF('調整・決定'!K27&lt;&gt;"",'調整・決定'!K27,IFERROR(INDEX('名簿'!$G$5:$G$49,INDEX('計算B'!$B$3:$B$47,MATCH(214,'計算B'!$C$3:$C$47,0))),"")))</f>
        <v/>
      </c>
      <c r="L27" s="23">
        <f>IF('計算A'!IG$4=0,"",IF('調整・決定'!L27&lt;&gt;"",'調整・決定'!L27,IFERROR(INDEX('名簿'!$G$5:$G$49,INDEX('計算B'!$B$3:$B$47,MATCH(238,'計算B'!$C$3:$C$47,0))),"")))</f>
        <v/>
      </c>
    </row>
    <row r="28" ht="26" customHeight="1">
      <c r="B28" s="42">
        <f>'設定'!$I$33</f>
        <v/>
      </c>
      <c r="C28" s="23">
        <f>IF('計算A'!Z$4=0,"",IF('調整・決定'!C28&lt;&gt;"",'調整・決定'!C28,IFERROR(INDEX('名簿'!$G$5:$G$49,INDEX('計算B'!$B$3:$B$47,MATCH(23,'計算B'!$C$3:$C$47,0))),"")))</f>
        <v/>
      </c>
      <c r="D28" s="23">
        <f>IF('計算A'!AX$4=0,"",IF('調整・決定'!D28&lt;&gt;"",'調整・決定'!D28,IFERROR(INDEX('名簿'!$G$5:$G$49,INDEX('計算B'!$B$3:$B$47,MATCH(47,'計算B'!$C$3:$C$47,0))),"")))</f>
        <v/>
      </c>
      <c r="E28" s="23">
        <f>IF('計算A'!BV$4=0,"",IF('調整・決定'!E28&lt;&gt;"",'調整・決定'!E28,IFERROR(INDEX('名簿'!$G$5:$G$49,INDEX('計算B'!$B$3:$B$47,MATCH(71,'計算B'!$C$3:$C$47,0))),"")))</f>
        <v/>
      </c>
      <c r="F28" s="23">
        <f>IF('計算A'!CT$4=0,"",IF('調整・決定'!F28&lt;&gt;"",'調整・決定'!F28,IFERROR(INDEX('名簿'!$G$5:$G$49,INDEX('計算B'!$B$3:$B$47,MATCH(95,'計算B'!$C$3:$C$47,0))),"")))</f>
        <v/>
      </c>
      <c r="G28" s="23">
        <f>IF('計算A'!DR$4=0,"",IF('調整・決定'!G28&lt;&gt;"",'調整・決定'!G28,IFERROR(INDEX('名簿'!$G$5:$G$49,INDEX('計算B'!$B$3:$B$47,MATCH(119,'計算B'!$C$3:$C$47,0))),"")))</f>
        <v/>
      </c>
      <c r="H28" s="23">
        <f>IF('計算A'!EP$4=0,"",IF('調整・決定'!H28&lt;&gt;"",'調整・決定'!H28,IFERROR(INDEX('名簿'!$G$5:$G$49,INDEX('計算B'!$B$3:$B$47,MATCH(143,'計算B'!$C$3:$C$47,0))),"")))</f>
        <v/>
      </c>
      <c r="I28" s="23">
        <f>IF('計算A'!FN$4=0,"",IF('調整・決定'!I28&lt;&gt;"",'調整・決定'!I28,IFERROR(INDEX('名簿'!$G$5:$G$49,INDEX('計算B'!$B$3:$B$47,MATCH(167,'計算B'!$C$3:$C$47,0))),"")))</f>
        <v/>
      </c>
      <c r="J28" s="23">
        <f>IF('計算A'!GL$4=0,"",IF('調整・決定'!J28&lt;&gt;"",'調整・決定'!J28,IFERROR(INDEX('名簿'!$G$5:$G$49,INDEX('計算B'!$B$3:$B$47,MATCH(191,'計算B'!$C$3:$C$47,0))),"")))</f>
        <v/>
      </c>
      <c r="K28" s="23">
        <f>IF('計算A'!HJ$4=0,"",IF('調整・決定'!K28&lt;&gt;"",'調整・決定'!K28,IFERROR(INDEX('名簿'!$G$5:$G$49,INDEX('計算B'!$B$3:$B$47,MATCH(215,'計算B'!$C$3:$C$47,0))),"")))</f>
        <v/>
      </c>
      <c r="L28" s="23">
        <f>IF('計算A'!IH$4=0,"",IF('調整・決定'!L28&lt;&gt;"",'調整・決定'!L28,IFERROR(INDEX('名簿'!$G$5:$G$49,INDEX('計算B'!$B$3:$B$47,MATCH(239,'計算B'!$C$3:$C$47,0))),"")))</f>
        <v/>
      </c>
    </row>
    <row r="29" ht="26" customHeight="1">
      <c r="B29" s="42">
        <f>'設定'!$I$34</f>
        <v/>
      </c>
      <c r="C29" s="23">
        <f>IF('計算A'!AA$4=0,"",IF('調整・決定'!C29&lt;&gt;"",'調整・決定'!C29,IFERROR(INDEX('名簿'!$G$5:$G$49,INDEX('計算B'!$B$3:$B$47,MATCH(24,'計算B'!$C$3:$C$47,0))),"")))</f>
        <v/>
      </c>
      <c r="D29" s="23">
        <f>IF('計算A'!AY$4=0,"",IF('調整・決定'!D29&lt;&gt;"",'調整・決定'!D29,IFERROR(INDEX('名簿'!$G$5:$G$49,INDEX('計算B'!$B$3:$B$47,MATCH(48,'計算B'!$C$3:$C$47,0))),"")))</f>
        <v/>
      </c>
      <c r="E29" s="23">
        <f>IF('計算A'!BW$4=0,"",IF('調整・決定'!E29&lt;&gt;"",'調整・決定'!E29,IFERROR(INDEX('名簿'!$G$5:$G$49,INDEX('計算B'!$B$3:$B$47,MATCH(72,'計算B'!$C$3:$C$47,0))),"")))</f>
        <v/>
      </c>
      <c r="F29" s="23">
        <f>IF('計算A'!CU$4=0,"",IF('調整・決定'!F29&lt;&gt;"",'調整・決定'!F29,IFERROR(INDEX('名簿'!$G$5:$G$49,INDEX('計算B'!$B$3:$B$47,MATCH(96,'計算B'!$C$3:$C$47,0))),"")))</f>
        <v/>
      </c>
      <c r="G29" s="23">
        <f>IF('計算A'!DS$4=0,"",IF('調整・決定'!G29&lt;&gt;"",'調整・決定'!G29,IFERROR(INDEX('名簿'!$G$5:$G$49,INDEX('計算B'!$B$3:$B$47,MATCH(120,'計算B'!$C$3:$C$47,0))),"")))</f>
        <v/>
      </c>
      <c r="H29" s="23">
        <f>IF('計算A'!EQ$4=0,"",IF('調整・決定'!H29&lt;&gt;"",'調整・決定'!H29,IFERROR(INDEX('名簿'!$G$5:$G$49,INDEX('計算B'!$B$3:$B$47,MATCH(144,'計算B'!$C$3:$C$47,0))),"")))</f>
        <v/>
      </c>
      <c r="I29" s="23">
        <f>IF('計算A'!FO$4=0,"",IF('調整・決定'!I29&lt;&gt;"",'調整・決定'!I29,IFERROR(INDEX('名簿'!$G$5:$G$49,INDEX('計算B'!$B$3:$B$47,MATCH(168,'計算B'!$C$3:$C$47,0))),"")))</f>
        <v/>
      </c>
      <c r="J29" s="23">
        <f>IF('計算A'!GM$4=0,"",IF('調整・決定'!J29&lt;&gt;"",'調整・決定'!J29,IFERROR(INDEX('名簿'!$G$5:$G$49,INDEX('計算B'!$B$3:$B$47,MATCH(192,'計算B'!$C$3:$C$47,0))),"")))</f>
        <v/>
      </c>
      <c r="K29" s="23">
        <f>IF('計算A'!HK$4=0,"",IF('調整・決定'!K29&lt;&gt;"",'調整・決定'!K29,IFERROR(INDEX('名簿'!$G$5:$G$49,INDEX('計算B'!$B$3:$B$47,MATCH(216,'計算B'!$C$3:$C$47,0))),"")))</f>
        <v/>
      </c>
      <c r="L29" s="23">
        <f>IF('計算A'!II$4=0,"",IF('調整・決定'!L29&lt;&gt;"",'調整・決定'!L29,IFERROR(INDEX('名簿'!$G$5:$G$49,INDEX('計算B'!$B$3:$B$47,MATCH(240,'計算B'!$C$3:$C$47,0))),"")))</f>
        <v/>
      </c>
    </row>
  </sheetData>
  <mergeCells count="2">
    <mergeCell ref="O8:O9"/>
    <mergeCell ref="O10:O11"/>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51" t="inlineStr">
        <is>
          <t>調整・決定</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HYPERLINK("#'調整・決定'!A1","⑤ 調整・決定")</f>
        <v/>
      </c>
      <c r="L1" s="2" t="n"/>
      <c r="M1" s="2" t="n"/>
      <c r="N1" s="2" t="n"/>
      <c r="O1" s="2" t="n"/>
    </row>
    <row r="2" ht="24" customHeight="1">
      <c r="A2" s="4" t="n"/>
      <c r="B2" s="52"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1" t="inlineStr">
        <is>
          <t>選んだ児童</t>
        </is>
      </c>
      <c r="D3" s="72" t="inlineStr">
        <is>
          <t>入れられる</t>
        </is>
      </c>
      <c r="E3" s="73" t="inlineStr">
        <is>
          <t>入れられる（他の人あり）</t>
        </is>
      </c>
      <c r="F3" s="74" t="inlineStr">
        <is>
          <t>×の枠</t>
        </is>
      </c>
      <c r="G3" s="75" t="inlineStr">
        <is>
          <t>×・使えない枠に入れた！</t>
        </is>
      </c>
      <c r="H3" s="76" t="inlineStr">
        <is>
          <t>2か所に入っている</t>
        </is>
      </c>
      <c r="I3" s="77" t="inlineStr">
        <is>
          <t>空けるはずの枠に人がいる</t>
        </is>
      </c>
      <c r="J3" s="62" t="inlineStr">
        <is>
          <t>後ろを空ける枠</t>
        </is>
      </c>
      <c r="K3" s="78" t="inlineStr">
        <is>
          <t>先生の都合で使えない</t>
        </is>
      </c>
    </row>
    <row r="4">
      <c r="N4" s="66" t="inlineStr">
        <is>
          <t>児童を選ぶ ▼</t>
        </is>
      </c>
    </row>
    <row r="5">
      <c r="B5" s="34" t="inlineStr"/>
      <c r="C5" s="35">
        <f>'設定'!$E$11</f>
        <v/>
      </c>
      <c r="D5" s="35">
        <f>'設定'!$E$12</f>
        <v/>
      </c>
      <c r="E5" s="35">
        <f>'設定'!$E$13</f>
        <v/>
      </c>
      <c r="F5" s="35">
        <f>'設定'!$E$14</f>
        <v/>
      </c>
      <c r="G5" s="35">
        <f>'設定'!$E$15</f>
        <v/>
      </c>
      <c r="H5" s="35">
        <f>'設定'!$E$16</f>
        <v/>
      </c>
      <c r="I5" s="35">
        <f>'設定'!$E$17</f>
        <v/>
      </c>
      <c r="J5" s="35">
        <f>'設定'!$E$18</f>
        <v/>
      </c>
      <c r="K5" s="35">
        <f>'設定'!$E$19</f>
        <v/>
      </c>
      <c r="L5" s="35">
        <f>'設定'!$E$20</f>
        <v/>
      </c>
      <c r="N5" s="79" t="n"/>
      <c r="O5" s="29" t="n"/>
    </row>
    <row r="6" ht="26" customHeight="1">
      <c r="B6" s="42">
        <f>'設定'!$I$11</f>
        <v/>
      </c>
      <c r="C6" s="23" t="n"/>
      <c r="D6" s="23" t="n"/>
      <c r="E6" s="23" t="n"/>
      <c r="F6" s="23" t="n"/>
      <c r="G6" s="23" t="n"/>
      <c r="H6" s="23" t="n"/>
      <c r="I6" s="23" t="n"/>
      <c r="J6" s="23" t="n"/>
      <c r="K6" s="23" t="n"/>
      <c r="L6" s="23" t="n"/>
    </row>
    <row r="7" ht="26" customHeight="1">
      <c r="B7" s="42">
        <f>'設定'!$I$12</f>
        <v/>
      </c>
      <c r="C7" s="23" t="n"/>
      <c r="D7" s="23" t="n"/>
      <c r="E7" s="23" t="n"/>
      <c r="F7" s="23" t="n"/>
      <c r="G7" s="23" t="n"/>
      <c r="H7" s="23" t="n"/>
      <c r="I7" s="23" t="n"/>
      <c r="J7" s="23" t="n"/>
      <c r="K7" s="23" t="n"/>
      <c r="L7" s="23" t="n"/>
      <c r="N7" s="65" t="inlineStr">
        <is>
          <t>状況</t>
        </is>
      </c>
      <c r="O7" s="80">
        <f>IF('計算A'!$B$8=0,"",INDEX('名簿'!$H$5:$H$49,'計算A'!$B$8))</f>
        <v/>
      </c>
    </row>
    <row r="8" ht="26" customHeight="1">
      <c r="B8" s="42">
        <f>'設定'!$I$13</f>
        <v/>
      </c>
      <c r="C8" s="23" t="n"/>
      <c r="D8" s="23" t="n"/>
      <c r="E8" s="23" t="n"/>
      <c r="F8" s="23" t="n"/>
      <c r="G8" s="23" t="n"/>
      <c r="H8" s="23" t="n"/>
      <c r="I8" s="23" t="n"/>
      <c r="J8" s="23" t="n"/>
      <c r="K8" s="23" t="n"/>
      <c r="L8" s="23" t="n"/>
      <c r="N8" s="65" t="inlineStr">
        <is>
          <t>×の数</t>
        </is>
      </c>
      <c r="O8" s="80">
        <f>IF('計算A'!$B$8=0,"",INDEX('名簿'!$I$5:$I$49,'計算A'!$B$8))</f>
        <v/>
      </c>
    </row>
    <row r="9" ht="26" customHeight="1">
      <c r="B9" s="42">
        <f>'設定'!$I$14</f>
        <v/>
      </c>
      <c r="C9" s="23" t="n"/>
      <c r="D9" s="23" t="n"/>
      <c r="E9" s="23" t="n"/>
      <c r="F9" s="23" t="n"/>
      <c r="G9" s="23" t="n"/>
      <c r="H9" s="23" t="n"/>
      <c r="I9" s="23" t="n"/>
      <c r="J9" s="23" t="n"/>
      <c r="K9" s="23" t="n"/>
      <c r="L9" s="23" t="n"/>
      <c r="N9" s="65" t="inlineStr">
        <is>
          <t>今の枠</t>
        </is>
      </c>
      <c r="O9" s="80">
        <f>IF('計算A'!$B$8=0,"",INDEX('名簿'!$L$5:$L$49,'計算A'!$B$8)&amp;" "&amp;INDEX('名簿'!$M$5:$M$49,'計算A'!$B$8))</f>
        <v/>
      </c>
    </row>
    <row r="10" ht="26" customHeight="1">
      <c r="B10" s="42">
        <f>'設定'!$I$15</f>
        <v/>
      </c>
      <c r="C10" s="23" t="n"/>
      <c r="D10" s="23" t="n"/>
      <c r="E10" s="23" t="n"/>
      <c r="F10" s="23" t="n"/>
      <c r="G10" s="23" t="n"/>
      <c r="H10" s="23" t="n"/>
      <c r="I10" s="23" t="n"/>
      <c r="J10" s="23" t="n"/>
      <c r="K10" s="23" t="n"/>
      <c r="L10" s="23" t="n"/>
      <c r="N10" s="65" t="inlineStr">
        <is>
          <t>兄弟</t>
        </is>
      </c>
      <c r="O10" s="80">
        <f>IF('計算A'!$B$8=0,"",IF(INDEX('名簿'!$C$5:$C$49,'計算A'!$B$8)="","",INDEX('名簿'!$C$5:$C$49,'計算A'!$B$8)&amp;" "&amp;INDEX('名簿'!$D$5:$D$49,'計算A'!$B$8)))</f>
        <v/>
      </c>
    </row>
    <row r="11" ht="26" customHeight="1">
      <c r="B11" s="42">
        <f>'設定'!$I$16</f>
        <v/>
      </c>
      <c r="C11" s="23" t="n"/>
      <c r="D11" s="23" t="n"/>
      <c r="E11" s="23" t="n"/>
      <c r="F11" s="23" t="n"/>
      <c r="G11" s="23" t="n"/>
      <c r="H11" s="23" t="n"/>
      <c r="I11" s="23" t="n"/>
      <c r="J11" s="23" t="n"/>
      <c r="K11" s="23" t="n"/>
      <c r="L11" s="23" t="n"/>
      <c r="N11" s="65" t="inlineStr">
        <is>
          <t>入れられる空き枠</t>
        </is>
      </c>
      <c r="O11" s="70">
        <f t="array" ref="O11">IFERROR(IF('計算A'!$B$8=0,"",_xlfn.TEXTJOIN("、",TRUE,IF((INDEX('計算A'!$D$60:$II$104,'計算A'!$B$8,0)=1)*('計算A'!$D$7:$II$7=0),'計算A'!$D$8:$II$8,""))),"")</f>
        <v/>
      </c>
    </row>
    <row r="12" ht="26" customHeight="1">
      <c r="B12" s="42">
        <f>'設定'!$I$17</f>
        <v/>
      </c>
      <c r="C12" s="23" t="n"/>
      <c r="D12" s="23" t="n"/>
      <c r="E12" s="23" t="n"/>
      <c r="F12" s="23" t="n"/>
      <c r="G12" s="23" t="n"/>
      <c r="H12" s="23" t="n"/>
      <c r="I12" s="23" t="n"/>
      <c r="J12" s="23" t="n"/>
      <c r="K12" s="23" t="n"/>
      <c r="L12" s="23" t="n"/>
    </row>
    <row r="13" ht="26" customHeight="1">
      <c r="B13" s="42">
        <f>'設定'!$I$18</f>
        <v/>
      </c>
      <c r="C13" s="23" t="n"/>
      <c r="D13" s="23" t="n"/>
      <c r="E13" s="23" t="n"/>
      <c r="F13" s="23" t="n"/>
      <c r="G13" s="23" t="n"/>
      <c r="H13" s="23" t="n"/>
      <c r="I13" s="23" t="n"/>
      <c r="J13" s="23" t="n"/>
      <c r="K13" s="23" t="n"/>
      <c r="L13" s="23" t="n"/>
    </row>
    <row r="14" ht="26" customHeight="1">
      <c r="B14" s="42">
        <f>'設定'!$I$19</f>
        <v/>
      </c>
      <c r="C14" s="23" t="n"/>
      <c r="D14" s="23" t="n"/>
      <c r="E14" s="23" t="n"/>
      <c r="F14" s="23" t="n"/>
      <c r="G14" s="23" t="n"/>
      <c r="H14" s="23" t="n"/>
      <c r="I14" s="23" t="n"/>
      <c r="J14" s="23" t="n"/>
      <c r="K14" s="23" t="n"/>
      <c r="L14" s="23" t="n"/>
    </row>
    <row r="15" ht="26" customHeight="1">
      <c r="B15" s="42">
        <f>'設定'!$I$20</f>
        <v/>
      </c>
      <c r="C15" s="23" t="n"/>
      <c r="D15" s="23" t="n"/>
      <c r="E15" s="23" t="n"/>
      <c r="F15" s="23" t="n"/>
      <c r="G15" s="23" t="n"/>
      <c r="H15" s="23" t="n"/>
      <c r="I15" s="23" t="n"/>
      <c r="J15" s="23" t="n"/>
      <c r="K15" s="23" t="n"/>
      <c r="L15" s="23" t="n"/>
    </row>
    <row r="16" ht="26" customHeight="1">
      <c r="B16" s="42">
        <f>'設定'!$I$21</f>
        <v/>
      </c>
      <c r="C16" s="23" t="n"/>
      <c r="D16" s="23" t="n"/>
      <c r="E16" s="23" t="n"/>
      <c r="F16" s="23" t="n"/>
      <c r="G16" s="23" t="n"/>
      <c r="H16" s="23" t="n"/>
      <c r="I16" s="23" t="n"/>
      <c r="J16" s="23" t="n"/>
      <c r="K16" s="23" t="n"/>
      <c r="L16" s="23" t="n"/>
    </row>
    <row r="17" ht="26" customHeight="1">
      <c r="B17" s="42">
        <f>'設定'!$I$22</f>
        <v/>
      </c>
      <c r="C17" s="23" t="n"/>
      <c r="D17" s="23" t="n"/>
      <c r="E17" s="23" t="n"/>
      <c r="F17" s="23" t="n"/>
      <c r="G17" s="23" t="n"/>
      <c r="H17" s="23" t="n"/>
      <c r="I17" s="23" t="n"/>
      <c r="J17" s="23" t="n"/>
      <c r="K17" s="23" t="n"/>
      <c r="L17" s="23" t="n"/>
    </row>
    <row r="18" ht="26" customHeight="1">
      <c r="B18" s="42">
        <f>'設定'!$I$23</f>
        <v/>
      </c>
      <c r="C18" s="23" t="n"/>
      <c r="D18" s="23" t="n"/>
      <c r="E18" s="23" t="n"/>
      <c r="F18" s="23" t="n"/>
      <c r="G18" s="23" t="n"/>
      <c r="H18" s="23" t="n"/>
      <c r="I18" s="23" t="n"/>
      <c r="J18" s="23" t="n"/>
      <c r="K18" s="23" t="n"/>
      <c r="L18" s="23" t="n"/>
    </row>
    <row r="19" ht="26" customHeight="1">
      <c r="B19" s="42">
        <f>'設定'!$I$24</f>
        <v/>
      </c>
      <c r="C19" s="23" t="n"/>
      <c r="D19" s="23" t="n"/>
      <c r="E19" s="23" t="n"/>
      <c r="F19" s="23" t="n"/>
      <c r="G19" s="23" t="n"/>
      <c r="H19" s="23" t="n"/>
      <c r="I19" s="23" t="n"/>
      <c r="J19" s="23" t="n"/>
      <c r="K19" s="23" t="n"/>
      <c r="L19" s="23" t="n"/>
    </row>
    <row r="20" ht="26" customHeight="1">
      <c r="B20" s="42">
        <f>'設定'!$I$25</f>
        <v/>
      </c>
      <c r="C20" s="23" t="n"/>
      <c r="D20" s="23" t="n"/>
      <c r="E20" s="23" t="n"/>
      <c r="F20" s="23" t="n"/>
      <c r="G20" s="23" t="n"/>
      <c r="H20" s="23" t="n"/>
      <c r="I20" s="23" t="n"/>
      <c r="J20" s="23" t="n"/>
      <c r="K20" s="23" t="n"/>
      <c r="L20" s="23" t="n"/>
    </row>
    <row r="21" ht="26" customHeight="1">
      <c r="B21" s="42">
        <f>'設定'!$I$26</f>
        <v/>
      </c>
      <c r="C21" s="23" t="n"/>
      <c r="D21" s="23" t="n"/>
      <c r="E21" s="23" t="n"/>
      <c r="F21" s="23" t="n"/>
      <c r="G21" s="23" t="n"/>
      <c r="H21" s="23" t="n"/>
      <c r="I21" s="23" t="n"/>
      <c r="J21" s="23" t="n"/>
      <c r="K21" s="23" t="n"/>
      <c r="L21" s="23" t="n"/>
    </row>
    <row r="22" ht="26" customHeight="1">
      <c r="B22" s="42">
        <f>'設定'!$I$27</f>
        <v/>
      </c>
      <c r="C22" s="23" t="n"/>
      <c r="D22" s="23" t="n"/>
      <c r="E22" s="23" t="n"/>
      <c r="F22" s="23" t="n"/>
      <c r="G22" s="23" t="n"/>
      <c r="H22" s="23" t="n"/>
      <c r="I22" s="23" t="n"/>
      <c r="J22" s="23" t="n"/>
      <c r="K22" s="23" t="n"/>
      <c r="L22" s="23" t="n"/>
    </row>
    <row r="23" ht="26" customHeight="1">
      <c r="B23" s="42">
        <f>'設定'!$I$28</f>
        <v/>
      </c>
      <c r="C23" s="23" t="n"/>
      <c r="D23" s="23" t="n"/>
      <c r="E23" s="23" t="n"/>
      <c r="F23" s="23" t="n"/>
      <c r="G23" s="23" t="n"/>
      <c r="H23" s="23" t="n"/>
      <c r="I23" s="23" t="n"/>
      <c r="J23" s="23" t="n"/>
      <c r="K23" s="23" t="n"/>
      <c r="L23" s="23" t="n"/>
    </row>
    <row r="24" ht="26" customHeight="1">
      <c r="B24" s="42">
        <f>'設定'!$I$29</f>
        <v/>
      </c>
      <c r="C24" s="23" t="n"/>
      <c r="D24" s="23" t="n"/>
      <c r="E24" s="23" t="n"/>
      <c r="F24" s="23" t="n"/>
      <c r="G24" s="23" t="n"/>
      <c r="H24" s="23" t="n"/>
      <c r="I24" s="23" t="n"/>
      <c r="J24" s="23" t="n"/>
      <c r="K24" s="23" t="n"/>
      <c r="L24" s="23" t="n"/>
    </row>
    <row r="25" ht="26" customHeight="1">
      <c r="B25" s="42">
        <f>'設定'!$I$30</f>
        <v/>
      </c>
      <c r="C25" s="23" t="n"/>
      <c r="D25" s="23" t="n"/>
      <c r="E25" s="23" t="n"/>
      <c r="F25" s="23" t="n"/>
      <c r="G25" s="23" t="n"/>
      <c r="H25" s="23" t="n"/>
      <c r="I25" s="23" t="n"/>
      <c r="J25" s="23" t="n"/>
      <c r="K25" s="23" t="n"/>
      <c r="L25" s="23" t="n"/>
    </row>
    <row r="26" ht="26" customHeight="1">
      <c r="B26" s="42">
        <f>'設定'!$I$31</f>
        <v/>
      </c>
      <c r="C26" s="23" t="n"/>
      <c r="D26" s="23" t="n"/>
      <c r="E26" s="23" t="n"/>
      <c r="F26" s="23" t="n"/>
      <c r="G26" s="23" t="n"/>
      <c r="H26" s="23" t="n"/>
      <c r="I26" s="23" t="n"/>
      <c r="J26" s="23" t="n"/>
      <c r="K26" s="23" t="n"/>
      <c r="L26" s="23" t="n"/>
    </row>
    <row r="27" ht="26" customHeight="1">
      <c r="B27" s="42">
        <f>'設定'!$I$32</f>
        <v/>
      </c>
      <c r="C27" s="23" t="n"/>
      <c r="D27" s="23" t="n"/>
      <c r="E27" s="23" t="n"/>
      <c r="F27" s="23" t="n"/>
      <c r="G27" s="23" t="n"/>
      <c r="H27" s="23" t="n"/>
      <c r="I27" s="23" t="n"/>
      <c r="J27" s="23" t="n"/>
      <c r="K27" s="23" t="n"/>
      <c r="L27" s="23" t="n"/>
    </row>
    <row r="28" ht="26" customHeight="1">
      <c r="B28" s="42">
        <f>'設定'!$I$33</f>
        <v/>
      </c>
      <c r="C28" s="23" t="n"/>
      <c r="D28" s="23" t="n"/>
      <c r="E28" s="23" t="n"/>
      <c r="F28" s="23" t="n"/>
      <c r="G28" s="23" t="n"/>
      <c r="H28" s="23" t="n"/>
      <c r="I28" s="23" t="n"/>
      <c r="J28" s="23" t="n"/>
      <c r="K28" s="23" t="n"/>
      <c r="L28" s="23" t="n"/>
    </row>
    <row r="29" ht="26" customHeight="1">
      <c r="B29" s="42">
        <f>'設定'!$I$34</f>
        <v/>
      </c>
      <c r="C29" s="23" t="n"/>
      <c r="D29" s="23" t="n"/>
      <c r="E29" s="23" t="n"/>
      <c r="F29" s="23" t="n"/>
      <c r="G29" s="23" t="n"/>
      <c r="H29" s="23" t="n"/>
      <c r="I29" s="23" t="n"/>
      <c r="J29" s="23" t="n"/>
      <c r="K29" s="23" t="n"/>
      <c r="L29" s="23" t="n"/>
    </row>
    <row r="30"/>
    <row r="31"/>
    <row r="32">
      <c r="B32" s="81" t="inlineStr">
        <is>
          <t>候補（その枠に入れられる、まだ決まっていない児童）</t>
        </is>
      </c>
    </row>
    <row r="33">
      <c r="B33" s="45" t="inlineStr">
        <is>
          <t>未入力・未提出の家庭は含みません。0人の枠は赤、1人の枠はオレンジです。</t>
        </is>
      </c>
    </row>
    <row r="34">
      <c r="B34" s="34" t="inlineStr"/>
      <c r="C34" s="35">
        <f>'設定'!$E$11</f>
        <v/>
      </c>
      <c r="D34" s="35">
        <f>'設定'!$E$12</f>
        <v/>
      </c>
      <c r="E34" s="35">
        <f>'設定'!$E$13</f>
        <v/>
      </c>
      <c r="F34" s="35">
        <f>'設定'!$E$14</f>
        <v/>
      </c>
      <c r="G34" s="35">
        <f>'設定'!$E$15</f>
        <v/>
      </c>
      <c r="H34" s="35">
        <f>'設定'!$E$16</f>
        <v/>
      </c>
      <c r="I34" s="35">
        <f>'設定'!$E$17</f>
        <v/>
      </c>
      <c r="J34" s="35">
        <f>'設定'!$E$18</f>
        <v/>
      </c>
      <c r="K34" s="35">
        <f>'設定'!$E$19</f>
        <v/>
      </c>
      <c r="L34" s="35">
        <f>'設定'!$E$20</f>
        <v/>
      </c>
    </row>
    <row r="35" ht="44" customHeight="1">
      <c r="B35" s="42">
        <f>'設定'!$I$11</f>
        <v/>
      </c>
      <c r="C35" s="82">
        <f t="array" ref="C35">IF('計算A'!D$4=0,"",IF(C6&lt;&gt;"","（決定）",IF('計算A'!D$108=1,"（空ける）",SUMPRODUCT(('計算A'!D$60:D$104=1)*('計算A'!$C$10:$C$54=1))&amp;"人："&amp;_xlfn.TEXTJOIN("、",TRUE,IF(('計算A'!D$60:D$104=1)*('計算A'!$C$10:$C$54=1),'計算A'!$B$10:$B$54,"")))))</f>
        <v/>
      </c>
      <c r="D35" s="82">
        <f t="array" ref="D35">IF('計算A'!AB$4=0,"",IF(D6&lt;&gt;"","（決定）",IF('計算A'!AB$108=1,"（空ける）",SUMPRODUCT(('計算A'!AB$60:AB$104=1)*('計算A'!$C$10:$C$54=1))&amp;"人："&amp;_xlfn.TEXTJOIN("、",TRUE,IF(('計算A'!AB$60:AB$104=1)*('計算A'!$C$10:$C$54=1),'計算A'!$B$10:$B$54,"")))))</f>
        <v/>
      </c>
      <c r="E35" s="82">
        <f t="array" ref="E35">IF('計算A'!AZ$4=0,"",IF(E6&lt;&gt;"","（決定）",IF('計算A'!AZ$108=1,"（空ける）",SUMPRODUCT(('計算A'!AZ$60:AZ$104=1)*('計算A'!$C$10:$C$54=1))&amp;"人："&amp;_xlfn.TEXTJOIN("、",TRUE,IF(('計算A'!AZ$60:AZ$104=1)*('計算A'!$C$10:$C$54=1),'計算A'!$B$10:$B$54,"")))))</f>
        <v/>
      </c>
      <c r="F35" s="82">
        <f t="array" ref="F35">IF('計算A'!BX$4=0,"",IF(F6&lt;&gt;"","（決定）",IF('計算A'!BX$108=1,"（空ける）",SUMPRODUCT(('計算A'!BX$60:BX$104=1)*('計算A'!$C$10:$C$54=1))&amp;"人："&amp;_xlfn.TEXTJOIN("、",TRUE,IF(('計算A'!BX$60:BX$104=1)*('計算A'!$C$10:$C$54=1),'計算A'!$B$10:$B$54,"")))))</f>
        <v/>
      </c>
      <c r="G35" s="82">
        <f t="array" ref="G35">IF('計算A'!CV$4=0,"",IF(G6&lt;&gt;"","（決定）",IF('計算A'!CV$108=1,"（空ける）",SUMPRODUCT(('計算A'!CV$60:CV$104=1)*('計算A'!$C$10:$C$54=1))&amp;"人："&amp;_xlfn.TEXTJOIN("、",TRUE,IF(('計算A'!CV$60:CV$104=1)*('計算A'!$C$10:$C$54=1),'計算A'!$B$10:$B$54,"")))))</f>
        <v/>
      </c>
      <c r="H35" s="82">
        <f t="array" ref="H35">IF('計算A'!DT$4=0,"",IF(H6&lt;&gt;"","（決定）",IF('計算A'!DT$108=1,"（空ける）",SUMPRODUCT(('計算A'!DT$60:DT$104=1)*('計算A'!$C$10:$C$54=1))&amp;"人："&amp;_xlfn.TEXTJOIN("、",TRUE,IF(('計算A'!DT$60:DT$104=1)*('計算A'!$C$10:$C$54=1),'計算A'!$B$10:$B$54,"")))))</f>
        <v/>
      </c>
      <c r="I35" s="82">
        <f t="array" ref="I35">IF('計算A'!ER$4=0,"",IF(I6&lt;&gt;"","（決定）",IF('計算A'!ER$108=1,"（空ける）",SUMPRODUCT(('計算A'!ER$60:ER$104=1)*('計算A'!$C$10:$C$54=1))&amp;"人："&amp;_xlfn.TEXTJOIN("、",TRUE,IF(('計算A'!ER$60:ER$104=1)*('計算A'!$C$10:$C$54=1),'計算A'!$B$10:$B$54,"")))))</f>
        <v/>
      </c>
      <c r="J35" s="82">
        <f t="array" ref="J35">IF('計算A'!FP$4=0,"",IF(J6&lt;&gt;"","（決定）",IF('計算A'!FP$108=1,"（空ける）",SUMPRODUCT(('計算A'!FP$60:FP$104=1)*('計算A'!$C$10:$C$54=1))&amp;"人："&amp;_xlfn.TEXTJOIN("、",TRUE,IF(('計算A'!FP$60:FP$104=1)*('計算A'!$C$10:$C$54=1),'計算A'!$B$10:$B$54,"")))))</f>
        <v/>
      </c>
      <c r="K35" s="82">
        <f t="array" ref="K35">IF('計算A'!GN$4=0,"",IF(K6&lt;&gt;"","（決定）",IF('計算A'!GN$108=1,"（空ける）",SUMPRODUCT(('計算A'!GN$60:GN$104=1)*('計算A'!$C$10:$C$54=1))&amp;"人："&amp;_xlfn.TEXTJOIN("、",TRUE,IF(('計算A'!GN$60:GN$104=1)*('計算A'!$C$10:$C$54=1),'計算A'!$B$10:$B$54,"")))))</f>
        <v/>
      </c>
      <c r="L35" s="82">
        <f t="array" ref="L35">IF('計算A'!HL$4=0,"",IF(L6&lt;&gt;"","（決定）",IF('計算A'!HL$108=1,"（空ける）",SUMPRODUCT(('計算A'!HL$60:HL$104=1)*('計算A'!$C$10:$C$54=1))&amp;"人："&amp;_xlfn.TEXTJOIN("、",TRUE,IF(('計算A'!HL$60:HL$104=1)*('計算A'!$C$10:$C$54=1),'計算A'!$B$10:$B$54,"")))))</f>
        <v/>
      </c>
    </row>
    <row r="36" ht="44" customHeight="1">
      <c r="B36" s="42">
        <f>'設定'!$I$12</f>
        <v/>
      </c>
      <c r="C36" s="82">
        <f t="array" ref="C36">IF('計算A'!E$4=0,"",IF(C7&lt;&gt;"","（決定）",IF('計算A'!E$108=1,"（空ける）",SUMPRODUCT(('計算A'!E$60:E$104=1)*('計算A'!$C$10:$C$54=1))&amp;"人："&amp;_xlfn.TEXTJOIN("、",TRUE,IF(('計算A'!E$60:E$104=1)*('計算A'!$C$10:$C$54=1),'計算A'!$B$10:$B$54,"")))))</f>
        <v/>
      </c>
      <c r="D36" s="82">
        <f t="array" ref="D36">IF('計算A'!AC$4=0,"",IF(D7&lt;&gt;"","（決定）",IF('計算A'!AC$108=1,"（空ける）",SUMPRODUCT(('計算A'!AC$60:AC$104=1)*('計算A'!$C$10:$C$54=1))&amp;"人："&amp;_xlfn.TEXTJOIN("、",TRUE,IF(('計算A'!AC$60:AC$104=1)*('計算A'!$C$10:$C$54=1),'計算A'!$B$10:$B$54,"")))))</f>
        <v/>
      </c>
      <c r="E36" s="82">
        <f t="array" ref="E36">IF('計算A'!BA$4=0,"",IF(E7&lt;&gt;"","（決定）",IF('計算A'!BA$108=1,"（空ける）",SUMPRODUCT(('計算A'!BA$60:BA$104=1)*('計算A'!$C$10:$C$54=1))&amp;"人："&amp;_xlfn.TEXTJOIN("、",TRUE,IF(('計算A'!BA$60:BA$104=1)*('計算A'!$C$10:$C$54=1),'計算A'!$B$10:$B$54,"")))))</f>
        <v/>
      </c>
      <c r="F36" s="82">
        <f t="array" ref="F36">IF('計算A'!BY$4=0,"",IF(F7&lt;&gt;"","（決定）",IF('計算A'!BY$108=1,"（空ける）",SUMPRODUCT(('計算A'!BY$60:BY$104=1)*('計算A'!$C$10:$C$54=1))&amp;"人："&amp;_xlfn.TEXTJOIN("、",TRUE,IF(('計算A'!BY$60:BY$104=1)*('計算A'!$C$10:$C$54=1),'計算A'!$B$10:$B$54,"")))))</f>
        <v/>
      </c>
      <c r="G36" s="82">
        <f t="array" ref="G36">IF('計算A'!CW$4=0,"",IF(G7&lt;&gt;"","（決定）",IF('計算A'!CW$108=1,"（空ける）",SUMPRODUCT(('計算A'!CW$60:CW$104=1)*('計算A'!$C$10:$C$54=1))&amp;"人："&amp;_xlfn.TEXTJOIN("、",TRUE,IF(('計算A'!CW$60:CW$104=1)*('計算A'!$C$10:$C$54=1),'計算A'!$B$10:$B$54,"")))))</f>
        <v/>
      </c>
      <c r="H36" s="82">
        <f t="array" ref="H36">IF('計算A'!DU$4=0,"",IF(H7&lt;&gt;"","（決定）",IF('計算A'!DU$108=1,"（空ける）",SUMPRODUCT(('計算A'!DU$60:DU$104=1)*('計算A'!$C$10:$C$54=1))&amp;"人："&amp;_xlfn.TEXTJOIN("、",TRUE,IF(('計算A'!DU$60:DU$104=1)*('計算A'!$C$10:$C$54=1),'計算A'!$B$10:$B$54,"")))))</f>
        <v/>
      </c>
      <c r="I36" s="82">
        <f t="array" ref="I36">IF('計算A'!ES$4=0,"",IF(I7&lt;&gt;"","（決定）",IF('計算A'!ES$108=1,"（空ける）",SUMPRODUCT(('計算A'!ES$60:ES$104=1)*('計算A'!$C$10:$C$54=1))&amp;"人："&amp;_xlfn.TEXTJOIN("、",TRUE,IF(('計算A'!ES$60:ES$104=1)*('計算A'!$C$10:$C$54=1),'計算A'!$B$10:$B$54,"")))))</f>
        <v/>
      </c>
      <c r="J36" s="82">
        <f t="array" ref="J36">IF('計算A'!FQ$4=0,"",IF(J7&lt;&gt;"","（決定）",IF('計算A'!FQ$108=1,"（空ける）",SUMPRODUCT(('計算A'!FQ$60:FQ$104=1)*('計算A'!$C$10:$C$54=1))&amp;"人："&amp;_xlfn.TEXTJOIN("、",TRUE,IF(('計算A'!FQ$60:FQ$104=1)*('計算A'!$C$10:$C$54=1),'計算A'!$B$10:$B$54,"")))))</f>
        <v/>
      </c>
      <c r="K36" s="82">
        <f t="array" ref="K36">IF('計算A'!GO$4=0,"",IF(K7&lt;&gt;"","（決定）",IF('計算A'!GO$108=1,"（空ける）",SUMPRODUCT(('計算A'!GO$60:GO$104=1)*('計算A'!$C$10:$C$54=1))&amp;"人："&amp;_xlfn.TEXTJOIN("、",TRUE,IF(('計算A'!GO$60:GO$104=1)*('計算A'!$C$10:$C$54=1),'計算A'!$B$10:$B$54,"")))))</f>
        <v/>
      </c>
      <c r="L36" s="82">
        <f t="array" ref="L36">IF('計算A'!HM$4=0,"",IF(L7&lt;&gt;"","（決定）",IF('計算A'!HM$108=1,"（空ける）",SUMPRODUCT(('計算A'!HM$60:HM$104=1)*('計算A'!$C$10:$C$54=1))&amp;"人："&amp;_xlfn.TEXTJOIN("、",TRUE,IF(('計算A'!HM$60:HM$104=1)*('計算A'!$C$10:$C$54=1),'計算A'!$B$10:$B$54,"")))))</f>
        <v/>
      </c>
    </row>
    <row r="37" ht="44" customHeight="1">
      <c r="B37" s="42">
        <f>'設定'!$I$13</f>
        <v/>
      </c>
      <c r="C37" s="82">
        <f t="array" ref="C37">IF('計算A'!F$4=0,"",IF(C8&lt;&gt;"","（決定）",IF('計算A'!F$108=1,"（空ける）",SUMPRODUCT(('計算A'!F$60:F$104=1)*('計算A'!$C$10:$C$54=1))&amp;"人："&amp;_xlfn.TEXTJOIN("、",TRUE,IF(('計算A'!F$60:F$104=1)*('計算A'!$C$10:$C$54=1),'計算A'!$B$10:$B$54,"")))))</f>
        <v/>
      </c>
      <c r="D37" s="82">
        <f t="array" ref="D37">IF('計算A'!AD$4=0,"",IF(D8&lt;&gt;"","（決定）",IF('計算A'!AD$108=1,"（空ける）",SUMPRODUCT(('計算A'!AD$60:AD$104=1)*('計算A'!$C$10:$C$54=1))&amp;"人："&amp;_xlfn.TEXTJOIN("、",TRUE,IF(('計算A'!AD$60:AD$104=1)*('計算A'!$C$10:$C$54=1),'計算A'!$B$10:$B$54,"")))))</f>
        <v/>
      </c>
      <c r="E37" s="82">
        <f t="array" ref="E37">IF('計算A'!BB$4=0,"",IF(E8&lt;&gt;"","（決定）",IF('計算A'!BB$108=1,"（空ける）",SUMPRODUCT(('計算A'!BB$60:BB$104=1)*('計算A'!$C$10:$C$54=1))&amp;"人："&amp;_xlfn.TEXTJOIN("、",TRUE,IF(('計算A'!BB$60:BB$104=1)*('計算A'!$C$10:$C$54=1),'計算A'!$B$10:$B$54,"")))))</f>
        <v/>
      </c>
      <c r="F37" s="82">
        <f t="array" ref="F37">IF('計算A'!BZ$4=0,"",IF(F8&lt;&gt;"","（決定）",IF('計算A'!BZ$108=1,"（空ける）",SUMPRODUCT(('計算A'!BZ$60:BZ$104=1)*('計算A'!$C$10:$C$54=1))&amp;"人："&amp;_xlfn.TEXTJOIN("、",TRUE,IF(('計算A'!BZ$60:BZ$104=1)*('計算A'!$C$10:$C$54=1),'計算A'!$B$10:$B$54,"")))))</f>
        <v/>
      </c>
      <c r="G37" s="82">
        <f t="array" ref="G37">IF('計算A'!CX$4=0,"",IF(G8&lt;&gt;"","（決定）",IF('計算A'!CX$108=1,"（空ける）",SUMPRODUCT(('計算A'!CX$60:CX$104=1)*('計算A'!$C$10:$C$54=1))&amp;"人："&amp;_xlfn.TEXTJOIN("、",TRUE,IF(('計算A'!CX$60:CX$104=1)*('計算A'!$C$10:$C$54=1),'計算A'!$B$10:$B$54,"")))))</f>
        <v/>
      </c>
      <c r="H37" s="82">
        <f t="array" ref="H37">IF('計算A'!DV$4=0,"",IF(H8&lt;&gt;"","（決定）",IF('計算A'!DV$108=1,"（空ける）",SUMPRODUCT(('計算A'!DV$60:DV$104=1)*('計算A'!$C$10:$C$54=1))&amp;"人："&amp;_xlfn.TEXTJOIN("、",TRUE,IF(('計算A'!DV$60:DV$104=1)*('計算A'!$C$10:$C$54=1),'計算A'!$B$10:$B$54,"")))))</f>
        <v/>
      </c>
      <c r="I37" s="82">
        <f t="array" ref="I37">IF('計算A'!ET$4=0,"",IF(I8&lt;&gt;"","（決定）",IF('計算A'!ET$108=1,"（空ける）",SUMPRODUCT(('計算A'!ET$60:ET$104=1)*('計算A'!$C$10:$C$54=1))&amp;"人："&amp;_xlfn.TEXTJOIN("、",TRUE,IF(('計算A'!ET$60:ET$104=1)*('計算A'!$C$10:$C$54=1),'計算A'!$B$10:$B$54,"")))))</f>
        <v/>
      </c>
      <c r="J37" s="82">
        <f t="array" ref="J37">IF('計算A'!FR$4=0,"",IF(J8&lt;&gt;"","（決定）",IF('計算A'!FR$108=1,"（空ける）",SUMPRODUCT(('計算A'!FR$60:FR$104=1)*('計算A'!$C$10:$C$54=1))&amp;"人："&amp;_xlfn.TEXTJOIN("、",TRUE,IF(('計算A'!FR$60:FR$104=1)*('計算A'!$C$10:$C$54=1),'計算A'!$B$10:$B$54,"")))))</f>
        <v/>
      </c>
      <c r="K37" s="82">
        <f t="array" ref="K37">IF('計算A'!GP$4=0,"",IF(K8&lt;&gt;"","（決定）",IF('計算A'!GP$108=1,"（空ける）",SUMPRODUCT(('計算A'!GP$60:GP$104=1)*('計算A'!$C$10:$C$54=1))&amp;"人："&amp;_xlfn.TEXTJOIN("、",TRUE,IF(('計算A'!GP$60:GP$104=1)*('計算A'!$C$10:$C$54=1),'計算A'!$B$10:$B$54,"")))))</f>
        <v/>
      </c>
      <c r="L37" s="82">
        <f t="array" ref="L37">IF('計算A'!HN$4=0,"",IF(L8&lt;&gt;"","（決定）",IF('計算A'!HN$108=1,"（空ける）",SUMPRODUCT(('計算A'!HN$60:HN$104=1)*('計算A'!$C$10:$C$54=1))&amp;"人："&amp;_xlfn.TEXTJOIN("、",TRUE,IF(('計算A'!HN$60:HN$104=1)*('計算A'!$C$10:$C$54=1),'計算A'!$B$10:$B$54,"")))))</f>
        <v/>
      </c>
    </row>
    <row r="38" ht="44" customHeight="1">
      <c r="B38" s="42">
        <f>'設定'!$I$14</f>
        <v/>
      </c>
      <c r="C38" s="82">
        <f t="array" ref="C38">IF('計算A'!G$4=0,"",IF(C9&lt;&gt;"","（決定）",IF('計算A'!G$108=1,"（空ける）",SUMPRODUCT(('計算A'!G$60:G$104=1)*('計算A'!$C$10:$C$54=1))&amp;"人："&amp;_xlfn.TEXTJOIN("、",TRUE,IF(('計算A'!G$60:G$104=1)*('計算A'!$C$10:$C$54=1),'計算A'!$B$10:$B$54,"")))))</f>
        <v/>
      </c>
      <c r="D38" s="82">
        <f t="array" ref="D38">IF('計算A'!AE$4=0,"",IF(D9&lt;&gt;"","（決定）",IF('計算A'!AE$108=1,"（空ける）",SUMPRODUCT(('計算A'!AE$60:AE$104=1)*('計算A'!$C$10:$C$54=1))&amp;"人："&amp;_xlfn.TEXTJOIN("、",TRUE,IF(('計算A'!AE$60:AE$104=1)*('計算A'!$C$10:$C$54=1),'計算A'!$B$10:$B$54,"")))))</f>
        <v/>
      </c>
      <c r="E38" s="82">
        <f t="array" ref="E38">IF('計算A'!BC$4=0,"",IF(E9&lt;&gt;"","（決定）",IF('計算A'!BC$108=1,"（空ける）",SUMPRODUCT(('計算A'!BC$60:BC$104=1)*('計算A'!$C$10:$C$54=1))&amp;"人："&amp;_xlfn.TEXTJOIN("、",TRUE,IF(('計算A'!BC$60:BC$104=1)*('計算A'!$C$10:$C$54=1),'計算A'!$B$10:$B$54,"")))))</f>
        <v/>
      </c>
      <c r="F38" s="82">
        <f t="array" ref="F38">IF('計算A'!CA$4=0,"",IF(F9&lt;&gt;"","（決定）",IF('計算A'!CA$108=1,"（空ける）",SUMPRODUCT(('計算A'!CA$60:CA$104=1)*('計算A'!$C$10:$C$54=1))&amp;"人："&amp;_xlfn.TEXTJOIN("、",TRUE,IF(('計算A'!CA$60:CA$104=1)*('計算A'!$C$10:$C$54=1),'計算A'!$B$10:$B$54,"")))))</f>
        <v/>
      </c>
      <c r="G38" s="82">
        <f t="array" ref="G38">IF('計算A'!CY$4=0,"",IF(G9&lt;&gt;"","（決定）",IF('計算A'!CY$108=1,"（空ける）",SUMPRODUCT(('計算A'!CY$60:CY$104=1)*('計算A'!$C$10:$C$54=1))&amp;"人："&amp;_xlfn.TEXTJOIN("、",TRUE,IF(('計算A'!CY$60:CY$104=1)*('計算A'!$C$10:$C$54=1),'計算A'!$B$10:$B$54,"")))))</f>
        <v/>
      </c>
      <c r="H38" s="82">
        <f t="array" ref="H38">IF('計算A'!DW$4=0,"",IF(H9&lt;&gt;"","（決定）",IF('計算A'!DW$108=1,"（空ける）",SUMPRODUCT(('計算A'!DW$60:DW$104=1)*('計算A'!$C$10:$C$54=1))&amp;"人："&amp;_xlfn.TEXTJOIN("、",TRUE,IF(('計算A'!DW$60:DW$104=1)*('計算A'!$C$10:$C$54=1),'計算A'!$B$10:$B$54,"")))))</f>
        <v/>
      </c>
      <c r="I38" s="82">
        <f t="array" ref="I38">IF('計算A'!EU$4=0,"",IF(I9&lt;&gt;"","（決定）",IF('計算A'!EU$108=1,"（空ける）",SUMPRODUCT(('計算A'!EU$60:EU$104=1)*('計算A'!$C$10:$C$54=1))&amp;"人："&amp;_xlfn.TEXTJOIN("、",TRUE,IF(('計算A'!EU$60:EU$104=1)*('計算A'!$C$10:$C$54=1),'計算A'!$B$10:$B$54,"")))))</f>
        <v/>
      </c>
      <c r="J38" s="82">
        <f t="array" ref="J38">IF('計算A'!FS$4=0,"",IF(J9&lt;&gt;"","（決定）",IF('計算A'!FS$108=1,"（空ける）",SUMPRODUCT(('計算A'!FS$60:FS$104=1)*('計算A'!$C$10:$C$54=1))&amp;"人："&amp;_xlfn.TEXTJOIN("、",TRUE,IF(('計算A'!FS$60:FS$104=1)*('計算A'!$C$10:$C$54=1),'計算A'!$B$10:$B$54,"")))))</f>
        <v/>
      </c>
      <c r="K38" s="82">
        <f t="array" ref="K38">IF('計算A'!GQ$4=0,"",IF(K9&lt;&gt;"","（決定）",IF('計算A'!GQ$108=1,"（空ける）",SUMPRODUCT(('計算A'!GQ$60:GQ$104=1)*('計算A'!$C$10:$C$54=1))&amp;"人："&amp;_xlfn.TEXTJOIN("、",TRUE,IF(('計算A'!GQ$60:GQ$104=1)*('計算A'!$C$10:$C$54=1),'計算A'!$B$10:$B$54,"")))))</f>
        <v/>
      </c>
      <c r="L38" s="82">
        <f t="array" ref="L38">IF('計算A'!HO$4=0,"",IF(L9&lt;&gt;"","（決定）",IF('計算A'!HO$108=1,"（空ける）",SUMPRODUCT(('計算A'!HO$60:HO$104=1)*('計算A'!$C$10:$C$54=1))&amp;"人："&amp;_xlfn.TEXTJOIN("、",TRUE,IF(('計算A'!HO$60:HO$104=1)*('計算A'!$C$10:$C$54=1),'計算A'!$B$10:$B$54,"")))))</f>
        <v/>
      </c>
    </row>
    <row r="39" ht="44" customHeight="1">
      <c r="B39" s="42">
        <f>'設定'!$I$15</f>
        <v/>
      </c>
      <c r="C39" s="82">
        <f t="array" ref="C39">IF('計算A'!H$4=0,"",IF(C10&lt;&gt;"","（決定）",IF('計算A'!H$108=1,"（空ける）",SUMPRODUCT(('計算A'!H$60:H$104=1)*('計算A'!$C$10:$C$54=1))&amp;"人："&amp;_xlfn.TEXTJOIN("、",TRUE,IF(('計算A'!H$60:H$104=1)*('計算A'!$C$10:$C$54=1),'計算A'!$B$10:$B$54,"")))))</f>
        <v/>
      </c>
      <c r="D39" s="82">
        <f t="array" ref="D39">IF('計算A'!AF$4=0,"",IF(D10&lt;&gt;"","（決定）",IF('計算A'!AF$108=1,"（空ける）",SUMPRODUCT(('計算A'!AF$60:AF$104=1)*('計算A'!$C$10:$C$54=1))&amp;"人："&amp;_xlfn.TEXTJOIN("、",TRUE,IF(('計算A'!AF$60:AF$104=1)*('計算A'!$C$10:$C$54=1),'計算A'!$B$10:$B$54,"")))))</f>
        <v/>
      </c>
      <c r="E39" s="82">
        <f t="array" ref="E39">IF('計算A'!BD$4=0,"",IF(E10&lt;&gt;"","（決定）",IF('計算A'!BD$108=1,"（空ける）",SUMPRODUCT(('計算A'!BD$60:BD$104=1)*('計算A'!$C$10:$C$54=1))&amp;"人："&amp;_xlfn.TEXTJOIN("、",TRUE,IF(('計算A'!BD$60:BD$104=1)*('計算A'!$C$10:$C$54=1),'計算A'!$B$10:$B$54,"")))))</f>
        <v/>
      </c>
      <c r="F39" s="82">
        <f t="array" ref="F39">IF('計算A'!CB$4=0,"",IF(F10&lt;&gt;"","（決定）",IF('計算A'!CB$108=1,"（空ける）",SUMPRODUCT(('計算A'!CB$60:CB$104=1)*('計算A'!$C$10:$C$54=1))&amp;"人："&amp;_xlfn.TEXTJOIN("、",TRUE,IF(('計算A'!CB$60:CB$104=1)*('計算A'!$C$10:$C$54=1),'計算A'!$B$10:$B$54,"")))))</f>
        <v/>
      </c>
      <c r="G39" s="82">
        <f t="array" ref="G39">IF('計算A'!CZ$4=0,"",IF(G10&lt;&gt;"","（決定）",IF('計算A'!CZ$108=1,"（空ける）",SUMPRODUCT(('計算A'!CZ$60:CZ$104=1)*('計算A'!$C$10:$C$54=1))&amp;"人："&amp;_xlfn.TEXTJOIN("、",TRUE,IF(('計算A'!CZ$60:CZ$104=1)*('計算A'!$C$10:$C$54=1),'計算A'!$B$10:$B$54,"")))))</f>
        <v/>
      </c>
      <c r="H39" s="82">
        <f t="array" ref="H39">IF('計算A'!DX$4=0,"",IF(H10&lt;&gt;"","（決定）",IF('計算A'!DX$108=1,"（空ける）",SUMPRODUCT(('計算A'!DX$60:DX$104=1)*('計算A'!$C$10:$C$54=1))&amp;"人："&amp;_xlfn.TEXTJOIN("、",TRUE,IF(('計算A'!DX$60:DX$104=1)*('計算A'!$C$10:$C$54=1),'計算A'!$B$10:$B$54,"")))))</f>
        <v/>
      </c>
      <c r="I39" s="82">
        <f t="array" ref="I39">IF('計算A'!EV$4=0,"",IF(I10&lt;&gt;"","（決定）",IF('計算A'!EV$108=1,"（空ける）",SUMPRODUCT(('計算A'!EV$60:EV$104=1)*('計算A'!$C$10:$C$54=1))&amp;"人："&amp;_xlfn.TEXTJOIN("、",TRUE,IF(('計算A'!EV$60:EV$104=1)*('計算A'!$C$10:$C$54=1),'計算A'!$B$10:$B$54,"")))))</f>
        <v/>
      </c>
      <c r="J39" s="82">
        <f t="array" ref="J39">IF('計算A'!FT$4=0,"",IF(J10&lt;&gt;"","（決定）",IF('計算A'!FT$108=1,"（空ける）",SUMPRODUCT(('計算A'!FT$60:FT$104=1)*('計算A'!$C$10:$C$54=1))&amp;"人："&amp;_xlfn.TEXTJOIN("、",TRUE,IF(('計算A'!FT$60:FT$104=1)*('計算A'!$C$10:$C$54=1),'計算A'!$B$10:$B$54,"")))))</f>
        <v/>
      </c>
      <c r="K39" s="82">
        <f t="array" ref="K39">IF('計算A'!GR$4=0,"",IF(K10&lt;&gt;"","（決定）",IF('計算A'!GR$108=1,"（空ける）",SUMPRODUCT(('計算A'!GR$60:GR$104=1)*('計算A'!$C$10:$C$54=1))&amp;"人："&amp;_xlfn.TEXTJOIN("、",TRUE,IF(('計算A'!GR$60:GR$104=1)*('計算A'!$C$10:$C$54=1),'計算A'!$B$10:$B$54,"")))))</f>
        <v/>
      </c>
      <c r="L39" s="82">
        <f t="array" ref="L39">IF('計算A'!HP$4=0,"",IF(L10&lt;&gt;"","（決定）",IF('計算A'!HP$108=1,"（空ける）",SUMPRODUCT(('計算A'!HP$60:HP$104=1)*('計算A'!$C$10:$C$54=1))&amp;"人："&amp;_xlfn.TEXTJOIN("、",TRUE,IF(('計算A'!HP$60:HP$104=1)*('計算A'!$C$10:$C$54=1),'計算A'!$B$10:$B$54,"")))))</f>
        <v/>
      </c>
    </row>
    <row r="40" ht="44" customHeight="1">
      <c r="B40" s="42">
        <f>'設定'!$I$16</f>
        <v/>
      </c>
      <c r="C40" s="82">
        <f t="array" ref="C40">IF('計算A'!I$4=0,"",IF(C11&lt;&gt;"","（決定）",IF('計算A'!I$108=1,"（空ける）",SUMPRODUCT(('計算A'!I$60:I$104=1)*('計算A'!$C$10:$C$54=1))&amp;"人："&amp;_xlfn.TEXTJOIN("、",TRUE,IF(('計算A'!I$60:I$104=1)*('計算A'!$C$10:$C$54=1),'計算A'!$B$10:$B$54,"")))))</f>
        <v/>
      </c>
      <c r="D40" s="82">
        <f t="array" ref="D40">IF('計算A'!AG$4=0,"",IF(D11&lt;&gt;"","（決定）",IF('計算A'!AG$108=1,"（空ける）",SUMPRODUCT(('計算A'!AG$60:AG$104=1)*('計算A'!$C$10:$C$54=1))&amp;"人："&amp;_xlfn.TEXTJOIN("、",TRUE,IF(('計算A'!AG$60:AG$104=1)*('計算A'!$C$10:$C$54=1),'計算A'!$B$10:$B$54,"")))))</f>
        <v/>
      </c>
      <c r="E40" s="82">
        <f t="array" ref="E40">IF('計算A'!BE$4=0,"",IF(E11&lt;&gt;"","（決定）",IF('計算A'!BE$108=1,"（空ける）",SUMPRODUCT(('計算A'!BE$60:BE$104=1)*('計算A'!$C$10:$C$54=1))&amp;"人："&amp;_xlfn.TEXTJOIN("、",TRUE,IF(('計算A'!BE$60:BE$104=1)*('計算A'!$C$10:$C$54=1),'計算A'!$B$10:$B$54,"")))))</f>
        <v/>
      </c>
      <c r="F40" s="82">
        <f t="array" ref="F40">IF('計算A'!CC$4=0,"",IF(F11&lt;&gt;"","（決定）",IF('計算A'!CC$108=1,"（空ける）",SUMPRODUCT(('計算A'!CC$60:CC$104=1)*('計算A'!$C$10:$C$54=1))&amp;"人："&amp;_xlfn.TEXTJOIN("、",TRUE,IF(('計算A'!CC$60:CC$104=1)*('計算A'!$C$10:$C$54=1),'計算A'!$B$10:$B$54,"")))))</f>
        <v/>
      </c>
      <c r="G40" s="82">
        <f t="array" ref="G40">IF('計算A'!DA$4=0,"",IF(G11&lt;&gt;"","（決定）",IF('計算A'!DA$108=1,"（空ける）",SUMPRODUCT(('計算A'!DA$60:DA$104=1)*('計算A'!$C$10:$C$54=1))&amp;"人："&amp;_xlfn.TEXTJOIN("、",TRUE,IF(('計算A'!DA$60:DA$104=1)*('計算A'!$C$10:$C$54=1),'計算A'!$B$10:$B$54,"")))))</f>
        <v/>
      </c>
      <c r="H40" s="82">
        <f t="array" ref="H40">IF('計算A'!DY$4=0,"",IF(H11&lt;&gt;"","（決定）",IF('計算A'!DY$108=1,"（空ける）",SUMPRODUCT(('計算A'!DY$60:DY$104=1)*('計算A'!$C$10:$C$54=1))&amp;"人："&amp;_xlfn.TEXTJOIN("、",TRUE,IF(('計算A'!DY$60:DY$104=1)*('計算A'!$C$10:$C$54=1),'計算A'!$B$10:$B$54,"")))))</f>
        <v/>
      </c>
      <c r="I40" s="82">
        <f t="array" ref="I40">IF('計算A'!EW$4=0,"",IF(I11&lt;&gt;"","（決定）",IF('計算A'!EW$108=1,"（空ける）",SUMPRODUCT(('計算A'!EW$60:EW$104=1)*('計算A'!$C$10:$C$54=1))&amp;"人："&amp;_xlfn.TEXTJOIN("、",TRUE,IF(('計算A'!EW$60:EW$104=1)*('計算A'!$C$10:$C$54=1),'計算A'!$B$10:$B$54,"")))))</f>
        <v/>
      </c>
      <c r="J40" s="82">
        <f t="array" ref="J40">IF('計算A'!FU$4=0,"",IF(J11&lt;&gt;"","（決定）",IF('計算A'!FU$108=1,"（空ける）",SUMPRODUCT(('計算A'!FU$60:FU$104=1)*('計算A'!$C$10:$C$54=1))&amp;"人："&amp;_xlfn.TEXTJOIN("、",TRUE,IF(('計算A'!FU$60:FU$104=1)*('計算A'!$C$10:$C$54=1),'計算A'!$B$10:$B$54,"")))))</f>
        <v/>
      </c>
      <c r="K40" s="82">
        <f t="array" ref="K40">IF('計算A'!GS$4=0,"",IF(K11&lt;&gt;"","（決定）",IF('計算A'!GS$108=1,"（空ける）",SUMPRODUCT(('計算A'!GS$60:GS$104=1)*('計算A'!$C$10:$C$54=1))&amp;"人："&amp;_xlfn.TEXTJOIN("、",TRUE,IF(('計算A'!GS$60:GS$104=1)*('計算A'!$C$10:$C$54=1),'計算A'!$B$10:$B$54,"")))))</f>
        <v/>
      </c>
      <c r="L40" s="82">
        <f t="array" ref="L40">IF('計算A'!HQ$4=0,"",IF(L11&lt;&gt;"","（決定）",IF('計算A'!HQ$108=1,"（空ける）",SUMPRODUCT(('計算A'!HQ$60:HQ$104=1)*('計算A'!$C$10:$C$54=1))&amp;"人："&amp;_xlfn.TEXTJOIN("、",TRUE,IF(('計算A'!HQ$60:HQ$104=1)*('計算A'!$C$10:$C$54=1),'計算A'!$B$10:$B$54,"")))))</f>
        <v/>
      </c>
    </row>
    <row r="41" ht="44" customHeight="1">
      <c r="B41" s="42">
        <f>'設定'!$I$17</f>
        <v/>
      </c>
      <c r="C41" s="82">
        <f t="array" ref="C41">IF('計算A'!J$4=0,"",IF(C12&lt;&gt;"","（決定）",IF('計算A'!J$108=1,"（空ける）",SUMPRODUCT(('計算A'!J$60:J$104=1)*('計算A'!$C$10:$C$54=1))&amp;"人："&amp;_xlfn.TEXTJOIN("、",TRUE,IF(('計算A'!J$60:J$104=1)*('計算A'!$C$10:$C$54=1),'計算A'!$B$10:$B$54,"")))))</f>
        <v/>
      </c>
      <c r="D41" s="82">
        <f t="array" ref="D41">IF('計算A'!AH$4=0,"",IF(D12&lt;&gt;"","（決定）",IF('計算A'!AH$108=1,"（空ける）",SUMPRODUCT(('計算A'!AH$60:AH$104=1)*('計算A'!$C$10:$C$54=1))&amp;"人："&amp;_xlfn.TEXTJOIN("、",TRUE,IF(('計算A'!AH$60:AH$104=1)*('計算A'!$C$10:$C$54=1),'計算A'!$B$10:$B$54,"")))))</f>
        <v/>
      </c>
      <c r="E41" s="82">
        <f t="array" ref="E41">IF('計算A'!BF$4=0,"",IF(E12&lt;&gt;"","（決定）",IF('計算A'!BF$108=1,"（空ける）",SUMPRODUCT(('計算A'!BF$60:BF$104=1)*('計算A'!$C$10:$C$54=1))&amp;"人："&amp;_xlfn.TEXTJOIN("、",TRUE,IF(('計算A'!BF$60:BF$104=1)*('計算A'!$C$10:$C$54=1),'計算A'!$B$10:$B$54,"")))))</f>
        <v/>
      </c>
      <c r="F41" s="82">
        <f t="array" ref="F41">IF('計算A'!CD$4=0,"",IF(F12&lt;&gt;"","（決定）",IF('計算A'!CD$108=1,"（空ける）",SUMPRODUCT(('計算A'!CD$60:CD$104=1)*('計算A'!$C$10:$C$54=1))&amp;"人："&amp;_xlfn.TEXTJOIN("、",TRUE,IF(('計算A'!CD$60:CD$104=1)*('計算A'!$C$10:$C$54=1),'計算A'!$B$10:$B$54,"")))))</f>
        <v/>
      </c>
      <c r="G41" s="82">
        <f t="array" ref="G41">IF('計算A'!DB$4=0,"",IF(G12&lt;&gt;"","（決定）",IF('計算A'!DB$108=1,"（空ける）",SUMPRODUCT(('計算A'!DB$60:DB$104=1)*('計算A'!$C$10:$C$54=1))&amp;"人："&amp;_xlfn.TEXTJOIN("、",TRUE,IF(('計算A'!DB$60:DB$104=1)*('計算A'!$C$10:$C$54=1),'計算A'!$B$10:$B$54,"")))))</f>
        <v/>
      </c>
      <c r="H41" s="82">
        <f t="array" ref="H41">IF('計算A'!DZ$4=0,"",IF(H12&lt;&gt;"","（決定）",IF('計算A'!DZ$108=1,"（空ける）",SUMPRODUCT(('計算A'!DZ$60:DZ$104=1)*('計算A'!$C$10:$C$54=1))&amp;"人："&amp;_xlfn.TEXTJOIN("、",TRUE,IF(('計算A'!DZ$60:DZ$104=1)*('計算A'!$C$10:$C$54=1),'計算A'!$B$10:$B$54,"")))))</f>
        <v/>
      </c>
      <c r="I41" s="82">
        <f t="array" ref="I41">IF('計算A'!EX$4=0,"",IF(I12&lt;&gt;"","（決定）",IF('計算A'!EX$108=1,"（空ける）",SUMPRODUCT(('計算A'!EX$60:EX$104=1)*('計算A'!$C$10:$C$54=1))&amp;"人："&amp;_xlfn.TEXTJOIN("、",TRUE,IF(('計算A'!EX$60:EX$104=1)*('計算A'!$C$10:$C$54=1),'計算A'!$B$10:$B$54,"")))))</f>
        <v/>
      </c>
      <c r="J41" s="82">
        <f t="array" ref="J41">IF('計算A'!FV$4=0,"",IF(J12&lt;&gt;"","（決定）",IF('計算A'!FV$108=1,"（空ける）",SUMPRODUCT(('計算A'!FV$60:FV$104=1)*('計算A'!$C$10:$C$54=1))&amp;"人："&amp;_xlfn.TEXTJOIN("、",TRUE,IF(('計算A'!FV$60:FV$104=1)*('計算A'!$C$10:$C$54=1),'計算A'!$B$10:$B$54,"")))))</f>
        <v/>
      </c>
      <c r="K41" s="82">
        <f t="array" ref="K41">IF('計算A'!GT$4=0,"",IF(K12&lt;&gt;"","（決定）",IF('計算A'!GT$108=1,"（空ける）",SUMPRODUCT(('計算A'!GT$60:GT$104=1)*('計算A'!$C$10:$C$54=1))&amp;"人："&amp;_xlfn.TEXTJOIN("、",TRUE,IF(('計算A'!GT$60:GT$104=1)*('計算A'!$C$10:$C$54=1),'計算A'!$B$10:$B$54,"")))))</f>
        <v/>
      </c>
      <c r="L41" s="82">
        <f t="array" ref="L41">IF('計算A'!HR$4=0,"",IF(L12&lt;&gt;"","（決定）",IF('計算A'!HR$108=1,"（空ける）",SUMPRODUCT(('計算A'!HR$60:HR$104=1)*('計算A'!$C$10:$C$54=1))&amp;"人："&amp;_xlfn.TEXTJOIN("、",TRUE,IF(('計算A'!HR$60:HR$104=1)*('計算A'!$C$10:$C$54=1),'計算A'!$B$10:$B$54,"")))))</f>
        <v/>
      </c>
    </row>
    <row r="42" ht="44" customHeight="1">
      <c r="B42" s="42">
        <f>'設定'!$I$18</f>
        <v/>
      </c>
      <c r="C42" s="82">
        <f t="array" ref="C42">IF('計算A'!K$4=0,"",IF(C13&lt;&gt;"","（決定）",IF('計算A'!K$108=1,"（空ける）",SUMPRODUCT(('計算A'!K$60:K$104=1)*('計算A'!$C$10:$C$54=1))&amp;"人："&amp;_xlfn.TEXTJOIN("、",TRUE,IF(('計算A'!K$60:K$104=1)*('計算A'!$C$10:$C$54=1),'計算A'!$B$10:$B$54,"")))))</f>
        <v/>
      </c>
      <c r="D42" s="82">
        <f t="array" ref="D42">IF('計算A'!AI$4=0,"",IF(D13&lt;&gt;"","（決定）",IF('計算A'!AI$108=1,"（空ける）",SUMPRODUCT(('計算A'!AI$60:AI$104=1)*('計算A'!$C$10:$C$54=1))&amp;"人："&amp;_xlfn.TEXTJOIN("、",TRUE,IF(('計算A'!AI$60:AI$104=1)*('計算A'!$C$10:$C$54=1),'計算A'!$B$10:$B$54,"")))))</f>
        <v/>
      </c>
      <c r="E42" s="82">
        <f t="array" ref="E42">IF('計算A'!BG$4=0,"",IF(E13&lt;&gt;"","（決定）",IF('計算A'!BG$108=1,"（空ける）",SUMPRODUCT(('計算A'!BG$60:BG$104=1)*('計算A'!$C$10:$C$54=1))&amp;"人："&amp;_xlfn.TEXTJOIN("、",TRUE,IF(('計算A'!BG$60:BG$104=1)*('計算A'!$C$10:$C$54=1),'計算A'!$B$10:$B$54,"")))))</f>
        <v/>
      </c>
      <c r="F42" s="82">
        <f t="array" ref="F42">IF('計算A'!CE$4=0,"",IF(F13&lt;&gt;"","（決定）",IF('計算A'!CE$108=1,"（空ける）",SUMPRODUCT(('計算A'!CE$60:CE$104=1)*('計算A'!$C$10:$C$54=1))&amp;"人："&amp;_xlfn.TEXTJOIN("、",TRUE,IF(('計算A'!CE$60:CE$104=1)*('計算A'!$C$10:$C$54=1),'計算A'!$B$10:$B$54,"")))))</f>
        <v/>
      </c>
      <c r="G42" s="82">
        <f t="array" ref="G42">IF('計算A'!DC$4=0,"",IF(G13&lt;&gt;"","（決定）",IF('計算A'!DC$108=1,"（空ける）",SUMPRODUCT(('計算A'!DC$60:DC$104=1)*('計算A'!$C$10:$C$54=1))&amp;"人："&amp;_xlfn.TEXTJOIN("、",TRUE,IF(('計算A'!DC$60:DC$104=1)*('計算A'!$C$10:$C$54=1),'計算A'!$B$10:$B$54,"")))))</f>
        <v/>
      </c>
      <c r="H42" s="82">
        <f t="array" ref="H42">IF('計算A'!EA$4=0,"",IF(H13&lt;&gt;"","（決定）",IF('計算A'!EA$108=1,"（空ける）",SUMPRODUCT(('計算A'!EA$60:EA$104=1)*('計算A'!$C$10:$C$54=1))&amp;"人："&amp;_xlfn.TEXTJOIN("、",TRUE,IF(('計算A'!EA$60:EA$104=1)*('計算A'!$C$10:$C$54=1),'計算A'!$B$10:$B$54,"")))))</f>
        <v/>
      </c>
      <c r="I42" s="82">
        <f t="array" ref="I42">IF('計算A'!EY$4=0,"",IF(I13&lt;&gt;"","（決定）",IF('計算A'!EY$108=1,"（空ける）",SUMPRODUCT(('計算A'!EY$60:EY$104=1)*('計算A'!$C$10:$C$54=1))&amp;"人："&amp;_xlfn.TEXTJOIN("、",TRUE,IF(('計算A'!EY$60:EY$104=1)*('計算A'!$C$10:$C$54=1),'計算A'!$B$10:$B$54,"")))))</f>
        <v/>
      </c>
      <c r="J42" s="82">
        <f t="array" ref="J42">IF('計算A'!FW$4=0,"",IF(J13&lt;&gt;"","（決定）",IF('計算A'!FW$108=1,"（空ける）",SUMPRODUCT(('計算A'!FW$60:FW$104=1)*('計算A'!$C$10:$C$54=1))&amp;"人："&amp;_xlfn.TEXTJOIN("、",TRUE,IF(('計算A'!FW$60:FW$104=1)*('計算A'!$C$10:$C$54=1),'計算A'!$B$10:$B$54,"")))))</f>
        <v/>
      </c>
      <c r="K42" s="82">
        <f t="array" ref="K42">IF('計算A'!GU$4=0,"",IF(K13&lt;&gt;"","（決定）",IF('計算A'!GU$108=1,"（空ける）",SUMPRODUCT(('計算A'!GU$60:GU$104=1)*('計算A'!$C$10:$C$54=1))&amp;"人："&amp;_xlfn.TEXTJOIN("、",TRUE,IF(('計算A'!GU$60:GU$104=1)*('計算A'!$C$10:$C$54=1),'計算A'!$B$10:$B$54,"")))))</f>
        <v/>
      </c>
      <c r="L42" s="82">
        <f t="array" ref="L42">IF('計算A'!HS$4=0,"",IF(L13&lt;&gt;"","（決定）",IF('計算A'!HS$108=1,"（空ける）",SUMPRODUCT(('計算A'!HS$60:HS$104=1)*('計算A'!$C$10:$C$54=1))&amp;"人："&amp;_xlfn.TEXTJOIN("、",TRUE,IF(('計算A'!HS$60:HS$104=1)*('計算A'!$C$10:$C$54=1),'計算A'!$B$10:$B$54,"")))))</f>
        <v/>
      </c>
    </row>
    <row r="43" ht="44" customHeight="1">
      <c r="B43" s="42">
        <f>'設定'!$I$19</f>
        <v/>
      </c>
      <c r="C43" s="82">
        <f t="array" ref="C43">IF('計算A'!L$4=0,"",IF(C14&lt;&gt;"","（決定）",IF('計算A'!L$108=1,"（空ける）",SUMPRODUCT(('計算A'!L$60:L$104=1)*('計算A'!$C$10:$C$54=1))&amp;"人："&amp;_xlfn.TEXTJOIN("、",TRUE,IF(('計算A'!L$60:L$104=1)*('計算A'!$C$10:$C$54=1),'計算A'!$B$10:$B$54,"")))))</f>
        <v/>
      </c>
      <c r="D43" s="82">
        <f t="array" ref="D43">IF('計算A'!AJ$4=0,"",IF(D14&lt;&gt;"","（決定）",IF('計算A'!AJ$108=1,"（空ける）",SUMPRODUCT(('計算A'!AJ$60:AJ$104=1)*('計算A'!$C$10:$C$54=1))&amp;"人："&amp;_xlfn.TEXTJOIN("、",TRUE,IF(('計算A'!AJ$60:AJ$104=1)*('計算A'!$C$10:$C$54=1),'計算A'!$B$10:$B$54,"")))))</f>
        <v/>
      </c>
      <c r="E43" s="82">
        <f t="array" ref="E43">IF('計算A'!BH$4=0,"",IF(E14&lt;&gt;"","（決定）",IF('計算A'!BH$108=1,"（空ける）",SUMPRODUCT(('計算A'!BH$60:BH$104=1)*('計算A'!$C$10:$C$54=1))&amp;"人："&amp;_xlfn.TEXTJOIN("、",TRUE,IF(('計算A'!BH$60:BH$104=1)*('計算A'!$C$10:$C$54=1),'計算A'!$B$10:$B$54,"")))))</f>
        <v/>
      </c>
      <c r="F43" s="82">
        <f t="array" ref="F43">IF('計算A'!CF$4=0,"",IF(F14&lt;&gt;"","（決定）",IF('計算A'!CF$108=1,"（空ける）",SUMPRODUCT(('計算A'!CF$60:CF$104=1)*('計算A'!$C$10:$C$54=1))&amp;"人："&amp;_xlfn.TEXTJOIN("、",TRUE,IF(('計算A'!CF$60:CF$104=1)*('計算A'!$C$10:$C$54=1),'計算A'!$B$10:$B$54,"")))))</f>
        <v/>
      </c>
      <c r="G43" s="82">
        <f t="array" ref="G43">IF('計算A'!DD$4=0,"",IF(G14&lt;&gt;"","（決定）",IF('計算A'!DD$108=1,"（空ける）",SUMPRODUCT(('計算A'!DD$60:DD$104=1)*('計算A'!$C$10:$C$54=1))&amp;"人："&amp;_xlfn.TEXTJOIN("、",TRUE,IF(('計算A'!DD$60:DD$104=1)*('計算A'!$C$10:$C$54=1),'計算A'!$B$10:$B$54,"")))))</f>
        <v/>
      </c>
      <c r="H43" s="82">
        <f t="array" ref="H43">IF('計算A'!EB$4=0,"",IF(H14&lt;&gt;"","（決定）",IF('計算A'!EB$108=1,"（空ける）",SUMPRODUCT(('計算A'!EB$60:EB$104=1)*('計算A'!$C$10:$C$54=1))&amp;"人："&amp;_xlfn.TEXTJOIN("、",TRUE,IF(('計算A'!EB$60:EB$104=1)*('計算A'!$C$10:$C$54=1),'計算A'!$B$10:$B$54,"")))))</f>
        <v/>
      </c>
      <c r="I43" s="82">
        <f t="array" ref="I43">IF('計算A'!EZ$4=0,"",IF(I14&lt;&gt;"","（決定）",IF('計算A'!EZ$108=1,"（空ける）",SUMPRODUCT(('計算A'!EZ$60:EZ$104=1)*('計算A'!$C$10:$C$54=1))&amp;"人："&amp;_xlfn.TEXTJOIN("、",TRUE,IF(('計算A'!EZ$60:EZ$104=1)*('計算A'!$C$10:$C$54=1),'計算A'!$B$10:$B$54,"")))))</f>
        <v/>
      </c>
      <c r="J43" s="82">
        <f t="array" ref="J43">IF('計算A'!FX$4=0,"",IF(J14&lt;&gt;"","（決定）",IF('計算A'!FX$108=1,"（空ける）",SUMPRODUCT(('計算A'!FX$60:FX$104=1)*('計算A'!$C$10:$C$54=1))&amp;"人："&amp;_xlfn.TEXTJOIN("、",TRUE,IF(('計算A'!FX$60:FX$104=1)*('計算A'!$C$10:$C$54=1),'計算A'!$B$10:$B$54,"")))))</f>
        <v/>
      </c>
      <c r="K43" s="82">
        <f t="array" ref="K43">IF('計算A'!GV$4=0,"",IF(K14&lt;&gt;"","（決定）",IF('計算A'!GV$108=1,"（空ける）",SUMPRODUCT(('計算A'!GV$60:GV$104=1)*('計算A'!$C$10:$C$54=1))&amp;"人："&amp;_xlfn.TEXTJOIN("、",TRUE,IF(('計算A'!GV$60:GV$104=1)*('計算A'!$C$10:$C$54=1),'計算A'!$B$10:$B$54,"")))))</f>
        <v/>
      </c>
      <c r="L43" s="82">
        <f t="array" ref="L43">IF('計算A'!HT$4=0,"",IF(L14&lt;&gt;"","（決定）",IF('計算A'!HT$108=1,"（空ける）",SUMPRODUCT(('計算A'!HT$60:HT$104=1)*('計算A'!$C$10:$C$54=1))&amp;"人："&amp;_xlfn.TEXTJOIN("、",TRUE,IF(('計算A'!HT$60:HT$104=1)*('計算A'!$C$10:$C$54=1),'計算A'!$B$10:$B$54,"")))))</f>
        <v/>
      </c>
    </row>
    <row r="44" ht="44" customHeight="1">
      <c r="B44" s="42">
        <f>'設定'!$I$20</f>
        <v/>
      </c>
      <c r="C44" s="82">
        <f t="array" ref="C44">IF('計算A'!M$4=0,"",IF(C15&lt;&gt;"","（決定）",IF('計算A'!M$108=1,"（空ける）",SUMPRODUCT(('計算A'!M$60:M$104=1)*('計算A'!$C$10:$C$54=1))&amp;"人："&amp;_xlfn.TEXTJOIN("、",TRUE,IF(('計算A'!M$60:M$104=1)*('計算A'!$C$10:$C$54=1),'計算A'!$B$10:$B$54,"")))))</f>
        <v/>
      </c>
      <c r="D44" s="82">
        <f t="array" ref="D44">IF('計算A'!AK$4=0,"",IF(D15&lt;&gt;"","（決定）",IF('計算A'!AK$108=1,"（空ける）",SUMPRODUCT(('計算A'!AK$60:AK$104=1)*('計算A'!$C$10:$C$54=1))&amp;"人："&amp;_xlfn.TEXTJOIN("、",TRUE,IF(('計算A'!AK$60:AK$104=1)*('計算A'!$C$10:$C$54=1),'計算A'!$B$10:$B$54,"")))))</f>
        <v/>
      </c>
      <c r="E44" s="82">
        <f t="array" ref="E44">IF('計算A'!BI$4=0,"",IF(E15&lt;&gt;"","（決定）",IF('計算A'!BI$108=1,"（空ける）",SUMPRODUCT(('計算A'!BI$60:BI$104=1)*('計算A'!$C$10:$C$54=1))&amp;"人："&amp;_xlfn.TEXTJOIN("、",TRUE,IF(('計算A'!BI$60:BI$104=1)*('計算A'!$C$10:$C$54=1),'計算A'!$B$10:$B$54,"")))))</f>
        <v/>
      </c>
      <c r="F44" s="82">
        <f t="array" ref="F44">IF('計算A'!CG$4=0,"",IF(F15&lt;&gt;"","（決定）",IF('計算A'!CG$108=1,"（空ける）",SUMPRODUCT(('計算A'!CG$60:CG$104=1)*('計算A'!$C$10:$C$54=1))&amp;"人："&amp;_xlfn.TEXTJOIN("、",TRUE,IF(('計算A'!CG$60:CG$104=1)*('計算A'!$C$10:$C$54=1),'計算A'!$B$10:$B$54,"")))))</f>
        <v/>
      </c>
      <c r="G44" s="82">
        <f t="array" ref="G44">IF('計算A'!DE$4=0,"",IF(G15&lt;&gt;"","（決定）",IF('計算A'!DE$108=1,"（空ける）",SUMPRODUCT(('計算A'!DE$60:DE$104=1)*('計算A'!$C$10:$C$54=1))&amp;"人："&amp;_xlfn.TEXTJOIN("、",TRUE,IF(('計算A'!DE$60:DE$104=1)*('計算A'!$C$10:$C$54=1),'計算A'!$B$10:$B$54,"")))))</f>
        <v/>
      </c>
      <c r="H44" s="82">
        <f t="array" ref="H44">IF('計算A'!EC$4=0,"",IF(H15&lt;&gt;"","（決定）",IF('計算A'!EC$108=1,"（空ける）",SUMPRODUCT(('計算A'!EC$60:EC$104=1)*('計算A'!$C$10:$C$54=1))&amp;"人："&amp;_xlfn.TEXTJOIN("、",TRUE,IF(('計算A'!EC$60:EC$104=1)*('計算A'!$C$10:$C$54=1),'計算A'!$B$10:$B$54,"")))))</f>
        <v/>
      </c>
      <c r="I44" s="82">
        <f t="array" ref="I44">IF('計算A'!FA$4=0,"",IF(I15&lt;&gt;"","（決定）",IF('計算A'!FA$108=1,"（空ける）",SUMPRODUCT(('計算A'!FA$60:FA$104=1)*('計算A'!$C$10:$C$54=1))&amp;"人："&amp;_xlfn.TEXTJOIN("、",TRUE,IF(('計算A'!FA$60:FA$104=1)*('計算A'!$C$10:$C$54=1),'計算A'!$B$10:$B$54,"")))))</f>
        <v/>
      </c>
      <c r="J44" s="82">
        <f t="array" ref="J44">IF('計算A'!FY$4=0,"",IF(J15&lt;&gt;"","（決定）",IF('計算A'!FY$108=1,"（空ける）",SUMPRODUCT(('計算A'!FY$60:FY$104=1)*('計算A'!$C$10:$C$54=1))&amp;"人："&amp;_xlfn.TEXTJOIN("、",TRUE,IF(('計算A'!FY$60:FY$104=1)*('計算A'!$C$10:$C$54=1),'計算A'!$B$10:$B$54,"")))))</f>
        <v/>
      </c>
      <c r="K44" s="82">
        <f t="array" ref="K44">IF('計算A'!GW$4=0,"",IF(K15&lt;&gt;"","（決定）",IF('計算A'!GW$108=1,"（空ける）",SUMPRODUCT(('計算A'!GW$60:GW$104=1)*('計算A'!$C$10:$C$54=1))&amp;"人："&amp;_xlfn.TEXTJOIN("、",TRUE,IF(('計算A'!GW$60:GW$104=1)*('計算A'!$C$10:$C$54=1),'計算A'!$B$10:$B$54,"")))))</f>
        <v/>
      </c>
      <c r="L44" s="82">
        <f t="array" ref="L44">IF('計算A'!HU$4=0,"",IF(L15&lt;&gt;"","（決定）",IF('計算A'!HU$108=1,"（空ける）",SUMPRODUCT(('計算A'!HU$60:HU$104=1)*('計算A'!$C$10:$C$54=1))&amp;"人："&amp;_xlfn.TEXTJOIN("、",TRUE,IF(('計算A'!HU$60:HU$104=1)*('計算A'!$C$10:$C$54=1),'計算A'!$B$10:$B$54,"")))))</f>
        <v/>
      </c>
    </row>
    <row r="45" ht="44" customHeight="1">
      <c r="B45" s="42">
        <f>'設定'!$I$21</f>
        <v/>
      </c>
      <c r="C45" s="82">
        <f t="array" ref="C45">IF('計算A'!N$4=0,"",IF(C16&lt;&gt;"","（決定）",IF('計算A'!N$108=1,"（空ける）",SUMPRODUCT(('計算A'!N$60:N$104=1)*('計算A'!$C$10:$C$54=1))&amp;"人："&amp;_xlfn.TEXTJOIN("、",TRUE,IF(('計算A'!N$60:N$104=1)*('計算A'!$C$10:$C$54=1),'計算A'!$B$10:$B$54,"")))))</f>
        <v/>
      </c>
      <c r="D45" s="82">
        <f t="array" ref="D45">IF('計算A'!AL$4=0,"",IF(D16&lt;&gt;"","（決定）",IF('計算A'!AL$108=1,"（空ける）",SUMPRODUCT(('計算A'!AL$60:AL$104=1)*('計算A'!$C$10:$C$54=1))&amp;"人："&amp;_xlfn.TEXTJOIN("、",TRUE,IF(('計算A'!AL$60:AL$104=1)*('計算A'!$C$10:$C$54=1),'計算A'!$B$10:$B$54,"")))))</f>
        <v/>
      </c>
      <c r="E45" s="82">
        <f t="array" ref="E45">IF('計算A'!BJ$4=0,"",IF(E16&lt;&gt;"","（決定）",IF('計算A'!BJ$108=1,"（空ける）",SUMPRODUCT(('計算A'!BJ$60:BJ$104=1)*('計算A'!$C$10:$C$54=1))&amp;"人："&amp;_xlfn.TEXTJOIN("、",TRUE,IF(('計算A'!BJ$60:BJ$104=1)*('計算A'!$C$10:$C$54=1),'計算A'!$B$10:$B$54,"")))))</f>
        <v/>
      </c>
      <c r="F45" s="82">
        <f t="array" ref="F45">IF('計算A'!CH$4=0,"",IF(F16&lt;&gt;"","（決定）",IF('計算A'!CH$108=1,"（空ける）",SUMPRODUCT(('計算A'!CH$60:CH$104=1)*('計算A'!$C$10:$C$54=1))&amp;"人："&amp;_xlfn.TEXTJOIN("、",TRUE,IF(('計算A'!CH$60:CH$104=1)*('計算A'!$C$10:$C$54=1),'計算A'!$B$10:$B$54,"")))))</f>
        <v/>
      </c>
      <c r="G45" s="82">
        <f t="array" ref="G45">IF('計算A'!DF$4=0,"",IF(G16&lt;&gt;"","（決定）",IF('計算A'!DF$108=1,"（空ける）",SUMPRODUCT(('計算A'!DF$60:DF$104=1)*('計算A'!$C$10:$C$54=1))&amp;"人："&amp;_xlfn.TEXTJOIN("、",TRUE,IF(('計算A'!DF$60:DF$104=1)*('計算A'!$C$10:$C$54=1),'計算A'!$B$10:$B$54,"")))))</f>
        <v/>
      </c>
      <c r="H45" s="82">
        <f t="array" ref="H45">IF('計算A'!ED$4=0,"",IF(H16&lt;&gt;"","（決定）",IF('計算A'!ED$108=1,"（空ける）",SUMPRODUCT(('計算A'!ED$60:ED$104=1)*('計算A'!$C$10:$C$54=1))&amp;"人："&amp;_xlfn.TEXTJOIN("、",TRUE,IF(('計算A'!ED$60:ED$104=1)*('計算A'!$C$10:$C$54=1),'計算A'!$B$10:$B$54,"")))))</f>
        <v/>
      </c>
      <c r="I45" s="82">
        <f t="array" ref="I45">IF('計算A'!FB$4=0,"",IF(I16&lt;&gt;"","（決定）",IF('計算A'!FB$108=1,"（空ける）",SUMPRODUCT(('計算A'!FB$60:FB$104=1)*('計算A'!$C$10:$C$54=1))&amp;"人："&amp;_xlfn.TEXTJOIN("、",TRUE,IF(('計算A'!FB$60:FB$104=1)*('計算A'!$C$10:$C$54=1),'計算A'!$B$10:$B$54,"")))))</f>
        <v/>
      </c>
      <c r="J45" s="82">
        <f t="array" ref="J45">IF('計算A'!FZ$4=0,"",IF(J16&lt;&gt;"","（決定）",IF('計算A'!FZ$108=1,"（空ける）",SUMPRODUCT(('計算A'!FZ$60:FZ$104=1)*('計算A'!$C$10:$C$54=1))&amp;"人："&amp;_xlfn.TEXTJOIN("、",TRUE,IF(('計算A'!FZ$60:FZ$104=1)*('計算A'!$C$10:$C$54=1),'計算A'!$B$10:$B$54,"")))))</f>
        <v/>
      </c>
      <c r="K45" s="82">
        <f t="array" ref="K45">IF('計算A'!GX$4=0,"",IF(K16&lt;&gt;"","（決定）",IF('計算A'!GX$108=1,"（空ける）",SUMPRODUCT(('計算A'!GX$60:GX$104=1)*('計算A'!$C$10:$C$54=1))&amp;"人："&amp;_xlfn.TEXTJOIN("、",TRUE,IF(('計算A'!GX$60:GX$104=1)*('計算A'!$C$10:$C$54=1),'計算A'!$B$10:$B$54,"")))))</f>
        <v/>
      </c>
      <c r="L45" s="82">
        <f t="array" ref="L45">IF('計算A'!HV$4=0,"",IF(L16&lt;&gt;"","（決定）",IF('計算A'!HV$108=1,"（空ける）",SUMPRODUCT(('計算A'!HV$60:HV$104=1)*('計算A'!$C$10:$C$54=1))&amp;"人："&amp;_xlfn.TEXTJOIN("、",TRUE,IF(('計算A'!HV$60:HV$104=1)*('計算A'!$C$10:$C$54=1),'計算A'!$B$10:$B$54,"")))))</f>
        <v/>
      </c>
    </row>
    <row r="46" ht="44" customHeight="1">
      <c r="B46" s="42">
        <f>'設定'!$I$22</f>
        <v/>
      </c>
      <c r="C46" s="82">
        <f t="array" ref="C46">IF('計算A'!O$4=0,"",IF(C17&lt;&gt;"","（決定）",IF('計算A'!O$108=1,"（空ける）",SUMPRODUCT(('計算A'!O$60:O$104=1)*('計算A'!$C$10:$C$54=1))&amp;"人："&amp;_xlfn.TEXTJOIN("、",TRUE,IF(('計算A'!O$60:O$104=1)*('計算A'!$C$10:$C$54=1),'計算A'!$B$10:$B$54,"")))))</f>
        <v/>
      </c>
      <c r="D46" s="82">
        <f t="array" ref="D46">IF('計算A'!AM$4=0,"",IF(D17&lt;&gt;"","（決定）",IF('計算A'!AM$108=1,"（空ける）",SUMPRODUCT(('計算A'!AM$60:AM$104=1)*('計算A'!$C$10:$C$54=1))&amp;"人："&amp;_xlfn.TEXTJOIN("、",TRUE,IF(('計算A'!AM$60:AM$104=1)*('計算A'!$C$10:$C$54=1),'計算A'!$B$10:$B$54,"")))))</f>
        <v/>
      </c>
      <c r="E46" s="82">
        <f t="array" ref="E46">IF('計算A'!BK$4=0,"",IF(E17&lt;&gt;"","（決定）",IF('計算A'!BK$108=1,"（空ける）",SUMPRODUCT(('計算A'!BK$60:BK$104=1)*('計算A'!$C$10:$C$54=1))&amp;"人："&amp;_xlfn.TEXTJOIN("、",TRUE,IF(('計算A'!BK$60:BK$104=1)*('計算A'!$C$10:$C$54=1),'計算A'!$B$10:$B$54,"")))))</f>
        <v/>
      </c>
      <c r="F46" s="82">
        <f t="array" ref="F46">IF('計算A'!CI$4=0,"",IF(F17&lt;&gt;"","（決定）",IF('計算A'!CI$108=1,"（空ける）",SUMPRODUCT(('計算A'!CI$60:CI$104=1)*('計算A'!$C$10:$C$54=1))&amp;"人："&amp;_xlfn.TEXTJOIN("、",TRUE,IF(('計算A'!CI$60:CI$104=1)*('計算A'!$C$10:$C$54=1),'計算A'!$B$10:$B$54,"")))))</f>
        <v/>
      </c>
      <c r="G46" s="82">
        <f t="array" ref="G46">IF('計算A'!DG$4=0,"",IF(G17&lt;&gt;"","（決定）",IF('計算A'!DG$108=1,"（空ける）",SUMPRODUCT(('計算A'!DG$60:DG$104=1)*('計算A'!$C$10:$C$54=1))&amp;"人："&amp;_xlfn.TEXTJOIN("、",TRUE,IF(('計算A'!DG$60:DG$104=1)*('計算A'!$C$10:$C$54=1),'計算A'!$B$10:$B$54,"")))))</f>
        <v/>
      </c>
      <c r="H46" s="82">
        <f t="array" ref="H46">IF('計算A'!EE$4=0,"",IF(H17&lt;&gt;"","（決定）",IF('計算A'!EE$108=1,"（空ける）",SUMPRODUCT(('計算A'!EE$60:EE$104=1)*('計算A'!$C$10:$C$54=1))&amp;"人："&amp;_xlfn.TEXTJOIN("、",TRUE,IF(('計算A'!EE$60:EE$104=1)*('計算A'!$C$10:$C$54=1),'計算A'!$B$10:$B$54,"")))))</f>
        <v/>
      </c>
      <c r="I46" s="82">
        <f t="array" ref="I46">IF('計算A'!FC$4=0,"",IF(I17&lt;&gt;"","（決定）",IF('計算A'!FC$108=1,"（空ける）",SUMPRODUCT(('計算A'!FC$60:FC$104=1)*('計算A'!$C$10:$C$54=1))&amp;"人："&amp;_xlfn.TEXTJOIN("、",TRUE,IF(('計算A'!FC$60:FC$104=1)*('計算A'!$C$10:$C$54=1),'計算A'!$B$10:$B$54,"")))))</f>
        <v/>
      </c>
      <c r="J46" s="82">
        <f t="array" ref="J46">IF('計算A'!GA$4=0,"",IF(J17&lt;&gt;"","（決定）",IF('計算A'!GA$108=1,"（空ける）",SUMPRODUCT(('計算A'!GA$60:GA$104=1)*('計算A'!$C$10:$C$54=1))&amp;"人："&amp;_xlfn.TEXTJOIN("、",TRUE,IF(('計算A'!GA$60:GA$104=1)*('計算A'!$C$10:$C$54=1),'計算A'!$B$10:$B$54,"")))))</f>
        <v/>
      </c>
      <c r="K46" s="82">
        <f t="array" ref="K46">IF('計算A'!GY$4=0,"",IF(K17&lt;&gt;"","（決定）",IF('計算A'!GY$108=1,"（空ける）",SUMPRODUCT(('計算A'!GY$60:GY$104=1)*('計算A'!$C$10:$C$54=1))&amp;"人："&amp;_xlfn.TEXTJOIN("、",TRUE,IF(('計算A'!GY$60:GY$104=1)*('計算A'!$C$10:$C$54=1),'計算A'!$B$10:$B$54,"")))))</f>
        <v/>
      </c>
      <c r="L46" s="82">
        <f t="array" ref="L46">IF('計算A'!HW$4=0,"",IF(L17&lt;&gt;"","（決定）",IF('計算A'!HW$108=1,"（空ける）",SUMPRODUCT(('計算A'!HW$60:HW$104=1)*('計算A'!$C$10:$C$54=1))&amp;"人："&amp;_xlfn.TEXTJOIN("、",TRUE,IF(('計算A'!HW$60:HW$104=1)*('計算A'!$C$10:$C$54=1),'計算A'!$B$10:$B$54,"")))))</f>
        <v/>
      </c>
    </row>
    <row r="47" ht="44" customHeight="1">
      <c r="B47" s="42">
        <f>'設定'!$I$23</f>
        <v/>
      </c>
      <c r="C47" s="82">
        <f t="array" ref="C47">IF('計算A'!P$4=0,"",IF(C18&lt;&gt;"","（決定）",IF('計算A'!P$108=1,"（空ける）",SUMPRODUCT(('計算A'!P$60:P$104=1)*('計算A'!$C$10:$C$54=1))&amp;"人："&amp;_xlfn.TEXTJOIN("、",TRUE,IF(('計算A'!P$60:P$104=1)*('計算A'!$C$10:$C$54=1),'計算A'!$B$10:$B$54,"")))))</f>
        <v/>
      </c>
      <c r="D47" s="82">
        <f t="array" ref="D47">IF('計算A'!AN$4=0,"",IF(D18&lt;&gt;"","（決定）",IF('計算A'!AN$108=1,"（空ける）",SUMPRODUCT(('計算A'!AN$60:AN$104=1)*('計算A'!$C$10:$C$54=1))&amp;"人："&amp;_xlfn.TEXTJOIN("、",TRUE,IF(('計算A'!AN$60:AN$104=1)*('計算A'!$C$10:$C$54=1),'計算A'!$B$10:$B$54,"")))))</f>
        <v/>
      </c>
      <c r="E47" s="82">
        <f t="array" ref="E47">IF('計算A'!BL$4=0,"",IF(E18&lt;&gt;"","（決定）",IF('計算A'!BL$108=1,"（空ける）",SUMPRODUCT(('計算A'!BL$60:BL$104=1)*('計算A'!$C$10:$C$54=1))&amp;"人："&amp;_xlfn.TEXTJOIN("、",TRUE,IF(('計算A'!BL$60:BL$104=1)*('計算A'!$C$10:$C$54=1),'計算A'!$B$10:$B$54,"")))))</f>
        <v/>
      </c>
      <c r="F47" s="82">
        <f t="array" ref="F47">IF('計算A'!CJ$4=0,"",IF(F18&lt;&gt;"","（決定）",IF('計算A'!CJ$108=1,"（空ける）",SUMPRODUCT(('計算A'!CJ$60:CJ$104=1)*('計算A'!$C$10:$C$54=1))&amp;"人："&amp;_xlfn.TEXTJOIN("、",TRUE,IF(('計算A'!CJ$60:CJ$104=1)*('計算A'!$C$10:$C$54=1),'計算A'!$B$10:$B$54,"")))))</f>
        <v/>
      </c>
      <c r="G47" s="82">
        <f t="array" ref="G47">IF('計算A'!DH$4=0,"",IF(G18&lt;&gt;"","（決定）",IF('計算A'!DH$108=1,"（空ける）",SUMPRODUCT(('計算A'!DH$60:DH$104=1)*('計算A'!$C$10:$C$54=1))&amp;"人："&amp;_xlfn.TEXTJOIN("、",TRUE,IF(('計算A'!DH$60:DH$104=1)*('計算A'!$C$10:$C$54=1),'計算A'!$B$10:$B$54,"")))))</f>
        <v/>
      </c>
      <c r="H47" s="82">
        <f t="array" ref="H47">IF('計算A'!EF$4=0,"",IF(H18&lt;&gt;"","（決定）",IF('計算A'!EF$108=1,"（空ける）",SUMPRODUCT(('計算A'!EF$60:EF$104=1)*('計算A'!$C$10:$C$54=1))&amp;"人："&amp;_xlfn.TEXTJOIN("、",TRUE,IF(('計算A'!EF$60:EF$104=1)*('計算A'!$C$10:$C$54=1),'計算A'!$B$10:$B$54,"")))))</f>
        <v/>
      </c>
      <c r="I47" s="82">
        <f t="array" ref="I47">IF('計算A'!FD$4=0,"",IF(I18&lt;&gt;"","（決定）",IF('計算A'!FD$108=1,"（空ける）",SUMPRODUCT(('計算A'!FD$60:FD$104=1)*('計算A'!$C$10:$C$54=1))&amp;"人："&amp;_xlfn.TEXTJOIN("、",TRUE,IF(('計算A'!FD$60:FD$104=1)*('計算A'!$C$10:$C$54=1),'計算A'!$B$10:$B$54,"")))))</f>
        <v/>
      </c>
      <c r="J47" s="82">
        <f t="array" ref="J47">IF('計算A'!GB$4=0,"",IF(J18&lt;&gt;"","（決定）",IF('計算A'!GB$108=1,"（空ける）",SUMPRODUCT(('計算A'!GB$60:GB$104=1)*('計算A'!$C$10:$C$54=1))&amp;"人："&amp;_xlfn.TEXTJOIN("、",TRUE,IF(('計算A'!GB$60:GB$104=1)*('計算A'!$C$10:$C$54=1),'計算A'!$B$10:$B$54,"")))))</f>
        <v/>
      </c>
      <c r="K47" s="82">
        <f t="array" ref="K47">IF('計算A'!GZ$4=0,"",IF(K18&lt;&gt;"","（決定）",IF('計算A'!GZ$108=1,"（空ける）",SUMPRODUCT(('計算A'!GZ$60:GZ$104=1)*('計算A'!$C$10:$C$54=1))&amp;"人："&amp;_xlfn.TEXTJOIN("、",TRUE,IF(('計算A'!GZ$60:GZ$104=1)*('計算A'!$C$10:$C$54=1),'計算A'!$B$10:$B$54,"")))))</f>
        <v/>
      </c>
      <c r="L47" s="82">
        <f t="array" ref="L47">IF('計算A'!HX$4=0,"",IF(L18&lt;&gt;"","（決定）",IF('計算A'!HX$108=1,"（空ける）",SUMPRODUCT(('計算A'!HX$60:HX$104=1)*('計算A'!$C$10:$C$54=1))&amp;"人："&amp;_xlfn.TEXTJOIN("、",TRUE,IF(('計算A'!HX$60:HX$104=1)*('計算A'!$C$10:$C$54=1),'計算A'!$B$10:$B$54,"")))))</f>
        <v/>
      </c>
    </row>
    <row r="48" ht="44" customHeight="1">
      <c r="B48" s="42">
        <f>'設定'!$I$24</f>
        <v/>
      </c>
      <c r="C48" s="82">
        <f t="array" ref="C48">IF('計算A'!Q$4=0,"",IF(C19&lt;&gt;"","（決定）",IF('計算A'!Q$108=1,"（空ける）",SUMPRODUCT(('計算A'!Q$60:Q$104=1)*('計算A'!$C$10:$C$54=1))&amp;"人："&amp;_xlfn.TEXTJOIN("、",TRUE,IF(('計算A'!Q$60:Q$104=1)*('計算A'!$C$10:$C$54=1),'計算A'!$B$10:$B$54,"")))))</f>
        <v/>
      </c>
      <c r="D48" s="82">
        <f t="array" ref="D48">IF('計算A'!AO$4=0,"",IF(D19&lt;&gt;"","（決定）",IF('計算A'!AO$108=1,"（空ける）",SUMPRODUCT(('計算A'!AO$60:AO$104=1)*('計算A'!$C$10:$C$54=1))&amp;"人："&amp;_xlfn.TEXTJOIN("、",TRUE,IF(('計算A'!AO$60:AO$104=1)*('計算A'!$C$10:$C$54=1),'計算A'!$B$10:$B$54,"")))))</f>
        <v/>
      </c>
      <c r="E48" s="82">
        <f t="array" ref="E48">IF('計算A'!BM$4=0,"",IF(E19&lt;&gt;"","（決定）",IF('計算A'!BM$108=1,"（空ける）",SUMPRODUCT(('計算A'!BM$60:BM$104=1)*('計算A'!$C$10:$C$54=1))&amp;"人："&amp;_xlfn.TEXTJOIN("、",TRUE,IF(('計算A'!BM$60:BM$104=1)*('計算A'!$C$10:$C$54=1),'計算A'!$B$10:$B$54,"")))))</f>
        <v/>
      </c>
      <c r="F48" s="82">
        <f t="array" ref="F48">IF('計算A'!CK$4=0,"",IF(F19&lt;&gt;"","（決定）",IF('計算A'!CK$108=1,"（空ける）",SUMPRODUCT(('計算A'!CK$60:CK$104=1)*('計算A'!$C$10:$C$54=1))&amp;"人："&amp;_xlfn.TEXTJOIN("、",TRUE,IF(('計算A'!CK$60:CK$104=1)*('計算A'!$C$10:$C$54=1),'計算A'!$B$10:$B$54,"")))))</f>
        <v/>
      </c>
      <c r="G48" s="82">
        <f t="array" ref="G48">IF('計算A'!DI$4=0,"",IF(G19&lt;&gt;"","（決定）",IF('計算A'!DI$108=1,"（空ける）",SUMPRODUCT(('計算A'!DI$60:DI$104=1)*('計算A'!$C$10:$C$54=1))&amp;"人："&amp;_xlfn.TEXTJOIN("、",TRUE,IF(('計算A'!DI$60:DI$104=1)*('計算A'!$C$10:$C$54=1),'計算A'!$B$10:$B$54,"")))))</f>
        <v/>
      </c>
      <c r="H48" s="82">
        <f t="array" ref="H48">IF('計算A'!EG$4=0,"",IF(H19&lt;&gt;"","（決定）",IF('計算A'!EG$108=1,"（空ける）",SUMPRODUCT(('計算A'!EG$60:EG$104=1)*('計算A'!$C$10:$C$54=1))&amp;"人："&amp;_xlfn.TEXTJOIN("、",TRUE,IF(('計算A'!EG$60:EG$104=1)*('計算A'!$C$10:$C$54=1),'計算A'!$B$10:$B$54,"")))))</f>
        <v/>
      </c>
      <c r="I48" s="82">
        <f t="array" ref="I48">IF('計算A'!FE$4=0,"",IF(I19&lt;&gt;"","（決定）",IF('計算A'!FE$108=1,"（空ける）",SUMPRODUCT(('計算A'!FE$60:FE$104=1)*('計算A'!$C$10:$C$54=1))&amp;"人："&amp;_xlfn.TEXTJOIN("、",TRUE,IF(('計算A'!FE$60:FE$104=1)*('計算A'!$C$10:$C$54=1),'計算A'!$B$10:$B$54,"")))))</f>
        <v/>
      </c>
      <c r="J48" s="82">
        <f t="array" ref="J48">IF('計算A'!GC$4=0,"",IF(J19&lt;&gt;"","（決定）",IF('計算A'!GC$108=1,"（空ける）",SUMPRODUCT(('計算A'!GC$60:GC$104=1)*('計算A'!$C$10:$C$54=1))&amp;"人："&amp;_xlfn.TEXTJOIN("、",TRUE,IF(('計算A'!GC$60:GC$104=1)*('計算A'!$C$10:$C$54=1),'計算A'!$B$10:$B$54,"")))))</f>
        <v/>
      </c>
      <c r="K48" s="82">
        <f t="array" ref="K48">IF('計算A'!HA$4=0,"",IF(K19&lt;&gt;"","（決定）",IF('計算A'!HA$108=1,"（空ける）",SUMPRODUCT(('計算A'!HA$60:HA$104=1)*('計算A'!$C$10:$C$54=1))&amp;"人："&amp;_xlfn.TEXTJOIN("、",TRUE,IF(('計算A'!HA$60:HA$104=1)*('計算A'!$C$10:$C$54=1),'計算A'!$B$10:$B$54,"")))))</f>
        <v/>
      </c>
      <c r="L48" s="82">
        <f t="array" ref="L48">IF('計算A'!HY$4=0,"",IF(L19&lt;&gt;"","（決定）",IF('計算A'!HY$108=1,"（空ける）",SUMPRODUCT(('計算A'!HY$60:HY$104=1)*('計算A'!$C$10:$C$54=1))&amp;"人："&amp;_xlfn.TEXTJOIN("、",TRUE,IF(('計算A'!HY$60:HY$104=1)*('計算A'!$C$10:$C$54=1),'計算A'!$B$10:$B$54,"")))))</f>
        <v/>
      </c>
    </row>
    <row r="49" ht="44" customHeight="1">
      <c r="B49" s="42">
        <f>'設定'!$I$25</f>
        <v/>
      </c>
      <c r="C49" s="82">
        <f t="array" ref="C49">IF('計算A'!R$4=0,"",IF(C20&lt;&gt;"","（決定）",IF('計算A'!R$108=1,"（空ける）",SUMPRODUCT(('計算A'!R$60:R$104=1)*('計算A'!$C$10:$C$54=1))&amp;"人："&amp;_xlfn.TEXTJOIN("、",TRUE,IF(('計算A'!R$60:R$104=1)*('計算A'!$C$10:$C$54=1),'計算A'!$B$10:$B$54,"")))))</f>
        <v/>
      </c>
      <c r="D49" s="82">
        <f t="array" ref="D49">IF('計算A'!AP$4=0,"",IF(D20&lt;&gt;"","（決定）",IF('計算A'!AP$108=1,"（空ける）",SUMPRODUCT(('計算A'!AP$60:AP$104=1)*('計算A'!$C$10:$C$54=1))&amp;"人："&amp;_xlfn.TEXTJOIN("、",TRUE,IF(('計算A'!AP$60:AP$104=1)*('計算A'!$C$10:$C$54=1),'計算A'!$B$10:$B$54,"")))))</f>
        <v/>
      </c>
      <c r="E49" s="82">
        <f t="array" ref="E49">IF('計算A'!BN$4=0,"",IF(E20&lt;&gt;"","（決定）",IF('計算A'!BN$108=1,"（空ける）",SUMPRODUCT(('計算A'!BN$60:BN$104=1)*('計算A'!$C$10:$C$54=1))&amp;"人："&amp;_xlfn.TEXTJOIN("、",TRUE,IF(('計算A'!BN$60:BN$104=1)*('計算A'!$C$10:$C$54=1),'計算A'!$B$10:$B$54,"")))))</f>
        <v/>
      </c>
      <c r="F49" s="82">
        <f t="array" ref="F49">IF('計算A'!CL$4=0,"",IF(F20&lt;&gt;"","（決定）",IF('計算A'!CL$108=1,"（空ける）",SUMPRODUCT(('計算A'!CL$60:CL$104=1)*('計算A'!$C$10:$C$54=1))&amp;"人："&amp;_xlfn.TEXTJOIN("、",TRUE,IF(('計算A'!CL$60:CL$104=1)*('計算A'!$C$10:$C$54=1),'計算A'!$B$10:$B$54,"")))))</f>
        <v/>
      </c>
      <c r="G49" s="82">
        <f t="array" ref="G49">IF('計算A'!DJ$4=0,"",IF(G20&lt;&gt;"","（決定）",IF('計算A'!DJ$108=1,"（空ける）",SUMPRODUCT(('計算A'!DJ$60:DJ$104=1)*('計算A'!$C$10:$C$54=1))&amp;"人："&amp;_xlfn.TEXTJOIN("、",TRUE,IF(('計算A'!DJ$60:DJ$104=1)*('計算A'!$C$10:$C$54=1),'計算A'!$B$10:$B$54,"")))))</f>
        <v/>
      </c>
      <c r="H49" s="82">
        <f t="array" ref="H49">IF('計算A'!EH$4=0,"",IF(H20&lt;&gt;"","（決定）",IF('計算A'!EH$108=1,"（空ける）",SUMPRODUCT(('計算A'!EH$60:EH$104=1)*('計算A'!$C$10:$C$54=1))&amp;"人："&amp;_xlfn.TEXTJOIN("、",TRUE,IF(('計算A'!EH$60:EH$104=1)*('計算A'!$C$10:$C$54=1),'計算A'!$B$10:$B$54,"")))))</f>
        <v/>
      </c>
      <c r="I49" s="82">
        <f t="array" ref="I49">IF('計算A'!FF$4=0,"",IF(I20&lt;&gt;"","（決定）",IF('計算A'!FF$108=1,"（空ける）",SUMPRODUCT(('計算A'!FF$60:FF$104=1)*('計算A'!$C$10:$C$54=1))&amp;"人："&amp;_xlfn.TEXTJOIN("、",TRUE,IF(('計算A'!FF$60:FF$104=1)*('計算A'!$C$10:$C$54=1),'計算A'!$B$10:$B$54,"")))))</f>
        <v/>
      </c>
      <c r="J49" s="82">
        <f t="array" ref="J49">IF('計算A'!GD$4=0,"",IF(J20&lt;&gt;"","（決定）",IF('計算A'!GD$108=1,"（空ける）",SUMPRODUCT(('計算A'!GD$60:GD$104=1)*('計算A'!$C$10:$C$54=1))&amp;"人："&amp;_xlfn.TEXTJOIN("、",TRUE,IF(('計算A'!GD$60:GD$104=1)*('計算A'!$C$10:$C$54=1),'計算A'!$B$10:$B$54,"")))))</f>
        <v/>
      </c>
      <c r="K49" s="82">
        <f t="array" ref="K49">IF('計算A'!HB$4=0,"",IF(K20&lt;&gt;"","（決定）",IF('計算A'!HB$108=1,"（空ける）",SUMPRODUCT(('計算A'!HB$60:HB$104=1)*('計算A'!$C$10:$C$54=1))&amp;"人："&amp;_xlfn.TEXTJOIN("、",TRUE,IF(('計算A'!HB$60:HB$104=1)*('計算A'!$C$10:$C$54=1),'計算A'!$B$10:$B$54,"")))))</f>
        <v/>
      </c>
      <c r="L49" s="82">
        <f t="array" ref="L49">IF('計算A'!HZ$4=0,"",IF(L20&lt;&gt;"","（決定）",IF('計算A'!HZ$108=1,"（空ける）",SUMPRODUCT(('計算A'!HZ$60:HZ$104=1)*('計算A'!$C$10:$C$54=1))&amp;"人："&amp;_xlfn.TEXTJOIN("、",TRUE,IF(('計算A'!HZ$60:HZ$104=1)*('計算A'!$C$10:$C$54=1),'計算A'!$B$10:$B$54,"")))))</f>
        <v/>
      </c>
    </row>
    <row r="50" ht="44" customHeight="1">
      <c r="B50" s="42">
        <f>'設定'!$I$26</f>
        <v/>
      </c>
      <c r="C50" s="82">
        <f t="array" ref="C50">IF('計算A'!S$4=0,"",IF(C21&lt;&gt;"","（決定）",IF('計算A'!S$108=1,"（空ける）",SUMPRODUCT(('計算A'!S$60:S$104=1)*('計算A'!$C$10:$C$54=1))&amp;"人："&amp;_xlfn.TEXTJOIN("、",TRUE,IF(('計算A'!S$60:S$104=1)*('計算A'!$C$10:$C$54=1),'計算A'!$B$10:$B$54,"")))))</f>
        <v/>
      </c>
      <c r="D50" s="82">
        <f t="array" ref="D50">IF('計算A'!AQ$4=0,"",IF(D21&lt;&gt;"","（決定）",IF('計算A'!AQ$108=1,"（空ける）",SUMPRODUCT(('計算A'!AQ$60:AQ$104=1)*('計算A'!$C$10:$C$54=1))&amp;"人："&amp;_xlfn.TEXTJOIN("、",TRUE,IF(('計算A'!AQ$60:AQ$104=1)*('計算A'!$C$10:$C$54=1),'計算A'!$B$10:$B$54,"")))))</f>
        <v/>
      </c>
      <c r="E50" s="82">
        <f t="array" ref="E50">IF('計算A'!BO$4=0,"",IF(E21&lt;&gt;"","（決定）",IF('計算A'!BO$108=1,"（空ける）",SUMPRODUCT(('計算A'!BO$60:BO$104=1)*('計算A'!$C$10:$C$54=1))&amp;"人："&amp;_xlfn.TEXTJOIN("、",TRUE,IF(('計算A'!BO$60:BO$104=1)*('計算A'!$C$10:$C$54=1),'計算A'!$B$10:$B$54,"")))))</f>
        <v/>
      </c>
      <c r="F50" s="82">
        <f t="array" ref="F50">IF('計算A'!CM$4=0,"",IF(F21&lt;&gt;"","（決定）",IF('計算A'!CM$108=1,"（空ける）",SUMPRODUCT(('計算A'!CM$60:CM$104=1)*('計算A'!$C$10:$C$54=1))&amp;"人："&amp;_xlfn.TEXTJOIN("、",TRUE,IF(('計算A'!CM$60:CM$104=1)*('計算A'!$C$10:$C$54=1),'計算A'!$B$10:$B$54,"")))))</f>
        <v/>
      </c>
      <c r="G50" s="82">
        <f t="array" ref="G50">IF('計算A'!DK$4=0,"",IF(G21&lt;&gt;"","（決定）",IF('計算A'!DK$108=1,"（空ける）",SUMPRODUCT(('計算A'!DK$60:DK$104=1)*('計算A'!$C$10:$C$54=1))&amp;"人："&amp;_xlfn.TEXTJOIN("、",TRUE,IF(('計算A'!DK$60:DK$104=1)*('計算A'!$C$10:$C$54=1),'計算A'!$B$10:$B$54,"")))))</f>
        <v/>
      </c>
      <c r="H50" s="82">
        <f t="array" ref="H50">IF('計算A'!EI$4=0,"",IF(H21&lt;&gt;"","（決定）",IF('計算A'!EI$108=1,"（空ける）",SUMPRODUCT(('計算A'!EI$60:EI$104=1)*('計算A'!$C$10:$C$54=1))&amp;"人："&amp;_xlfn.TEXTJOIN("、",TRUE,IF(('計算A'!EI$60:EI$104=1)*('計算A'!$C$10:$C$54=1),'計算A'!$B$10:$B$54,"")))))</f>
        <v/>
      </c>
      <c r="I50" s="82">
        <f t="array" ref="I50">IF('計算A'!FG$4=0,"",IF(I21&lt;&gt;"","（決定）",IF('計算A'!FG$108=1,"（空ける）",SUMPRODUCT(('計算A'!FG$60:FG$104=1)*('計算A'!$C$10:$C$54=1))&amp;"人："&amp;_xlfn.TEXTJOIN("、",TRUE,IF(('計算A'!FG$60:FG$104=1)*('計算A'!$C$10:$C$54=1),'計算A'!$B$10:$B$54,"")))))</f>
        <v/>
      </c>
      <c r="J50" s="82">
        <f t="array" ref="J50">IF('計算A'!GE$4=0,"",IF(J21&lt;&gt;"","（決定）",IF('計算A'!GE$108=1,"（空ける）",SUMPRODUCT(('計算A'!GE$60:GE$104=1)*('計算A'!$C$10:$C$54=1))&amp;"人："&amp;_xlfn.TEXTJOIN("、",TRUE,IF(('計算A'!GE$60:GE$104=1)*('計算A'!$C$10:$C$54=1),'計算A'!$B$10:$B$54,"")))))</f>
        <v/>
      </c>
      <c r="K50" s="82">
        <f t="array" ref="K50">IF('計算A'!HC$4=0,"",IF(K21&lt;&gt;"","（決定）",IF('計算A'!HC$108=1,"（空ける）",SUMPRODUCT(('計算A'!HC$60:HC$104=1)*('計算A'!$C$10:$C$54=1))&amp;"人："&amp;_xlfn.TEXTJOIN("、",TRUE,IF(('計算A'!HC$60:HC$104=1)*('計算A'!$C$10:$C$54=1),'計算A'!$B$10:$B$54,"")))))</f>
        <v/>
      </c>
      <c r="L50" s="82">
        <f t="array" ref="L50">IF('計算A'!IA$4=0,"",IF(L21&lt;&gt;"","（決定）",IF('計算A'!IA$108=1,"（空ける）",SUMPRODUCT(('計算A'!IA$60:IA$104=1)*('計算A'!$C$10:$C$54=1))&amp;"人："&amp;_xlfn.TEXTJOIN("、",TRUE,IF(('計算A'!IA$60:IA$104=1)*('計算A'!$C$10:$C$54=1),'計算A'!$B$10:$B$54,"")))))</f>
        <v/>
      </c>
    </row>
    <row r="51" ht="44" customHeight="1">
      <c r="B51" s="42">
        <f>'設定'!$I$27</f>
        <v/>
      </c>
      <c r="C51" s="82">
        <f t="array" ref="C51">IF('計算A'!T$4=0,"",IF(C22&lt;&gt;"","（決定）",IF('計算A'!T$108=1,"（空ける）",SUMPRODUCT(('計算A'!T$60:T$104=1)*('計算A'!$C$10:$C$54=1))&amp;"人："&amp;_xlfn.TEXTJOIN("、",TRUE,IF(('計算A'!T$60:T$104=1)*('計算A'!$C$10:$C$54=1),'計算A'!$B$10:$B$54,"")))))</f>
        <v/>
      </c>
      <c r="D51" s="82">
        <f t="array" ref="D51">IF('計算A'!AR$4=0,"",IF(D22&lt;&gt;"","（決定）",IF('計算A'!AR$108=1,"（空ける）",SUMPRODUCT(('計算A'!AR$60:AR$104=1)*('計算A'!$C$10:$C$54=1))&amp;"人："&amp;_xlfn.TEXTJOIN("、",TRUE,IF(('計算A'!AR$60:AR$104=1)*('計算A'!$C$10:$C$54=1),'計算A'!$B$10:$B$54,"")))))</f>
        <v/>
      </c>
      <c r="E51" s="82">
        <f t="array" ref="E51">IF('計算A'!BP$4=0,"",IF(E22&lt;&gt;"","（決定）",IF('計算A'!BP$108=1,"（空ける）",SUMPRODUCT(('計算A'!BP$60:BP$104=1)*('計算A'!$C$10:$C$54=1))&amp;"人："&amp;_xlfn.TEXTJOIN("、",TRUE,IF(('計算A'!BP$60:BP$104=1)*('計算A'!$C$10:$C$54=1),'計算A'!$B$10:$B$54,"")))))</f>
        <v/>
      </c>
      <c r="F51" s="82">
        <f t="array" ref="F51">IF('計算A'!CN$4=0,"",IF(F22&lt;&gt;"","（決定）",IF('計算A'!CN$108=1,"（空ける）",SUMPRODUCT(('計算A'!CN$60:CN$104=1)*('計算A'!$C$10:$C$54=1))&amp;"人："&amp;_xlfn.TEXTJOIN("、",TRUE,IF(('計算A'!CN$60:CN$104=1)*('計算A'!$C$10:$C$54=1),'計算A'!$B$10:$B$54,"")))))</f>
        <v/>
      </c>
      <c r="G51" s="82">
        <f t="array" ref="G51">IF('計算A'!DL$4=0,"",IF(G22&lt;&gt;"","（決定）",IF('計算A'!DL$108=1,"（空ける）",SUMPRODUCT(('計算A'!DL$60:DL$104=1)*('計算A'!$C$10:$C$54=1))&amp;"人："&amp;_xlfn.TEXTJOIN("、",TRUE,IF(('計算A'!DL$60:DL$104=1)*('計算A'!$C$10:$C$54=1),'計算A'!$B$10:$B$54,"")))))</f>
        <v/>
      </c>
      <c r="H51" s="82">
        <f t="array" ref="H51">IF('計算A'!EJ$4=0,"",IF(H22&lt;&gt;"","（決定）",IF('計算A'!EJ$108=1,"（空ける）",SUMPRODUCT(('計算A'!EJ$60:EJ$104=1)*('計算A'!$C$10:$C$54=1))&amp;"人："&amp;_xlfn.TEXTJOIN("、",TRUE,IF(('計算A'!EJ$60:EJ$104=1)*('計算A'!$C$10:$C$54=1),'計算A'!$B$10:$B$54,"")))))</f>
        <v/>
      </c>
      <c r="I51" s="82">
        <f t="array" ref="I51">IF('計算A'!FH$4=0,"",IF(I22&lt;&gt;"","（決定）",IF('計算A'!FH$108=1,"（空ける）",SUMPRODUCT(('計算A'!FH$60:FH$104=1)*('計算A'!$C$10:$C$54=1))&amp;"人："&amp;_xlfn.TEXTJOIN("、",TRUE,IF(('計算A'!FH$60:FH$104=1)*('計算A'!$C$10:$C$54=1),'計算A'!$B$10:$B$54,"")))))</f>
        <v/>
      </c>
      <c r="J51" s="82">
        <f t="array" ref="J51">IF('計算A'!GF$4=0,"",IF(J22&lt;&gt;"","（決定）",IF('計算A'!GF$108=1,"（空ける）",SUMPRODUCT(('計算A'!GF$60:GF$104=1)*('計算A'!$C$10:$C$54=1))&amp;"人："&amp;_xlfn.TEXTJOIN("、",TRUE,IF(('計算A'!GF$60:GF$104=1)*('計算A'!$C$10:$C$54=1),'計算A'!$B$10:$B$54,"")))))</f>
        <v/>
      </c>
      <c r="K51" s="82">
        <f t="array" ref="K51">IF('計算A'!HD$4=0,"",IF(K22&lt;&gt;"","（決定）",IF('計算A'!HD$108=1,"（空ける）",SUMPRODUCT(('計算A'!HD$60:HD$104=1)*('計算A'!$C$10:$C$54=1))&amp;"人："&amp;_xlfn.TEXTJOIN("、",TRUE,IF(('計算A'!HD$60:HD$104=1)*('計算A'!$C$10:$C$54=1),'計算A'!$B$10:$B$54,"")))))</f>
        <v/>
      </c>
      <c r="L51" s="82">
        <f t="array" ref="L51">IF('計算A'!IB$4=0,"",IF(L22&lt;&gt;"","（決定）",IF('計算A'!IB$108=1,"（空ける）",SUMPRODUCT(('計算A'!IB$60:IB$104=1)*('計算A'!$C$10:$C$54=1))&amp;"人："&amp;_xlfn.TEXTJOIN("、",TRUE,IF(('計算A'!IB$60:IB$104=1)*('計算A'!$C$10:$C$54=1),'計算A'!$B$10:$B$54,"")))))</f>
        <v/>
      </c>
    </row>
    <row r="52" ht="44" customHeight="1">
      <c r="B52" s="42">
        <f>'設定'!$I$28</f>
        <v/>
      </c>
      <c r="C52" s="82">
        <f t="array" ref="C52">IF('計算A'!U$4=0,"",IF(C23&lt;&gt;"","（決定）",IF('計算A'!U$108=1,"（空ける）",SUMPRODUCT(('計算A'!U$60:U$104=1)*('計算A'!$C$10:$C$54=1))&amp;"人："&amp;_xlfn.TEXTJOIN("、",TRUE,IF(('計算A'!U$60:U$104=1)*('計算A'!$C$10:$C$54=1),'計算A'!$B$10:$B$54,"")))))</f>
        <v/>
      </c>
      <c r="D52" s="82">
        <f t="array" ref="D52">IF('計算A'!AS$4=0,"",IF(D23&lt;&gt;"","（決定）",IF('計算A'!AS$108=1,"（空ける）",SUMPRODUCT(('計算A'!AS$60:AS$104=1)*('計算A'!$C$10:$C$54=1))&amp;"人："&amp;_xlfn.TEXTJOIN("、",TRUE,IF(('計算A'!AS$60:AS$104=1)*('計算A'!$C$10:$C$54=1),'計算A'!$B$10:$B$54,"")))))</f>
        <v/>
      </c>
      <c r="E52" s="82">
        <f t="array" ref="E52">IF('計算A'!BQ$4=0,"",IF(E23&lt;&gt;"","（決定）",IF('計算A'!BQ$108=1,"（空ける）",SUMPRODUCT(('計算A'!BQ$60:BQ$104=1)*('計算A'!$C$10:$C$54=1))&amp;"人："&amp;_xlfn.TEXTJOIN("、",TRUE,IF(('計算A'!BQ$60:BQ$104=1)*('計算A'!$C$10:$C$54=1),'計算A'!$B$10:$B$54,"")))))</f>
        <v/>
      </c>
      <c r="F52" s="82">
        <f t="array" ref="F52">IF('計算A'!CO$4=0,"",IF(F23&lt;&gt;"","（決定）",IF('計算A'!CO$108=1,"（空ける）",SUMPRODUCT(('計算A'!CO$60:CO$104=1)*('計算A'!$C$10:$C$54=1))&amp;"人："&amp;_xlfn.TEXTJOIN("、",TRUE,IF(('計算A'!CO$60:CO$104=1)*('計算A'!$C$10:$C$54=1),'計算A'!$B$10:$B$54,"")))))</f>
        <v/>
      </c>
      <c r="G52" s="82">
        <f t="array" ref="G52">IF('計算A'!DM$4=0,"",IF(G23&lt;&gt;"","（決定）",IF('計算A'!DM$108=1,"（空ける）",SUMPRODUCT(('計算A'!DM$60:DM$104=1)*('計算A'!$C$10:$C$54=1))&amp;"人："&amp;_xlfn.TEXTJOIN("、",TRUE,IF(('計算A'!DM$60:DM$104=1)*('計算A'!$C$10:$C$54=1),'計算A'!$B$10:$B$54,"")))))</f>
        <v/>
      </c>
      <c r="H52" s="82">
        <f t="array" ref="H52">IF('計算A'!EK$4=0,"",IF(H23&lt;&gt;"","（決定）",IF('計算A'!EK$108=1,"（空ける）",SUMPRODUCT(('計算A'!EK$60:EK$104=1)*('計算A'!$C$10:$C$54=1))&amp;"人："&amp;_xlfn.TEXTJOIN("、",TRUE,IF(('計算A'!EK$60:EK$104=1)*('計算A'!$C$10:$C$54=1),'計算A'!$B$10:$B$54,"")))))</f>
        <v/>
      </c>
      <c r="I52" s="82">
        <f t="array" ref="I52">IF('計算A'!FI$4=0,"",IF(I23&lt;&gt;"","（決定）",IF('計算A'!FI$108=1,"（空ける）",SUMPRODUCT(('計算A'!FI$60:FI$104=1)*('計算A'!$C$10:$C$54=1))&amp;"人："&amp;_xlfn.TEXTJOIN("、",TRUE,IF(('計算A'!FI$60:FI$104=1)*('計算A'!$C$10:$C$54=1),'計算A'!$B$10:$B$54,"")))))</f>
        <v/>
      </c>
      <c r="J52" s="82">
        <f t="array" ref="J52">IF('計算A'!GG$4=0,"",IF(J23&lt;&gt;"","（決定）",IF('計算A'!GG$108=1,"（空ける）",SUMPRODUCT(('計算A'!GG$60:GG$104=1)*('計算A'!$C$10:$C$54=1))&amp;"人："&amp;_xlfn.TEXTJOIN("、",TRUE,IF(('計算A'!GG$60:GG$104=1)*('計算A'!$C$10:$C$54=1),'計算A'!$B$10:$B$54,"")))))</f>
        <v/>
      </c>
      <c r="K52" s="82">
        <f t="array" ref="K52">IF('計算A'!HE$4=0,"",IF(K23&lt;&gt;"","（決定）",IF('計算A'!HE$108=1,"（空ける）",SUMPRODUCT(('計算A'!HE$60:HE$104=1)*('計算A'!$C$10:$C$54=1))&amp;"人："&amp;_xlfn.TEXTJOIN("、",TRUE,IF(('計算A'!HE$60:HE$104=1)*('計算A'!$C$10:$C$54=1),'計算A'!$B$10:$B$54,"")))))</f>
        <v/>
      </c>
      <c r="L52" s="82">
        <f t="array" ref="L52">IF('計算A'!IC$4=0,"",IF(L23&lt;&gt;"","（決定）",IF('計算A'!IC$108=1,"（空ける）",SUMPRODUCT(('計算A'!IC$60:IC$104=1)*('計算A'!$C$10:$C$54=1))&amp;"人："&amp;_xlfn.TEXTJOIN("、",TRUE,IF(('計算A'!IC$60:IC$104=1)*('計算A'!$C$10:$C$54=1),'計算A'!$B$10:$B$54,"")))))</f>
        <v/>
      </c>
    </row>
    <row r="53" ht="44" customHeight="1">
      <c r="B53" s="42">
        <f>'設定'!$I$29</f>
        <v/>
      </c>
      <c r="C53" s="82">
        <f t="array" ref="C53">IF('計算A'!V$4=0,"",IF(C24&lt;&gt;"","（決定）",IF('計算A'!V$108=1,"（空ける）",SUMPRODUCT(('計算A'!V$60:V$104=1)*('計算A'!$C$10:$C$54=1))&amp;"人："&amp;_xlfn.TEXTJOIN("、",TRUE,IF(('計算A'!V$60:V$104=1)*('計算A'!$C$10:$C$54=1),'計算A'!$B$10:$B$54,"")))))</f>
        <v/>
      </c>
      <c r="D53" s="82">
        <f t="array" ref="D53">IF('計算A'!AT$4=0,"",IF(D24&lt;&gt;"","（決定）",IF('計算A'!AT$108=1,"（空ける）",SUMPRODUCT(('計算A'!AT$60:AT$104=1)*('計算A'!$C$10:$C$54=1))&amp;"人："&amp;_xlfn.TEXTJOIN("、",TRUE,IF(('計算A'!AT$60:AT$104=1)*('計算A'!$C$10:$C$54=1),'計算A'!$B$10:$B$54,"")))))</f>
        <v/>
      </c>
      <c r="E53" s="82">
        <f t="array" ref="E53">IF('計算A'!BR$4=0,"",IF(E24&lt;&gt;"","（決定）",IF('計算A'!BR$108=1,"（空ける）",SUMPRODUCT(('計算A'!BR$60:BR$104=1)*('計算A'!$C$10:$C$54=1))&amp;"人："&amp;_xlfn.TEXTJOIN("、",TRUE,IF(('計算A'!BR$60:BR$104=1)*('計算A'!$C$10:$C$54=1),'計算A'!$B$10:$B$54,"")))))</f>
        <v/>
      </c>
      <c r="F53" s="82">
        <f t="array" ref="F53">IF('計算A'!CP$4=0,"",IF(F24&lt;&gt;"","（決定）",IF('計算A'!CP$108=1,"（空ける）",SUMPRODUCT(('計算A'!CP$60:CP$104=1)*('計算A'!$C$10:$C$54=1))&amp;"人："&amp;_xlfn.TEXTJOIN("、",TRUE,IF(('計算A'!CP$60:CP$104=1)*('計算A'!$C$10:$C$54=1),'計算A'!$B$10:$B$54,"")))))</f>
        <v/>
      </c>
      <c r="G53" s="82">
        <f t="array" ref="G53">IF('計算A'!DN$4=0,"",IF(G24&lt;&gt;"","（決定）",IF('計算A'!DN$108=1,"（空ける）",SUMPRODUCT(('計算A'!DN$60:DN$104=1)*('計算A'!$C$10:$C$54=1))&amp;"人："&amp;_xlfn.TEXTJOIN("、",TRUE,IF(('計算A'!DN$60:DN$104=1)*('計算A'!$C$10:$C$54=1),'計算A'!$B$10:$B$54,"")))))</f>
        <v/>
      </c>
      <c r="H53" s="82">
        <f t="array" ref="H53">IF('計算A'!EL$4=0,"",IF(H24&lt;&gt;"","（決定）",IF('計算A'!EL$108=1,"（空ける）",SUMPRODUCT(('計算A'!EL$60:EL$104=1)*('計算A'!$C$10:$C$54=1))&amp;"人："&amp;_xlfn.TEXTJOIN("、",TRUE,IF(('計算A'!EL$60:EL$104=1)*('計算A'!$C$10:$C$54=1),'計算A'!$B$10:$B$54,"")))))</f>
        <v/>
      </c>
      <c r="I53" s="82">
        <f t="array" ref="I53">IF('計算A'!FJ$4=0,"",IF(I24&lt;&gt;"","（決定）",IF('計算A'!FJ$108=1,"（空ける）",SUMPRODUCT(('計算A'!FJ$60:FJ$104=1)*('計算A'!$C$10:$C$54=1))&amp;"人："&amp;_xlfn.TEXTJOIN("、",TRUE,IF(('計算A'!FJ$60:FJ$104=1)*('計算A'!$C$10:$C$54=1),'計算A'!$B$10:$B$54,"")))))</f>
        <v/>
      </c>
      <c r="J53" s="82">
        <f t="array" ref="J53">IF('計算A'!GH$4=0,"",IF(J24&lt;&gt;"","（決定）",IF('計算A'!GH$108=1,"（空ける）",SUMPRODUCT(('計算A'!GH$60:GH$104=1)*('計算A'!$C$10:$C$54=1))&amp;"人："&amp;_xlfn.TEXTJOIN("、",TRUE,IF(('計算A'!GH$60:GH$104=1)*('計算A'!$C$10:$C$54=1),'計算A'!$B$10:$B$54,"")))))</f>
        <v/>
      </c>
      <c r="K53" s="82">
        <f t="array" ref="K53">IF('計算A'!HF$4=0,"",IF(K24&lt;&gt;"","（決定）",IF('計算A'!HF$108=1,"（空ける）",SUMPRODUCT(('計算A'!HF$60:HF$104=1)*('計算A'!$C$10:$C$54=1))&amp;"人："&amp;_xlfn.TEXTJOIN("、",TRUE,IF(('計算A'!HF$60:HF$104=1)*('計算A'!$C$10:$C$54=1),'計算A'!$B$10:$B$54,"")))))</f>
        <v/>
      </c>
      <c r="L53" s="82">
        <f t="array" ref="L53">IF('計算A'!ID$4=0,"",IF(L24&lt;&gt;"","（決定）",IF('計算A'!ID$108=1,"（空ける）",SUMPRODUCT(('計算A'!ID$60:ID$104=1)*('計算A'!$C$10:$C$54=1))&amp;"人："&amp;_xlfn.TEXTJOIN("、",TRUE,IF(('計算A'!ID$60:ID$104=1)*('計算A'!$C$10:$C$54=1),'計算A'!$B$10:$B$54,"")))))</f>
        <v/>
      </c>
    </row>
    <row r="54" ht="44" customHeight="1">
      <c r="B54" s="42">
        <f>'設定'!$I$30</f>
        <v/>
      </c>
      <c r="C54" s="82">
        <f t="array" ref="C54">IF('計算A'!W$4=0,"",IF(C25&lt;&gt;"","（決定）",IF('計算A'!W$108=1,"（空ける）",SUMPRODUCT(('計算A'!W$60:W$104=1)*('計算A'!$C$10:$C$54=1))&amp;"人："&amp;_xlfn.TEXTJOIN("、",TRUE,IF(('計算A'!W$60:W$104=1)*('計算A'!$C$10:$C$54=1),'計算A'!$B$10:$B$54,"")))))</f>
        <v/>
      </c>
      <c r="D54" s="82">
        <f t="array" ref="D54">IF('計算A'!AU$4=0,"",IF(D25&lt;&gt;"","（決定）",IF('計算A'!AU$108=1,"（空ける）",SUMPRODUCT(('計算A'!AU$60:AU$104=1)*('計算A'!$C$10:$C$54=1))&amp;"人："&amp;_xlfn.TEXTJOIN("、",TRUE,IF(('計算A'!AU$60:AU$104=1)*('計算A'!$C$10:$C$54=1),'計算A'!$B$10:$B$54,"")))))</f>
        <v/>
      </c>
      <c r="E54" s="82">
        <f t="array" ref="E54">IF('計算A'!BS$4=0,"",IF(E25&lt;&gt;"","（決定）",IF('計算A'!BS$108=1,"（空ける）",SUMPRODUCT(('計算A'!BS$60:BS$104=1)*('計算A'!$C$10:$C$54=1))&amp;"人："&amp;_xlfn.TEXTJOIN("、",TRUE,IF(('計算A'!BS$60:BS$104=1)*('計算A'!$C$10:$C$54=1),'計算A'!$B$10:$B$54,"")))))</f>
        <v/>
      </c>
      <c r="F54" s="82">
        <f t="array" ref="F54">IF('計算A'!CQ$4=0,"",IF(F25&lt;&gt;"","（決定）",IF('計算A'!CQ$108=1,"（空ける）",SUMPRODUCT(('計算A'!CQ$60:CQ$104=1)*('計算A'!$C$10:$C$54=1))&amp;"人："&amp;_xlfn.TEXTJOIN("、",TRUE,IF(('計算A'!CQ$60:CQ$104=1)*('計算A'!$C$10:$C$54=1),'計算A'!$B$10:$B$54,"")))))</f>
        <v/>
      </c>
      <c r="G54" s="82">
        <f t="array" ref="G54">IF('計算A'!DO$4=0,"",IF(G25&lt;&gt;"","（決定）",IF('計算A'!DO$108=1,"（空ける）",SUMPRODUCT(('計算A'!DO$60:DO$104=1)*('計算A'!$C$10:$C$54=1))&amp;"人："&amp;_xlfn.TEXTJOIN("、",TRUE,IF(('計算A'!DO$60:DO$104=1)*('計算A'!$C$10:$C$54=1),'計算A'!$B$10:$B$54,"")))))</f>
        <v/>
      </c>
      <c r="H54" s="82">
        <f t="array" ref="H54">IF('計算A'!EM$4=0,"",IF(H25&lt;&gt;"","（決定）",IF('計算A'!EM$108=1,"（空ける）",SUMPRODUCT(('計算A'!EM$60:EM$104=1)*('計算A'!$C$10:$C$54=1))&amp;"人："&amp;_xlfn.TEXTJOIN("、",TRUE,IF(('計算A'!EM$60:EM$104=1)*('計算A'!$C$10:$C$54=1),'計算A'!$B$10:$B$54,"")))))</f>
        <v/>
      </c>
      <c r="I54" s="82">
        <f t="array" ref="I54">IF('計算A'!FK$4=0,"",IF(I25&lt;&gt;"","（決定）",IF('計算A'!FK$108=1,"（空ける）",SUMPRODUCT(('計算A'!FK$60:FK$104=1)*('計算A'!$C$10:$C$54=1))&amp;"人："&amp;_xlfn.TEXTJOIN("、",TRUE,IF(('計算A'!FK$60:FK$104=1)*('計算A'!$C$10:$C$54=1),'計算A'!$B$10:$B$54,"")))))</f>
        <v/>
      </c>
      <c r="J54" s="82">
        <f t="array" ref="J54">IF('計算A'!GI$4=0,"",IF(J25&lt;&gt;"","（決定）",IF('計算A'!GI$108=1,"（空ける）",SUMPRODUCT(('計算A'!GI$60:GI$104=1)*('計算A'!$C$10:$C$54=1))&amp;"人："&amp;_xlfn.TEXTJOIN("、",TRUE,IF(('計算A'!GI$60:GI$104=1)*('計算A'!$C$10:$C$54=1),'計算A'!$B$10:$B$54,"")))))</f>
        <v/>
      </c>
      <c r="K54" s="82">
        <f t="array" ref="K54">IF('計算A'!HG$4=0,"",IF(K25&lt;&gt;"","（決定）",IF('計算A'!HG$108=1,"（空ける）",SUMPRODUCT(('計算A'!HG$60:HG$104=1)*('計算A'!$C$10:$C$54=1))&amp;"人："&amp;_xlfn.TEXTJOIN("、",TRUE,IF(('計算A'!HG$60:HG$104=1)*('計算A'!$C$10:$C$54=1),'計算A'!$B$10:$B$54,"")))))</f>
        <v/>
      </c>
      <c r="L54" s="82">
        <f t="array" ref="L54">IF('計算A'!IE$4=0,"",IF(L25&lt;&gt;"","（決定）",IF('計算A'!IE$108=1,"（空ける）",SUMPRODUCT(('計算A'!IE$60:IE$104=1)*('計算A'!$C$10:$C$54=1))&amp;"人："&amp;_xlfn.TEXTJOIN("、",TRUE,IF(('計算A'!IE$60:IE$104=1)*('計算A'!$C$10:$C$54=1),'計算A'!$B$10:$B$54,"")))))</f>
        <v/>
      </c>
    </row>
    <row r="55" ht="44" customHeight="1">
      <c r="B55" s="42">
        <f>'設定'!$I$31</f>
        <v/>
      </c>
      <c r="C55" s="82">
        <f t="array" ref="C55">IF('計算A'!X$4=0,"",IF(C26&lt;&gt;"","（決定）",IF('計算A'!X$108=1,"（空ける）",SUMPRODUCT(('計算A'!X$60:X$104=1)*('計算A'!$C$10:$C$54=1))&amp;"人："&amp;_xlfn.TEXTJOIN("、",TRUE,IF(('計算A'!X$60:X$104=1)*('計算A'!$C$10:$C$54=1),'計算A'!$B$10:$B$54,"")))))</f>
        <v/>
      </c>
      <c r="D55" s="82">
        <f t="array" ref="D55">IF('計算A'!AV$4=0,"",IF(D26&lt;&gt;"","（決定）",IF('計算A'!AV$108=1,"（空ける）",SUMPRODUCT(('計算A'!AV$60:AV$104=1)*('計算A'!$C$10:$C$54=1))&amp;"人："&amp;_xlfn.TEXTJOIN("、",TRUE,IF(('計算A'!AV$60:AV$104=1)*('計算A'!$C$10:$C$54=1),'計算A'!$B$10:$B$54,"")))))</f>
        <v/>
      </c>
      <c r="E55" s="82">
        <f t="array" ref="E55">IF('計算A'!BT$4=0,"",IF(E26&lt;&gt;"","（決定）",IF('計算A'!BT$108=1,"（空ける）",SUMPRODUCT(('計算A'!BT$60:BT$104=1)*('計算A'!$C$10:$C$54=1))&amp;"人："&amp;_xlfn.TEXTJOIN("、",TRUE,IF(('計算A'!BT$60:BT$104=1)*('計算A'!$C$10:$C$54=1),'計算A'!$B$10:$B$54,"")))))</f>
        <v/>
      </c>
      <c r="F55" s="82">
        <f t="array" ref="F55">IF('計算A'!CR$4=0,"",IF(F26&lt;&gt;"","（決定）",IF('計算A'!CR$108=1,"（空ける）",SUMPRODUCT(('計算A'!CR$60:CR$104=1)*('計算A'!$C$10:$C$54=1))&amp;"人："&amp;_xlfn.TEXTJOIN("、",TRUE,IF(('計算A'!CR$60:CR$104=1)*('計算A'!$C$10:$C$54=1),'計算A'!$B$10:$B$54,"")))))</f>
        <v/>
      </c>
      <c r="G55" s="82">
        <f t="array" ref="G55">IF('計算A'!DP$4=0,"",IF(G26&lt;&gt;"","（決定）",IF('計算A'!DP$108=1,"（空ける）",SUMPRODUCT(('計算A'!DP$60:DP$104=1)*('計算A'!$C$10:$C$54=1))&amp;"人："&amp;_xlfn.TEXTJOIN("、",TRUE,IF(('計算A'!DP$60:DP$104=1)*('計算A'!$C$10:$C$54=1),'計算A'!$B$10:$B$54,"")))))</f>
        <v/>
      </c>
      <c r="H55" s="82">
        <f t="array" ref="H55">IF('計算A'!EN$4=0,"",IF(H26&lt;&gt;"","（決定）",IF('計算A'!EN$108=1,"（空ける）",SUMPRODUCT(('計算A'!EN$60:EN$104=1)*('計算A'!$C$10:$C$54=1))&amp;"人："&amp;_xlfn.TEXTJOIN("、",TRUE,IF(('計算A'!EN$60:EN$104=1)*('計算A'!$C$10:$C$54=1),'計算A'!$B$10:$B$54,"")))))</f>
        <v/>
      </c>
      <c r="I55" s="82">
        <f t="array" ref="I55">IF('計算A'!FL$4=0,"",IF(I26&lt;&gt;"","（決定）",IF('計算A'!FL$108=1,"（空ける）",SUMPRODUCT(('計算A'!FL$60:FL$104=1)*('計算A'!$C$10:$C$54=1))&amp;"人："&amp;_xlfn.TEXTJOIN("、",TRUE,IF(('計算A'!FL$60:FL$104=1)*('計算A'!$C$10:$C$54=1),'計算A'!$B$10:$B$54,"")))))</f>
        <v/>
      </c>
      <c r="J55" s="82">
        <f t="array" ref="J55">IF('計算A'!GJ$4=0,"",IF(J26&lt;&gt;"","（決定）",IF('計算A'!GJ$108=1,"（空ける）",SUMPRODUCT(('計算A'!GJ$60:GJ$104=1)*('計算A'!$C$10:$C$54=1))&amp;"人："&amp;_xlfn.TEXTJOIN("、",TRUE,IF(('計算A'!GJ$60:GJ$104=1)*('計算A'!$C$10:$C$54=1),'計算A'!$B$10:$B$54,"")))))</f>
        <v/>
      </c>
      <c r="K55" s="82">
        <f t="array" ref="K55">IF('計算A'!HH$4=0,"",IF(K26&lt;&gt;"","（決定）",IF('計算A'!HH$108=1,"（空ける）",SUMPRODUCT(('計算A'!HH$60:HH$104=1)*('計算A'!$C$10:$C$54=1))&amp;"人："&amp;_xlfn.TEXTJOIN("、",TRUE,IF(('計算A'!HH$60:HH$104=1)*('計算A'!$C$10:$C$54=1),'計算A'!$B$10:$B$54,"")))))</f>
        <v/>
      </c>
      <c r="L55" s="82">
        <f t="array" ref="L55">IF('計算A'!IF$4=0,"",IF(L26&lt;&gt;"","（決定）",IF('計算A'!IF$108=1,"（空ける）",SUMPRODUCT(('計算A'!IF$60:IF$104=1)*('計算A'!$C$10:$C$54=1))&amp;"人："&amp;_xlfn.TEXTJOIN("、",TRUE,IF(('計算A'!IF$60:IF$104=1)*('計算A'!$C$10:$C$54=1),'計算A'!$B$10:$B$54,"")))))</f>
        <v/>
      </c>
    </row>
    <row r="56" ht="44" customHeight="1">
      <c r="B56" s="42">
        <f>'設定'!$I$32</f>
        <v/>
      </c>
      <c r="C56" s="82">
        <f t="array" ref="C56">IF('計算A'!Y$4=0,"",IF(C27&lt;&gt;"","（決定）",IF('計算A'!Y$108=1,"（空ける）",SUMPRODUCT(('計算A'!Y$60:Y$104=1)*('計算A'!$C$10:$C$54=1))&amp;"人："&amp;_xlfn.TEXTJOIN("、",TRUE,IF(('計算A'!Y$60:Y$104=1)*('計算A'!$C$10:$C$54=1),'計算A'!$B$10:$B$54,"")))))</f>
        <v/>
      </c>
      <c r="D56" s="82">
        <f t="array" ref="D56">IF('計算A'!AW$4=0,"",IF(D27&lt;&gt;"","（決定）",IF('計算A'!AW$108=1,"（空ける）",SUMPRODUCT(('計算A'!AW$60:AW$104=1)*('計算A'!$C$10:$C$54=1))&amp;"人："&amp;_xlfn.TEXTJOIN("、",TRUE,IF(('計算A'!AW$60:AW$104=1)*('計算A'!$C$10:$C$54=1),'計算A'!$B$10:$B$54,"")))))</f>
        <v/>
      </c>
      <c r="E56" s="82">
        <f t="array" ref="E56">IF('計算A'!BU$4=0,"",IF(E27&lt;&gt;"","（決定）",IF('計算A'!BU$108=1,"（空ける）",SUMPRODUCT(('計算A'!BU$60:BU$104=1)*('計算A'!$C$10:$C$54=1))&amp;"人："&amp;_xlfn.TEXTJOIN("、",TRUE,IF(('計算A'!BU$60:BU$104=1)*('計算A'!$C$10:$C$54=1),'計算A'!$B$10:$B$54,"")))))</f>
        <v/>
      </c>
      <c r="F56" s="82">
        <f t="array" ref="F56">IF('計算A'!CS$4=0,"",IF(F27&lt;&gt;"","（決定）",IF('計算A'!CS$108=1,"（空ける）",SUMPRODUCT(('計算A'!CS$60:CS$104=1)*('計算A'!$C$10:$C$54=1))&amp;"人："&amp;_xlfn.TEXTJOIN("、",TRUE,IF(('計算A'!CS$60:CS$104=1)*('計算A'!$C$10:$C$54=1),'計算A'!$B$10:$B$54,"")))))</f>
        <v/>
      </c>
      <c r="G56" s="82">
        <f t="array" ref="G56">IF('計算A'!DQ$4=0,"",IF(G27&lt;&gt;"","（決定）",IF('計算A'!DQ$108=1,"（空ける）",SUMPRODUCT(('計算A'!DQ$60:DQ$104=1)*('計算A'!$C$10:$C$54=1))&amp;"人："&amp;_xlfn.TEXTJOIN("、",TRUE,IF(('計算A'!DQ$60:DQ$104=1)*('計算A'!$C$10:$C$54=1),'計算A'!$B$10:$B$54,"")))))</f>
        <v/>
      </c>
      <c r="H56" s="82">
        <f t="array" ref="H56">IF('計算A'!EO$4=0,"",IF(H27&lt;&gt;"","（決定）",IF('計算A'!EO$108=1,"（空ける）",SUMPRODUCT(('計算A'!EO$60:EO$104=1)*('計算A'!$C$10:$C$54=1))&amp;"人："&amp;_xlfn.TEXTJOIN("、",TRUE,IF(('計算A'!EO$60:EO$104=1)*('計算A'!$C$10:$C$54=1),'計算A'!$B$10:$B$54,"")))))</f>
        <v/>
      </c>
      <c r="I56" s="82">
        <f t="array" ref="I56">IF('計算A'!FM$4=0,"",IF(I27&lt;&gt;"","（決定）",IF('計算A'!FM$108=1,"（空ける）",SUMPRODUCT(('計算A'!FM$60:FM$104=1)*('計算A'!$C$10:$C$54=1))&amp;"人："&amp;_xlfn.TEXTJOIN("、",TRUE,IF(('計算A'!FM$60:FM$104=1)*('計算A'!$C$10:$C$54=1),'計算A'!$B$10:$B$54,"")))))</f>
        <v/>
      </c>
      <c r="J56" s="82">
        <f t="array" ref="J56">IF('計算A'!GK$4=0,"",IF(J27&lt;&gt;"","（決定）",IF('計算A'!GK$108=1,"（空ける）",SUMPRODUCT(('計算A'!GK$60:GK$104=1)*('計算A'!$C$10:$C$54=1))&amp;"人："&amp;_xlfn.TEXTJOIN("、",TRUE,IF(('計算A'!GK$60:GK$104=1)*('計算A'!$C$10:$C$54=1),'計算A'!$B$10:$B$54,"")))))</f>
        <v/>
      </c>
      <c r="K56" s="82">
        <f t="array" ref="K56">IF('計算A'!HI$4=0,"",IF(K27&lt;&gt;"","（決定）",IF('計算A'!HI$108=1,"（空ける）",SUMPRODUCT(('計算A'!HI$60:HI$104=1)*('計算A'!$C$10:$C$54=1))&amp;"人："&amp;_xlfn.TEXTJOIN("、",TRUE,IF(('計算A'!HI$60:HI$104=1)*('計算A'!$C$10:$C$54=1),'計算A'!$B$10:$B$54,"")))))</f>
        <v/>
      </c>
      <c r="L56" s="82">
        <f t="array" ref="L56">IF('計算A'!IG$4=0,"",IF(L27&lt;&gt;"","（決定）",IF('計算A'!IG$108=1,"（空ける）",SUMPRODUCT(('計算A'!IG$60:IG$104=1)*('計算A'!$C$10:$C$54=1))&amp;"人："&amp;_xlfn.TEXTJOIN("、",TRUE,IF(('計算A'!IG$60:IG$104=1)*('計算A'!$C$10:$C$54=1),'計算A'!$B$10:$B$54,"")))))</f>
        <v/>
      </c>
    </row>
    <row r="57" ht="44" customHeight="1">
      <c r="B57" s="42">
        <f>'設定'!$I$33</f>
        <v/>
      </c>
      <c r="C57" s="82">
        <f t="array" ref="C57">IF('計算A'!Z$4=0,"",IF(C28&lt;&gt;"","（決定）",IF('計算A'!Z$108=1,"（空ける）",SUMPRODUCT(('計算A'!Z$60:Z$104=1)*('計算A'!$C$10:$C$54=1))&amp;"人："&amp;_xlfn.TEXTJOIN("、",TRUE,IF(('計算A'!Z$60:Z$104=1)*('計算A'!$C$10:$C$54=1),'計算A'!$B$10:$B$54,"")))))</f>
        <v/>
      </c>
      <c r="D57" s="82">
        <f t="array" ref="D57">IF('計算A'!AX$4=0,"",IF(D28&lt;&gt;"","（決定）",IF('計算A'!AX$108=1,"（空ける）",SUMPRODUCT(('計算A'!AX$60:AX$104=1)*('計算A'!$C$10:$C$54=1))&amp;"人："&amp;_xlfn.TEXTJOIN("、",TRUE,IF(('計算A'!AX$60:AX$104=1)*('計算A'!$C$10:$C$54=1),'計算A'!$B$10:$B$54,"")))))</f>
        <v/>
      </c>
      <c r="E57" s="82">
        <f t="array" ref="E57">IF('計算A'!BV$4=0,"",IF(E28&lt;&gt;"","（決定）",IF('計算A'!BV$108=1,"（空ける）",SUMPRODUCT(('計算A'!BV$60:BV$104=1)*('計算A'!$C$10:$C$54=1))&amp;"人："&amp;_xlfn.TEXTJOIN("、",TRUE,IF(('計算A'!BV$60:BV$104=1)*('計算A'!$C$10:$C$54=1),'計算A'!$B$10:$B$54,"")))))</f>
        <v/>
      </c>
      <c r="F57" s="82">
        <f t="array" ref="F57">IF('計算A'!CT$4=0,"",IF(F28&lt;&gt;"","（決定）",IF('計算A'!CT$108=1,"（空ける）",SUMPRODUCT(('計算A'!CT$60:CT$104=1)*('計算A'!$C$10:$C$54=1))&amp;"人："&amp;_xlfn.TEXTJOIN("、",TRUE,IF(('計算A'!CT$60:CT$104=1)*('計算A'!$C$10:$C$54=1),'計算A'!$B$10:$B$54,"")))))</f>
        <v/>
      </c>
      <c r="G57" s="82">
        <f t="array" ref="G57">IF('計算A'!DR$4=0,"",IF(G28&lt;&gt;"","（決定）",IF('計算A'!DR$108=1,"（空ける）",SUMPRODUCT(('計算A'!DR$60:DR$104=1)*('計算A'!$C$10:$C$54=1))&amp;"人："&amp;_xlfn.TEXTJOIN("、",TRUE,IF(('計算A'!DR$60:DR$104=1)*('計算A'!$C$10:$C$54=1),'計算A'!$B$10:$B$54,"")))))</f>
        <v/>
      </c>
      <c r="H57" s="82">
        <f t="array" ref="H57">IF('計算A'!EP$4=0,"",IF(H28&lt;&gt;"","（決定）",IF('計算A'!EP$108=1,"（空ける）",SUMPRODUCT(('計算A'!EP$60:EP$104=1)*('計算A'!$C$10:$C$54=1))&amp;"人："&amp;_xlfn.TEXTJOIN("、",TRUE,IF(('計算A'!EP$60:EP$104=1)*('計算A'!$C$10:$C$54=1),'計算A'!$B$10:$B$54,"")))))</f>
        <v/>
      </c>
      <c r="I57" s="82">
        <f t="array" ref="I57">IF('計算A'!FN$4=0,"",IF(I28&lt;&gt;"","（決定）",IF('計算A'!FN$108=1,"（空ける）",SUMPRODUCT(('計算A'!FN$60:FN$104=1)*('計算A'!$C$10:$C$54=1))&amp;"人："&amp;_xlfn.TEXTJOIN("、",TRUE,IF(('計算A'!FN$60:FN$104=1)*('計算A'!$C$10:$C$54=1),'計算A'!$B$10:$B$54,"")))))</f>
        <v/>
      </c>
      <c r="J57" s="82">
        <f t="array" ref="J57">IF('計算A'!GL$4=0,"",IF(J28&lt;&gt;"","（決定）",IF('計算A'!GL$108=1,"（空ける）",SUMPRODUCT(('計算A'!GL$60:GL$104=1)*('計算A'!$C$10:$C$54=1))&amp;"人："&amp;_xlfn.TEXTJOIN("、",TRUE,IF(('計算A'!GL$60:GL$104=1)*('計算A'!$C$10:$C$54=1),'計算A'!$B$10:$B$54,"")))))</f>
        <v/>
      </c>
      <c r="K57" s="82">
        <f t="array" ref="K57">IF('計算A'!HJ$4=0,"",IF(K28&lt;&gt;"","（決定）",IF('計算A'!HJ$108=1,"（空ける）",SUMPRODUCT(('計算A'!HJ$60:HJ$104=1)*('計算A'!$C$10:$C$54=1))&amp;"人："&amp;_xlfn.TEXTJOIN("、",TRUE,IF(('計算A'!HJ$60:HJ$104=1)*('計算A'!$C$10:$C$54=1),'計算A'!$B$10:$B$54,"")))))</f>
        <v/>
      </c>
      <c r="L57" s="82">
        <f t="array" ref="L57">IF('計算A'!IH$4=0,"",IF(L28&lt;&gt;"","（決定）",IF('計算A'!IH$108=1,"（空ける）",SUMPRODUCT(('計算A'!IH$60:IH$104=1)*('計算A'!$C$10:$C$54=1))&amp;"人："&amp;_xlfn.TEXTJOIN("、",TRUE,IF(('計算A'!IH$60:IH$104=1)*('計算A'!$C$10:$C$54=1),'計算A'!$B$10:$B$54,"")))))</f>
        <v/>
      </c>
    </row>
    <row r="58" ht="44" customHeight="1">
      <c r="B58" s="42">
        <f>'設定'!$I$34</f>
        <v/>
      </c>
      <c r="C58" s="82">
        <f t="array" ref="C58">IF('計算A'!AA$4=0,"",IF(C29&lt;&gt;"","（決定）",IF('計算A'!AA$108=1,"（空ける）",SUMPRODUCT(('計算A'!AA$60:AA$104=1)*('計算A'!$C$10:$C$54=1))&amp;"人："&amp;_xlfn.TEXTJOIN("、",TRUE,IF(('計算A'!AA$60:AA$104=1)*('計算A'!$C$10:$C$54=1),'計算A'!$B$10:$B$54,"")))))</f>
        <v/>
      </c>
      <c r="D58" s="82">
        <f t="array" ref="D58">IF('計算A'!AY$4=0,"",IF(D29&lt;&gt;"","（決定）",IF('計算A'!AY$108=1,"（空ける）",SUMPRODUCT(('計算A'!AY$60:AY$104=1)*('計算A'!$C$10:$C$54=1))&amp;"人："&amp;_xlfn.TEXTJOIN("、",TRUE,IF(('計算A'!AY$60:AY$104=1)*('計算A'!$C$10:$C$54=1),'計算A'!$B$10:$B$54,"")))))</f>
        <v/>
      </c>
      <c r="E58" s="82">
        <f t="array" ref="E58">IF('計算A'!BW$4=0,"",IF(E29&lt;&gt;"","（決定）",IF('計算A'!BW$108=1,"（空ける）",SUMPRODUCT(('計算A'!BW$60:BW$104=1)*('計算A'!$C$10:$C$54=1))&amp;"人："&amp;_xlfn.TEXTJOIN("、",TRUE,IF(('計算A'!BW$60:BW$104=1)*('計算A'!$C$10:$C$54=1),'計算A'!$B$10:$B$54,"")))))</f>
        <v/>
      </c>
      <c r="F58" s="82">
        <f t="array" ref="F58">IF('計算A'!CU$4=0,"",IF(F29&lt;&gt;"","（決定）",IF('計算A'!CU$108=1,"（空ける）",SUMPRODUCT(('計算A'!CU$60:CU$104=1)*('計算A'!$C$10:$C$54=1))&amp;"人："&amp;_xlfn.TEXTJOIN("、",TRUE,IF(('計算A'!CU$60:CU$104=1)*('計算A'!$C$10:$C$54=1),'計算A'!$B$10:$B$54,"")))))</f>
        <v/>
      </c>
      <c r="G58" s="82">
        <f t="array" ref="G58">IF('計算A'!DS$4=0,"",IF(G29&lt;&gt;"","（決定）",IF('計算A'!DS$108=1,"（空ける）",SUMPRODUCT(('計算A'!DS$60:DS$104=1)*('計算A'!$C$10:$C$54=1))&amp;"人："&amp;_xlfn.TEXTJOIN("、",TRUE,IF(('計算A'!DS$60:DS$104=1)*('計算A'!$C$10:$C$54=1),'計算A'!$B$10:$B$54,"")))))</f>
        <v/>
      </c>
      <c r="H58" s="82">
        <f t="array" ref="H58">IF('計算A'!EQ$4=0,"",IF(H29&lt;&gt;"","（決定）",IF('計算A'!EQ$108=1,"（空ける）",SUMPRODUCT(('計算A'!EQ$60:EQ$104=1)*('計算A'!$C$10:$C$54=1))&amp;"人："&amp;_xlfn.TEXTJOIN("、",TRUE,IF(('計算A'!EQ$60:EQ$104=1)*('計算A'!$C$10:$C$54=1),'計算A'!$B$10:$B$54,"")))))</f>
        <v/>
      </c>
      <c r="I58" s="82">
        <f t="array" ref="I58">IF('計算A'!FO$4=0,"",IF(I29&lt;&gt;"","（決定）",IF('計算A'!FO$108=1,"（空ける）",SUMPRODUCT(('計算A'!FO$60:FO$104=1)*('計算A'!$C$10:$C$54=1))&amp;"人："&amp;_xlfn.TEXTJOIN("、",TRUE,IF(('計算A'!FO$60:FO$104=1)*('計算A'!$C$10:$C$54=1),'計算A'!$B$10:$B$54,"")))))</f>
        <v/>
      </c>
      <c r="J58" s="82">
        <f t="array" ref="J58">IF('計算A'!GM$4=0,"",IF(J29&lt;&gt;"","（決定）",IF('計算A'!GM$108=1,"（空ける）",SUMPRODUCT(('計算A'!GM$60:GM$104=1)*('計算A'!$C$10:$C$54=1))&amp;"人："&amp;_xlfn.TEXTJOIN("、",TRUE,IF(('計算A'!GM$60:GM$104=1)*('計算A'!$C$10:$C$54=1),'計算A'!$B$10:$B$54,"")))))</f>
        <v/>
      </c>
      <c r="K58" s="82">
        <f t="array" ref="K58">IF('計算A'!HK$4=0,"",IF(K29&lt;&gt;"","（決定）",IF('計算A'!HK$108=1,"（空ける）",SUMPRODUCT(('計算A'!HK$60:HK$104=1)*('計算A'!$C$10:$C$54=1))&amp;"人："&amp;_xlfn.TEXTJOIN("、",TRUE,IF(('計算A'!HK$60:HK$104=1)*('計算A'!$C$10:$C$54=1),'計算A'!$B$10:$B$54,"")))))</f>
        <v/>
      </c>
      <c r="L58" s="82">
        <f t="array" ref="L58">IF('計算A'!II$4=0,"",IF(L29&lt;&gt;"","（決定）",IF('計算A'!II$108=1,"（空ける）",SUMPRODUCT(('計算A'!II$60:II$104=1)*('計算A'!$C$10:$C$54=1))&amp;"人："&amp;_xlfn.TEXTJOIN("、",TRUE,IF(('計算A'!II$60:II$104=1)*('計算A'!$C$10:$C$54=1),'計算A'!$B$10:$B$54,"")))))</f>
        <v/>
      </c>
    </row>
  </sheetData>
  <mergeCells count="2">
    <mergeCell ref="N5:O5"/>
    <mergeCell ref="O11:O20"/>
  </mergeCells>
  <conditionalFormatting sqref="B6:B29">
    <cfRule type="expression" priority="1" dxfId="3" stopIfTrue="1">
      <formula>B6=""</formula>
    </cfRule>
  </conditionalFormatting>
  <conditionalFormatting sqref="C6:L29">
    <cfRule type="expression" priority="2" dxfId="3" stopIfTrue="1">
      <formula>AND(C6="",INDEX('計算A'!$D$115:$II$115,(COLUMN(C6)-3)*24+ROW(C6)-5)=0)</formula>
    </cfRule>
    <cfRule type="expression" priority="3" dxfId="14" stopIfTrue="1">
      <formula>AND(C6&lt;&gt;"",INDEX('計算A'!$D$4:$II$4,(COLUMN(C6)-3)*24+ROW(C6)-5)=0)</formula>
    </cfRule>
    <cfRule type="expression" priority="4" dxfId="14" stopIfTrue="1">
      <formula>AND(C6&lt;&gt;"",IFERROR(INDEX('計算A'!$D$10:$II$54,MATCH(C6,'計算A'!$B$10:$B$54,0),(COLUMN(C6)-3)*24+ROW(C6)-5)=1,FALSE))</formula>
    </cfRule>
    <cfRule type="expression" priority="5" dxfId="15" stopIfTrue="1">
      <formula>AND(C6&lt;&gt;"",COUNTIF($C$6:$L$29,C6)&gt;1)</formula>
    </cfRule>
    <cfRule type="expression" priority="6" dxfId="10" stopIfTrue="1">
      <formula>INDEX('計算A'!$D$4:$II$4,(COLUMN(C6)-3)*24+ROW(C6)-5)=0</formula>
    </cfRule>
    <cfRule type="expression" priority="7" dxfId="16" stopIfTrue="1">
      <formula>AND(C6&lt;&gt;"",INDEX('計算A'!$D$108:$II$108,(COLUMN(C6)-3)*24+ROW(C6)-5)=1)</formula>
    </cfRule>
    <cfRule type="expression" priority="8" dxfId="12" stopIfTrue="1">
      <formula>AND(C6="",INDEX('計算A'!$D$108:$II$108,(COLUMN(C6)-3)*24+ROW(C6)-5)=1)</formula>
    </cfRule>
    <cfRule type="expression" priority="9" dxfId="17" stopIfTrue="1">
      <formula>AND(C6&lt;&gt;"",C6=$N$5)</formula>
    </cfRule>
    <cfRule type="expression" priority="10" dxfId="5" stopIfTrue="1">
      <formula>IF('計算A'!$B$8&gt;0,INDEX('計算A'!$D$10:$II$54,'計算A'!$B$8,(COLUMN(C6)-3)*24+ROW(C6)-5)=1,FALSE)</formula>
    </cfRule>
    <cfRule type="expression" priority="11" dxfId="18" stopIfTrue="1">
      <formula>IF('計算A'!$B$8&gt;0,AND(C6="",INDEX('計算A'!$D$60:$II$104,'計算A'!$B$8,(COLUMN(C6)-3)*24+ROW(C6)-5)=1),FALSE)</formula>
    </cfRule>
    <cfRule type="expression" priority="12" dxfId="19" stopIfTrue="1">
      <formula>IF('計算A'!$B$8&gt;0,AND(C6&lt;&gt;"",INDEX('計算A'!$D$60:$II$104,'計算A'!$B$8,(COLUMN(C6)-3)*24+ROW(C6)-5)=1),FALSE)</formula>
    </cfRule>
    <cfRule type="expression" priority="13" dxfId="13" stopIfTrue="1">
      <formula>AND(C6="",INDEX('計算A'!$D$5:$II$5,(COLUMN(C6)-3)*24+ROW(C6)-5)=1)</formula>
    </cfRule>
    <cfRule type="expression" priority="14" dxfId="4">
      <formula>TRUE</formula>
    </cfRule>
  </conditionalFormatting>
  <conditionalFormatting sqref="C35:L58">
    <cfRule type="expression" priority="15" dxfId="3" stopIfTrue="1">
      <formula>INDEX('計算A'!$D$115:$II$115,(COLUMN(C35)-3)*24+ROW(C35)-34)=0</formula>
    </cfRule>
    <cfRule type="expression" priority="16" dxfId="10" stopIfTrue="1">
      <formula>INDEX('計算A'!$D$4:$II$4,(COLUMN(C35)-3)*24+ROW(C35)-34)=0</formula>
    </cfRule>
    <cfRule type="expression" priority="17" dxfId="20" stopIfTrue="1">
      <formula>LEFT(C35,2)="0人"</formula>
    </cfRule>
    <cfRule type="expression" priority="18" dxfId="21" stopIfTrue="1">
      <formula>LEFT(C35,2)="1人"</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Q115"/>
  <sheetViews>
    <sheetView showGridLines="0" workbookViewId="0">
      <selection activeCell="A1" sqref="A1"/>
    </sheetView>
  </sheetViews>
  <sheetFormatPr baseColWidth="8" defaultRowHeight="15"/>
  <sheetData>
    <row r="1">
      <c r="A1" s="67" t="inlineStr">
        <is>
          <t>計算用（さわらないでください）</t>
        </is>
      </c>
      <c r="C1" s="8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83" t="inlineStr">
        <is>
          <t>時間帯の枠数</t>
        </is>
      </c>
      <c r="C2" s="8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83">
        <f>IF(AND(ISNUMBER('設定'!$B$3),ISNUMBER('設定'!$D$3),ISNUMBER('設定'!$B$5)),IF(AND('設定'!$B$5&gt;0,'設定'!$D$3&gt;='設定'!$B$3),ROUND(('設定'!$D$3-'設定'!$B$3)*1440/'設定'!$B$5,0)+1,0),0)</f>
        <v/>
      </c>
      <c r="B3" s="83" t="inlineStr">
        <is>
          <t>←時間帯1</t>
        </is>
      </c>
      <c r="C3" s="8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83">
        <f>IF(AND(A3&gt;0,ISNUMBER('設定'!$B$4),ISNUMBER('設定'!$D$4)),IF(AND('設定'!$D$4&gt;='設定'!$B$4,'設定'!$B$4&gt;'設定'!$D$3),ROUND(('設定'!$D$4-'設定'!$B$4)*1440/'設定'!$B$5,0)+1,0),0)</f>
        <v/>
      </c>
      <c r="B4" s="83" t="inlineStr">
        <is>
          <t>←時間帯2</t>
        </is>
      </c>
      <c r="C4" s="83"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83"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83"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8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83" t="inlineStr">
        <is>
          <t>選択中→</t>
        </is>
      </c>
      <c r="B8" s="83">
        <f>IF('調整・決定'!$N$5="",0,IFERROR(MATCH('調整・決定'!$N$5,$B$10:$B$54,0),0))</f>
        <v/>
      </c>
      <c r="C8" s="83"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自動案の枠</t>
        </is>
      </c>
      <c r="IL9" t="inlineStr">
        <is>
          <t>入らない</t>
        </is>
      </c>
      <c r="IM9" t="inlineStr">
        <is>
          <t>空き枠数</t>
        </is>
      </c>
      <c r="IN9" t="inlineStr">
        <is>
          <t>×の数</t>
        </is>
      </c>
      <c r="IO9" t="inlineStr">
        <is>
          <t>決定した枠</t>
        </is>
      </c>
      <c r="IP9" t="inlineStr">
        <is>
          <t>希望</t>
        </is>
      </c>
      <c r="IQ9" t="inlineStr">
        <is>
          <t>後ろ空け</t>
        </is>
      </c>
    </row>
    <row r="10">
      <c r="A10" t="n">
        <v>1</v>
      </c>
      <c r="B10">
        <f>'名簿'!G5</f>
        <v/>
      </c>
      <c r="C10">
        <f>IF(AND(B10&lt;&gt;"",OR('名簿'!H5="入力済み",'名簿'!H5="×なし"),IO10=0,COUNTIF('調整・決定'!$C$6:$L$29,B10)=0),1,0)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IFERROR(MATCH('名簿'!E5,{"早い時刻","遅い時刻","早い日","遅い日"},0),0)</f>
        <v/>
      </c>
      <c r="IQ10">
        <f>IF('名簿'!F5="必ず空けたい",2,IF('名簿'!F5="出来れば空けたい",1,0))</f>
        <v/>
      </c>
    </row>
    <row r="11">
      <c r="A11" t="n">
        <v>2</v>
      </c>
      <c r="B11">
        <f>'名簿'!G6</f>
        <v/>
      </c>
      <c r="C11">
        <f>IF(AND(B11&lt;&gt;"",OR('名簿'!H6="入力済み",'名簿'!H6="×なし"),IO11=0,COUNTIF('調整・決定'!$C$6:$L$29,B11)=0),1,0)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IFERROR(MATCH('名簿'!E6,{"早い時刻","遅い時刻","早い日","遅い日"},0),0)</f>
        <v/>
      </c>
      <c r="IQ11">
        <f>IF('名簿'!F6="必ず空けたい",2,IF('名簿'!F6="出来れば空けたい",1,0))</f>
        <v/>
      </c>
    </row>
    <row r="12">
      <c r="A12" t="n">
        <v>3</v>
      </c>
      <c r="B12">
        <f>'名簿'!G7</f>
        <v/>
      </c>
      <c r="C12">
        <f>IF(AND(B12&lt;&gt;"",OR('名簿'!H7="入力済み",'名簿'!H7="×なし"),IO12=0,COUNTIF('調整・決定'!$C$6:$L$29,B12)=0),1,0)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IFERROR(MATCH('名簿'!E7,{"早い時刻","遅い時刻","早い日","遅い日"},0),0)</f>
        <v/>
      </c>
      <c r="IQ12">
        <f>IF('名簿'!F7="必ず空けたい",2,IF('名簿'!F7="出来れば空けたい",1,0))</f>
        <v/>
      </c>
    </row>
    <row r="13">
      <c r="A13" t="n">
        <v>4</v>
      </c>
      <c r="B13">
        <f>'名簿'!G8</f>
        <v/>
      </c>
      <c r="C13">
        <f>IF(AND(B13&lt;&gt;"",OR('名簿'!H8="入力済み",'名簿'!H8="×なし"),IO13=0,COUNTIF('調整・決定'!$C$6:$L$29,B13)=0),1,0)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IFERROR(MATCH('名簿'!E8,{"早い時刻","遅い時刻","早い日","遅い日"},0),0)</f>
        <v/>
      </c>
      <c r="IQ13">
        <f>IF('名簿'!F8="必ず空けたい",2,IF('名簿'!F8="出来れば空けたい",1,0))</f>
        <v/>
      </c>
    </row>
    <row r="14">
      <c r="A14" t="n">
        <v>5</v>
      </c>
      <c r="B14">
        <f>'名簿'!G9</f>
        <v/>
      </c>
      <c r="C14">
        <f>IF(AND(B14&lt;&gt;"",OR('名簿'!H9="入力済み",'名簿'!H9="×なし"),IO14=0,COUNTIF('調整・決定'!$C$6:$L$29,B14)=0),1,0)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IFERROR(MATCH('名簿'!E9,{"早い時刻","遅い時刻","早い日","遅い日"},0),0)</f>
        <v/>
      </c>
      <c r="IQ14">
        <f>IF('名簿'!F9="必ず空けたい",2,IF('名簿'!F9="出来れば空けたい",1,0))</f>
        <v/>
      </c>
    </row>
    <row r="15">
      <c r="A15" t="n">
        <v>6</v>
      </c>
      <c r="B15">
        <f>'名簿'!G10</f>
        <v/>
      </c>
      <c r="C15">
        <f>IF(AND(B15&lt;&gt;"",OR('名簿'!H10="入力済み",'名簿'!H10="×なし"),IO15=0,COUNTIF('調整・決定'!$C$6:$L$29,B15)=0),1,0)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IFERROR(MATCH('名簿'!E10,{"早い時刻","遅い時刻","早い日","遅い日"},0),0)</f>
        <v/>
      </c>
      <c r="IQ15">
        <f>IF('名簿'!F10="必ず空けたい",2,IF('名簿'!F10="出来れば空けたい",1,0))</f>
        <v/>
      </c>
    </row>
    <row r="16">
      <c r="A16" t="n">
        <v>7</v>
      </c>
      <c r="B16">
        <f>'名簿'!G11</f>
        <v/>
      </c>
      <c r="C16">
        <f>IF(AND(B16&lt;&gt;"",OR('名簿'!H11="入力済み",'名簿'!H11="×なし"),IO16=0,COUNTIF('調整・決定'!$C$6:$L$29,B16)=0),1,0)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IFERROR(MATCH('名簿'!E11,{"早い時刻","遅い時刻","早い日","遅い日"},0),0)</f>
        <v/>
      </c>
      <c r="IQ16">
        <f>IF('名簿'!F11="必ず空けたい",2,IF('名簿'!F11="出来れば空けたい",1,0))</f>
        <v/>
      </c>
    </row>
    <row r="17">
      <c r="A17" t="n">
        <v>8</v>
      </c>
      <c r="B17">
        <f>'名簿'!G12</f>
        <v/>
      </c>
      <c r="C17">
        <f>IF(AND(B17&lt;&gt;"",OR('名簿'!H12="入力済み",'名簿'!H12="×なし"),IO17=0,COUNTIF('調整・決定'!$C$6:$L$29,B17)=0),1,0)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IFERROR(MATCH('名簿'!E12,{"早い時刻","遅い時刻","早い日","遅い日"},0),0)</f>
        <v/>
      </c>
      <c r="IQ17">
        <f>IF('名簿'!F12="必ず空けたい",2,IF('名簿'!F12="出来れば空けたい",1,0))</f>
        <v/>
      </c>
    </row>
    <row r="18">
      <c r="A18" t="n">
        <v>9</v>
      </c>
      <c r="B18">
        <f>'名簿'!G13</f>
        <v/>
      </c>
      <c r="C18">
        <f>IF(AND(B18&lt;&gt;"",OR('名簿'!H13="入力済み",'名簿'!H13="×なし"),IO18=0,COUNTIF('調整・決定'!$C$6:$L$29,B18)=0),1,0)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IFERROR(MATCH('名簿'!E13,{"早い時刻","遅い時刻","早い日","遅い日"},0),0)</f>
        <v/>
      </c>
      <c r="IQ18">
        <f>IF('名簿'!F13="必ず空けたい",2,IF('名簿'!F13="出来れば空けたい",1,0))</f>
        <v/>
      </c>
    </row>
    <row r="19">
      <c r="A19" t="n">
        <v>10</v>
      </c>
      <c r="B19">
        <f>'名簿'!G14</f>
        <v/>
      </c>
      <c r="C19">
        <f>IF(AND(B19&lt;&gt;"",OR('名簿'!H14="入力済み",'名簿'!H14="×なし"),IO19=0,COUNTIF('調整・決定'!$C$6:$L$29,B19)=0),1,0)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IFERROR(MATCH('名簿'!E14,{"早い時刻","遅い時刻","早い日","遅い日"},0),0)</f>
        <v/>
      </c>
      <c r="IQ19">
        <f>IF('名簿'!F14="必ず空けたい",2,IF('名簿'!F14="出来れば空けたい",1,0))</f>
        <v/>
      </c>
    </row>
    <row r="20">
      <c r="A20" t="n">
        <v>11</v>
      </c>
      <c r="B20">
        <f>'名簿'!G15</f>
        <v/>
      </c>
      <c r="C20">
        <f>IF(AND(B20&lt;&gt;"",OR('名簿'!H15="入力済み",'名簿'!H15="×なし"),IO20=0,COUNTIF('調整・決定'!$C$6:$L$29,B20)=0),1,0)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IFERROR(MATCH('名簿'!E15,{"早い時刻","遅い時刻","早い日","遅い日"},0),0)</f>
        <v/>
      </c>
      <c r="IQ20">
        <f>IF('名簿'!F15="必ず空けたい",2,IF('名簿'!F15="出来れば空けたい",1,0))</f>
        <v/>
      </c>
    </row>
    <row r="21">
      <c r="A21" t="n">
        <v>12</v>
      </c>
      <c r="B21">
        <f>'名簿'!G16</f>
        <v/>
      </c>
      <c r="C21">
        <f>IF(AND(B21&lt;&gt;"",OR('名簿'!H16="入力済み",'名簿'!H16="×なし"),IO21=0,COUNTIF('調整・決定'!$C$6:$L$29,B21)=0),1,0)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IFERROR(MATCH('名簿'!E16,{"早い時刻","遅い時刻","早い日","遅い日"},0),0)</f>
        <v/>
      </c>
      <c r="IQ21">
        <f>IF('名簿'!F16="必ず空けたい",2,IF('名簿'!F16="出来れば空けたい",1,0))</f>
        <v/>
      </c>
    </row>
    <row r="22">
      <c r="A22" t="n">
        <v>13</v>
      </c>
      <c r="B22">
        <f>'名簿'!G17</f>
        <v/>
      </c>
      <c r="C22">
        <f>IF(AND(B22&lt;&gt;"",OR('名簿'!H17="入力済み",'名簿'!H17="×なし"),IO22=0,COUNTIF('調整・決定'!$C$6:$L$29,B22)=0),1,0)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IFERROR(MATCH('名簿'!E17,{"早い時刻","遅い時刻","早い日","遅い日"},0),0)</f>
        <v/>
      </c>
      <c r="IQ22">
        <f>IF('名簿'!F17="必ず空けたい",2,IF('名簿'!F17="出来れば空けたい",1,0))</f>
        <v/>
      </c>
    </row>
    <row r="23">
      <c r="A23" t="n">
        <v>14</v>
      </c>
      <c r="B23">
        <f>'名簿'!G18</f>
        <v/>
      </c>
      <c r="C23">
        <f>IF(AND(B23&lt;&gt;"",OR('名簿'!H18="入力済み",'名簿'!H18="×なし"),IO23=0,COUNTIF('調整・決定'!$C$6:$L$29,B23)=0),1,0)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IFERROR(MATCH('名簿'!E18,{"早い時刻","遅い時刻","早い日","遅い日"},0),0)</f>
        <v/>
      </c>
      <c r="IQ23">
        <f>IF('名簿'!F18="必ず空けたい",2,IF('名簿'!F18="出来れば空けたい",1,0))</f>
        <v/>
      </c>
    </row>
    <row r="24">
      <c r="A24" t="n">
        <v>15</v>
      </c>
      <c r="B24">
        <f>'名簿'!G19</f>
        <v/>
      </c>
      <c r="C24">
        <f>IF(AND(B24&lt;&gt;"",OR('名簿'!H19="入力済み",'名簿'!H19="×なし"),IO24=0,COUNTIF('調整・決定'!$C$6:$L$29,B24)=0),1,0)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IFERROR(MATCH('名簿'!E19,{"早い時刻","遅い時刻","早い日","遅い日"},0),0)</f>
        <v/>
      </c>
      <c r="IQ24">
        <f>IF('名簿'!F19="必ず空けたい",2,IF('名簿'!F19="出来れば空けたい",1,0))</f>
        <v/>
      </c>
    </row>
    <row r="25">
      <c r="A25" t="n">
        <v>16</v>
      </c>
      <c r="B25">
        <f>'名簿'!G20</f>
        <v/>
      </c>
      <c r="C25">
        <f>IF(AND(B25&lt;&gt;"",OR('名簿'!H20="入力済み",'名簿'!H20="×なし"),IO25=0,COUNTIF('調整・決定'!$C$6:$L$29,B25)=0),1,0)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IFERROR(MATCH('名簿'!E20,{"早い時刻","遅い時刻","早い日","遅い日"},0),0)</f>
        <v/>
      </c>
      <c r="IQ25">
        <f>IF('名簿'!F20="必ず空けたい",2,IF('名簿'!F20="出来れば空けたい",1,0))</f>
        <v/>
      </c>
    </row>
    <row r="26">
      <c r="A26" t="n">
        <v>17</v>
      </c>
      <c r="B26">
        <f>'名簿'!G21</f>
        <v/>
      </c>
      <c r="C26">
        <f>IF(AND(B26&lt;&gt;"",OR('名簿'!H21="入力済み",'名簿'!H21="×なし"),IO26=0,COUNTIF('調整・決定'!$C$6:$L$29,B26)=0),1,0)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IFERROR(MATCH('名簿'!E21,{"早い時刻","遅い時刻","早い日","遅い日"},0),0)</f>
        <v/>
      </c>
      <c r="IQ26">
        <f>IF('名簿'!F21="必ず空けたい",2,IF('名簿'!F21="出来れば空けたい",1,0))</f>
        <v/>
      </c>
    </row>
    <row r="27">
      <c r="A27" t="n">
        <v>18</v>
      </c>
      <c r="B27">
        <f>'名簿'!G22</f>
        <v/>
      </c>
      <c r="C27">
        <f>IF(AND(B27&lt;&gt;"",OR('名簿'!H22="入力済み",'名簿'!H22="×なし"),IO27=0,COUNTIF('調整・決定'!$C$6:$L$29,B27)=0),1,0)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IFERROR(MATCH('名簿'!E22,{"早い時刻","遅い時刻","早い日","遅い日"},0),0)</f>
        <v/>
      </c>
      <c r="IQ27">
        <f>IF('名簿'!F22="必ず空けたい",2,IF('名簿'!F22="出来れば空けたい",1,0))</f>
        <v/>
      </c>
    </row>
    <row r="28">
      <c r="A28" t="n">
        <v>19</v>
      </c>
      <c r="B28">
        <f>'名簿'!G23</f>
        <v/>
      </c>
      <c r="C28">
        <f>IF(AND(B28&lt;&gt;"",OR('名簿'!H23="入力済み",'名簿'!H23="×なし"),IO28=0,COUNTIF('調整・決定'!$C$6:$L$29,B28)=0),1,0)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IFERROR(MATCH('名簿'!E23,{"早い時刻","遅い時刻","早い日","遅い日"},0),0)</f>
        <v/>
      </c>
      <c r="IQ28">
        <f>IF('名簿'!F23="必ず空けたい",2,IF('名簿'!F23="出来れば空けたい",1,0))</f>
        <v/>
      </c>
    </row>
    <row r="29">
      <c r="A29" t="n">
        <v>20</v>
      </c>
      <c r="B29">
        <f>'名簿'!G24</f>
        <v/>
      </c>
      <c r="C29">
        <f>IF(AND(B29&lt;&gt;"",OR('名簿'!H24="入力済み",'名簿'!H24="×なし"),IO29=0,COUNTIF('調整・決定'!$C$6:$L$29,B29)=0),1,0)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IFERROR(MATCH('名簿'!E24,{"早い時刻","遅い時刻","早い日","遅い日"},0),0)</f>
        <v/>
      </c>
      <c r="IQ29">
        <f>IF('名簿'!F24="必ず空けたい",2,IF('名簿'!F24="出来れば空けたい",1,0))</f>
        <v/>
      </c>
    </row>
    <row r="30">
      <c r="A30" t="n">
        <v>21</v>
      </c>
      <c r="B30">
        <f>'名簿'!G25</f>
        <v/>
      </c>
      <c r="C30">
        <f>IF(AND(B30&lt;&gt;"",OR('名簿'!H25="入力済み",'名簿'!H25="×なし"),IO30=0,COUNTIF('調整・決定'!$C$6:$L$29,B30)=0),1,0)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IFERROR(MATCH('名簿'!E25,{"早い時刻","遅い時刻","早い日","遅い日"},0),0)</f>
        <v/>
      </c>
      <c r="IQ30">
        <f>IF('名簿'!F25="必ず空けたい",2,IF('名簿'!F25="出来れば空けたい",1,0))</f>
        <v/>
      </c>
    </row>
    <row r="31">
      <c r="A31" t="n">
        <v>22</v>
      </c>
      <c r="B31">
        <f>'名簿'!G26</f>
        <v/>
      </c>
      <c r="C31">
        <f>IF(AND(B31&lt;&gt;"",OR('名簿'!H26="入力済み",'名簿'!H26="×なし"),IO31=0,COUNTIF('調整・決定'!$C$6:$L$29,B31)=0),1,0)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IFERROR(MATCH('名簿'!E26,{"早い時刻","遅い時刻","早い日","遅い日"},0),0)</f>
        <v/>
      </c>
      <c r="IQ31">
        <f>IF('名簿'!F26="必ず空けたい",2,IF('名簿'!F26="出来れば空けたい",1,0))</f>
        <v/>
      </c>
    </row>
    <row r="32">
      <c r="A32" t="n">
        <v>23</v>
      </c>
      <c r="B32">
        <f>'名簿'!G27</f>
        <v/>
      </c>
      <c r="C32">
        <f>IF(AND(B32&lt;&gt;"",OR('名簿'!H27="入力済み",'名簿'!H27="×なし"),IO32=0,COUNTIF('調整・決定'!$C$6:$L$29,B32)=0),1,0)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IFERROR(MATCH('名簿'!E27,{"早い時刻","遅い時刻","早い日","遅い日"},0),0)</f>
        <v/>
      </c>
      <c r="IQ32">
        <f>IF('名簿'!F27="必ず空けたい",2,IF('名簿'!F27="出来れば空けたい",1,0))</f>
        <v/>
      </c>
    </row>
    <row r="33">
      <c r="A33" t="n">
        <v>24</v>
      </c>
      <c r="B33">
        <f>'名簿'!G28</f>
        <v/>
      </c>
      <c r="C33">
        <f>IF(AND(B33&lt;&gt;"",OR('名簿'!H28="入力済み",'名簿'!H28="×なし"),IO33=0,COUNTIF('調整・決定'!$C$6:$L$29,B33)=0),1,0)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IFERROR(MATCH('名簿'!E28,{"早い時刻","遅い時刻","早い日","遅い日"},0),0)</f>
        <v/>
      </c>
      <c r="IQ33">
        <f>IF('名簿'!F28="必ず空けたい",2,IF('名簿'!F28="出来れば空けたい",1,0))</f>
        <v/>
      </c>
    </row>
    <row r="34">
      <c r="A34" t="n">
        <v>25</v>
      </c>
      <c r="B34">
        <f>'名簿'!G29</f>
        <v/>
      </c>
      <c r="C34">
        <f>IF(AND(B34&lt;&gt;"",OR('名簿'!H29="入力済み",'名簿'!H29="×なし"),IO34=0,COUNTIF('調整・決定'!$C$6:$L$29,B34)=0),1,0)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IFERROR(MATCH('名簿'!E29,{"早い時刻","遅い時刻","早い日","遅い日"},0),0)</f>
        <v/>
      </c>
      <c r="IQ34">
        <f>IF('名簿'!F29="必ず空けたい",2,IF('名簿'!F29="出来れば空けたい",1,0))</f>
        <v/>
      </c>
    </row>
    <row r="35">
      <c r="A35" t="n">
        <v>26</v>
      </c>
      <c r="B35">
        <f>'名簿'!G30</f>
        <v/>
      </c>
      <c r="C35">
        <f>IF(AND(B35&lt;&gt;"",OR('名簿'!H30="入力済み",'名簿'!H30="×なし"),IO35=0,COUNTIF('調整・決定'!$C$6:$L$29,B35)=0),1,0)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IFERROR(MATCH('名簿'!E30,{"早い時刻","遅い時刻","早い日","遅い日"},0),0)</f>
        <v/>
      </c>
      <c r="IQ35">
        <f>IF('名簿'!F30="必ず空けたい",2,IF('名簿'!F30="出来れば空けたい",1,0))</f>
        <v/>
      </c>
    </row>
    <row r="36">
      <c r="A36" t="n">
        <v>27</v>
      </c>
      <c r="B36">
        <f>'名簿'!G31</f>
        <v/>
      </c>
      <c r="C36">
        <f>IF(AND(B36&lt;&gt;"",OR('名簿'!H31="入力済み",'名簿'!H31="×なし"),IO36=0,COUNTIF('調整・決定'!$C$6:$L$29,B36)=0),1,0)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IFERROR(MATCH('名簿'!E31,{"早い時刻","遅い時刻","早い日","遅い日"},0),0)</f>
        <v/>
      </c>
      <c r="IQ36">
        <f>IF('名簿'!F31="必ず空けたい",2,IF('名簿'!F31="出来れば空けたい",1,0))</f>
        <v/>
      </c>
    </row>
    <row r="37">
      <c r="A37" t="n">
        <v>28</v>
      </c>
      <c r="B37">
        <f>'名簿'!G32</f>
        <v/>
      </c>
      <c r="C37">
        <f>IF(AND(B37&lt;&gt;"",OR('名簿'!H32="入力済み",'名簿'!H32="×なし"),IO37=0,COUNTIF('調整・決定'!$C$6:$L$29,B37)=0),1,0)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IFERROR(MATCH('名簿'!E32,{"早い時刻","遅い時刻","早い日","遅い日"},0),0)</f>
        <v/>
      </c>
      <c r="IQ37">
        <f>IF('名簿'!F32="必ず空けたい",2,IF('名簿'!F32="出来れば空けたい",1,0))</f>
        <v/>
      </c>
    </row>
    <row r="38">
      <c r="A38" t="n">
        <v>29</v>
      </c>
      <c r="B38">
        <f>'名簿'!G33</f>
        <v/>
      </c>
      <c r="C38">
        <f>IF(AND(B38&lt;&gt;"",OR('名簿'!H33="入力済み",'名簿'!H33="×なし"),IO38=0,COUNTIF('調整・決定'!$C$6:$L$29,B38)=0),1,0)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IFERROR(MATCH('名簿'!E33,{"早い時刻","遅い時刻","早い日","遅い日"},0),0)</f>
        <v/>
      </c>
      <c r="IQ38">
        <f>IF('名簿'!F33="必ず空けたい",2,IF('名簿'!F33="出来れば空けたい",1,0))</f>
        <v/>
      </c>
    </row>
    <row r="39">
      <c r="A39" t="n">
        <v>30</v>
      </c>
      <c r="B39">
        <f>'名簿'!G34</f>
        <v/>
      </c>
      <c r="C39">
        <f>IF(AND(B39&lt;&gt;"",OR('名簿'!H34="入力済み",'名簿'!H34="×なし"),IO39=0,COUNTIF('調整・決定'!$C$6:$L$29,B39)=0),1,0)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IFERROR(MATCH('名簿'!E34,{"早い時刻","遅い時刻","早い日","遅い日"},0),0)</f>
        <v/>
      </c>
      <c r="IQ39">
        <f>IF('名簿'!F34="必ず空けたい",2,IF('名簿'!F34="出来れば空けたい",1,0))</f>
        <v/>
      </c>
    </row>
    <row r="40">
      <c r="A40" t="n">
        <v>31</v>
      </c>
      <c r="B40">
        <f>'名簿'!G35</f>
        <v/>
      </c>
      <c r="C40">
        <f>IF(AND(B40&lt;&gt;"",OR('名簿'!H35="入力済み",'名簿'!H35="×なし"),IO40=0,COUNTIF('調整・決定'!$C$6:$L$29,B40)=0),1,0)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IFERROR(MATCH('名簿'!E35,{"早い時刻","遅い時刻","早い日","遅い日"},0),0)</f>
        <v/>
      </c>
      <c r="IQ40">
        <f>IF('名簿'!F35="必ず空けたい",2,IF('名簿'!F35="出来れば空けたい",1,0))</f>
        <v/>
      </c>
    </row>
    <row r="41">
      <c r="A41" t="n">
        <v>32</v>
      </c>
      <c r="B41">
        <f>'名簿'!G36</f>
        <v/>
      </c>
      <c r="C41">
        <f>IF(AND(B41&lt;&gt;"",OR('名簿'!H36="入力済み",'名簿'!H36="×なし"),IO41=0,COUNTIF('調整・決定'!$C$6:$L$29,B41)=0),1,0)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IFERROR(MATCH('名簿'!E36,{"早い時刻","遅い時刻","早い日","遅い日"},0),0)</f>
        <v/>
      </c>
      <c r="IQ41">
        <f>IF('名簿'!F36="必ず空けたい",2,IF('名簿'!F36="出来れば空けたい",1,0))</f>
        <v/>
      </c>
    </row>
    <row r="42">
      <c r="A42" t="n">
        <v>33</v>
      </c>
      <c r="B42">
        <f>'名簿'!G37</f>
        <v/>
      </c>
      <c r="C42">
        <f>IF(AND(B42&lt;&gt;"",OR('名簿'!H37="入力済み",'名簿'!H37="×なし"),IO42=0,COUNTIF('調整・決定'!$C$6:$L$29,B42)=0),1,0)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IFERROR(MATCH('名簿'!E37,{"早い時刻","遅い時刻","早い日","遅い日"},0),0)</f>
        <v/>
      </c>
      <c r="IQ42">
        <f>IF('名簿'!F37="必ず空けたい",2,IF('名簿'!F37="出来れば空けたい",1,0))</f>
        <v/>
      </c>
    </row>
    <row r="43">
      <c r="A43" t="n">
        <v>34</v>
      </c>
      <c r="B43">
        <f>'名簿'!G38</f>
        <v/>
      </c>
      <c r="C43">
        <f>IF(AND(B43&lt;&gt;"",OR('名簿'!H38="入力済み",'名簿'!H38="×なし"),IO43=0,COUNTIF('調整・決定'!$C$6:$L$29,B43)=0),1,0)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IFERROR(MATCH('名簿'!E38,{"早い時刻","遅い時刻","早い日","遅い日"},0),0)</f>
        <v/>
      </c>
      <c r="IQ43">
        <f>IF('名簿'!F38="必ず空けたい",2,IF('名簿'!F38="出来れば空けたい",1,0))</f>
        <v/>
      </c>
    </row>
    <row r="44">
      <c r="A44" t="n">
        <v>35</v>
      </c>
      <c r="B44">
        <f>'名簿'!G39</f>
        <v/>
      </c>
      <c r="C44">
        <f>IF(AND(B44&lt;&gt;"",OR('名簿'!H39="入力済み",'名簿'!H39="×なし"),IO44=0,COUNTIF('調整・決定'!$C$6:$L$29,B44)=0),1,0)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IFERROR(MATCH('名簿'!E39,{"早い時刻","遅い時刻","早い日","遅い日"},0),0)</f>
        <v/>
      </c>
      <c r="IQ44">
        <f>IF('名簿'!F39="必ず空けたい",2,IF('名簿'!F39="出来れば空けたい",1,0))</f>
        <v/>
      </c>
    </row>
    <row r="45">
      <c r="A45" t="n">
        <v>36</v>
      </c>
      <c r="B45">
        <f>'名簿'!G40</f>
        <v/>
      </c>
      <c r="C45">
        <f>IF(AND(B45&lt;&gt;"",OR('名簿'!H40="入力済み",'名簿'!H40="×なし"),IO45=0,COUNTIF('調整・決定'!$C$6:$L$29,B45)=0),1,0)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IFERROR(MATCH('名簿'!E40,{"早い時刻","遅い時刻","早い日","遅い日"},0),0)</f>
        <v/>
      </c>
      <c r="IQ45">
        <f>IF('名簿'!F40="必ず空けたい",2,IF('名簿'!F40="出来れば空けたい",1,0))</f>
        <v/>
      </c>
    </row>
    <row r="46">
      <c r="A46" t="n">
        <v>37</v>
      </c>
      <c r="B46">
        <f>'名簿'!G41</f>
        <v/>
      </c>
      <c r="C46">
        <f>IF(AND(B46&lt;&gt;"",OR('名簿'!H41="入力済み",'名簿'!H41="×なし"),IO46=0,COUNTIF('調整・決定'!$C$6:$L$29,B46)=0),1,0)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IFERROR(MATCH('名簿'!E41,{"早い時刻","遅い時刻","早い日","遅い日"},0),0)</f>
        <v/>
      </c>
      <c r="IQ46">
        <f>IF('名簿'!F41="必ず空けたい",2,IF('名簿'!F41="出来れば空けたい",1,0))</f>
        <v/>
      </c>
    </row>
    <row r="47">
      <c r="A47" t="n">
        <v>38</v>
      </c>
      <c r="B47">
        <f>'名簿'!G42</f>
        <v/>
      </c>
      <c r="C47">
        <f>IF(AND(B47&lt;&gt;"",OR('名簿'!H42="入力済み",'名簿'!H42="×なし"),IO47=0,COUNTIF('調整・決定'!$C$6:$L$29,B47)=0),1,0)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IFERROR(MATCH('名簿'!E42,{"早い時刻","遅い時刻","早い日","遅い日"},0),0)</f>
        <v/>
      </c>
      <c r="IQ47">
        <f>IF('名簿'!F42="必ず空けたい",2,IF('名簿'!F42="出来れば空けたい",1,0))</f>
        <v/>
      </c>
    </row>
    <row r="48">
      <c r="A48" t="n">
        <v>39</v>
      </c>
      <c r="B48">
        <f>'名簿'!G43</f>
        <v/>
      </c>
      <c r="C48">
        <f>IF(AND(B48&lt;&gt;"",OR('名簿'!H43="入力済み",'名簿'!H43="×なし"),IO48=0,COUNTIF('調整・決定'!$C$6:$L$29,B48)=0),1,0)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IFERROR(MATCH('名簿'!E43,{"早い時刻","遅い時刻","早い日","遅い日"},0),0)</f>
        <v/>
      </c>
      <c r="IQ48">
        <f>IF('名簿'!F43="必ず空けたい",2,IF('名簿'!F43="出来れば空けたい",1,0))</f>
        <v/>
      </c>
    </row>
    <row r="49">
      <c r="A49" t="n">
        <v>40</v>
      </c>
      <c r="B49">
        <f>'名簿'!G44</f>
        <v/>
      </c>
      <c r="C49">
        <f>IF(AND(B49&lt;&gt;"",OR('名簿'!H44="入力済み",'名簿'!H44="×なし"),IO49=0,COUNTIF('調整・決定'!$C$6:$L$29,B49)=0),1,0)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IFERROR(MATCH('名簿'!E44,{"早い時刻","遅い時刻","早い日","遅い日"},0),0)</f>
        <v/>
      </c>
      <c r="IQ49">
        <f>IF('名簿'!F44="必ず空けたい",2,IF('名簿'!F44="出来れば空けたい",1,0))</f>
        <v/>
      </c>
    </row>
    <row r="50">
      <c r="A50" t="n">
        <v>41</v>
      </c>
      <c r="B50">
        <f>'名簿'!G45</f>
        <v/>
      </c>
      <c r="C50">
        <f>IF(AND(B50&lt;&gt;"",OR('名簿'!H45="入力済み",'名簿'!H45="×なし"),IO50=0,COUNTIF('調整・決定'!$C$6:$L$29,B50)=0),1,0)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IFERROR(MATCH('名簿'!E45,{"早い時刻","遅い時刻","早い日","遅い日"},0),0)</f>
        <v/>
      </c>
      <c r="IQ50">
        <f>IF('名簿'!F45="必ず空けたい",2,IF('名簿'!F45="出来れば空けたい",1,0))</f>
        <v/>
      </c>
    </row>
    <row r="51">
      <c r="A51" t="n">
        <v>42</v>
      </c>
      <c r="B51">
        <f>'名簿'!G46</f>
        <v/>
      </c>
      <c r="C51">
        <f>IF(AND(B51&lt;&gt;"",OR('名簿'!H46="入力済み",'名簿'!H46="×なし"),IO51=0,COUNTIF('調整・決定'!$C$6:$L$29,B51)=0),1,0)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IFERROR(MATCH('名簿'!E46,{"早い時刻","遅い時刻","早い日","遅い日"},0),0)</f>
        <v/>
      </c>
      <c r="IQ51">
        <f>IF('名簿'!F46="必ず空けたい",2,IF('名簿'!F46="出来れば空けたい",1,0))</f>
        <v/>
      </c>
    </row>
    <row r="52">
      <c r="A52" t="n">
        <v>43</v>
      </c>
      <c r="B52">
        <f>'名簿'!G47</f>
        <v/>
      </c>
      <c r="C52">
        <f>IF(AND(B52&lt;&gt;"",OR('名簿'!H47="入力済み",'名簿'!H47="×なし"),IO52=0,COUNTIF('調整・決定'!$C$6:$L$29,B52)=0),1,0)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IFERROR(MATCH('名簿'!E47,{"早い時刻","遅い時刻","早い日","遅い日"},0),0)</f>
        <v/>
      </c>
      <c r="IQ52">
        <f>IF('名簿'!F47="必ず空けたい",2,IF('名簿'!F47="出来れば空けたい",1,0))</f>
        <v/>
      </c>
    </row>
    <row r="53">
      <c r="A53" t="n">
        <v>44</v>
      </c>
      <c r="B53">
        <f>'名簿'!G48</f>
        <v/>
      </c>
      <c r="C53">
        <f>IF(AND(B53&lt;&gt;"",OR('名簿'!H48="入力済み",'名簿'!H48="×なし"),IO53=0,COUNTIF('調整・決定'!$C$6:$L$29,B53)=0),1,0)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IFERROR(MATCH('名簿'!E48,{"早い時刻","遅い時刻","早い日","遅い日"},0),0)</f>
        <v/>
      </c>
      <c r="IQ53">
        <f>IF('名簿'!F48="必ず空けたい",2,IF('名簿'!F48="出来れば空けたい",1,0))</f>
        <v/>
      </c>
    </row>
    <row r="54">
      <c r="A54" t="n">
        <v>45</v>
      </c>
      <c r="B54">
        <f>'名簿'!G49</f>
        <v/>
      </c>
      <c r="C54">
        <f>IF(AND(B54&lt;&gt;"",OR('名簿'!H49="入力済み",'名簿'!H49="×なし"),IO54=0,COUNTIF('調整・決定'!$C$6:$L$29,B54)=0),1,0)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IFERROR(MATCH('名簿'!E49,{"早い時刻","遅い時刻","早い日","遅い日"},0),0)</f>
        <v/>
      </c>
      <c r="IQ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IF(OR(D106=0,INDEX('調整・決定'!$C$6:$L$29,E3-1,E2)=""),0,IF(IFERROR(INDEX('名簿'!$F$5:$F$49,MATCH(INDEX('調整・決定'!$C$6:$L$29,E3-1,E2),'名簿'!$G$5:$G$49,0)),"")&lt;&gt;"",1,0))</f>
        <v/>
      </c>
      <c r="F108">
        <f>IF(OR(E106=0,INDEX('調整・決定'!$C$6:$L$29,F3-1,F2)=""),0,IF(IFERROR(INDEX('名簿'!$F$5:$F$49,MATCH(INDEX('調整・決定'!$C$6:$L$29,F3-1,F2),'名簿'!$G$5:$G$49,0)),"")&lt;&gt;"",1,0))</f>
        <v/>
      </c>
      <c r="G108">
        <f>IF(OR(F106=0,INDEX('調整・決定'!$C$6:$L$29,G3-1,G2)=""),0,IF(IFERROR(INDEX('名簿'!$F$5:$F$49,MATCH(INDEX('調整・決定'!$C$6:$L$29,G3-1,G2),'名簿'!$G$5:$G$49,0)),"")&lt;&gt;"",1,0))</f>
        <v/>
      </c>
      <c r="H108">
        <f>IF(OR(G106=0,INDEX('調整・決定'!$C$6:$L$29,H3-1,H2)=""),0,IF(IFERROR(INDEX('名簿'!$F$5:$F$49,MATCH(INDEX('調整・決定'!$C$6:$L$29,H3-1,H2),'名簿'!$G$5:$G$49,0)),"")&lt;&gt;"",1,0))</f>
        <v/>
      </c>
      <c r="I108">
        <f>IF(OR(H106=0,INDEX('調整・決定'!$C$6:$L$29,I3-1,I2)=""),0,IF(IFERROR(INDEX('名簿'!$F$5:$F$49,MATCH(INDEX('調整・決定'!$C$6:$L$29,I3-1,I2),'名簿'!$G$5:$G$49,0)),"")&lt;&gt;"",1,0))</f>
        <v/>
      </c>
      <c r="J108">
        <f>IF(OR(I106=0,INDEX('調整・決定'!$C$6:$L$29,J3-1,J2)=""),0,IF(IFERROR(INDEX('名簿'!$F$5:$F$49,MATCH(INDEX('調整・決定'!$C$6:$L$29,J3-1,J2),'名簿'!$G$5:$G$49,0)),"")&lt;&gt;"",1,0))</f>
        <v/>
      </c>
      <c r="K108">
        <f>IF(OR(J106=0,INDEX('調整・決定'!$C$6:$L$29,K3-1,K2)=""),0,IF(IFERROR(INDEX('名簿'!$F$5:$F$49,MATCH(INDEX('調整・決定'!$C$6:$L$29,K3-1,K2),'名簿'!$G$5:$G$49,0)),"")&lt;&gt;"",1,0))</f>
        <v/>
      </c>
      <c r="L108">
        <f>IF(OR(K106=0,INDEX('調整・決定'!$C$6:$L$29,L3-1,L2)=""),0,IF(IFERROR(INDEX('名簿'!$F$5:$F$49,MATCH(INDEX('調整・決定'!$C$6:$L$29,L3-1,L2),'名簿'!$G$5:$G$49,0)),"")&lt;&gt;"",1,0))</f>
        <v/>
      </c>
      <c r="M108">
        <f>IF(OR(L106=0,INDEX('調整・決定'!$C$6:$L$29,M3-1,M2)=""),0,IF(IFERROR(INDEX('名簿'!$F$5:$F$49,MATCH(INDEX('調整・決定'!$C$6:$L$29,M3-1,M2),'名簿'!$G$5:$G$49,0)),"")&lt;&gt;"",1,0))</f>
        <v/>
      </c>
      <c r="N108">
        <f>IF(OR(M106=0,INDEX('調整・決定'!$C$6:$L$29,N3-1,N2)=""),0,IF(IFERROR(INDEX('名簿'!$F$5:$F$49,MATCH(INDEX('調整・決定'!$C$6:$L$29,N3-1,N2),'名簿'!$G$5:$G$49,0)),"")&lt;&gt;"",1,0))</f>
        <v/>
      </c>
      <c r="O108">
        <f>IF(OR(N106=0,INDEX('調整・決定'!$C$6:$L$29,O3-1,O2)=""),0,IF(IFERROR(INDEX('名簿'!$F$5:$F$49,MATCH(INDEX('調整・決定'!$C$6:$L$29,O3-1,O2),'名簿'!$G$5:$G$49,0)),"")&lt;&gt;"",1,0))</f>
        <v/>
      </c>
      <c r="P108">
        <f>IF(OR(O106=0,INDEX('調整・決定'!$C$6:$L$29,P3-1,P2)=""),0,IF(IFERROR(INDEX('名簿'!$F$5:$F$49,MATCH(INDEX('調整・決定'!$C$6:$L$29,P3-1,P2),'名簿'!$G$5:$G$49,0)),"")&lt;&gt;"",1,0))</f>
        <v/>
      </c>
      <c r="Q108">
        <f>IF(OR(P106=0,INDEX('調整・決定'!$C$6:$L$29,Q3-1,Q2)=""),0,IF(IFERROR(INDEX('名簿'!$F$5:$F$49,MATCH(INDEX('調整・決定'!$C$6:$L$29,Q3-1,Q2),'名簿'!$G$5:$G$49,0)),"")&lt;&gt;"",1,0))</f>
        <v/>
      </c>
      <c r="R108">
        <f>IF(OR(Q106=0,INDEX('調整・決定'!$C$6:$L$29,R3-1,R2)=""),0,IF(IFERROR(INDEX('名簿'!$F$5:$F$49,MATCH(INDEX('調整・決定'!$C$6:$L$29,R3-1,R2),'名簿'!$G$5:$G$49,0)),"")&lt;&gt;"",1,0))</f>
        <v/>
      </c>
      <c r="S108">
        <f>IF(OR(R106=0,INDEX('調整・決定'!$C$6:$L$29,S3-1,S2)=""),0,IF(IFERROR(INDEX('名簿'!$F$5:$F$49,MATCH(INDEX('調整・決定'!$C$6:$L$29,S3-1,S2),'名簿'!$G$5:$G$49,0)),"")&lt;&gt;"",1,0))</f>
        <v/>
      </c>
      <c r="T108">
        <f>IF(OR(S106=0,INDEX('調整・決定'!$C$6:$L$29,T3-1,T2)=""),0,IF(IFERROR(INDEX('名簿'!$F$5:$F$49,MATCH(INDEX('調整・決定'!$C$6:$L$29,T3-1,T2),'名簿'!$G$5:$G$49,0)),"")&lt;&gt;"",1,0))</f>
        <v/>
      </c>
      <c r="U108">
        <f>IF(OR(T106=0,INDEX('調整・決定'!$C$6:$L$29,U3-1,U2)=""),0,IF(IFERROR(INDEX('名簿'!$F$5:$F$49,MATCH(INDEX('調整・決定'!$C$6:$L$29,U3-1,U2),'名簿'!$G$5:$G$49,0)),"")&lt;&gt;"",1,0))</f>
        <v/>
      </c>
      <c r="V108">
        <f>IF(OR(U106=0,INDEX('調整・決定'!$C$6:$L$29,V3-1,V2)=""),0,IF(IFERROR(INDEX('名簿'!$F$5:$F$49,MATCH(INDEX('調整・決定'!$C$6:$L$29,V3-1,V2),'名簿'!$G$5:$G$49,0)),"")&lt;&gt;"",1,0))</f>
        <v/>
      </c>
      <c r="W108">
        <f>IF(OR(V106=0,INDEX('調整・決定'!$C$6:$L$29,W3-1,W2)=""),0,IF(IFERROR(INDEX('名簿'!$F$5:$F$49,MATCH(INDEX('調整・決定'!$C$6:$L$29,W3-1,W2),'名簿'!$G$5:$G$49,0)),"")&lt;&gt;"",1,0))</f>
        <v/>
      </c>
      <c r="X108">
        <f>IF(OR(W106=0,INDEX('調整・決定'!$C$6:$L$29,X3-1,X2)=""),0,IF(IFERROR(INDEX('名簿'!$F$5:$F$49,MATCH(INDEX('調整・決定'!$C$6:$L$29,X3-1,X2),'名簿'!$G$5:$G$49,0)),"")&lt;&gt;"",1,0))</f>
        <v/>
      </c>
      <c r="Y108">
        <f>IF(OR(X106=0,INDEX('調整・決定'!$C$6:$L$29,Y3-1,Y2)=""),0,IF(IFERROR(INDEX('名簿'!$F$5:$F$49,MATCH(INDEX('調整・決定'!$C$6:$L$29,Y3-1,Y2),'名簿'!$G$5:$G$49,0)),"")&lt;&gt;"",1,0))</f>
        <v/>
      </c>
      <c r="Z108">
        <f>IF(OR(Y106=0,INDEX('調整・決定'!$C$6:$L$29,Z3-1,Z2)=""),0,IF(IFERROR(INDEX('名簿'!$F$5:$F$49,MATCH(INDEX('調整・決定'!$C$6:$L$29,Z3-1,Z2),'名簿'!$G$5:$G$49,0)),"")&lt;&gt;"",1,0))</f>
        <v/>
      </c>
      <c r="AA108">
        <f>IF(OR(Z106=0,INDEX('調整・決定'!$C$6:$L$29,AA3-1,AA2)=""),0,IF(IFERROR(INDEX('名簿'!$F$5:$F$49,MATCH(INDEX('調整・決定'!$C$6:$L$29,AA3-1,AA2),'名簿'!$G$5:$G$49,0)),"")&lt;&gt;"",1,0))</f>
        <v/>
      </c>
      <c r="AB108" t="n">
        <v>0</v>
      </c>
      <c r="AC108">
        <f>IF(OR(AB106=0,INDEX('調整・決定'!$C$6:$L$29,AC3-1,AC2)=""),0,IF(IFERROR(INDEX('名簿'!$F$5:$F$49,MATCH(INDEX('調整・決定'!$C$6:$L$29,AC3-1,AC2),'名簿'!$G$5:$G$49,0)),"")&lt;&gt;"",1,0))</f>
        <v/>
      </c>
      <c r="AD108">
        <f>IF(OR(AC106=0,INDEX('調整・決定'!$C$6:$L$29,AD3-1,AD2)=""),0,IF(IFERROR(INDEX('名簿'!$F$5:$F$49,MATCH(INDEX('調整・決定'!$C$6:$L$29,AD3-1,AD2),'名簿'!$G$5:$G$49,0)),"")&lt;&gt;"",1,0))</f>
        <v/>
      </c>
      <c r="AE108">
        <f>IF(OR(AD106=0,INDEX('調整・決定'!$C$6:$L$29,AE3-1,AE2)=""),0,IF(IFERROR(INDEX('名簿'!$F$5:$F$49,MATCH(INDEX('調整・決定'!$C$6:$L$29,AE3-1,AE2),'名簿'!$G$5:$G$49,0)),"")&lt;&gt;"",1,0))</f>
        <v/>
      </c>
      <c r="AF108">
        <f>IF(OR(AE106=0,INDEX('調整・決定'!$C$6:$L$29,AF3-1,AF2)=""),0,IF(IFERROR(INDEX('名簿'!$F$5:$F$49,MATCH(INDEX('調整・決定'!$C$6:$L$29,AF3-1,AF2),'名簿'!$G$5:$G$49,0)),"")&lt;&gt;"",1,0))</f>
        <v/>
      </c>
      <c r="AG108">
        <f>IF(OR(AF106=0,INDEX('調整・決定'!$C$6:$L$29,AG3-1,AG2)=""),0,IF(IFERROR(INDEX('名簿'!$F$5:$F$49,MATCH(INDEX('調整・決定'!$C$6:$L$29,AG3-1,AG2),'名簿'!$G$5:$G$49,0)),"")&lt;&gt;"",1,0))</f>
        <v/>
      </c>
      <c r="AH108">
        <f>IF(OR(AG106=0,INDEX('調整・決定'!$C$6:$L$29,AH3-1,AH2)=""),0,IF(IFERROR(INDEX('名簿'!$F$5:$F$49,MATCH(INDEX('調整・決定'!$C$6:$L$29,AH3-1,AH2),'名簿'!$G$5:$G$49,0)),"")&lt;&gt;"",1,0))</f>
        <v/>
      </c>
      <c r="AI108">
        <f>IF(OR(AH106=0,INDEX('調整・決定'!$C$6:$L$29,AI3-1,AI2)=""),0,IF(IFERROR(INDEX('名簿'!$F$5:$F$49,MATCH(INDEX('調整・決定'!$C$6:$L$29,AI3-1,AI2),'名簿'!$G$5:$G$49,0)),"")&lt;&gt;"",1,0))</f>
        <v/>
      </c>
      <c r="AJ108">
        <f>IF(OR(AI106=0,INDEX('調整・決定'!$C$6:$L$29,AJ3-1,AJ2)=""),0,IF(IFERROR(INDEX('名簿'!$F$5:$F$49,MATCH(INDEX('調整・決定'!$C$6:$L$29,AJ3-1,AJ2),'名簿'!$G$5:$G$49,0)),"")&lt;&gt;"",1,0))</f>
        <v/>
      </c>
      <c r="AK108">
        <f>IF(OR(AJ106=0,INDEX('調整・決定'!$C$6:$L$29,AK3-1,AK2)=""),0,IF(IFERROR(INDEX('名簿'!$F$5:$F$49,MATCH(INDEX('調整・決定'!$C$6:$L$29,AK3-1,AK2),'名簿'!$G$5:$G$49,0)),"")&lt;&gt;"",1,0))</f>
        <v/>
      </c>
      <c r="AL108">
        <f>IF(OR(AK106=0,INDEX('調整・決定'!$C$6:$L$29,AL3-1,AL2)=""),0,IF(IFERROR(INDEX('名簿'!$F$5:$F$49,MATCH(INDEX('調整・決定'!$C$6:$L$29,AL3-1,AL2),'名簿'!$G$5:$G$49,0)),"")&lt;&gt;"",1,0))</f>
        <v/>
      </c>
      <c r="AM108">
        <f>IF(OR(AL106=0,INDEX('調整・決定'!$C$6:$L$29,AM3-1,AM2)=""),0,IF(IFERROR(INDEX('名簿'!$F$5:$F$49,MATCH(INDEX('調整・決定'!$C$6:$L$29,AM3-1,AM2),'名簿'!$G$5:$G$49,0)),"")&lt;&gt;"",1,0))</f>
        <v/>
      </c>
      <c r="AN108">
        <f>IF(OR(AM106=0,INDEX('調整・決定'!$C$6:$L$29,AN3-1,AN2)=""),0,IF(IFERROR(INDEX('名簿'!$F$5:$F$49,MATCH(INDEX('調整・決定'!$C$6:$L$29,AN3-1,AN2),'名簿'!$G$5:$G$49,0)),"")&lt;&gt;"",1,0))</f>
        <v/>
      </c>
      <c r="AO108">
        <f>IF(OR(AN106=0,INDEX('調整・決定'!$C$6:$L$29,AO3-1,AO2)=""),0,IF(IFERROR(INDEX('名簿'!$F$5:$F$49,MATCH(INDEX('調整・決定'!$C$6:$L$29,AO3-1,AO2),'名簿'!$G$5:$G$49,0)),"")&lt;&gt;"",1,0))</f>
        <v/>
      </c>
      <c r="AP108">
        <f>IF(OR(AO106=0,INDEX('調整・決定'!$C$6:$L$29,AP3-1,AP2)=""),0,IF(IFERROR(INDEX('名簿'!$F$5:$F$49,MATCH(INDEX('調整・決定'!$C$6:$L$29,AP3-1,AP2),'名簿'!$G$5:$G$49,0)),"")&lt;&gt;"",1,0))</f>
        <v/>
      </c>
      <c r="AQ108">
        <f>IF(OR(AP106=0,INDEX('調整・決定'!$C$6:$L$29,AQ3-1,AQ2)=""),0,IF(IFERROR(INDEX('名簿'!$F$5:$F$49,MATCH(INDEX('調整・決定'!$C$6:$L$29,AQ3-1,AQ2),'名簿'!$G$5:$G$49,0)),"")&lt;&gt;"",1,0))</f>
        <v/>
      </c>
      <c r="AR108">
        <f>IF(OR(AQ106=0,INDEX('調整・決定'!$C$6:$L$29,AR3-1,AR2)=""),0,IF(IFERROR(INDEX('名簿'!$F$5:$F$49,MATCH(INDEX('調整・決定'!$C$6:$L$29,AR3-1,AR2),'名簿'!$G$5:$G$49,0)),"")&lt;&gt;"",1,0))</f>
        <v/>
      </c>
      <c r="AS108">
        <f>IF(OR(AR106=0,INDEX('調整・決定'!$C$6:$L$29,AS3-1,AS2)=""),0,IF(IFERROR(INDEX('名簿'!$F$5:$F$49,MATCH(INDEX('調整・決定'!$C$6:$L$29,AS3-1,AS2),'名簿'!$G$5:$G$49,0)),"")&lt;&gt;"",1,0))</f>
        <v/>
      </c>
      <c r="AT108">
        <f>IF(OR(AS106=0,INDEX('調整・決定'!$C$6:$L$29,AT3-1,AT2)=""),0,IF(IFERROR(INDEX('名簿'!$F$5:$F$49,MATCH(INDEX('調整・決定'!$C$6:$L$29,AT3-1,AT2),'名簿'!$G$5:$G$49,0)),"")&lt;&gt;"",1,0))</f>
        <v/>
      </c>
      <c r="AU108">
        <f>IF(OR(AT106=0,INDEX('調整・決定'!$C$6:$L$29,AU3-1,AU2)=""),0,IF(IFERROR(INDEX('名簿'!$F$5:$F$49,MATCH(INDEX('調整・決定'!$C$6:$L$29,AU3-1,AU2),'名簿'!$G$5:$G$49,0)),"")&lt;&gt;"",1,0))</f>
        <v/>
      </c>
      <c r="AV108">
        <f>IF(OR(AU106=0,INDEX('調整・決定'!$C$6:$L$29,AV3-1,AV2)=""),0,IF(IFERROR(INDEX('名簿'!$F$5:$F$49,MATCH(INDEX('調整・決定'!$C$6:$L$29,AV3-1,AV2),'名簿'!$G$5:$G$49,0)),"")&lt;&gt;"",1,0))</f>
        <v/>
      </c>
      <c r="AW108">
        <f>IF(OR(AV106=0,INDEX('調整・決定'!$C$6:$L$29,AW3-1,AW2)=""),0,IF(IFERROR(INDEX('名簿'!$F$5:$F$49,MATCH(INDEX('調整・決定'!$C$6:$L$29,AW3-1,AW2),'名簿'!$G$5:$G$49,0)),"")&lt;&gt;"",1,0))</f>
        <v/>
      </c>
      <c r="AX108">
        <f>IF(OR(AW106=0,INDEX('調整・決定'!$C$6:$L$29,AX3-1,AX2)=""),0,IF(IFERROR(INDEX('名簿'!$F$5:$F$49,MATCH(INDEX('調整・決定'!$C$6:$L$29,AX3-1,AX2),'名簿'!$G$5:$G$49,0)),"")&lt;&gt;"",1,0))</f>
        <v/>
      </c>
      <c r="AY108">
        <f>IF(OR(AX106=0,INDEX('調整・決定'!$C$6:$L$29,AY3-1,AY2)=""),0,IF(IFERROR(INDEX('名簿'!$F$5:$F$49,MATCH(INDEX('調整・決定'!$C$6:$L$29,AY3-1,AY2),'名簿'!$G$5:$G$49,0)),"")&lt;&gt;"",1,0))</f>
        <v/>
      </c>
      <c r="AZ108" t="n">
        <v>0</v>
      </c>
      <c r="BA108">
        <f>IF(OR(AZ106=0,INDEX('調整・決定'!$C$6:$L$29,BA3-1,BA2)=""),0,IF(IFERROR(INDEX('名簿'!$F$5:$F$49,MATCH(INDEX('調整・決定'!$C$6:$L$29,BA3-1,BA2),'名簿'!$G$5:$G$49,0)),"")&lt;&gt;"",1,0))</f>
        <v/>
      </c>
      <c r="BB108">
        <f>IF(OR(BA106=0,INDEX('調整・決定'!$C$6:$L$29,BB3-1,BB2)=""),0,IF(IFERROR(INDEX('名簿'!$F$5:$F$49,MATCH(INDEX('調整・決定'!$C$6:$L$29,BB3-1,BB2),'名簿'!$G$5:$G$49,0)),"")&lt;&gt;"",1,0))</f>
        <v/>
      </c>
      <c r="BC108">
        <f>IF(OR(BB106=0,INDEX('調整・決定'!$C$6:$L$29,BC3-1,BC2)=""),0,IF(IFERROR(INDEX('名簿'!$F$5:$F$49,MATCH(INDEX('調整・決定'!$C$6:$L$29,BC3-1,BC2),'名簿'!$G$5:$G$49,0)),"")&lt;&gt;"",1,0))</f>
        <v/>
      </c>
      <c r="BD108">
        <f>IF(OR(BC106=0,INDEX('調整・決定'!$C$6:$L$29,BD3-1,BD2)=""),0,IF(IFERROR(INDEX('名簿'!$F$5:$F$49,MATCH(INDEX('調整・決定'!$C$6:$L$29,BD3-1,BD2),'名簿'!$G$5:$G$49,0)),"")&lt;&gt;"",1,0))</f>
        <v/>
      </c>
      <c r="BE108">
        <f>IF(OR(BD106=0,INDEX('調整・決定'!$C$6:$L$29,BE3-1,BE2)=""),0,IF(IFERROR(INDEX('名簿'!$F$5:$F$49,MATCH(INDEX('調整・決定'!$C$6:$L$29,BE3-1,BE2),'名簿'!$G$5:$G$49,0)),"")&lt;&gt;"",1,0))</f>
        <v/>
      </c>
      <c r="BF108">
        <f>IF(OR(BE106=0,INDEX('調整・決定'!$C$6:$L$29,BF3-1,BF2)=""),0,IF(IFERROR(INDEX('名簿'!$F$5:$F$49,MATCH(INDEX('調整・決定'!$C$6:$L$29,BF3-1,BF2),'名簿'!$G$5:$G$49,0)),"")&lt;&gt;"",1,0))</f>
        <v/>
      </c>
      <c r="BG108">
        <f>IF(OR(BF106=0,INDEX('調整・決定'!$C$6:$L$29,BG3-1,BG2)=""),0,IF(IFERROR(INDEX('名簿'!$F$5:$F$49,MATCH(INDEX('調整・決定'!$C$6:$L$29,BG3-1,BG2),'名簿'!$G$5:$G$49,0)),"")&lt;&gt;"",1,0))</f>
        <v/>
      </c>
      <c r="BH108">
        <f>IF(OR(BG106=0,INDEX('調整・決定'!$C$6:$L$29,BH3-1,BH2)=""),0,IF(IFERROR(INDEX('名簿'!$F$5:$F$49,MATCH(INDEX('調整・決定'!$C$6:$L$29,BH3-1,BH2),'名簿'!$G$5:$G$49,0)),"")&lt;&gt;"",1,0))</f>
        <v/>
      </c>
      <c r="BI108">
        <f>IF(OR(BH106=0,INDEX('調整・決定'!$C$6:$L$29,BI3-1,BI2)=""),0,IF(IFERROR(INDEX('名簿'!$F$5:$F$49,MATCH(INDEX('調整・決定'!$C$6:$L$29,BI3-1,BI2),'名簿'!$G$5:$G$49,0)),"")&lt;&gt;"",1,0))</f>
        <v/>
      </c>
      <c r="BJ108">
        <f>IF(OR(BI106=0,INDEX('調整・決定'!$C$6:$L$29,BJ3-1,BJ2)=""),0,IF(IFERROR(INDEX('名簿'!$F$5:$F$49,MATCH(INDEX('調整・決定'!$C$6:$L$29,BJ3-1,BJ2),'名簿'!$G$5:$G$49,0)),"")&lt;&gt;"",1,0))</f>
        <v/>
      </c>
      <c r="BK108">
        <f>IF(OR(BJ106=0,INDEX('調整・決定'!$C$6:$L$29,BK3-1,BK2)=""),0,IF(IFERROR(INDEX('名簿'!$F$5:$F$49,MATCH(INDEX('調整・決定'!$C$6:$L$29,BK3-1,BK2),'名簿'!$G$5:$G$49,0)),"")&lt;&gt;"",1,0))</f>
        <v/>
      </c>
      <c r="BL108">
        <f>IF(OR(BK106=0,INDEX('調整・決定'!$C$6:$L$29,BL3-1,BL2)=""),0,IF(IFERROR(INDEX('名簿'!$F$5:$F$49,MATCH(INDEX('調整・決定'!$C$6:$L$29,BL3-1,BL2),'名簿'!$G$5:$G$49,0)),"")&lt;&gt;"",1,0))</f>
        <v/>
      </c>
      <c r="BM108">
        <f>IF(OR(BL106=0,INDEX('調整・決定'!$C$6:$L$29,BM3-1,BM2)=""),0,IF(IFERROR(INDEX('名簿'!$F$5:$F$49,MATCH(INDEX('調整・決定'!$C$6:$L$29,BM3-1,BM2),'名簿'!$G$5:$G$49,0)),"")&lt;&gt;"",1,0))</f>
        <v/>
      </c>
      <c r="BN108">
        <f>IF(OR(BM106=0,INDEX('調整・決定'!$C$6:$L$29,BN3-1,BN2)=""),0,IF(IFERROR(INDEX('名簿'!$F$5:$F$49,MATCH(INDEX('調整・決定'!$C$6:$L$29,BN3-1,BN2),'名簿'!$G$5:$G$49,0)),"")&lt;&gt;"",1,0))</f>
        <v/>
      </c>
      <c r="BO108">
        <f>IF(OR(BN106=0,INDEX('調整・決定'!$C$6:$L$29,BO3-1,BO2)=""),0,IF(IFERROR(INDEX('名簿'!$F$5:$F$49,MATCH(INDEX('調整・決定'!$C$6:$L$29,BO3-1,BO2),'名簿'!$G$5:$G$49,0)),"")&lt;&gt;"",1,0))</f>
        <v/>
      </c>
      <c r="BP108">
        <f>IF(OR(BO106=0,INDEX('調整・決定'!$C$6:$L$29,BP3-1,BP2)=""),0,IF(IFERROR(INDEX('名簿'!$F$5:$F$49,MATCH(INDEX('調整・決定'!$C$6:$L$29,BP3-1,BP2),'名簿'!$G$5:$G$49,0)),"")&lt;&gt;"",1,0))</f>
        <v/>
      </c>
      <c r="BQ108">
        <f>IF(OR(BP106=0,INDEX('調整・決定'!$C$6:$L$29,BQ3-1,BQ2)=""),0,IF(IFERROR(INDEX('名簿'!$F$5:$F$49,MATCH(INDEX('調整・決定'!$C$6:$L$29,BQ3-1,BQ2),'名簿'!$G$5:$G$49,0)),"")&lt;&gt;"",1,0))</f>
        <v/>
      </c>
      <c r="BR108">
        <f>IF(OR(BQ106=0,INDEX('調整・決定'!$C$6:$L$29,BR3-1,BR2)=""),0,IF(IFERROR(INDEX('名簿'!$F$5:$F$49,MATCH(INDEX('調整・決定'!$C$6:$L$29,BR3-1,BR2),'名簿'!$G$5:$G$49,0)),"")&lt;&gt;"",1,0))</f>
        <v/>
      </c>
      <c r="BS108">
        <f>IF(OR(BR106=0,INDEX('調整・決定'!$C$6:$L$29,BS3-1,BS2)=""),0,IF(IFERROR(INDEX('名簿'!$F$5:$F$49,MATCH(INDEX('調整・決定'!$C$6:$L$29,BS3-1,BS2),'名簿'!$G$5:$G$49,0)),"")&lt;&gt;"",1,0))</f>
        <v/>
      </c>
      <c r="BT108">
        <f>IF(OR(BS106=0,INDEX('調整・決定'!$C$6:$L$29,BT3-1,BT2)=""),0,IF(IFERROR(INDEX('名簿'!$F$5:$F$49,MATCH(INDEX('調整・決定'!$C$6:$L$29,BT3-1,BT2),'名簿'!$G$5:$G$49,0)),"")&lt;&gt;"",1,0))</f>
        <v/>
      </c>
      <c r="BU108">
        <f>IF(OR(BT106=0,INDEX('調整・決定'!$C$6:$L$29,BU3-1,BU2)=""),0,IF(IFERROR(INDEX('名簿'!$F$5:$F$49,MATCH(INDEX('調整・決定'!$C$6:$L$29,BU3-1,BU2),'名簿'!$G$5:$G$49,0)),"")&lt;&gt;"",1,0))</f>
        <v/>
      </c>
      <c r="BV108">
        <f>IF(OR(BU106=0,INDEX('調整・決定'!$C$6:$L$29,BV3-1,BV2)=""),0,IF(IFERROR(INDEX('名簿'!$F$5:$F$49,MATCH(INDEX('調整・決定'!$C$6:$L$29,BV3-1,BV2),'名簿'!$G$5:$G$49,0)),"")&lt;&gt;"",1,0))</f>
        <v/>
      </c>
      <c r="BW108">
        <f>IF(OR(BV106=0,INDEX('調整・決定'!$C$6:$L$29,BW3-1,BW2)=""),0,IF(IFERROR(INDEX('名簿'!$F$5:$F$49,MATCH(INDEX('調整・決定'!$C$6:$L$29,BW3-1,BW2),'名簿'!$G$5:$G$49,0)),"")&lt;&gt;"",1,0))</f>
        <v/>
      </c>
      <c r="BX108" t="n">
        <v>0</v>
      </c>
      <c r="BY108">
        <f>IF(OR(BX106=0,INDEX('調整・決定'!$C$6:$L$29,BY3-1,BY2)=""),0,IF(IFERROR(INDEX('名簿'!$F$5:$F$49,MATCH(INDEX('調整・決定'!$C$6:$L$29,BY3-1,BY2),'名簿'!$G$5:$G$49,0)),"")&lt;&gt;"",1,0))</f>
        <v/>
      </c>
      <c r="BZ108">
        <f>IF(OR(BY106=0,INDEX('調整・決定'!$C$6:$L$29,BZ3-1,BZ2)=""),0,IF(IFERROR(INDEX('名簿'!$F$5:$F$49,MATCH(INDEX('調整・決定'!$C$6:$L$29,BZ3-1,BZ2),'名簿'!$G$5:$G$49,0)),"")&lt;&gt;"",1,0))</f>
        <v/>
      </c>
      <c r="CA108">
        <f>IF(OR(BZ106=0,INDEX('調整・決定'!$C$6:$L$29,CA3-1,CA2)=""),0,IF(IFERROR(INDEX('名簿'!$F$5:$F$49,MATCH(INDEX('調整・決定'!$C$6:$L$29,CA3-1,CA2),'名簿'!$G$5:$G$49,0)),"")&lt;&gt;"",1,0))</f>
        <v/>
      </c>
      <c r="CB108">
        <f>IF(OR(CA106=0,INDEX('調整・決定'!$C$6:$L$29,CB3-1,CB2)=""),0,IF(IFERROR(INDEX('名簿'!$F$5:$F$49,MATCH(INDEX('調整・決定'!$C$6:$L$29,CB3-1,CB2),'名簿'!$G$5:$G$49,0)),"")&lt;&gt;"",1,0))</f>
        <v/>
      </c>
      <c r="CC108">
        <f>IF(OR(CB106=0,INDEX('調整・決定'!$C$6:$L$29,CC3-1,CC2)=""),0,IF(IFERROR(INDEX('名簿'!$F$5:$F$49,MATCH(INDEX('調整・決定'!$C$6:$L$29,CC3-1,CC2),'名簿'!$G$5:$G$49,0)),"")&lt;&gt;"",1,0))</f>
        <v/>
      </c>
      <c r="CD108">
        <f>IF(OR(CC106=0,INDEX('調整・決定'!$C$6:$L$29,CD3-1,CD2)=""),0,IF(IFERROR(INDEX('名簿'!$F$5:$F$49,MATCH(INDEX('調整・決定'!$C$6:$L$29,CD3-1,CD2),'名簿'!$G$5:$G$49,0)),"")&lt;&gt;"",1,0))</f>
        <v/>
      </c>
      <c r="CE108">
        <f>IF(OR(CD106=0,INDEX('調整・決定'!$C$6:$L$29,CE3-1,CE2)=""),0,IF(IFERROR(INDEX('名簿'!$F$5:$F$49,MATCH(INDEX('調整・決定'!$C$6:$L$29,CE3-1,CE2),'名簿'!$G$5:$G$49,0)),"")&lt;&gt;"",1,0))</f>
        <v/>
      </c>
      <c r="CF108">
        <f>IF(OR(CE106=0,INDEX('調整・決定'!$C$6:$L$29,CF3-1,CF2)=""),0,IF(IFERROR(INDEX('名簿'!$F$5:$F$49,MATCH(INDEX('調整・決定'!$C$6:$L$29,CF3-1,CF2),'名簿'!$G$5:$G$49,0)),"")&lt;&gt;"",1,0))</f>
        <v/>
      </c>
      <c r="CG108">
        <f>IF(OR(CF106=0,INDEX('調整・決定'!$C$6:$L$29,CG3-1,CG2)=""),0,IF(IFERROR(INDEX('名簿'!$F$5:$F$49,MATCH(INDEX('調整・決定'!$C$6:$L$29,CG3-1,CG2),'名簿'!$G$5:$G$49,0)),"")&lt;&gt;"",1,0))</f>
        <v/>
      </c>
      <c r="CH108">
        <f>IF(OR(CG106=0,INDEX('調整・決定'!$C$6:$L$29,CH3-1,CH2)=""),0,IF(IFERROR(INDEX('名簿'!$F$5:$F$49,MATCH(INDEX('調整・決定'!$C$6:$L$29,CH3-1,CH2),'名簿'!$G$5:$G$49,0)),"")&lt;&gt;"",1,0))</f>
        <v/>
      </c>
      <c r="CI108">
        <f>IF(OR(CH106=0,INDEX('調整・決定'!$C$6:$L$29,CI3-1,CI2)=""),0,IF(IFERROR(INDEX('名簿'!$F$5:$F$49,MATCH(INDEX('調整・決定'!$C$6:$L$29,CI3-1,CI2),'名簿'!$G$5:$G$49,0)),"")&lt;&gt;"",1,0))</f>
        <v/>
      </c>
      <c r="CJ108">
        <f>IF(OR(CI106=0,INDEX('調整・決定'!$C$6:$L$29,CJ3-1,CJ2)=""),0,IF(IFERROR(INDEX('名簿'!$F$5:$F$49,MATCH(INDEX('調整・決定'!$C$6:$L$29,CJ3-1,CJ2),'名簿'!$G$5:$G$49,0)),"")&lt;&gt;"",1,0))</f>
        <v/>
      </c>
      <c r="CK108">
        <f>IF(OR(CJ106=0,INDEX('調整・決定'!$C$6:$L$29,CK3-1,CK2)=""),0,IF(IFERROR(INDEX('名簿'!$F$5:$F$49,MATCH(INDEX('調整・決定'!$C$6:$L$29,CK3-1,CK2),'名簿'!$G$5:$G$49,0)),"")&lt;&gt;"",1,0))</f>
        <v/>
      </c>
      <c r="CL108">
        <f>IF(OR(CK106=0,INDEX('調整・決定'!$C$6:$L$29,CL3-1,CL2)=""),0,IF(IFERROR(INDEX('名簿'!$F$5:$F$49,MATCH(INDEX('調整・決定'!$C$6:$L$29,CL3-1,CL2),'名簿'!$G$5:$G$49,0)),"")&lt;&gt;"",1,0))</f>
        <v/>
      </c>
      <c r="CM108">
        <f>IF(OR(CL106=0,INDEX('調整・決定'!$C$6:$L$29,CM3-1,CM2)=""),0,IF(IFERROR(INDEX('名簿'!$F$5:$F$49,MATCH(INDEX('調整・決定'!$C$6:$L$29,CM3-1,CM2),'名簿'!$G$5:$G$49,0)),"")&lt;&gt;"",1,0))</f>
        <v/>
      </c>
      <c r="CN108">
        <f>IF(OR(CM106=0,INDEX('調整・決定'!$C$6:$L$29,CN3-1,CN2)=""),0,IF(IFERROR(INDEX('名簿'!$F$5:$F$49,MATCH(INDEX('調整・決定'!$C$6:$L$29,CN3-1,CN2),'名簿'!$G$5:$G$49,0)),"")&lt;&gt;"",1,0))</f>
        <v/>
      </c>
      <c r="CO108">
        <f>IF(OR(CN106=0,INDEX('調整・決定'!$C$6:$L$29,CO3-1,CO2)=""),0,IF(IFERROR(INDEX('名簿'!$F$5:$F$49,MATCH(INDEX('調整・決定'!$C$6:$L$29,CO3-1,CO2),'名簿'!$G$5:$G$49,0)),"")&lt;&gt;"",1,0))</f>
        <v/>
      </c>
      <c r="CP108">
        <f>IF(OR(CO106=0,INDEX('調整・決定'!$C$6:$L$29,CP3-1,CP2)=""),0,IF(IFERROR(INDEX('名簿'!$F$5:$F$49,MATCH(INDEX('調整・決定'!$C$6:$L$29,CP3-1,CP2),'名簿'!$G$5:$G$49,0)),"")&lt;&gt;"",1,0))</f>
        <v/>
      </c>
      <c r="CQ108">
        <f>IF(OR(CP106=0,INDEX('調整・決定'!$C$6:$L$29,CQ3-1,CQ2)=""),0,IF(IFERROR(INDEX('名簿'!$F$5:$F$49,MATCH(INDEX('調整・決定'!$C$6:$L$29,CQ3-1,CQ2),'名簿'!$G$5:$G$49,0)),"")&lt;&gt;"",1,0))</f>
        <v/>
      </c>
      <c r="CR108">
        <f>IF(OR(CQ106=0,INDEX('調整・決定'!$C$6:$L$29,CR3-1,CR2)=""),0,IF(IFERROR(INDEX('名簿'!$F$5:$F$49,MATCH(INDEX('調整・決定'!$C$6:$L$29,CR3-1,CR2),'名簿'!$G$5:$G$49,0)),"")&lt;&gt;"",1,0))</f>
        <v/>
      </c>
      <c r="CS108">
        <f>IF(OR(CR106=0,INDEX('調整・決定'!$C$6:$L$29,CS3-1,CS2)=""),0,IF(IFERROR(INDEX('名簿'!$F$5:$F$49,MATCH(INDEX('調整・決定'!$C$6:$L$29,CS3-1,CS2),'名簿'!$G$5:$G$49,0)),"")&lt;&gt;"",1,0))</f>
        <v/>
      </c>
      <c r="CT108">
        <f>IF(OR(CS106=0,INDEX('調整・決定'!$C$6:$L$29,CT3-1,CT2)=""),0,IF(IFERROR(INDEX('名簿'!$F$5:$F$49,MATCH(INDEX('調整・決定'!$C$6:$L$29,CT3-1,CT2),'名簿'!$G$5:$G$49,0)),"")&lt;&gt;"",1,0))</f>
        <v/>
      </c>
      <c r="CU108">
        <f>IF(OR(CT106=0,INDEX('調整・決定'!$C$6:$L$29,CU3-1,CU2)=""),0,IF(IFERROR(INDEX('名簿'!$F$5:$F$49,MATCH(INDEX('調整・決定'!$C$6:$L$29,CU3-1,CU2),'名簿'!$G$5:$G$49,0)),"")&lt;&gt;"",1,0))</f>
        <v/>
      </c>
      <c r="CV108" t="n">
        <v>0</v>
      </c>
      <c r="CW108">
        <f>IF(OR(CV106=0,INDEX('調整・決定'!$C$6:$L$29,CW3-1,CW2)=""),0,IF(IFERROR(INDEX('名簿'!$F$5:$F$49,MATCH(INDEX('調整・決定'!$C$6:$L$29,CW3-1,CW2),'名簿'!$G$5:$G$49,0)),"")&lt;&gt;"",1,0))</f>
        <v/>
      </c>
      <c r="CX108">
        <f>IF(OR(CW106=0,INDEX('調整・決定'!$C$6:$L$29,CX3-1,CX2)=""),0,IF(IFERROR(INDEX('名簿'!$F$5:$F$49,MATCH(INDEX('調整・決定'!$C$6:$L$29,CX3-1,CX2),'名簿'!$G$5:$G$49,0)),"")&lt;&gt;"",1,0))</f>
        <v/>
      </c>
      <c r="CY108">
        <f>IF(OR(CX106=0,INDEX('調整・決定'!$C$6:$L$29,CY3-1,CY2)=""),0,IF(IFERROR(INDEX('名簿'!$F$5:$F$49,MATCH(INDEX('調整・決定'!$C$6:$L$29,CY3-1,CY2),'名簿'!$G$5:$G$49,0)),"")&lt;&gt;"",1,0))</f>
        <v/>
      </c>
      <c r="CZ108">
        <f>IF(OR(CY106=0,INDEX('調整・決定'!$C$6:$L$29,CZ3-1,CZ2)=""),0,IF(IFERROR(INDEX('名簿'!$F$5:$F$49,MATCH(INDEX('調整・決定'!$C$6:$L$29,CZ3-1,CZ2),'名簿'!$G$5:$G$49,0)),"")&lt;&gt;"",1,0))</f>
        <v/>
      </c>
      <c r="DA108">
        <f>IF(OR(CZ106=0,INDEX('調整・決定'!$C$6:$L$29,DA3-1,DA2)=""),0,IF(IFERROR(INDEX('名簿'!$F$5:$F$49,MATCH(INDEX('調整・決定'!$C$6:$L$29,DA3-1,DA2),'名簿'!$G$5:$G$49,0)),"")&lt;&gt;"",1,0))</f>
        <v/>
      </c>
      <c r="DB108">
        <f>IF(OR(DA106=0,INDEX('調整・決定'!$C$6:$L$29,DB3-1,DB2)=""),0,IF(IFERROR(INDEX('名簿'!$F$5:$F$49,MATCH(INDEX('調整・決定'!$C$6:$L$29,DB3-1,DB2),'名簿'!$G$5:$G$49,0)),"")&lt;&gt;"",1,0))</f>
        <v/>
      </c>
      <c r="DC108">
        <f>IF(OR(DB106=0,INDEX('調整・決定'!$C$6:$L$29,DC3-1,DC2)=""),0,IF(IFERROR(INDEX('名簿'!$F$5:$F$49,MATCH(INDEX('調整・決定'!$C$6:$L$29,DC3-1,DC2),'名簿'!$G$5:$G$49,0)),"")&lt;&gt;"",1,0))</f>
        <v/>
      </c>
      <c r="DD108">
        <f>IF(OR(DC106=0,INDEX('調整・決定'!$C$6:$L$29,DD3-1,DD2)=""),0,IF(IFERROR(INDEX('名簿'!$F$5:$F$49,MATCH(INDEX('調整・決定'!$C$6:$L$29,DD3-1,DD2),'名簿'!$G$5:$G$49,0)),"")&lt;&gt;"",1,0))</f>
        <v/>
      </c>
      <c r="DE108">
        <f>IF(OR(DD106=0,INDEX('調整・決定'!$C$6:$L$29,DE3-1,DE2)=""),0,IF(IFERROR(INDEX('名簿'!$F$5:$F$49,MATCH(INDEX('調整・決定'!$C$6:$L$29,DE3-1,DE2),'名簿'!$G$5:$G$49,0)),"")&lt;&gt;"",1,0))</f>
        <v/>
      </c>
      <c r="DF108">
        <f>IF(OR(DE106=0,INDEX('調整・決定'!$C$6:$L$29,DF3-1,DF2)=""),0,IF(IFERROR(INDEX('名簿'!$F$5:$F$49,MATCH(INDEX('調整・決定'!$C$6:$L$29,DF3-1,DF2),'名簿'!$G$5:$G$49,0)),"")&lt;&gt;"",1,0))</f>
        <v/>
      </c>
      <c r="DG108">
        <f>IF(OR(DF106=0,INDEX('調整・決定'!$C$6:$L$29,DG3-1,DG2)=""),0,IF(IFERROR(INDEX('名簿'!$F$5:$F$49,MATCH(INDEX('調整・決定'!$C$6:$L$29,DG3-1,DG2),'名簿'!$G$5:$G$49,0)),"")&lt;&gt;"",1,0))</f>
        <v/>
      </c>
      <c r="DH108">
        <f>IF(OR(DG106=0,INDEX('調整・決定'!$C$6:$L$29,DH3-1,DH2)=""),0,IF(IFERROR(INDEX('名簿'!$F$5:$F$49,MATCH(INDEX('調整・決定'!$C$6:$L$29,DH3-1,DH2),'名簿'!$G$5:$G$49,0)),"")&lt;&gt;"",1,0))</f>
        <v/>
      </c>
      <c r="DI108">
        <f>IF(OR(DH106=0,INDEX('調整・決定'!$C$6:$L$29,DI3-1,DI2)=""),0,IF(IFERROR(INDEX('名簿'!$F$5:$F$49,MATCH(INDEX('調整・決定'!$C$6:$L$29,DI3-1,DI2),'名簿'!$G$5:$G$49,0)),"")&lt;&gt;"",1,0))</f>
        <v/>
      </c>
      <c r="DJ108">
        <f>IF(OR(DI106=0,INDEX('調整・決定'!$C$6:$L$29,DJ3-1,DJ2)=""),0,IF(IFERROR(INDEX('名簿'!$F$5:$F$49,MATCH(INDEX('調整・決定'!$C$6:$L$29,DJ3-1,DJ2),'名簿'!$G$5:$G$49,0)),"")&lt;&gt;"",1,0))</f>
        <v/>
      </c>
      <c r="DK108">
        <f>IF(OR(DJ106=0,INDEX('調整・決定'!$C$6:$L$29,DK3-1,DK2)=""),0,IF(IFERROR(INDEX('名簿'!$F$5:$F$49,MATCH(INDEX('調整・決定'!$C$6:$L$29,DK3-1,DK2),'名簿'!$G$5:$G$49,0)),"")&lt;&gt;"",1,0))</f>
        <v/>
      </c>
      <c r="DL108">
        <f>IF(OR(DK106=0,INDEX('調整・決定'!$C$6:$L$29,DL3-1,DL2)=""),0,IF(IFERROR(INDEX('名簿'!$F$5:$F$49,MATCH(INDEX('調整・決定'!$C$6:$L$29,DL3-1,DL2),'名簿'!$G$5:$G$49,0)),"")&lt;&gt;"",1,0))</f>
        <v/>
      </c>
      <c r="DM108">
        <f>IF(OR(DL106=0,INDEX('調整・決定'!$C$6:$L$29,DM3-1,DM2)=""),0,IF(IFERROR(INDEX('名簿'!$F$5:$F$49,MATCH(INDEX('調整・決定'!$C$6:$L$29,DM3-1,DM2),'名簿'!$G$5:$G$49,0)),"")&lt;&gt;"",1,0))</f>
        <v/>
      </c>
      <c r="DN108">
        <f>IF(OR(DM106=0,INDEX('調整・決定'!$C$6:$L$29,DN3-1,DN2)=""),0,IF(IFERROR(INDEX('名簿'!$F$5:$F$49,MATCH(INDEX('調整・決定'!$C$6:$L$29,DN3-1,DN2),'名簿'!$G$5:$G$49,0)),"")&lt;&gt;"",1,0))</f>
        <v/>
      </c>
      <c r="DO108">
        <f>IF(OR(DN106=0,INDEX('調整・決定'!$C$6:$L$29,DO3-1,DO2)=""),0,IF(IFERROR(INDEX('名簿'!$F$5:$F$49,MATCH(INDEX('調整・決定'!$C$6:$L$29,DO3-1,DO2),'名簿'!$G$5:$G$49,0)),"")&lt;&gt;"",1,0))</f>
        <v/>
      </c>
      <c r="DP108">
        <f>IF(OR(DO106=0,INDEX('調整・決定'!$C$6:$L$29,DP3-1,DP2)=""),0,IF(IFERROR(INDEX('名簿'!$F$5:$F$49,MATCH(INDEX('調整・決定'!$C$6:$L$29,DP3-1,DP2),'名簿'!$G$5:$G$49,0)),"")&lt;&gt;"",1,0))</f>
        <v/>
      </c>
      <c r="DQ108">
        <f>IF(OR(DP106=0,INDEX('調整・決定'!$C$6:$L$29,DQ3-1,DQ2)=""),0,IF(IFERROR(INDEX('名簿'!$F$5:$F$49,MATCH(INDEX('調整・決定'!$C$6:$L$29,DQ3-1,DQ2),'名簿'!$G$5:$G$49,0)),"")&lt;&gt;"",1,0))</f>
        <v/>
      </c>
      <c r="DR108">
        <f>IF(OR(DQ106=0,INDEX('調整・決定'!$C$6:$L$29,DR3-1,DR2)=""),0,IF(IFERROR(INDEX('名簿'!$F$5:$F$49,MATCH(INDEX('調整・決定'!$C$6:$L$29,DR3-1,DR2),'名簿'!$G$5:$G$49,0)),"")&lt;&gt;"",1,0))</f>
        <v/>
      </c>
      <c r="DS108">
        <f>IF(OR(DR106=0,INDEX('調整・決定'!$C$6:$L$29,DS3-1,DS2)=""),0,IF(IFERROR(INDEX('名簿'!$F$5:$F$49,MATCH(INDEX('調整・決定'!$C$6:$L$29,DS3-1,DS2),'名簿'!$G$5:$G$49,0)),"")&lt;&gt;"",1,0))</f>
        <v/>
      </c>
      <c r="DT108" t="n">
        <v>0</v>
      </c>
      <c r="DU108">
        <f>IF(OR(DT106=0,INDEX('調整・決定'!$C$6:$L$29,DU3-1,DU2)=""),0,IF(IFERROR(INDEX('名簿'!$F$5:$F$49,MATCH(INDEX('調整・決定'!$C$6:$L$29,DU3-1,DU2),'名簿'!$G$5:$G$49,0)),"")&lt;&gt;"",1,0))</f>
        <v/>
      </c>
      <c r="DV108">
        <f>IF(OR(DU106=0,INDEX('調整・決定'!$C$6:$L$29,DV3-1,DV2)=""),0,IF(IFERROR(INDEX('名簿'!$F$5:$F$49,MATCH(INDEX('調整・決定'!$C$6:$L$29,DV3-1,DV2),'名簿'!$G$5:$G$49,0)),"")&lt;&gt;"",1,0))</f>
        <v/>
      </c>
      <c r="DW108">
        <f>IF(OR(DV106=0,INDEX('調整・決定'!$C$6:$L$29,DW3-1,DW2)=""),0,IF(IFERROR(INDEX('名簿'!$F$5:$F$49,MATCH(INDEX('調整・決定'!$C$6:$L$29,DW3-1,DW2),'名簿'!$G$5:$G$49,0)),"")&lt;&gt;"",1,0))</f>
        <v/>
      </c>
      <c r="DX108">
        <f>IF(OR(DW106=0,INDEX('調整・決定'!$C$6:$L$29,DX3-1,DX2)=""),0,IF(IFERROR(INDEX('名簿'!$F$5:$F$49,MATCH(INDEX('調整・決定'!$C$6:$L$29,DX3-1,DX2),'名簿'!$G$5:$G$49,0)),"")&lt;&gt;"",1,0))</f>
        <v/>
      </c>
      <c r="DY108">
        <f>IF(OR(DX106=0,INDEX('調整・決定'!$C$6:$L$29,DY3-1,DY2)=""),0,IF(IFERROR(INDEX('名簿'!$F$5:$F$49,MATCH(INDEX('調整・決定'!$C$6:$L$29,DY3-1,DY2),'名簿'!$G$5:$G$49,0)),"")&lt;&gt;"",1,0))</f>
        <v/>
      </c>
      <c r="DZ108">
        <f>IF(OR(DY106=0,INDEX('調整・決定'!$C$6:$L$29,DZ3-1,DZ2)=""),0,IF(IFERROR(INDEX('名簿'!$F$5:$F$49,MATCH(INDEX('調整・決定'!$C$6:$L$29,DZ3-1,DZ2),'名簿'!$G$5:$G$49,0)),"")&lt;&gt;"",1,0))</f>
        <v/>
      </c>
      <c r="EA108">
        <f>IF(OR(DZ106=0,INDEX('調整・決定'!$C$6:$L$29,EA3-1,EA2)=""),0,IF(IFERROR(INDEX('名簿'!$F$5:$F$49,MATCH(INDEX('調整・決定'!$C$6:$L$29,EA3-1,EA2),'名簿'!$G$5:$G$49,0)),"")&lt;&gt;"",1,0))</f>
        <v/>
      </c>
      <c r="EB108">
        <f>IF(OR(EA106=0,INDEX('調整・決定'!$C$6:$L$29,EB3-1,EB2)=""),0,IF(IFERROR(INDEX('名簿'!$F$5:$F$49,MATCH(INDEX('調整・決定'!$C$6:$L$29,EB3-1,EB2),'名簿'!$G$5:$G$49,0)),"")&lt;&gt;"",1,0))</f>
        <v/>
      </c>
      <c r="EC108">
        <f>IF(OR(EB106=0,INDEX('調整・決定'!$C$6:$L$29,EC3-1,EC2)=""),0,IF(IFERROR(INDEX('名簿'!$F$5:$F$49,MATCH(INDEX('調整・決定'!$C$6:$L$29,EC3-1,EC2),'名簿'!$G$5:$G$49,0)),"")&lt;&gt;"",1,0))</f>
        <v/>
      </c>
      <c r="ED108">
        <f>IF(OR(EC106=0,INDEX('調整・決定'!$C$6:$L$29,ED3-1,ED2)=""),0,IF(IFERROR(INDEX('名簿'!$F$5:$F$49,MATCH(INDEX('調整・決定'!$C$6:$L$29,ED3-1,ED2),'名簿'!$G$5:$G$49,0)),"")&lt;&gt;"",1,0))</f>
        <v/>
      </c>
      <c r="EE108">
        <f>IF(OR(ED106=0,INDEX('調整・決定'!$C$6:$L$29,EE3-1,EE2)=""),0,IF(IFERROR(INDEX('名簿'!$F$5:$F$49,MATCH(INDEX('調整・決定'!$C$6:$L$29,EE3-1,EE2),'名簿'!$G$5:$G$49,0)),"")&lt;&gt;"",1,0))</f>
        <v/>
      </c>
      <c r="EF108">
        <f>IF(OR(EE106=0,INDEX('調整・決定'!$C$6:$L$29,EF3-1,EF2)=""),0,IF(IFERROR(INDEX('名簿'!$F$5:$F$49,MATCH(INDEX('調整・決定'!$C$6:$L$29,EF3-1,EF2),'名簿'!$G$5:$G$49,0)),"")&lt;&gt;"",1,0))</f>
        <v/>
      </c>
      <c r="EG108">
        <f>IF(OR(EF106=0,INDEX('調整・決定'!$C$6:$L$29,EG3-1,EG2)=""),0,IF(IFERROR(INDEX('名簿'!$F$5:$F$49,MATCH(INDEX('調整・決定'!$C$6:$L$29,EG3-1,EG2),'名簿'!$G$5:$G$49,0)),"")&lt;&gt;"",1,0))</f>
        <v/>
      </c>
      <c r="EH108">
        <f>IF(OR(EG106=0,INDEX('調整・決定'!$C$6:$L$29,EH3-1,EH2)=""),0,IF(IFERROR(INDEX('名簿'!$F$5:$F$49,MATCH(INDEX('調整・決定'!$C$6:$L$29,EH3-1,EH2),'名簿'!$G$5:$G$49,0)),"")&lt;&gt;"",1,0))</f>
        <v/>
      </c>
      <c r="EI108">
        <f>IF(OR(EH106=0,INDEX('調整・決定'!$C$6:$L$29,EI3-1,EI2)=""),0,IF(IFERROR(INDEX('名簿'!$F$5:$F$49,MATCH(INDEX('調整・決定'!$C$6:$L$29,EI3-1,EI2),'名簿'!$G$5:$G$49,0)),"")&lt;&gt;"",1,0))</f>
        <v/>
      </c>
      <c r="EJ108">
        <f>IF(OR(EI106=0,INDEX('調整・決定'!$C$6:$L$29,EJ3-1,EJ2)=""),0,IF(IFERROR(INDEX('名簿'!$F$5:$F$49,MATCH(INDEX('調整・決定'!$C$6:$L$29,EJ3-1,EJ2),'名簿'!$G$5:$G$49,0)),"")&lt;&gt;"",1,0))</f>
        <v/>
      </c>
      <c r="EK108">
        <f>IF(OR(EJ106=0,INDEX('調整・決定'!$C$6:$L$29,EK3-1,EK2)=""),0,IF(IFERROR(INDEX('名簿'!$F$5:$F$49,MATCH(INDEX('調整・決定'!$C$6:$L$29,EK3-1,EK2),'名簿'!$G$5:$G$49,0)),"")&lt;&gt;"",1,0))</f>
        <v/>
      </c>
      <c r="EL108">
        <f>IF(OR(EK106=0,INDEX('調整・決定'!$C$6:$L$29,EL3-1,EL2)=""),0,IF(IFERROR(INDEX('名簿'!$F$5:$F$49,MATCH(INDEX('調整・決定'!$C$6:$L$29,EL3-1,EL2),'名簿'!$G$5:$G$49,0)),"")&lt;&gt;"",1,0))</f>
        <v/>
      </c>
      <c r="EM108">
        <f>IF(OR(EL106=0,INDEX('調整・決定'!$C$6:$L$29,EM3-1,EM2)=""),0,IF(IFERROR(INDEX('名簿'!$F$5:$F$49,MATCH(INDEX('調整・決定'!$C$6:$L$29,EM3-1,EM2),'名簿'!$G$5:$G$49,0)),"")&lt;&gt;"",1,0))</f>
        <v/>
      </c>
      <c r="EN108">
        <f>IF(OR(EM106=0,INDEX('調整・決定'!$C$6:$L$29,EN3-1,EN2)=""),0,IF(IFERROR(INDEX('名簿'!$F$5:$F$49,MATCH(INDEX('調整・決定'!$C$6:$L$29,EN3-1,EN2),'名簿'!$G$5:$G$49,0)),"")&lt;&gt;"",1,0))</f>
        <v/>
      </c>
      <c r="EO108">
        <f>IF(OR(EN106=0,INDEX('調整・決定'!$C$6:$L$29,EO3-1,EO2)=""),0,IF(IFERROR(INDEX('名簿'!$F$5:$F$49,MATCH(INDEX('調整・決定'!$C$6:$L$29,EO3-1,EO2),'名簿'!$G$5:$G$49,0)),"")&lt;&gt;"",1,0))</f>
        <v/>
      </c>
      <c r="EP108">
        <f>IF(OR(EO106=0,INDEX('調整・決定'!$C$6:$L$29,EP3-1,EP2)=""),0,IF(IFERROR(INDEX('名簿'!$F$5:$F$49,MATCH(INDEX('調整・決定'!$C$6:$L$29,EP3-1,EP2),'名簿'!$G$5:$G$49,0)),"")&lt;&gt;"",1,0))</f>
        <v/>
      </c>
      <c r="EQ108">
        <f>IF(OR(EP106=0,INDEX('調整・決定'!$C$6:$L$29,EQ3-1,EQ2)=""),0,IF(IFERROR(INDEX('名簿'!$F$5:$F$49,MATCH(INDEX('調整・決定'!$C$6:$L$29,EQ3-1,EQ2),'名簿'!$G$5:$G$49,0)),"")&lt;&gt;"",1,0))</f>
        <v/>
      </c>
      <c r="ER108" t="n">
        <v>0</v>
      </c>
      <c r="ES108">
        <f>IF(OR(ER106=0,INDEX('調整・決定'!$C$6:$L$29,ES3-1,ES2)=""),0,IF(IFERROR(INDEX('名簿'!$F$5:$F$49,MATCH(INDEX('調整・決定'!$C$6:$L$29,ES3-1,ES2),'名簿'!$G$5:$G$49,0)),"")&lt;&gt;"",1,0))</f>
        <v/>
      </c>
      <c r="ET108">
        <f>IF(OR(ES106=0,INDEX('調整・決定'!$C$6:$L$29,ET3-1,ET2)=""),0,IF(IFERROR(INDEX('名簿'!$F$5:$F$49,MATCH(INDEX('調整・決定'!$C$6:$L$29,ET3-1,ET2),'名簿'!$G$5:$G$49,0)),"")&lt;&gt;"",1,0))</f>
        <v/>
      </c>
      <c r="EU108">
        <f>IF(OR(ET106=0,INDEX('調整・決定'!$C$6:$L$29,EU3-1,EU2)=""),0,IF(IFERROR(INDEX('名簿'!$F$5:$F$49,MATCH(INDEX('調整・決定'!$C$6:$L$29,EU3-1,EU2),'名簿'!$G$5:$G$49,0)),"")&lt;&gt;"",1,0))</f>
        <v/>
      </c>
      <c r="EV108">
        <f>IF(OR(EU106=0,INDEX('調整・決定'!$C$6:$L$29,EV3-1,EV2)=""),0,IF(IFERROR(INDEX('名簿'!$F$5:$F$49,MATCH(INDEX('調整・決定'!$C$6:$L$29,EV3-1,EV2),'名簿'!$G$5:$G$49,0)),"")&lt;&gt;"",1,0))</f>
        <v/>
      </c>
      <c r="EW108">
        <f>IF(OR(EV106=0,INDEX('調整・決定'!$C$6:$L$29,EW3-1,EW2)=""),0,IF(IFERROR(INDEX('名簿'!$F$5:$F$49,MATCH(INDEX('調整・決定'!$C$6:$L$29,EW3-1,EW2),'名簿'!$G$5:$G$49,0)),"")&lt;&gt;"",1,0))</f>
        <v/>
      </c>
      <c r="EX108">
        <f>IF(OR(EW106=0,INDEX('調整・決定'!$C$6:$L$29,EX3-1,EX2)=""),0,IF(IFERROR(INDEX('名簿'!$F$5:$F$49,MATCH(INDEX('調整・決定'!$C$6:$L$29,EX3-1,EX2),'名簿'!$G$5:$G$49,0)),"")&lt;&gt;"",1,0))</f>
        <v/>
      </c>
      <c r="EY108">
        <f>IF(OR(EX106=0,INDEX('調整・決定'!$C$6:$L$29,EY3-1,EY2)=""),0,IF(IFERROR(INDEX('名簿'!$F$5:$F$49,MATCH(INDEX('調整・決定'!$C$6:$L$29,EY3-1,EY2),'名簿'!$G$5:$G$49,0)),"")&lt;&gt;"",1,0))</f>
        <v/>
      </c>
      <c r="EZ108">
        <f>IF(OR(EY106=0,INDEX('調整・決定'!$C$6:$L$29,EZ3-1,EZ2)=""),0,IF(IFERROR(INDEX('名簿'!$F$5:$F$49,MATCH(INDEX('調整・決定'!$C$6:$L$29,EZ3-1,EZ2),'名簿'!$G$5:$G$49,0)),"")&lt;&gt;"",1,0))</f>
        <v/>
      </c>
      <c r="FA108">
        <f>IF(OR(EZ106=0,INDEX('調整・決定'!$C$6:$L$29,FA3-1,FA2)=""),0,IF(IFERROR(INDEX('名簿'!$F$5:$F$49,MATCH(INDEX('調整・決定'!$C$6:$L$29,FA3-1,FA2),'名簿'!$G$5:$G$49,0)),"")&lt;&gt;"",1,0))</f>
        <v/>
      </c>
      <c r="FB108">
        <f>IF(OR(FA106=0,INDEX('調整・決定'!$C$6:$L$29,FB3-1,FB2)=""),0,IF(IFERROR(INDEX('名簿'!$F$5:$F$49,MATCH(INDEX('調整・決定'!$C$6:$L$29,FB3-1,FB2),'名簿'!$G$5:$G$49,0)),"")&lt;&gt;"",1,0))</f>
        <v/>
      </c>
      <c r="FC108">
        <f>IF(OR(FB106=0,INDEX('調整・決定'!$C$6:$L$29,FC3-1,FC2)=""),0,IF(IFERROR(INDEX('名簿'!$F$5:$F$49,MATCH(INDEX('調整・決定'!$C$6:$L$29,FC3-1,FC2),'名簿'!$G$5:$G$49,0)),"")&lt;&gt;"",1,0))</f>
        <v/>
      </c>
      <c r="FD108">
        <f>IF(OR(FC106=0,INDEX('調整・決定'!$C$6:$L$29,FD3-1,FD2)=""),0,IF(IFERROR(INDEX('名簿'!$F$5:$F$49,MATCH(INDEX('調整・決定'!$C$6:$L$29,FD3-1,FD2),'名簿'!$G$5:$G$49,0)),"")&lt;&gt;"",1,0))</f>
        <v/>
      </c>
      <c r="FE108">
        <f>IF(OR(FD106=0,INDEX('調整・決定'!$C$6:$L$29,FE3-1,FE2)=""),0,IF(IFERROR(INDEX('名簿'!$F$5:$F$49,MATCH(INDEX('調整・決定'!$C$6:$L$29,FE3-1,FE2),'名簿'!$G$5:$G$49,0)),"")&lt;&gt;"",1,0))</f>
        <v/>
      </c>
      <c r="FF108">
        <f>IF(OR(FE106=0,INDEX('調整・決定'!$C$6:$L$29,FF3-1,FF2)=""),0,IF(IFERROR(INDEX('名簿'!$F$5:$F$49,MATCH(INDEX('調整・決定'!$C$6:$L$29,FF3-1,FF2),'名簿'!$G$5:$G$49,0)),"")&lt;&gt;"",1,0))</f>
        <v/>
      </c>
      <c r="FG108">
        <f>IF(OR(FF106=0,INDEX('調整・決定'!$C$6:$L$29,FG3-1,FG2)=""),0,IF(IFERROR(INDEX('名簿'!$F$5:$F$49,MATCH(INDEX('調整・決定'!$C$6:$L$29,FG3-1,FG2),'名簿'!$G$5:$G$49,0)),"")&lt;&gt;"",1,0))</f>
        <v/>
      </c>
      <c r="FH108">
        <f>IF(OR(FG106=0,INDEX('調整・決定'!$C$6:$L$29,FH3-1,FH2)=""),0,IF(IFERROR(INDEX('名簿'!$F$5:$F$49,MATCH(INDEX('調整・決定'!$C$6:$L$29,FH3-1,FH2),'名簿'!$G$5:$G$49,0)),"")&lt;&gt;"",1,0))</f>
        <v/>
      </c>
      <c r="FI108">
        <f>IF(OR(FH106=0,INDEX('調整・決定'!$C$6:$L$29,FI3-1,FI2)=""),0,IF(IFERROR(INDEX('名簿'!$F$5:$F$49,MATCH(INDEX('調整・決定'!$C$6:$L$29,FI3-1,FI2),'名簿'!$G$5:$G$49,0)),"")&lt;&gt;"",1,0))</f>
        <v/>
      </c>
      <c r="FJ108">
        <f>IF(OR(FI106=0,INDEX('調整・決定'!$C$6:$L$29,FJ3-1,FJ2)=""),0,IF(IFERROR(INDEX('名簿'!$F$5:$F$49,MATCH(INDEX('調整・決定'!$C$6:$L$29,FJ3-1,FJ2),'名簿'!$G$5:$G$49,0)),"")&lt;&gt;"",1,0))</f>
        <v/>
      </c>
      <c r="FK108">
        <f>IF(OR(FJ106=0,INDEX('調整・決定'!$C$6:$L$29,FK3-1,FK2)=""),0,IF(IFERROR(INDEX('名簿'!$F$5:$F$49,MATCH(INDEX('調整・決定'!$C$6:$L$29,FK3-1,FK2),'名簿'!$G$5:$G$49,0)),"")&lt;&gt;"",1,0))</f>
        <v/>
      </c>
      <c r="FL108">
        <f>IF(OR(FK106=0,INDEX('調整・決定'!$C$6:$L$29,FL3-1,FL2)=""),0,IF(IFERROR(INDEX('名簿'!$F$5:$F$49,MATCH(INDEX('調整・決定'!$C$6:$L$29,FL3-1,FL2),'名簿'!$G$5:$G$49,0)),"")&lt;&gt;"",1,0))</f>
        <v/>
      </c>
      <c r="FM108">
        <f>IF(OR(FL106=0,INDEX('調整・決定'!$C$6:$L$29,FM3-1,FM2)=""),0,IF(IFERROR(INDEX('名簿'!$F$5:$F$49,MATCH(INDEX('調整・決定'!$C$6:$L$29,FM3-1,FM2),'名簿'!$G$5:$G$49,0)),"")&lt;&gt;"",1,0))</f>
        <v/>
      </c>
      <c r="FN108">
        <f>IF(OR(FM106=0,INDEX('調整・決定'!$C$6:$L$29,FN3-1,FN2)=""),0,IF(IFERROR(INDEX('名簿'!$F$5:$F$49,MATCH(INDEX('調整・決定'!$C$6:$L$29,FN3-1,FN2),'名簿'!$G$5:$G$49,0)),"")&lt;&gt;"",1,0))</f>
        <v/>
      </c>
      <c r="FO108">
        <f>IF(OR(FN106=0,INDEX('調整・決定'!$C$6:$L$29,FO3-1,FO2)=""),0,IF(IFERROR(INDEX('名簿'!$F$5:$F$49,MATCH(INDEX('調整・決定'!$C$6:$L$29,FO3-1,FO2),'名簿'!$G$5:$G$49,0)),"")&lt;&gt;"",1,0))</f>
        <v/>
      </c>
      <c r="FP108" t="n">
        <v>0</v>
      </c>
      <c r="FQ108">
        <f>IF(OR(FP106=0,INDEX('調整・決定'!$C$6:$L$29,FQ3-1,FQ2)=""),0,IF(IFERROR(INDEX('名簿'!$F$5:$F$49,MATCH(INDEX('調整・決定'!$C$6:$L$29,FQ3-1,FQ2),'名簿'!$G$5:$G$49,0)),"")&lt;&gt;"",1,0))</f>
        <v/>
      </c>
      <c r="FR108">
        <f>IF(OR(FQ106=0,INDEX('調整・決定'!$C$6:$L$29,FR3-1,FR2)=""),0,IF(IFERROR(INDEX('名簿'!$F$5:$F$49,MATCH(INDEX('調整・決定'!$C$6:$L$29,FR3-1,FR2),'名簿'!$G$5:$G$49,0)),"")&lt;&gt;"",1,0))</f>
        <v/>
      </c>
      <c r="FS108">
        <f>IF(OR(FR106=0,INDEX('調整・決定'!$C$6:$L$29,FS3-1,FS2)=""),0,IF(IFERROR(INDEX('名簿'!$F$5:$F$49,MATCH(INDEX('調整・決定'!$C$6:$L$29,FS3-1,FS2),'名簿'!$G$5:$G$49,0)),"")&lt;&gt;"",1,0))</f>
        <v/>
      </c>
      <c r="FT108">
        <f>IF(OR(FS106=0,INDEX('調整・決定'!$C$6:$L$29,FT3-1,FT2)=""),0,IF(IFERROR(INDEX('名簿'!$F$5:$F$49,MATCH(INDEX('調整・決定'!$C$6:$L$29,FT3-1,FT2),'名簿'!$G$5:$G$49,0)),"")&lt;&gt;"",1,0))</f>
        <v/>
      </c>
      <c r="FU108">
        <f>IF(OR(FT106=0,INDEX('調整・決定'!$C$6:$L$29,FU3-1,FU2)=""),0,IF(IFERROR(INDEX('名簿'!$F$5:$F$49,MATCH(INDEX('調整・決定'!$C$6:$L$29,FU3-1,FU2),'名簿'!$G$5:$G$49,0)),"")&lt;&gt;"",1,0))</f>
        <v/>
      </c>
      <c r="FV108">
        <f>IF(OR(FU106=0,INDEX('調整・決定'!$C$6:$L$29,FV3-1,FV2)=""),0,IF(IFERROR(INDEX('名簿'!$F$5:$F$49,MATCH(INDEX('調整・決定'!$C$6:$L$29,FV3-1,FV2),'名簿'!$G$5:$G$49,0)),"")&lt;&gt;"",1,0))</f>
        <v/>
      </c>
      <c r="FW108">
        <f>IF(OR(FV106=0,INDEX('調整・決定'!$C$6:$L$29,FW3-1,FW2)=""),0,IF(IFERROR(INDEX('名簿'!$F$5:$F$49,MATCH(INDEX('調整・決定'!$C$6:$L$29,FW3-1,FW2),'名簿'!$G$5:$G$49,0)),"")&lt;&gt;"",1,0))</f>
        <v/>
      </c>
      <c r="FX108">
        <f>IF(OR(FW106=0,INDEX('調整・決定'!$C$6:$L$29,FX3-1,FX2)=""),0,IF(IFERROR(INDEX('名簿'!$F$5:$F$49,MATCH(INDEX('調整・決定'!$C$6:$L$29,FX3-1,FX2),'名簿'!$G$5:$G$49,0)),"")&lt;&gt;"",1,0))</f>
        <v/>
      </c>
      <c r="FY108">
        <f>IF(OR(FX106=0,INDEX('調整・決定'!$C$6:$L$29,FY3-1,FY2)=""),0,IF(IFERROR(INDEX('名簿'!$F$5:$F$49,MATCH(INDEX('調整・決定'!$C$6:$L$29,FY3-1,FY2),'名簿'!$G$5:$G$49,0)),"")&lt;&gt;"",1,0))</f>
        <v/>
      </c>
      <c r="FZ108">
        <f>IF(OR(FY106=0,INDEX('調整・決定'!$C$6:$L$29,FZ3-1,FZ2)=""),0,IF(IFERROR(INDEX('名簿'!$F$5:$F$49,MATCH(INDEX('調整・決定'!$C$6:$L$29,FZ3-1,FZ2),'名簿'!$G$5:$G$49,0)),"")&lt;&gt;"",1,0))</f>
        <v/>
      </c>
      <c r="GA108">
        <f>IF(OR(FZ106=0,INDEX('調整・決定'!$C$6:$L$29,GA3-1,GA2)=""),0,IF(IFERROR(INDEX('名簿'!$F$5:$F$49,MATCH(INDEX('調整・決定'!$C$6:$L$29,GA3-1,GA2),'名簿'!$G$5:$G$49,0)),"")&lt;&gt;"",1,0))</f>
        <v/>
      </c>
      <c r="GB108">
        <f>IF(OR(GA106=0,INDEX('調整・決定'!$C$6:$L$29,GB3-1,GB2)=""),0,IF(IFERROR(INDEX('名簿'!$F$5:$F$49,MATCH(INDEX('調整・決定'!$C$6:$L$29,GB3-1,GB2),'名簿'!$G$5:$G$49,0)),"")&lt;&gt;"",1,0))</f>
        <v/>
      </c>
      <c r="GC108">
        <f>IF(OR(GB106=0,INDEX('調整・決定'!$C$6:$L$29,GC3-1,GC2)=""),0,IF(IFERROR(INDEX('名簿'!$F$5:$F$49,MATCH(INDEX('調整・決定'!$C$6:$L$29,GC3-1,GC2),'名簿'!$G$5:$G$49,0)),"")&lt;&gt;"",1,0))</f>
        <v/>
      </c>
      <c r="GD108">
        <f>IF(OR(GC106=0,INDEX('調整・決定'!$C$6:$L$29,GD3-1,GD2)=""),0,IF(IFERROR(INDEX('名簿'!$F$5:$F$49,MATCH(INDEX('調整・決定'!$C$6:$L$29,GD3-1,GD2),'名簿'!$G$5:$G$49,0)),"")&lt;&gt;"",1,0))</f>
        <v/>
      </c>
      <c r="GE108">
        <f>IF(OR(GD106=0,INDEX('調整・決定'!$C$6:$L$29,GE3-1,GE2)=""),0,IF(IFERROR(INDEX('名簿'!$F$5:$F$49,MATCH(INDEX('調整・決定'!$C$6:$L$29,GE3-1,GE2),'名簿'!$G$5:$G$49,0)),"")&lt;&gt;"",1,0))</f>
        <v/>
      </c>
      <c r="GF108">
        <f>IF(OR(GE106=0,INDEX('調整・決定'!$C$6:$L$29,GF3-1,GF2)=""),0,IF(IFERROR(INDEX('名簿'!$F$5:$F$49,MATCH(INDEX('調整・決定'!$C$6:$L$29,GF3-1,GF2),'名簿'!$G$5:$G$49,0)),"")&lt;&gt;"",1,0))</f>
        <v/>
      </c>
      <c r="GG108">
        <f>IF(OR(GF106=0,INDEX('調整・決定'!$C$6:$L$29,GG3-1,GG2)=""),0,IF(IFERROR(INDEX('名簿'!$F$5:$F$49,MATCH(INDEX('調整・決定'!$C$6:$L$29,GG3-1,GG2),'名簿'!$G$5:$G$49,0)),"")&lt;&gt;"",1,0))</f>
        <v/>
      </c>
      <c r="GH108">
        <f>IF(OR(GG106=0,INDEX('調整・決定'!$C$6:$L$29,GH3-1,GH2)=""),0,IF(IFERROR(INDEX('名簿'!$F$5:$F$49,MATCH(INDEX('調整・決定'!$C$6:$L$29,GH3-1,GH2),'名簿'!$G$5:$G$49,0)),"")&lt;&gt;"",1,0))</f>
        <v/>
      </c>
      <c r="GI108">
        <f>IF(OR(GH106=0,INDEX('調整・決定'!$C$6:$L$29,GI3-1,GI2)=""),0,IF(IFERROR(INDEX('名簿'!$F$5:$F$49,MATCH(INDEX('調整・決定'!$C$6:$L$29,GI3-1,GI2),'名簿'!$G$5:$G$49,0)),"")&lt;&gt;"",1,0))</f>
        <v/>
      </c>
      <c r="GJ108">
        <f>IF(OR(GI106=0,INDEX('調整・決定'!$C$6:$L$29,GJ3-1,GJ2)=""),0,IF(IFERROR(INDEX('名簿'!$F$5:$F$49,MATCH(INDEX('調整・決定'!$C$6:$L$29,GJ3-1,GJ2),'名簿'!$G$5:$G$49,0)),"")&lt;&gt;"",1,0))</f>
        <v/>
      </c>
      <c r="GK108">
        <f>IF(OR(GJ106=0,INDEX('調整・決定'!$C$6:$L$29,GK3-1,GK2)=""),0,IF(IFERROR(INDEX('名簿'!$F$5:$F$49,MATCH(INDEX('調整・決定'!$C$6:$L$29,GK3-1,GK2),'名簿'!$G$5:$G$49,0)),"")&lt;&gt;"",1,0))</f>
        <v/>
      </c>
      <c r="GL108">
        <f>IF(OR(GK106=0,INDEX('調整・決定'!$C$6:$L$29,GL3-1,GL2)=""),0,IF(IFERROR(INDEX('名簿'!$F$5:$F$49,MATCH(INDEX('調整・決定'!$C$6:$L$29,GL3-1,GL2),'名簿'!$G$5:$G$49,0)),"")&lt;&gt;"",1,0))</f>
        <v/>
      </c>
      <c r="GM108">
        <f>IF(OR(GL106=0,INDEX('調整・決定'!$C$6:$L$29,GM3-1,GM2)=""),0,IF(IFERROR(INDEX('名簿'!$F$5:$F$49,MATCH(INDEX('調整・決定'!$C$6:$L$29,GM3-1,GM2),'名簿'!$G$5:$G$49,0)),"")&lt;&gt;"",1,0))</f>
        <v/>
      </c>
      <c r="GN108" t="n">
        <v>0</v>
      </c>
      <c r="GO108">
        <f>IF(OR(GN106=0,INDEX('調整・決定'!$C$6:$L$29,GO3-1,GO2)=""),0,IF(IFERROR(INDEX('名簿'!$F$5:$F$49,MATCH(INDEX('調整・決定'!$C$6:$L$29,GO3-1,GO2),'名簿'!$G$5:$G$49,0)),"")&lt;&gt;"",1,0))</f>
        <v/>
      </c>
      <c r="GP108">
        <f>IF(OR(GO106=0,INDEX('調整・決定'!$C$6:$L$29,GP3-1,GP2)=""),0,IF(IFERROR(INDEX('名簿'!$F$5:$F$49,MATCH(INDEX('調整・決定'!$C$6:$L$29,GP3-1,GP2),'名簿'!$G$5:$G$49,0)),"")&lt;&gt;"",1,0))</f>
        <v/>
      </c>
      <c r="GQ108">
        <f>IF(OR(GP106=0,INDEX('調整・決定'!$C$6:$L$29,GQ3-1,GQ2)=""),0,IF(IFERROR(INDEX('名簿'!$F$5:$F$49,MATCH(INDEX('調整・決定'!$C$6:$L$29,GQ3-1,GQ2),'名簿'!$G$5:$G$49,0)),"")&lt;&gt;"",1,0))</f>
        <v/>
      </c>
      <c r="GR108">
        <f>IF(OR(GQ106=0,INDEX('調整・決定'!$C$6:$L$29,GR3-1,GR2)=""),0,IF(IFERROR(INDEX('名簿'!$F$5:$F$49,MATCH(INDEX('調整・決定'!$C$6:$L$29,GR3-1,GR2),'名簿'!$G$5:$G$49,0)),"")&lt;&gt;"",1,0))</f>
        <v/>
      </c>
      <c r="GS108">
        <f>IF(OR(GR106=0,INDEX('調整・決定'!$C$6:$L$29,GS3-1,GS2)=""),0,IF(IFERROR(INDEX('名簿'!$F$5:$F$49,MATCH(INDEX('調整・決定'!$C$6:$L$29,GS3-1,GS2),'名簿'!$G$5:$G$49,0)),"")&lt;&gt;"",1,0))</f>
        <v/>
      </c>
      <c r="GT108">
        <f>IF(OR(GS106=0,INDEX('調整・決定'!$C$6:$L$29,GT3-1,GT2)=""),0,IF(IFERROR(INDEX('名簿'!$F$5:$F$49,MATCH(INDEX('調整・決定'!$C$6:$L$29,GT3-1,GT2),'名簿'!$G$5:$G$49,0)),"")&lt;&gt;"",1,0))</f>
        <v/>
      </c>
      <c r="GU108">
        <f>IF(OR(GT106=0,INDEX('調整・決定'!$C$6:$L$29,GU3-1,GU2)=""),0,IF(IFERROR(INDEX('名簿'!$F$5:$F$49,MATCH(INDEX('調整・決定'!$C$6:$L$29,GU3-1,GU2),'名簿'!$G$5:$G$49,0)),"")&lt;&gt;"",1,0))</f>
        <v/>
      </c>
      <c r="GV108">
        <f>IF(OR(GU106=0,INDEX('調整・決定'!$C$6:$L$29,GV3-1,GV2)=""),0,IF(IFERROR(INDEX('名簿'!$F$5:$F$49,MATCH(INDEX('調整・決定'!$C$6:$L$29,GV3-1,GV2),'名簿'!$G$5:$G$49,0)),"")&lt;&gt;"",1,0))</f>
        <v/>
      </c>
      <c r="GW108">
        <f>IF(OR(GV106=0,INDEX('調整・決定'!$C$6:$L$29,GW3-1,GW2)=""),0,IF(IFERROR(INDEX('名簿'!$F$5:$F$49,MATCH(INDEX('調整・決定'!$C$6:$L$29,GW3-1,GW2),'名簿'!$G$5:$G$49,0)),"")&lt;&gt;"",1,0))</f>
        <v/>
      </c>
      <c r="GX108">
        <f>IF(OR(GW106=0,INDEX('調整・決定'!$C$6:$L$29,GX3-1,GX2)=""),0,IF(IFERROR(INDEX('名簿'!$F$5:$F$49,MATCH(INDEX('調整・決定'!$C$6:$L$29,GX3-1,GX2),'名簿'!$G$5:$G$49,0)),"")&lt;&gt;"",1,0))</f>
        <v/>
      </c>
      <c r="GY108">
        <f>IF(OR(GX106=0,INDEX('調整・決定'!$C$6:$L$29,GY3-1,GY2)=""),0,IF(IFERROR(INDEX('名簿'!$F$5:$F$49,MATCH(INDEX('調整・決定'!$C$6:$L$29,GY3-1,GY2),'名簿'!$G$5:$G$49,0)),"")&lt;&gt;"",1,0))</f>
        <v/>
      </c>
      <c r="GZ108">
        <f>IF(OR(GY106=0,INDEX('調整・決定'!$C$6:$L$29,GZ3-1,GZ2)=""),0,IF(IFERROR(INDEX('名簿'!$F$5:$F$49,MATCH(INDEX('調整・決定'!$C$6:$L$29,GZ3-1,GZ2),'名簿'!$G$5:$G$49,0)),"")&lt;&gt;"",1,0))</f>
        <v/>
      </c>
      <c r="HA108">
        <f>IF(OR(GZ106=0,INDEX('調整・決定'!$C$6:$L$29,HA3-1,HA2)=""),0,IF(IFERROR(INDEX('名簿'!$F$5:$F$49,MATCH(INDEX('調整・決定'!$C$6:$L$29,HA3-1,HA2),'名簿'!$G$5:$G$49,0)),"")&lt;&gt;"",1,0))</f>
        <v/>
      </c>
      <c r="HB108">
        <f>IF(OR(HA106=0,INDEX('調整・決定'!$C$6:$L$29,HB3-1,HB2)=""),0,IF(IFERROR(INDEX('名簿'!$F$5:$F$49,MATCH(INDEX('調整・決定'!$C$6:$L$29,HB3-1,HB2),'名簿'!$G$5:$G$49,0)),"")&lt;&gt;"",1,0))</f>
        <v/>
      </c>
      <c r="HC108">
        <f>IF(OR(HB106=0,INDEX('調整・決定'!$C$6:$L$29,HC3-1,HC2)=""),0,IF(IFERROR(INDEX('名簿'!$F$5:$F$49,MATCH(INDEX('調整・決定'!$C$6:$L$29,HC3-1,HC2),'名簿'!$G$5:$G$49,0)),"")&lt;&gt;"",1,0))</f>
        <v/>
      </c>
      <c r="HD108">
        <f>IF(OR(HC106=0,INDEX('調整・決定'!$C$6:$L$29,HD3-1,HD2)=""),0,IF(IFERROR(INDEX('名簿'!$F$5:$F$49,MATCH(INDEX('調整・決定'!$C$6:$L$29,HD3-1,HD2),'名簿'!$G$5:$G$49,0)),"")&lt;&gt;"",1,0))</f>
        <v/>
      </c>
      <c r="HE108">
        <f>IF(OR(HD106=0,INDEX('調整・決定'!$C$6:$L$29,HE3-1,HE2)=""),0,IF(IFERROR(INDEX('名簿'!$F$5:$F$49,MATCH(INDEX('調整・決定'!$C$6:$L$29,HE3-1,HE2),'名簿'!$G$5:$G$49,0)),"")&lt;&gt;"",1,0))</f>
        <v/>
      </c>
      <c r="HF108">
        <f>IF(OR(HE106=0,INDEX('調整・決定'!$C$6:$L$29,HF3-1,HF2)=""),0,IF(IFERROR(INDEX('名簿'!$F$5:$F$49,MATCH(INDEX('調整・決定'!$C$6:$L$29,HF3-1,HF2),'名簿'!$G$5:$G$49,0)),"")&lt;&gt;"",1,0))</f>
        <v/>
      </c>
      <c r="HG108">
        <f>IF(OR(HF106=0,INDEX('調整・決定'!$C$6:$L$29,HG3-1,HG2)=""),0,IF(IFERROR(INDEX('名簿'!$F$5:$F$49,MATCH(INDEX('調整・決定'!$C$6:$L$29,HG3-1,HG2),'名簿'!$G$5:$G$49,0)),"")&lt;&gt;"",1,0))</f>
        <v/>
      </c>
      <c r="HH108">
        <f>IF(OR(HG106=0,INDEX('調整・決定'!$C$6:$L$29,HH3-1,HH2)=""),0,IF(IFERROR(INDEX('名簿'!$F$5:$F$49,MATCH(INDEX('調整・決定'!$C$6:$L$29,HH3-1,HH2),'名簿'!$G$5:$G$49,0)),"")&lt;&gt;"",1,0))</f>
        <v/>
      </c>
      <c r="HI108">
        <f>IF(OR(HH106=0,INDEX('調整・決定'!$C$6:$L$29,HI3-1,HI2)=""),0,IF(IFERROR(INDEX('名簿'!$F$5:$F$49,MATCH(INDEX('調整・決定'!$C$6:$L$29,HI3-1,HI2),'名簿'!$G$5:$G$49,0)),"")&lt;&gt;"",1,0))</f>
        <v/>
      </c>
      <c r="HJ108">
        <f>IF(OR(HI106=0,INDEX('調整・決定'!$C$6:$L$29,HJ3-1,HJ2)=""),0,IF(IFERROR(INDEX('名簿'!$F$5:$F$49,MATCH(INDEX('調整・決定'!$C$6:$L$29,HJ3-1,HJ2),'名簿'!$G$5:$G$49,0)),"")&lt;&gt;"",1,0))</f>
        <v/>
      </c>
      <c r="HK108">
        <f>IF(OR(HJ106=0,INDEX('調整・決定'!$C$6:$L$29,HK3-1,HK2)=""),0,IF(IFERROR(INDEX('名簿'!$F$5:$F$49,MATCH(INDEX('調整・決定'!$C$6:$L$29,HK3-1,HK2),'名簿'!$G$5:$G$49,0)),"")&lt;&gt;"",1,0))</f>
        <v/>
      </c>
      <c r="HL108" t="n">
        <v>0</v>
      </c>
      <c r="HM108">
        <f>IF(OR(HL106=0,INDEX('調整・決定'!$C$6:$L$29,HM3-1,HM2)=""),0,IF(IFERROR(INDEX('名簿'!$F$5:$F$49,MATCH(INDEX('調整・決定'!$C$6:$L$29,HM3-1,HM2),'名簿'!$G$5:$G$49,0)),"")&lt;&gt;"",1,0))</f>
        <v/>
      </c>
      <c r="HN108">
        <f>IF(OR(HM106=0,INDEX('調整・決定'!$C$6:$L$29,HN3-1,HN2)=""),0,IF(IFERROR(INDEX('名簿'!$F$5:$F$49,MATCH(INDEX('調整・決定'!$C$6:$L$29,HN3-1,HN2),'名簿'!$G$5:$G$49,0)),"")&lt;&gt;"",1,0))</f>
        <v/>
      </c>
      <c r="HO108">
        <f>IF(OR(HN106=0,INDEX('調整・決定'!$C$6:$L$29,HO3-1,HO2)=""),0,IF(IFERROR(INDEX('名簿'!$F$5:$F$49,MATCH(INDEX('調整・決定'!$C$6:$L$29,HO3-1,HO2),'名簿'!$G$5:$G$49,0)),"")&lt;&gt;"",1,0))</f>
        <v/>
      </c>
      <c r="HP108">
        <f>IF(OR(HO106=0,INDEX('調整・決定'!$C$6:$L$29,HP3-1,HP2)=""),0,IF(IFERROR(INDEX('名簿'!$F$5:$F$49,MATCH(INDEX('調整・決定'!$C$6:$L$29,HP3-1,HP2),'名簿'!$G$5:$G$49,0)),"")&lt;&gt;"",1,0))</f>
        <v/>
      </c>
      <c r="HQ108">
        <f>IF(OR(HP106=0,INDEX('調整・決定'!$C$6:$L$29,HQ3-1,HQ2)=""),0,IF(IFERROR(INDEX('名簿'!$F$5:$F$49,MATCH(INDEX('調整・決定'!$C$6:$L$29,HQ3-1,HQ2),'名簿'!$G$5:$G$49,0)),"")&lt;&gt;"",1,0))</f>
        <v/>
      </c>
      <c r="HR108">
        <f>IF(OR(HQ106=0,INDEX('調整・決定'!$C$6:$L$29,HR3-1,HR2)=""),0,IF(IFERROR(INDEX('名簿'!$F$5:$F$49,MATCH(INDEX('調整・決定'!$C$6:$L$29,HR3-1,HR2),'名簿'!$G$5:$G$49,0)),"")&lt;&gt;"",1,0))</f>
        <v/>
      </c>
      <c r="HS108">
        <f>IF(OR(HR106=0,INDEX('調整・決定'!$C$6:$L$29,HS3-1,HS2)=""),0,IF(IFERROR(INDEX('名簿'!$F$5:$F$49,MATCH(INDEX('調整・決定'!$C$6:$L$29,HS3-1,HS2),'名簿'!$G$5:$G$49,0)),"")&lt;&gt;"",1,0))</f>
        <v/>
      </c>
      <c r="HT108">
        <f>IF(OR(HS106=0,INDEX('調整・決定'!$C$6:$L$29,HT3-1,HT2)=""),0,IF(IFERROR(INDEX('名簿'!$F$5:$F$49,MATCH(INDEX('調整・決定'!$C$6:$L$29,HT3-1,HT2),'名簿'!$G$5:$G$49,0)),"")&lt;&gt;"",1,0))</f>
        <v/>
      </c>
      <c r="HU108">
        <f>IF(OR(HT106=0,INDEX('調整・決定'!$C$6:$L$29,HU3-1,HU2)=""),0,IF(IFERROR(INDEX('名簿'!$F$5:$F$49,MATCH(INDEX('調整・決定'!$C$6:$L$29,HU3-1,HU2),'名簿'!$G$5:$G$49,0)),"")&lt;&gt;"",1,0))</f>
        <v/>
      </c>
      <c r="HV108">
        <f>IF(OR(HU106=0,INDEX('調整・決定'!$C$6:$L$29,HV3-1,HV2)=""),0,IF(IFERROR(INDEX('名簿'!$F$5:$F$49,MATCH(INDEX('調整・決定'!$C$6:$L$29,HV3-1,HV2),'名簿'!$G$5:$G$49,0)),"")&lt;&gt;"",1,0))</f>
        <v/>
      </c>
      <c r="HW108">
        <f>IF(OR(HV106=0,INDEX('調整・決定'!$C$6:$L$29,HW3-1,HW2)=""),0,IF(IFERROR(INDEX('名簿'!$F$5:$F$49,MATCH(INDEX('調整・決定'!$C$6:$L$29,HW3-1,HW2),'名簿'!$G$5:$G$49,0)),"")&lt;&gt;"",1,0))</f>
        <v/>
      </c>
      <c r="HX108">
        <f>IF(OR(HW106=0,INDEX('調整・決定'!$C$6:$L$29,HX3-1,HX2)=""),0,IF(IFERROR(INDEX('名簿'!$F$5:$F$49,MATCH(INDEX('調整・決定'!$C$6:$L$29,HX3-1,HX2),'名簿'!$G$5:$G$49,0)),"")&lt;&gt;"",1,0))</f>
        <v/>
      </c>
      <c r="HY108">
        <f>IF(OR(HX106=0,INDEX('調整・決定'!$C$6:$L$29,HY3-1,HY2)=""),0,IF(IFERROR(INDEX('名簿'!$F$5:$F$49,MATCH(INDEX('調整・決定'!$C$6:$L$29,HY3-1,HY2),'名簿'!$G$5:$G$49,0)),"")&lt;&gt;"",1,0))</f>
        <v/>
      </c>
      <c r="HZ108">
        <f>IF(OR(HY106=0,INDEX('調整・決定'!$C$6:$L$29,HZ3-1,HZ2)=""),0,IF(IFERROR(INDEX('名簿'!$F$5:$F$49,MATCH(INDEX('調整・決定'!$C$6:$L$29,HZ3-1,HZ2),'名簿'!$G$5:$G$49,0)),"")&lt;&gt;"",1,0))</f>
        <v/>
      </c>
      <c r="IA108">
        <f>IF(OR(HZ106=0,INDEX('調整・決定'!$C$6:$L$29,IA3-1,IA2)=""),0,IF(IFERROR(INDEX('名簿'!$F$5:$F$49,MATCH(INDEX('調整・決定'!$C$6:$L$29,IA3-1,IA2),'名簿'!$G$5:$G$49,0)),"")&lt;&gt;"",1,0))</f>
        <v/>
      </c>
      <c r="IB108">
        <f>IF(OR(IA106=0,INDEX('調整・決定'!$C$6:$L$29,IB3-1,IB2)=""),0,IF(IFERROR(INDEX('名簿'!$F$5:$F$49,MATCH(INDEX('調整・決定'!$C$6:$L$29,IB3-1,IB2),'名簿'!$G$5:$G$49,0)),"")&lt;&gt;"",1,0))</f>
        <v/>
      </c>
      <c r="IC108">
        <f>IF(OR(IB106=0,INDEX('調整・決定'!$C$6:$L$29,IC3-1,IC2)=""),0,IF(IFERROR(INDEX('名簿'!$F$5:$F$49,MATCH(INDEX('調整・決定'!$C$6:$L$29,IC3-1,IC2),'名簿'!$G$5:$G$49,0)),"")&lt;&gt;"",1,0))</f>
        <v/>
      </c>
      <c r="ID108">
        <f>IF(OR(IC106=0,INDEX('調整・決定'!$C$6:$L$29,ID3-1,ID2)=""),0,IF(IFERROR(INDEX('名簿'!$F$5:$F$49,MATCH(INDEX('調整・決定'!$C$6:$L$29,ID3-1,ID2),'名簿'!$G$5:$G$49,0)),"")&lt;&gt;"",1,0))</f>
        <v/>
      </c>
      <c r="IE108">
        <f>IF(OR(ID106=0,INDEX('調整・決定'!$C$6:$L$29,IE3-1,IE2)=""),0,IF(IFERROR(INDEX('名簿'!$F$5:$F$49,MATCH(INDEX('調整・決定'!$C$6:$L$29,IE3-1,IE2),'名簿'!$G$5:$G$49,0)),"")&lt;&gt;"",1,0))</f>
        <v/>
      </c>
      <c r="IF108">
        <f>IF(OR(IE106=0,INDEX('調整・決定'!$C$6:$L$29,IF3-1,IF2)=""),0,IF(IFERROR(INDEX('名簿'!$F$5:$F$49,MATCH(INDEX('調整・決定'!$C$6:$L$29,IF3-1,IF2),'名簿'!$G$5:$G$49,0)),"")&lt;&gt;"",1,0))</f>
        <v/>
      </c>
      <c r="IG108">
        <f>IF(OR(IF106=0,INDEX('調整・決定'!$C$6:$L$29,IG3-1,IG2)=""),0,IF(IFERROR(INDEX('名簿'!$F$5:$F$49,MATCH(INDEX('調整・決定'!$C$6:$L$29,IG3-1,IG2),'名簿'!$G$5:$G$49,0)),"")&lt;&gt;"",1,0))</f>
        <v/>
      </c>
      <c r="IH108">
        <f>IF(OR(IG106=0,INDEX('調整・決定'!$C$6:$L$29,IH3-1,IH2)=""),0,IF(IFERROR(INDEX('名簿'!$F$5:$F$49,MATCH(INDEX('調整・決定'!$C$6:$L$29,IH3-1,IH2),'名簿'!$G$5:$G$49,0)),"")&lt;&gt;"",1,0))</f>
        <v/>
      </c>
      <c r="II108">
        <f>IF(OR(IH106=0,INDEX('調整・決定'!$C$6:$L$29,II3-1,II2)=""),0,IF(IFERROR(INDEX('名簿'!$F$5:$F$49,MATCH(INDEX('調整・決定'!$C$6:$L$29,II3-1,II2),'名簿'!$G$5:$G$49,0)),"")&lt;&gt;"",1,0))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7"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2026-10-22T06:48:53Z</dcterms:created>
  <dcterms:modified xmlns:dcterms="http://purl.org/dc/terms/" xmlns:xsi="http://www.w3.org/2001/XMLSchema-instance" xsi:type="dcterms:W3CDTF">2026-10-22T06:48:54Z</dcterms:modified>
</cp:coreProperties>
</file>