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割り当て"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'自動案'!$C$6:$L$17</definedName>
    <definedName name="割り当ての表">'割り当て'!$C$6:$L$17</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39">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b val="1"/>
      <color rgb="00B23A3A"/>
      <sz val="10"/>
    </font>
    <font>
      <name val="BIZ UDPゴシック"/>
      <color rgb="00666666"/>
      <sz val="9"/>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2">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78">
    <xf numFmtId="0" fontId="0" fillId="0" borderId="0" pivotButton="0" quotePrefix="0" xfId="0"/>
    <xf numFmtId="0" fontId="31" fillId="19" borderId="0" applyAlignment="1" pivotButton="0" quotePrefix="0" xfId="0">
      <alignment vertical="center" indent="1"/>
    </xf>
    <xf numFmtId="0" fontId="0" fillId="19" borderId="0" pivotButton="0" quotePrefix="0" xfId="0"/>
    <xf numFmtId="0" fontId="32"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3" fillId="6" borderId="9" applyAlignment="1" pivotButton="0" quotePrefix="0" xfId="0">
      <alignment horizontal="center" vertical="center" wrapText="1"/>
    </xf>
    <xf numFmtId="0" fontId="34" fillId="20" borderId="9" applyAlignment="1" pivotButton="0" quotePrefix="0" xfId="0">
      <alignment horizontal="center" vertical="center" wrapText="1"/>
    </xf>
    <xf numFmtId="0" fontId="0" fillId="0" borderId="12" pivotButton="0" quotePrefix="0" xfId="0"/>
    <xf numFmtId="0" fontId="37" fillId="0" borderId="0" pivotButton="0" quotePrefix="0" xfId="0"/>
    <xf numFmtId="20" fontId="1" fillId="7" borderId="4" applyAlignment="1" pivotButton="0" quotePrefix="0" xfId="0">
      <alignment horizontal="center" vertical="center" wrapText="1"/>
    </xf>
    <xf numFmtId="0" fontId="13" fillId="0" borderId="0" pivotButton="0" quotePrefix="0" xfId="0"/>
    <xf numFmtId="1"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9" borderId="4" applyAlignment="1" pivotButton="0" quotePrefix="0" xfId="0">
      <alignment horizontal="center" vertical="center" wrapText="1"/>
    </xf>
    <xf numFmtId="0" fontId="35" fillId="4" borderId="4" applyAlignment="1" pivotButton="0" quotePrefix="0" xfId="0">
      <alignment horizontal="center" vertical="center" wrapText="1"/>
    </xf>
    <xf numFmtId="0" fontId="17" fillId="8" borderId="4" applyAlignment="1" pivotButton="0" quotePrefix="0" xfId="0">
      <alignment horizontal="center" vertical="center" wrapText="1"/>
    </xf>
    <xf numFmtId="0" fontId="1" fillId="8" borderId="4" pivotButton="0" quotePrefix="0" xfId="0"/>
    <xf numFmtId="166"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8" borderId="4" applyAlignment="1" pivotButton="0" quotePrefix="0" xfId="0">
      <alignment horizontal="center" vertical="center" wrapText="1"/>
    </xf>
    <xf numFmtId="0" fontId="18" fillId="0" borderId="4" applyAlignment="1" pivotButton="0" quotePrefix="0" xfId="0">
      <alignment horizontal="center" vertical="center" wrapText="1"/>
    </xf>
    <xf numFmtId="0" fontId="19" fillId="0" borderId="0" pivotButton="0" quotePrefix="0" xfId="0"/>
    <xf numFmtId="0" fontId="36" fillId="21" borderId="4" applyAlignment="1" pivotButton="0" quotePrefix="0" xfId="0">
      <alignment horizontal="center" vertical="center" wrapText="1"/>
    </xf>
    <xf numFmtId="0" fontId="36"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20" fillId="0" borderId="0" applyAlignment="1" pivotButton="0" quotePrefix="0" xfId="0">
      <alignment horizontal="center" vertical="center" wrapText="1"/>
    </xf>
    <xf numFmtId="0" fontId="31" fillId="19" borderId="0" applyAlignment="1" pivotButton="0" quotePrefix="0" xfId="0">
      <alignment vertical="center"/>
    </xf>
    <xf numFmtId="0" fontId="32" fillId="2" borderId="0" applyAlignment="1" pivotButton="0" quotePrefix="0" xfId="0">
      <alignment vertical="center"/>
    </xf>
    <xf numFmtId="0" fontId="38"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22" fillId="9" borderId="4" applyAlignment="1" pivotButton="0" quotePrefix="0" xfId="0">
      <alignment horizontal="center" vertical="center" wrapText="1"/>
    </xf>
    <xf numFmtId="0" fontId="23" fillId="0" borderId="4" applyAlignment="1" pivotButton="0" quotePrefix="0" xfId="0">
      <alignment horizontal="center" vertical="center" wrapText="1"/>
    </xf>
    <xf numFmtId="0" fontId="27" fillId="11" borderId="4" applyAlignment="1" pivotButton="0" quotePrefix="0" xfId="0">
      <alignment horizontal="center" vertical="center" wrapText="1"/>
    </xf>
    <xf numFmtId="0" fontId="27" fillId="17" borderId="4" applyAlignment="1" pivotButton="0" quotePrefix="0" xfId="0">
      <alignment horizontal="center" vertical="center" wrapText="1"/>
    </xf>
    <xf numFmtId="0" fontId="27" fillId="18" borderId="4" applyAlignment="1" pivotButton="0" quotePrefix="0" xfId="0">
      <alignment horizontal="center" vertical="center" wrapText="1"/>
    </xf>
    <xf numFmtId="0" fontId="24" fillId="0" borderId="0" pivotButton="0" quotePrefix="0" xfId="0"/>
    <xf numFmtId="0" fontId="15" fillId="0" borderId="0" pivotButton="0" quotePrefix="0" xfId="0"/>
    <xf numFmtId="0" fontId="29" fillId="0" borderId="0" pivotButton="0" quotePrefix="0" xfId="0"/>
    <xf numFmtId="0" fontId="29" fillId="0" borderId="0" applyAlignment="1" pivotButton="0" quotePrefix="0" xfId="0">
      <alignment vertical="top" wrapText="1"/>
    </xf>
    <xf numFmtId="0" fontId="30" fillId="0" borderId="0" pivotButton="0" quotePrefix="0" xfId="0"/>
    <xf numFmtId="0" fontId="1" fillId="0" borderId="0" applyAlignment="1" pivotButton="0" quotePrefix="0" xfId="0">
      <alignment vertical="top" wrapText="1"/>
    </xf>
    <xf numFmtId="0" fontId="25" fillId="10" borderId="4" applyAlignment="1" pivotButton="0" quotePrefix="0" xfId="0">
      <alignment horizontal="center" vertical="center" wrapText="1"/>
    </xf>
    <xf numFmtId="0" fontId="25" fillId="11" borderId="4" applyAlignment="1" pivotButton="0" quotePrefix="0" xfId="0">
      <alignment horizontal="center" vertical="center" wrapText="1"/>
    </xf>
    <xf numFmtId="0" fontId="25" fillId="12" borderId="4" applyAlignment="1" pivotButton="0" quotePrefix="0" xfId="0">
      <alignment horizontal="center" vertical="center" wrapText="1"/>
    </xf>
    <xf numFmtId="0" fontId="25" fillId="13" borderId="4" applyAlignment="1" pivotButton="0" quotePrefix="0" xfId="0">
      <alignment horizontal="center" vertical="center" wrapText="1"/>
    </xf>
    <xf numFmtId="0" fontId="26" fillId="14" borderId="4" applyAlignment="1" pivotButton="0" quotePrefix="0" xfId="0">
      <alignment horizontal="center" vertical="center" wrapText="1"/>
    </xf>
    <xf numFmtId="0" fontId="25" fillId="15" borderId="4" applyAlignment="1" pivotButton="0" quotePrefix="0" xfId="0">
      <alignment horizontal="center" vertical="center" wrapText="1"/>
    </xf>
    <xf numFmtId="0" fontId="25" fillId="16"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8" fillId="0" borderId="4" applyAlignment="1" pivotButton="0" quotePrefix="0" xfId="0">
      <alignment vertical="top" wrapText="1"/>
    </xf>
    <xf numFmtId="0" fontId="1" fillId="0" borderId="0" pivotButton="0" quotePrefix="0" xfId="0"/>
  </cellXfs>
  <cellStyles count="1">
    <cellStyle name="Normal" xfId="0" builtinId="0" hidden="0"/>
  </cellStyles>
  <dxfs count="18">
    <dxf>
      <font>
        <name val="BIZ UDPゴシック"/>
        <b val="1"/>
        <color rgb="009A6A00"/>
        <sz val="24"/>
      </font>
    </dxf>
    <dxf>
      <font>
        <name val="BIZ UDPゴシック"/>
        <b val="1"/>
        <color rgb="00B23A3A"/>
        <sz val="24"/>
      </font>
    </dxf>
    <dxf>
      <fill>
        <patternFill patternType="solid">
          <fgColor rgb="00D9D9D9"/>
          <bgColor rgb="00D9D9D9"/>
        </patternFill>
      </fill>
    </dxf>
    <dxf>
      <fill>
        <patternFill patternType="solid">
          <fgColor rgb="00F6DEDB"/>
          <bgColor rgb="00F6DEDB"/>
        </patternFill>
      </fill>
    </dxf>
    <dxf>
      <fill>
        <patternFill patternType="solid">
          <fgColor rgb="00D0D6DE"/>
          <bgColor rgb="00D0D6DE"/>
        </patternFill>
      </fill>
    </dxf>
    <dxf>
      <font>
        <name val="BIZ UDPゴシック"/>
        <b val="1"/>
        <color rgb="009A6A00"/>
      </font>
    </dxf>
    <dxf>
      <font>
        <name val="BIZ UDPゴシック"/>
        <b val="1"/>
        <color rgb="00B23A3A"/>
      </font>
    </dxf>
    <dxf>
      <fill>
        <patternFill patternType="solid">
          <fgColor rgb="00FBEFC9"/>
          <bgColor rgb="00FBEFC9"/>
        </patternFill>
      </fill>
    </dxf>
    <dxf>
      <font>
        <name val="BIZ UDPゴシック"/>
        <b val="1"/>
      </font>
      <fill>
        <patternFill patternType="solid">
          <fgColor rgb="00D6F0DF"/>
          <bgColor rgb="00D6F0DF"/>
        </patternFill>
      </fill>
    </dxf>
    <dxf>
      <fill>
        <patternFill patternType="lightUp">
          <fgColor rgb="005B8BD0"/>
        </patternFill>
      </fill>
    </dxf>
    <dxf>
      <fill>
        <patternFill patternType="lightUp">
          <fgColor rgb="00BBBBBB"/>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8"/>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割り当て済み</t>
        </is>
      </c>
      <c r="K5" s="7" t="n"/>
      <c r="L5" s="6" t="inlineStr">
        <is>
          <t>未割り当て</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COUNTIF('名簿'!$N$5:$N$49,"未割り当て")</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面談する日付、最初と最後の枠の時刻、1枠の長さ。出張などで組まない日・時間もここで止めます。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入れられる枠が少ない家庭から順に自動で組んだ案。よければ割り当てに貼り付けます。</t>
        </is>
      </c>
      <c r="D19" s="14" t="n"/>
      <c r="E19" s="14" t="n"/>
      <c r="F19" s="14" t="n"/>
      <c r="G19" s="14" t="n"/>
      <c r="H19" s="14" t="n"/>
      <c r="I19" s="14" t="n"/>
      <c r="J19" s="14" t="n"/>
    </row>
    <row r="20"/>
    <row r="21" ht="24" customHeight="1">
      <c r="B21" s="10" t="n">
        <v>5</v>
      </c>
      <c r="C21" s="11" t="inlineStr">
        <is>
          <t>割り当てて仕上げる</t>
        </is>
      </c>
      <c r="K21" s="12">
        <f>HYPERLINK("#'割り当て'!A1","開く ▶")</f>
        <v/>
      </c>
    </row>
    <row r="22" ht="30" customHeight="1">
      <c r="C22" s="13" t="inlineStr">
        <is>
          <t>プルダウンで手直し。児童を選ぶと、入れられる枠に色がつきます。</t>
        </is>
      </c>
      <c r="D22" s="14" t="n"/>
      <c r="E22" s="14" t="n"/>
      <c r="F22" s="14" t="n"/>
      <c r="G22" s="14" t="n"/>
      <c r="H22" s="14" t="n"/>
      <c r="I22" s="14" t="n"/>
      <c r="J22" s="14" t="n"/>
    </row>
    <row r="23"/>
    <row r="24"/>
    <row r="25"/>
    <row r="26">
      <c r="B26" s="5" t="inlineStr">
        <is>
          <t>くわしい使い方</t>
        </is>
      </c>
    </row>
    <row r="27">
      <c r="B27" s="15" t="inlineStr">
        <is>
          <t>1. 「設定」シート</t>
        </is>
      </c>
    </row>
    <row r="28">
      <c r="B28" s="16" t="inlineStr">
        <is>
          <t>・面談の日付（上から順に、最大10日）、最初の枠・最後の枠の時刻、1枠の長さを入れます（1日最大12枠）。</t>
        </is>
      </c>
    </row>
    <row r="29">
      <c r="B29" s="16" t="inlineStr">
        <is>
          <t>・空けたい日や休憩の時刻には「〇」を選びます。自動案では、ほかに入る枠がないときだけ使われます。</t>
        </is>
      </c>
    </row>
    <row r="30" ht="30" customHeight="1">
      <c r="B30" s="16" t="inlineStr">
        <is>
          <t>・出張や会議などで面談を組まない日・時間・枠は、右の「先生の都合で使えない枠」で「×」を選びます。止めた枠は、×入力・自動案・割り当てで灰色になり、使われません。</t>
        </is>
      </c>
    </row>
    <row r="31">
      <c r="B31" s="15" t="inlineStr">
        <is>
          <t>2. 「名簿」シート</t>
        </is>
      </c>
    </row>
    <row r="32">
      <c r="B32" s="16" t="inlineStr">
        <is>
          <t>・Excelの名簿から「出席番号」と「名前」をコピーして、「番号」の列のいちばん上のマスに貼り付けます（最大45人）。</t>
        </is>
      </c>
    </row>
    <row r="33">
      <c r="B33" s="16" t="inlineStr">
        <is>
          <t>・他のクラスに兄弟がいる家庭は、「兄弟」の列で「〇」を選び、「兄弟メモ」に兄弟のクラスなどをメモします。</t>
        </is>
      </c>
    </row>
    <row r="34" ht="30" customHeight="1">
      <c r="B34" s="16" t="inlineStr">
        <is>
          <t>・「希望」：早い時刻／遅い時刻／早い日／遅い日 から選べます。自動案で、×のない枠の中からできるだけ希望に合う枠を選びます（希望なので、合わないこともあります）。</t>
        </is>
      </c>
    </row>
    <row r="35" ht="30" customHeight="1">
      <c r="B35"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6" t="inlineStr">
        <is>
          <t>・名簿の行は並べ替えないでください（×入力の内容とずれてしまいます）。絞り込み（フィルター）は使えます。</t>
        </is>
      </c>
    </row>
    <row r="37">
      <c r="B37" s="15" t="inlineStr">
        <is>
          <t>3. 「×入力」シート</t>
        </is>
      </c>
    </row>
    <row r="38">
      <c r="B38" s="16" t="inlineStr">
        <is>
          <t>・1人ずつ、予定表と同じ形の表があります。名簿の「×入力へ」をクリックすると、その人の表に移動します。</t>
        </is>
      </c>
    </row>
    <row r="39">
      <c r="B39" s="16" t="inlineStr">
        <is>
          <t>・都合の悪い枠に「×」を入れます（何か文字が入っていれば×として扱います）。消すときは Delete キー。</t>
        </is>
      </c>
    </row>
    <row r="40">
      <c r="B40" s="16" t="inlineStr">
        <is>
          <t>・まとめて入れるとき：マウスでなぞって範囲を選び、「×」と打って Ctrl + Enter を押すと、選んだ枠が全部×になります。</t>
        </is>
      </c>
    </row>
    <row r="41" ht="30" customHeight="1">
      <c r="B41" s="16" t="inlineStr">
        <is>
          <t>・その日全部：日付の上の「この日全部」の欄で「×」を選びます。その時間全部：時刻の左の「この時間全部」の欄で「×」を選びます（表のマスはピンクになります）。</t>
        </is>
      </c>
    </row>
    <row r="42">
      <c r="B42" s="16" t="inlineStr">
        <is>
          <t>・×が1つもない家庭は「提出状況」で「×なし（どこでもOK）」、提出していない家庭は「未提出」を選びます。</t>
        </is>
      </c>
    </row>
    <row r="43">
      <c r="B43" s="15" t="inlineStr">
        <is>
          <t>4. 「自動案」シート</t>
        </is>
      </c>
    </row>
    <row r="44">
      <c r="B44" s="16" t="inlineStr">
        <is>
          <t>・入れられる枠が少ない家庭から順に、自動で割り当てた案が表示されます（未入力・未提出の家庭は外れます）。</t>
        </is>
      </c>
    </row>
    <row r="45" ht="30" customHeight="1">
      <c r="B45" s="16" t="inlineStr">
        <is>
          <t>・案でよければ、表をコピーして、「割り当て」シートの表の左上（いちばん早い日・時刻のマス）に［値の貼り付け］をします。左上の名前ボックスで「自動案の表」を選ぶと、表全体をまとめて選べます。</t>
        </is>
      </c>
    </row>
    <row r="46">
      <c r="B46" s="16" t="inlineStr">
        <is>
          <t>・「割り当て」シートですでに決めた人はそのまま残り、残りの人だけで案が作られます。やり直したいときは割り当ての表を消します。</t>
        </is>
      </c>
    </row>
    <row r="47">
      <c r="B47" s="15" t="inlineStr">
        <is>
          <t>5. 「割り当て」シート</t>
        </is>
      </c>
    </row>
    <row r="48">
      <c r="B48" s="16" t="inlineStr">
        <is>
          <t>・各枠のセルで、プルダウンから児童を選びます。</t>
        </is>
      </c>
    </row>
    <row r="49" ht="30" customHeight="1">
      <c r="B49" s="16" t="inlineStr">
        <is>
          <t>・右の「児童を選ぶ」で児童を選ぶと、表の色が変わります：緑＝入れられる空き枠／黄＝入れられる（ほかの人がいる）／ピンク＝×の枠／青＝今いる枠。</t>
        </is>
      </c>
    </row>
    <row r="50">
      <c r="B50" s="16" t="inlineStr">
        <is>
          <t>・赤い枠は「×の枠に入れてしまった」、オレンジの枠は「同じ人が2か所に入っている」です。</t>
        </is>
      </c>
    </row>
    <row r="51">
      <c r="B51" s="16" t="inlineStr">
        <is>
          <t>・青い斜線の枠は「前の人の後ろを空ける枠」です。紫の枠は、空けるはずの枠に人が入っています。</t>
        </is>
      </c>
    </row>
    <row r="52">
      <c r="B52" s="16" t="inlineStr">
        <is>
          <t>・下の「候補」の表には、その枠に入れられる、まだ決まっていない児童が表示されます。「1人」の枠は先に決めると楽です。</t>
        </is>
      </c>
    </row>
    <row r="53">
      <c r="B53" s="15" t="inlineStr">
        <is>
          <t>6. 結果</t>
        </is>
      </c>
    </row>
    <row r="54">
      <c r="B54" s="16" t="inlineStr">
        <is>
          <t>・「名簿」シートの右側に、決まった日時・注意（×の枠／2か所／後ろが空いていない／未割り当て）・自動案が表示されます。</t>
        </is>
      </c>
    </row>
    <row r="55">
      <c r="B55" s="16" t="inlineStr">
        <is>
          <t>・CSVが必要なときは「名簿」シートを開いて［ファイル］→［名前を付けて保存］→ 種類を「CSV UTF-8」にします。</t>
        </is>
      </c>
    </row>
    <row r="56">
      <c r="B56" s="16" t="inlineStr">
        <is>
          <t>・兄弟ありの家庭だけ見たいときは、名簿の「兄弟」の列でフィルターをかけます。</t>
        </is>
      </c>
    </row>
    <row r="57">
      <c r="B57" s="16" t="inlineStr"/>
    </row>
    <row r="58">
      <c r="B58" s="17" t="inlineStr">
        <is>
          <t>※ 「計算A」「計算B」は計算用の隠しシートです。さわらないでください。</t>
        </is>
      </c>
    </row>
  </sheetData>
  <mergeCells count="64">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58:M58"/>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24"/>
  <sheetViews>
    <sheetView showGridLines="0" showRowColHeader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2" t="n"/>
      <c r="K1" s="18">
        <f>HYPERLINK("#'割り当て'!A1","⑤ 割り当て")</f>
        <v/>
      </c>
      <c r="L1" s="2" t="n"/>
      <c r="M1" s="2" t="n"/>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1" t="inlineStr">
        <is>
          <t>最初の枠</t>
        </is>
      </c>
      <c r="B3" s="22" t="n">
        <v>0.5625</v>
      </c>
      <c r="C3" s="23">
        <f>IF(ISNUMBER(B3),"","← 時刻（例 13:30）を入れてください")</f>
        <v/>
      </c>
    </row>
    <row r="4">
      <c r="A4" s="21" t="inlineStr">
        <is>
          <t>最後の枠</t>
        </is>
      </c>
      <c r="B4" s="22" t="n">
        <v>0.6458333333333334</v>
      </c>
      <c r="C4" s="23">
        <f>IF(NOT(ISNUMBER(B4)),"← 時刻（例 15:30）を入れてください",IF(AND(ISNUMBER(B3),B4&lt;B3),"← 最初の枠より後の時刻にしてください",""))</f>
        <v/>
      </c>
    </row>
    <row r="5">
      <c r="A5" s="21" t="inlineStr">
        <is>
          <t>1枠の長さ（分）</t>
        </is>
      </c>
      <c r="B5" s="24" t="n">
        <v>15</v>
      </c>
      <c r="C5" s="23">
        <f>IF(AND(ISNUMBER(B5),B5&gt;0),"","← 5〜120の数字を入れてください")</f>
        <v/>
      </c>
    </row>
    <row r="6">
      <c r="A6" s="21" t="inlineStr">
        <is>
          <t>1日の枠の数</t>
        </is>
      </c>
      <c r="B6" s="25">
        <f>IF(AND(ISNUMBER(B3),ISNUMBER(B4),ISNUMBER(B5)),IF(B5&gt;0,MIN(12,MAX(1,ROUND((B4-B3)*1440/B5,0)+1)),1),1)</f>
        <v/>
      </c>
      <c r="C6" s="26" t="inlineStr">
        <is>
          <t>（最大12枠）</t>
        </is>
      </c>
    </row>
    <row r="7">
      <c r="K7" s="5" t="inlineStr">
        <is>
          <t>先生の都合で使えない枠（出張・会議など）</t>
        </is>
      </c>
    </row>
    <row r="8">
      <c r="A8" s="21" t="inlineStr">
        <is>
          <t>自動案の詰め方</t>
        </is>
      </c>
      <c r="B8" s="27" t="inlineStr">
        <is>
          <t>早い時間から（各日の最後を空ける）</t>
        </is>
      </c>
      <c r="C8" s="28" t="n"/>
      <c r="D8" s="28" t="n"/>
      <c r="E8" s="29" t="n"/>
      <c r="K8" s="26" t="inlineStr">
        <is>
          <t>「×」を選んだ日・時間・枠は、自動案にも割り当てにも使いません。</t>
        </is>
      </c>
    </row>
    <row r="9">
      <c r="K9" s="30" t="inlineStr">
        <is>
          <t>この日は組まない ▶</t>
        </is>
      </c>
      <c r="M9" s="31" t="n"/>
      <c r="N9" s="31" t="n"/>
      <c r="O9" s="31" t="n"/>
      <c r="P9" s="31" t="n"/>
      <c r="Q9" s="31" t="n"/>
      <c r="R9" s="31" t="n"/>
      <c r="S9" s="31" t="n"/>
      <c r="T9" s="31" t="n"/>
      <c r="U9" s="31" t="n"/>
      <c r="V9" s="31" t="n"/>
    </row>
    <row r="10" ht="44" customHeight="1">
      <c r="B10" s="32" t="inlineStr">
        <is>
          <t>日付</t>
        </is>
      </c>
      <c r="C10" s="32" t="inlineStr">
        <is>
          <t>曜日</t>
        </is>
      </c>
      <c r="D10" s="32" t="inlineStr">
        <is>
          <t>なるべく空ける</t>
        </is>
      </c>
      <c r="E10" s="32" t="inlineStr">
        <is>
          <t>表示</t>
        </is>
      </c>
      <c r="G10" s="32" t="inlineStr">
        <is>
          <t>時刻</t>
        </is>
      </c>
      <c r="H10" s="32" t="inlineStr">
        <is>
          <t>休憩（なるべく空ける）</t>
        </is>
      </c>
      <c r="I10" s="32" t="inlineStr">
        <is>
          <t>表示</t>
        </is>
      </c>
      <c r="K10" s="33" t="inlineStr">
        <is>
          <t>この時間は
組まない ▼</t>
        </is>
      </c>
      <c r="L10" s="34" t="inlineStr"/>
      <c r="M10" s="32">
        <f>'設定'!$E$11</f>
        <v/>
      </c>
      <c r="N10" s="32">
        <f>'設定'!$E$12</f>
        <v/>
      </c>
      <c r="O10" s="32">
        <f>'設定'!$E$13</f>
        <v/>
      </c>
      <c r="P10" s="32">
        <f>'設定'!$E$14</f>
        <v/>
      </c>
      <c r="Q10" s="32">
        <f>'設定'!$E$15</f>
        <v/>
      </c>
      <c r="R10" s="32">
        <f>'設定'!$E$16</f>
        <v/>
      </c>
      <c r="S10" s="32">
        <f>'設定'!$E$17</f>
        <v/>
      </c>
      <c r="T10" s="32">
        <f>'設定'!$E$18</f>
        <v/>
      </c>
      <c r="U10" s="32">
        <f>'設定'!$E$19</f>
        <v/>
      </c>
      <c r="V10" s="32">
        <f>'設定'!$E$20</f>
        <v/>
      </c>
    </row>
    <row r="11">
      <c r="A11" s="25" t="inlineStr">
        <is>
          <t>1日目</t>
        </is>
      </c>
      <c r="B11" s="35" t="n">
        <v>46350</v>
      </c>
      <c r="C11" s="36">
        <f>IF(B11="","",CHOOSE(WEEKDAY(B11),"日","月","火","水","木","金","土"))</f>
        <v/>
      </c>
      <c r="D11" s="37" t="n"/>
      <c r="E11" s="38">
        <f>IF(B11="","",MONTH(B11)&amp;"月"&amp;DAY(B11)&amp;"日（"&amp;C11&amp;"）")</f>
        <v/>
      </c>
      <c r="F11" s="39" t="n">
        <v>1</v>
      </c>
      <c r="G11" s="40">
        <f>IF(AND(F11&lt;=$B$6,ISNUMBER($B$3)),$B$3+(F11-1)*IF(ISNUMBER($B$5),$B$5,0)/1440,"")</f>
        <v/>
      </c>
      <c r="H11" s="37" t="n"/>
      <c r="I11" s="36">
        <f>IF(G11="","",TEXT(G11,"h:mm")&amp;"〜")</f>
        <v/>
      </c>
      <c r="K11" s="31" t="n"/>
      <c r="L11" s="41">
        <f>$I$11</f>
        <v/>
      </c>
      <c r="M11" s="42" t="n"/>
      <c r="N11" s="42" t="n"/>
      <c r="O11" s="42" t="n"/>
      <c r="P11" s="42" t="n"/>
      <c r="Q11" s="42" t="n"/>
      <c r="R11" s="42" t="n"/>
      <c r="S11" s="42" t="n"/>
      <c r="T11" s="42" t="n"/>
      <c r="U11" s="42" t="n"/>
      <c r="V11" s="42" t="n"/>
    </row>
    <row r="12">
      <c r="A12" s="25" t="inlineStr">
        <is>
          <t>2日目</t>
        </is>
      </c>
      <c r="B12" s="35" t="n">
        <v>46351</v>
      </c>
      <c r="C12" s="36">
        <f>IF(B12="","",CHOOSE(WEEKDAY(B12),"日","月","火","水","木","金","土"))</f>
        <v/>
      </c>
      <c r="D12" s="37" t="n"/>
      <c r="E12" s="38">
        <f>IF(B12="","",MONTH(B12)&amp;"月"&amp;DAY(B12)&amp;"日（"&amp;C12&amp;"）")</f>
        <v/>
      </c>
      <c r="F12" s="39" t="n">
        <v>2</v>
      </c>
      <c r="G12" s="40">
        <f>IF(AND(F12&lt;=$B$6,ISNUMBER($B$3)),$B$3+(F12-1)*IF(ISNUMBER($B$5),$B$5,0)/1440,"")</f>
        <v/>
      </c>
      <c r="H12" s="37" t="n"/>
      <c r="I12" s="36">
        <f>IF(G12="","",TEXT(G12,"h:mm")&amp;"〜")</f>
        <v/>
      </c>
      <c r="K12" s="31" t="n"/>
      <c r="L12" s="41">
        <f>$I$12</f>
        <v/>
      </c>
      <c r="M12" s="42" t="n"/>
      <c r="N12" s="42" t="n"/>
      <c r="O12" s="42" t="n"/>
      <c r="P12" s="42" t="n"/>
      <c r="Q12" s="42" t="n"/>
      <c r="R12" s="42" t="n"/>
      <c r="S12" s="42" t="n"/>
      <c r="T12" s="42" t="n"/>
      <c r="U12" s="42" t="n"/>
      <c r="V12" s="42" t="n"/>
    </row>
    <row r="13">
      <c r="A13" s="25" t="inlineStr">
        <is>
          <t>3日目</t>
        </is>
      </c>
      <c r="B13" s="35" t="n">
        <v>46352</v>
      </c>
      <c r="C13" s="36">
        <f>IF(B13="","",CHOOSE(WEEKDAY(B13),"日","月","火","水","木","金","土"))</f>
        <v/>
      </c>
      <c r="D13" s="37" t="n"/>
      <c r="E13" s="38">
        <f>IF(B13="","",MONTH(B13)&amp;"月"&amp;DAY(B13)&amp;"日（"&amp;C13&amp;"）")</f>
        <v/>
      </c>
      <c r="F13" s="39" t="n">
        <v>3</v>
      </c>
      <c r="G13" s="40">
        <f>IF(AND(F13&lt;=$B$6,ISNUMBER($B$3)),$B$3+(F13-1)*IF(ISNUMBER($B$5),$B$5,0)/1440,"")</f>
        <v/>
      </c>
      <c r="H13" s="37" t="n"/>
      <c r="I13" s="36">
        <f>IF(G13="","",TEXT(G13,"h:mm")&amp;"〜")</f>
        <v/>
      </c>
      <c r="K13" s="31" t="n"/>
      <c r="L13" s="41">
        <f>$I$13</f>
        <v/>
      </c>
      <c r="M13" s="42" t="n"/>
      <c r="N13" s="42" t="n"/>
      <c r="O13" s="42" t="n"/>
      <c r="P13" s="42" t="n"/>
      <c r="Q13" s="42" t="n"/>
      <c r="R13" s="42" t="n"/>
      <c r="S13" s="42" t="n"/>
      <c r="T13" s="42" t="n"/>
      <c r="U13" s="42" t="n"/>
      <c r="V13" s="42" t="n"/>
    </row>
    <row r="14">
      <c r="A14" s="25" t="inlineStr">
        <is>
          <t>4日目</t>
        </is>
      </c>
      <c r="B14" s="35" t="n">
        <v>46353</v>
      </c>
      <c r="C14" s="36">
        <f>IF(B14="","",CHOOSE(WEEKDAY(B14),"日","月","火","水","木","金","土"))</f>
        <v/>
      </c>
      <c r="D14" s="37" t="n"/>
      <c r="E14" s="38">
        <f>IF(B14="","",MONTH(B14)&amp;"月"&amp;DAY(B14)&amp;"日（"&amp;C14&amp;"）")</f>
        <v/>
      </c>
      <c r="F14" s="39" t="n">
        <v>4</v>
      </c>
      <c r="G14" s="40">
        <f>IF(AND(F14&lt;=$B$6,ISNUMBER($B$3)),$B$3+(F14-1)*IF(ISNUMBER($B$5),$B$5,0)/1440,"")</f>
        <v/>
      </c>
      <c r="H14" s="37" t="n"/>
      <c r="I14" s="36">
        <f>IF(G14="","",TEXT(G14,"h:mm")&amp;"〜")</f>
        <v/>
      </c>
      <c r="K14" s="31" t="n"/>
      <c r="L14" s="41">
        <f>$I$14</f>
        <v/>
      </c>
      <c r="M14" s="42" t="n"/>
      <c r="N14" s="42" t="n"/>
      <c r="O14" s="42" t="n"/>
      <c r="P14" s="42" t="n"/>
      <c r="Q14" s="42" t="n"/>
      <c r="R14" s="42" t="n"/>
      <c r="S14" s="42" t="n"/>
      <c r="T14" s="42" t="n"/>
      <c r="U14" s="42" t="n"/>
      <c r="V14" s="42" t="n"/>
    </row>
    <row r="15">
      <c r="A15" s="25" t="inlineStr">
        <is>
          <t>5日目</t>
        </is>
      </c>
      <c r="B15" s="35" t="n">
        <v>46356</v>
      </c>
      <c r="C15" s="36">
        <f>IF(B15="","",CHOOSE(WEEKDAY(B15),"日","月","火","水","木","金","土"))</f>
        <v/>
      </c>
      <c r="D15" s="37" t="n"/>
      <c r="E15" s="38">
        <f>IF(B15="","",MONTH(B15)&amp;"月"&amp;DAY(B15)&amp;"日（"&amp;C15&amp;"）")</f>
        <v/>
      </c>
      <c r="F15" s="39" t="n">
        <v>5</v>
      </c>
      <c r="G15" s="40">
        <f>IF(AND(F15&lt;=$B$6,ISNUMBER($B$3)),$B$3+(F15-1)*IF(ISNUMBER($B$5),$B$5,0)/1440,"")</f>
        <v/>
      </c>
      <c r="H15" s="37" t="n"/>
      <c r="I15" s="36">
        <f>IF(G15="","",TEXT(G15,"h:mm")&amp;"〜")</f>
        <v/>
      </c>
      <c r="K15" s="31" t="n"/>
      <c r="L15" s="41">
        <f>$I$15</f>
        <v/>
      </c>
      <c r="M15" s="42" t="n"/>
      <c r="N15" s="42" t="n"/>
      <c r="O15" s="42" t="n"/>
      <c r="P15" s="42" t="n"/>
      <c r="Q15" s="42" t="n"/>
      <c r="R15" s="42" t="n"/>
      <c r="S15" s="42" t="n"/>
      <c r="T15" s="42" t="n"/>
      <c r="U15" s="42" t="n"/>
      <c r="V15" s="42" t="n"/>
    </row>
    <row r="16">
      <c r="A16" s="25" t="inlineStr">
        <is>
          <t>6日目</t>
        </is>
      </c>
      <c r="B16" s="35" t="n"/>
      <c r="C16" s="36">
        <f>IF(B16="","",CHOOSE(WEEKDAY(B16),"日","月","火","水","木","金","土"))</f>
        <v/>
      </c>
      <c r="D16" s="37" t="n"/>
      <c r="E16" s="38">
        <f>IF(B16="","",MONTH(B16)&amp;"月"&amp;DAY(B16)&amp;"日（"&amp;C16&amp;"）")</f>
        <v/>
      </c>
      <c r="F16" s="39" t="n">
        <v>6</v>
      </c>
      <c r="G16" s="40">
        <f>IF(AND(F16&lt;=$B$6,ISNUMBER($B$3)),$B$3+(F16-1)*IF(ISNUMBER($B$5),$B$5,0)/1440,"")</f>
        <v/>
      </c>
      <c r="H16" s="37" t="n"/>
      <c r="I16" s="36">
        <f>IF(G16="","",TEXT(G16,"h:mm")&amp;"〜")</f>
        <v/>
      </c>
      <c r="K16" s="31" t="n"/>
      <c r="L16" s="41">
        <f>$I$16</f>
        <v/>
      </c>
      <c r="M16" s="42" t="n"/>
      <c r="N16" s="42" t="n"/>
      <c r="O16" s="42" t="n"/>
      <c r="P16" s="42" t="n"/>
      <c r="Q16" s="42" t="n"/>
      <c r="R16" s="42" t="n"/>
      <c r="S16" s="42" t="n"/>
      <c r="T16" s="42" t="n"/>
      <c r="U16" s="42" t="n"/>
      <c r="V16" s="42" t="n"/>
    </row>
    <row r="17">
      <c r="A17" s="25" t="inlineStr">
        <is>
          <t>7日目</t>
        </is>
      </c>
      <c r="B17" s="35" t="n"/>
      <c r="C17" s="36">
        <f>IF(B17="","",CHOOSE(WEEKDAY(B17),"日","月","火","水","木","金","土"))</f>
        <v/>
      </c>
      <c r="D17" s="37" t="n"/>
      <c r="E17" s="38">
        <f>IF(B17="","",MONTH(B17)&amp;"月"&amp;DAY(B17)&amp;"日（"&amp;C17&amp;"）")</f>
        <v/>
      </c>
      <c r="F17" s="39" t="n">
        <v>7</v>
      </c>
      <c r="G17" s="40">
        <f>IF(AND(F17&lt;=$B$6,ISNUMBER($B$3)),$B$3+(F17-1)*IF(ISNUMBER($B$5),$B$5,0)/1440,"")</f>
        <v/>
      </c>
      <c r="H17" s="37" t="n"/>
      <c r="I17" s="36">
        <f>IF(G17="","",TEXT(G17,"h:mm")&amp;"〜")</f>
        <v/>
      </c>
      <c r="K17" s="31" t="n"/>
      <c r="L17" s="41">
        <f>$I$17</f>
        <v/>
      </c>
      <c r="M17" s="42" t="n"/>
      <c r="N17" s="42" t="n"/>
      <c r="O17" s="42" t="n"/>
      <c r="P17" s="42" t="n"/>
      <c r="Q17" s="42" t="n"/>
      <c r="R17" s="42" t="n"/>
      <c r="S17" s="42" t="n"/>
      <c r="T17" s="42" t="n"/>
      <c r="U17" s="42" t="n"/>
      <c r="V17" s="42" t="n"/>
    </row>
    <row r="18">
      <c r="A18" s="25" t="inlineStr">
        <is>
          <t>8日目</t>
        </is>
      </c>
      <c r="B18" s="35" t="n"/>
      <c r="C18" s="36">
        <f>IF(B18="","",CHOOSE(WEEKDAY(B18),"日","月","火","水","木","金","土"))</f>
        <v/>
      </c>
      <c r="D18" s="37" t="n"/>
      <c r="E18" s="38">
        <f>IF(B18="","",MONTH(B18)&amp;"月"&amp;DAY(B18)&amp;"日（"&amp;C18&amp;"）")</f>
        <v/>
      </c>
      <c r="F18" s="39" t="n">
        <v>8</v>
      </c>
      <c r="G18" s="40">
        <f>IF(AND(F18&lt;=$B$6,ISNUMBER($B$3)),$B$3+(F18-1)*IF(ISNUMBER($B$5),$B$5,0)/1440,"")</f>
        <v/>
      </c>
      <c r="H18" s="37" t="n"/>
      <c r="I18" s="36">
        <f>IF(G18="","",TEXT(G18,"h:mm")&amp;"〜")</f>
        <v/>
      </c>
      <c r="K18" s="31" t="n"/>
      <c r="L18" s="41">
        <f>$I$18</f>
        <v/>
      </c>
      <c r="M18" s="42" t="n"/>
      <c r="N18" s="42" t="n"/>
      <c r="O18" s="42" t="n"/>
      <c r="P18" s="42" t="n"/>
      <c r="Q18" s="42" t="n"/>
      <c r="R18" s="42" t="n"/>
      <c r="S18" s="42" t="n"/>
      <c r="T18" s="42" t="n"/>
      <c r="U18" s="42" t="n"/>
      <c r="V18" s="42" t="n"/>
    </row>
    <row r="19">
      <c r="A19" s="25" t="inlineStr">
        <is>
          <t>9日目</t>
        </is>
      </c>
      <c r="B19" s="35" t="n"/>
      <c r="C19" s="36">
        <f>IF(B19="","",CHOOSE(WEEKDAY(B19),"日","月","火","水","木","金","土"))</f>
        <v/>
      </c>
      <c r="D19" s="37" t="n"/>
      <c r="E19" s="38">
        <f>IF(B19="","",MONTH(B19)&amp;"月"&amp;DAY(B19)&amp;"日（"&amp;C19&amp;"）")</f>
        <v/>
      </c>
      <c r="F19" s="39" t="n">
        <v>9</v>
      </c>
      <c r="G19" s="40">
        <f>IF(AND(F19&lt;=$B$6,ISNUMBER($B$3)),$B$3+(F19-1)*IF(ISNUMBER($B$5),$B$5,0)/1440,"")</f>
        <v/>
      </c>
      <c r="H19" s="37" t="n"/>
      <c r="I19" s="36">
        <f>IF(G19="","",TEXT(G19,"h:mm")&amp;"〜")</f>
        <v/>
      </c>
      <c r="K19" s="31" t="n"/>
      <c r="L19" s="41">
        <f>$I$19</f>
        <v/>
      </c>
      <c r="M19" s="42" t="n"/>
      <c r="N19" s="42" t="n"/>
      <c r="O19" s="42" t="n"/>
      <c r="P19" s="42" t="n"/>
      <c r="Q19" s="42" t="n"/>
      <c r="R19" s="42" t="n"/>
      <c r="S19" s="42" t="n"/>
      <c r="T19" s="42" t="n"/>
      <c r="U19" s="42" t="n"/>
      <c r="V19" s="42" t="n"/>
    </row>
    <row r="20">
      <c r="A20" s="25" t="inlineStr">
        <is>
          <t>10日目</t>
        </is>
      </c>
      <c r="B20" s="35" t="n"/>
      <c r="C20" s="36">
        <f>IF(B20="","",CHOOSE(WEEKDAY(B20),"日","月","火","水","木","金","土"))</f>
        <v/>
      </c>
      <c r="D20" s="37" t="n"/>
      <c r="E20" s="38">
        <f>IF(B20="","",MONTH(B20)&amp;"月"&amp;DAY(B20)&amp;"日（"&amp;C20&amp;"）")</f>
        <v/>
      </c>
      <c r="F20" s="39" t="n">
        <v>10</v>
      </c>
      <c r="G20" s="40">
        <f>IF(AND(F20&lt;=$B$6,ISNUMBER($B$3)),$B$3+(F20-1)*IF(ISNUMBER($B$5),$B$5,0)/1440,"")</f>
        <v/>
      </c>
      <c r="H20" s="37" t="n"/>
      <c r="I20" s="36">
        <f>IF(G20="","",TEXT(G20,"h:mm")&amp;"〜")</f>
        <v/>
      </c>
      <c r="K20" s="31" t="n"/>
      <c r="L20" s="41">
        <f>$I$20</f>
        <v/>
      </c>
      <c r="M20" s="42" t="n"/>
      <c r="N20" s="42" t="n"/>
      <c r="O20" s="42" t="n"/>
      <c r="P20" s="42" t="n"/>
      <c r="Q20" s="42" t="n"/>
      <c r="R20" s="42" t="n"/>
      <c r="S20" s="42" t="n"/>
      <c r="T20" s="42" t="n"/>
      <c r="U20" s="42" t="n"/>
      <c r="V20" s="42" t="n"/>
    </row>
    <row r="21">
      <c r="F21" s="39" t="n">
        <v>11</v>
      </c>
      <c r="G21" s="40">
        <f>IF(AND(F21&lt;=$B$6,ISNUMBER($B$3)),$B$3+(F21-1)*IF(ISNUMBER($B$5),$B$5,0)/1440,"")</f>
        <v/>
      </c>
      <c r="H21" s="37" t="n"/>
      <c r="I21" s="36">
        <f>IF(G21="","",TEXT(G21,"h:mm")&amp;"〜")</f>
        <v/>
      </c>
      <c r="K21" s="31" t="n"/>
      <c r="L21" s="41">
        <f>$I$21</f>
        <v/>
      </c>
      <c r="M21" s="42" t="n"/>
      <c r="N21" s="42" t="n"/>
      <c r="O21" s="42" t="n"/>
      <c r="P21" s="42" t="n"/>
      <c r="Q21" s="42" t="n"/>
      <c r="R21" s="42" t="n"/>
      <c r="S21" s="42" t="n"/>
      <c r="T21" s="42" t="n"/>
      <c r="U21" s="42" t="n"/>
      <c r="V21" s="42" t="n"/>
    </row>
    <row r="22">
      <c r="F22" s="39" t="n">
        <v>12</v>
      </c>
      <c r="G22" s="40">
        <f>IF(AND(F22&lt;=$B$6,ISNUMBER($B$3)),$B$3+(F22-1)*IF(ISNUMBER($B$5),$B$5,0)/1440,"")</f>
        <v/>
      </c>
      <c r="H22" s="37" t="n"/>
      <c r="I22" s="36">
        <f>IF(G22="","",TEXT(G22,"h:mm")&amp;"〜")</f>
        <v/>
      </c>
      <c r="K22" s="31" t="n"/>
      <c r="L22" s="41">
        <f>$I$22</f>
        <v/>
      </c>
      <c r="M22" s="42" t="n"/>
      <c r="N22" s="42" t="n"/>
      <c r="O22" s="42" t="n"/>
      <c r="P22" s="42" t="n"/>
      <c r="Q22" s="42" t="n"/>
      <c r="R22" s="42" t="n"/>
      <c r="S22" s="42" t="n"/>
      <c r="T22" s="42" t="n"/>
      <c r="U22" s="42" t="n"/>
      <c r="V22" s="42" t="n"/>
    </row>
    <row r="23">
      <c r="A23" s="26" t="inlineStr">
        <is>
          <t>※ 日付は上から詰めて入れてください。曜日・表示・時刻は自動で出ます。</t>
        </is>
      </c>
    </row>
    <row r="24">
      <c r="A24" s="26" t="inlineStr">
        <is>
          <t>※「なるべく空ける」「休憩」は、ほかに入る枠がないときだけ使います。必ず使わない枠は、右の表で止めてください。</t>
        </is>
      </c>
    </row>
  </sheetData>
  <mergeCells count="3">
    <mergeCell ref="K9:L9"/>
    <mergeCell ref="F1:G1"/>
    <mergeCell ref="B8:E8"/>
  </mergeCells>
  <conditionalFormatting sqref="M11:V22">
    <cfRule type="expression" priority="1" dxfId="2" stopIfTrue="1">
      <formula>OR(INDEX($B$11:$B$20,COLUMN(M11)-12)="",ROW(M11)-10&gt;$B$6)</formula>
    </cfRule>
    <cfRule type="expression" priority="2" dxfId="3">
      <formula>OR(M11&lt;&gt;"",M$9&lt;&gt;"",$K11&lt;&gt;"")</formula>
    </cfRule>
  </conditionalFormatting>
  <conditionalFormatting sqref="M10:V10">
    <cfRule type="expression" priority="3" dxfId="4">
      <formula>M10=""</formula>
    </cfRule>
  </conditionalFormatting>
  <dataValidations count="6">
    <dataValidation sqref="B3:B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 sqref="K11:K22 M9:V9 M11:V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HYPERLINK("#'割り当て'!A1","⑤ 割り当て")</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43" t="inlineStr">
        <is>
          <t>希望：早い時刻／遅い時刻／早い日／遅い日。後ろを空ける：必ず空けたい／出来れば空けたい（同じ日のすぐ次の枠を空けます）。</t>
        </is>
      </c>
    </row>
    <row r="4" ht="32" customHeight="1">
      <c r="A4" s="44" t="inlineStr">
        <is>
          <t>番号</t>
        </is>
      </c>
      <c r="B4" s="44" t="inlineStr">
        <is>
          <t>名前</t>
        </is>
      </c>
      <c r="C4" s="44" t="inlineStr">
        <is>
          <t>兄弟</t>
        </is>
      </c>
      <c r="D4" s="44" t="inlineStr">
        <is>
          <t>兄弟メモ</t>
        </is>
      </c>
      <c r="E4" s="44" t="inlineStr">
        <is>
          <t>希望</t>
        </is>
      </c>
      <c r="F4" s="44" t="inlineStr">
        <is>
          <t>後ろを空ける</t>
        </is>
      </c>
      <c r="G4" s="45" t="inlineStr">
        <is>
          <t>表示名</t>
        </is>
      </c>
      <c r="H4" s="45" t="inlineStr">
        <is>
          <t>状況</t>
        </is>
      </c>
      <c r="I4" s="45" t="inlineStr">
        <is>
          <t>×の数</t>
        </is>
      </c>
      <c r="J4" s="45" t="inlineStr">
        <is>
          <t>入れられる空き枠</t>
        </is>
      </c>
      <c r="K4" s="45" t="inlineStr">
        <is>
          <t>決める順</t>
        </is>
      </c>
      <c r="L4" s="45" t="inlineStr">
        <is>
          <t>日付</t>
        </is>
      </c>
      <c r="M4" s="45" t="inlineStr">
        <is>
          <t>時刻</t>
        </is>
      </c>
      <c r="N4" s="45" t="inlineStr">
        <is>
          <t>注意</t>
        </is>
      </c>
      <c r="O4" s="45" t="inlineStr">
        <is>
          <t>自動案</t>
        </is>
      </c>
    </row>
    <row r="5" ht="19" customHeight="1">
      <c r="A5" s="46" t="n"/>
      <c r="B5" s="47" t="n"/>
      <c r="C5" s="46" t="n"/>
      <c r="D5" s="47" t="n"/>
      <c r="E5" s="46" t="n"/>
      <c r="F5" s="46" t="n"/>
      <c r="G5" s="38">
        <f>IF(B5="","",IF(A5="","",A5&amp;" ")&amp;B5)</f>
        <v/>
      </c>
      <c r="H5" s="36">
        <f>IF(B5="","",IF('×入力'!F5="未提出","未提出",IF(I5&gt;0,"入力済み",IF('×入力'!F5="×なし（どこでもOK）","×なし","未入力"))))</f>
        <v/>
      </c>
      <c r="I5" s="36">
        <f>IF(B5="","",'計算A'!DX10)</f>
        <v/>
      </c>
      <c r="J5" s="36">
        <f>IF(OR(H5="入力済み",H5="×なし"),'計算A'!DW10,"")</f>
        <v/>
      </c>
      <c r="K5" s="36">
        <f>IF('計算A'!C10=1,COUNTIFS('計算A'!$C$10:$C$54,1,'計算A'!$DW$10:$DW$54,"&lt;"&amp;'計算A'!DW10)+1,"")</f>
        <v/>
      </c>
      <c r="L5" s="38">
        <f>IF('計算A'!DY10=0,"",INDEX('設定'!$E$11:$E$20,INDEX('計算A'!$D$2:$DS$2,'計算A'!DY10)))</f>
        <v/>
      </c>
      <c r="M5" s="36">
        <f>IF('計算A'!DY10=0,"",INDEX('設定'!$I$11:$I$22,INDEX('計算A'!$D$3:$DS$3,'計算A'!DY10)))</f>
        <v/>
      </c>
      <c r="N5" s="38">
        <f>IF(G5="","",IF(COUNTIF('割り当て'!$C$6:$L$17,G5)&gt;1,"2か所以上に入っています",IF('計算A'!DY10&gt;0,IF(INDEX('計算A'!$D$4:$DS$4,'計算A'!DY10)=0,"使えない枠に入っています",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38">
        <f>IF('計算A'!DU10=0,IF('計算A'!DV10=1,"入る枠がありません",""),INDEX('計算A'!$D$8:$DS$8,'計算A'!DU10))</f>
        <v/>
      </c>
      <c r="P5" s="48">
        <f>HYPERLINK("#'×入力'!B5","×入力へ")</f>
        <v/>
      </c>
    </row>
    <row r="6" ht="19" customHeight="1">
      <c r="A6" s="46" t="n"/>
      <c r="B6" s="47" t="n"/>
      <c r="C6" s="46" t="n"/>
      <c r="D6" s="47" t="n"/>
      <c r="E6" s="46" t="n"/>
      <c r="F6" s="46" t="n"/>
      <c r="G6" s="38">
        <f>IF(B6="","",IF(A6="","",A6&amp;" ")&amp;B6)</f>
        <v/>
      </c>
      <c r="H6" s="36">
        <f>IF(B6="","",IF('×入力'!F21="未提出","未提出",IF(I6&gt;0,"入力済み",IF('×入力'!F21="×なし（どこでもOK）","×なし","未入力"))))</f>
        <v/>
      </c>
      <c r="I6" s="36">
        <f>IF(B6="","",'計算A'!DX11)</f>
        <v/>
      </c>
      <c r="J6" s="36">
        <f>IF(OR(H6="入力済み",H6="×なし"),'計算A'!DW11,"")</f>
        <v/>
      </c>
      <c r="K6" s="36">
        <f>IF('計算A'!C11=1,COUNTIFS('計算A'!$C$10:$C$54,1,'計算A'!$DW$10:$DW$54,"&lt;"&amp;'計算A'!DW11)+1,"")</f>
        <v/>
      </c>
      <c r="L6" s="38">
        <f>IF('計算A'!DY11=0,"",INDEX('設定'!$E$11:$E$20,INDEX('計算A'!$D$2:$DS$2,'計算A'!DY11)))</f>
        <v/>
      </c>
      <c r="M6" s="36">
        <f>IF('計算A'!DY11=0,"",INDEX('設定'!$I$11:$I$22,INDEX('計算A'!$D$3:$DS$3,'計算A'!DY11)))</f>
        <v/>
      </c>
      <c r="N6" s="38">
        <f>IF(G6="","",IF(COUNTIF('割り当て'!$C$6:$L$17,G6)&gt;1,"2か所以上に入っています",IF('計算A'!DY11&gt;0,IF(INDEX('計算A'!$D$4:$DS$4,'計算A'!DY11)=0,"使えない枠に入っています",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38">
        <f>IF('計算A'!DU11=0,IF('計算A'!DV11=1,"入る枠がありません",""),INDEX('計算A'!$D$8:$DS$8,'計算A'!DU11))</f>
        <v/>
      </c>
      <c r="P6" s="48">
        <f>HYPERLINK("#'×入力'!B21","×入力へ")</f>
        <v/>
      </c>
    </row>
    <row r="7" ht="19" customHeight="1">
      <c r="A7" s="46" t="n"/>
      <c r="B7" s="47" t="n"/>
      <c r="C7" s="46" t="n"/>
      <c r="D7" s="47" t="n"/>
      <c r="E7" s="46" t="n"/>
      <c r="F7" s="46" t="n"/>
      <c r="G7" s="38">
        <f>IF(B7="","",IF(A7="","",A7&amp;" ")&amp;B7)</f>
        <v/>
      </c>
      <c r="H7" s="36">
        <f>IF(B7="","",IF('×入力'!F37="未提出","未提出",IF(I7&gt;0,"入力済み",IF('×入力'!F37="×なし（どこでもOK）","×なし","未入力"))))</f>
        <v/>
      </c>
      <c r="I7" s="36">
        <f>IF(B7="","",'計算A'!DX12)</f>
        <v/>
      </c>
      <c r="J7" s="36">
        <f>IF(OR(H7="入力済み",H7="×なし"),'計算A'!DW12,"")</f>
        <v/>
      </c>
      <c r="K7" s="36">
        <f>IF('計算A'!C12=1,COUNTIFS('計算A'!$C$10:$C$54,1,'計算A'!$DW$10:$DW$54,"&lt;"&amp;'計算A'!DW12)+1,"")</f>
        <v/>
      </c>
      <c r="L7" s="38">
        <f>IF('計算A'!DY12=0,"",INDEX('設定'!$E$11:$E$20,INDEX('計算A'!$D$2:$DS$2,'計算A'!DY12)))</f>
        <v/>
      </c>
      <c r="M7" s="36">
        <f>IF('計算A'!DY12=0,"",INDEX('設定'!$I$11:$I$22,INDEX('計算A'!$D$3:$DS$3,'計算A'!DY12)))</f>
        <v/>
      </c>
      <c r="N7" s="38">
        <f>IF(G7="","",IF(COUNTIF('割り当て'!$C$6:$L$17,G7)&gt;1,"2か所以上に入っています",IF('計算A'!DY12&gt;0,IF(INDEX('計算A'!$D$4:$DS$4,'計算A'!DY12)=0,"使えない枠に入っています",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38">
        <f>IF('計算A'!DU12=0,IF('計算A'!DV12=1,"入る枠がありません",""),INDEX('計算A'!$D$8:$DS$8,'計算A'!DU12))</f>
        <v/>
      </c>
      <c r="P7" s="48">
        <f>HYPERLINK("#'×入力'!B37","×入力へ")</f>
        <v/>
      </c>
    </row>
    <row r="8" ht="19" customHeight="1">
      <c r="A8" s="46" t="n"/>
      <c r="B8" s="47" t="n"/>
      <c r="C8" s="46" t="n"/>
      <c r="D8" s="47" t="n"/>
      <c r="E8" s="46" t="n"/>
      <c r="F8" s="46" t="n"/>
      <c r="G8" s="38">
        <f>IF(B8="","",IF(A8="","",A8&amp;" ")&amp;B8)</f>
        <v/>
      </c>
      <c r="H8" s="36">
        <f>IF(B8="","",IF('×入力'!F53="未提出","未提出",IF(I8&gt;0,"入力済み",IF('×入力'!F53="×なし（どこでもOK）","×なし","未入力"))))</f>
        <v/>
      </c>
      <c r="I8" s="36">
        <f>IF(B8="","",'計算A'!DX13)</f>
        <v/>
      </c>
      <c r="J8" s="36">
        <f>IF(OR(H8="入力済み",H8="×なし"),'計算A'!DW13,"")</f>
        <v/>
      </c>
      <c r="K8" s="36">
        <f>IF('計算A'!C13=1,COUNTIFS('計算A'!$C$10:$C$54,1,'計算A'!$DW$10:$DW$54,"&lt;"&amp;'計算A'!DW13)+1,"")</f>
        <v/>
      </c>
      <c r="L8" s="38">
        <f>IF('計算A'!DY13=0,"",INDEX('設定'!$E$11:$E$20,INDEX('計算A'!$D$2:$DS$2,'計算A'!DY13)))</f>
        <v/>
      </c>
      <c r="M8" s="36">
        <f>IF('計算A'!DY13=0,"",INDEX('設定'!$I$11:$I$22,INDEX('計算A'!$D$3:$DS$3,'計算A'!DY13)))</f>
        <v/>
      </c>
      <c r="N8" s="38">
        <f>IF(G8="","",IF(COUNTIF('割り当て'!$C$6:$L$17,G8)&gt;1,"2か所以上に入っています",IF('計算A'!DY13&gt;0,IF(INDEX('計算A'!$D$4:$DS$4,'計算A'!DY13)=0,"使えない枠に入っています",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38">
        <f>IF('計算A'!DU13=0,IF('計算A'!DV13=1,"入る枠がありません",""),INDEX('計算A'!$D$8:$DS$8,'計算A'!DU13))</f>
        <v/>
      </c>
      <c r="P8" s="48">
        <f>HYPERLINK("#'×入力'!B53","×入力へ")</f>
        <v/>
      </c>
    </row>
    <row r="9" ht="19" customHeight="1">
      <c r="A9" s="46" t="n"/>
      <c r="B9" s="47" t="n"/>
      <c r="C9" s="46" t="n"/>
      <c r="D9" s="47" t="n"/>
      <c r="E9" s="46" t="n"/>
      <c r="F9" s="46" t="n"/>
      <c r="G9" s="38">
        <f>IF(B9="","",IF(A9="","",A9&amp;" ")&amp;B9)</f>
        <v/>
      </c>
      <c r="H9" s="36">
        <f>IF(B9="","",IF('×入力'!F69="未提出","未提出",IF(I9&gt;0,"入力済み",IF('×入力'!F69="×なし（どこでもOK）","×なし","未入力"))))</f>
        <v/>
      </c>
      <c r="I9" s="36">
        <f>IF(B9="","",'計算A'!DX14)</f>
        <v/>
      </c>
      <c r="J9" s="36">
        <f>IF(OR(H9="入力済み",H9="×なし"),'計算A'!DW14,"")</f>
        <v/>
      </c>
      <c r="K9" s="36">
        <f>IF('計算A'!C14=1,COUNTIFS('計算A'!$C$10:$C$54,1,'計算A'!$DW$10:$DW$54,"&lt;"&amp;'計算A'!DW14)+1,"")</f>
        <v/>
      </c>
      <c r="L9" s="38">
        <f>IF('計算A'!DY14=0,"",INDEX('設定'!$E$11:$E$20,INDEX('計算A'!$D$2:$DS$2,'計算A'!DY14)))</f>
        <v/>
      </c>
      <c r="M9" s="36">
        <f>IF('計算A'!DY14=0,"",INDEX('設定'!$I$11:$I$22,INDEX('計算A'!$D$3:$DS$3,'計算A'!DY14)))</f>
        <v/>
      </c>
      <c r="N9" s="38">
        <f>IF(G9="","",IF(COUNTIF('割り当て'!$C$6:$L$17,G9)&gt;1,"2か所以上に入っています",IF('計算A'!DY14&gt;0,IF(INDEX('計算A'!$D$4:$DS$4,'計算A'!DY14)=0,"使えない枠に入っています",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38">
        <f>IF('計算A'!DU14=0,IF('計算A'!DV14=1,"入る枠がありません",""),INDEX('計算A'!$D$8:$DS$8,'計算A'!DU14))</f>
        <v/>
      </c>
      <c r="P9" s="48">
        <f>HYPERLINK("#'×入力'!B69","×入力へ")</f>
        <v/>
      </c>
    </row>
    <row r="10" ht="19" customHeight="1">
      <c r="A10" s="46" t="n"/>
      <c r="B10" s="47" t="n"/>
      <c r="C10" s="46" t="n"/>
      <c r="D10" s="47" t="n"/>
      <c r="E10" s="46" t="n"/>
      <c r="F10" s="46" t="n"/>
      <c r="G10" s="38">
        <f>IF(B10="","",IF(A10="","",A10&amp;" ")&amp;B10)</f>
        <v/>
      </c>
      <c r="H10" s="36">
        <f>IF(B10="","",IF('×入力'!F85="未提出","未提出",IF(I10&gt;0,"入力済み",IF('×入力'!F85="×なし（どこでもOK）","×なし","未入力"))))</f>
        <v/>
      </c>
      <c r="I10" s="36">
        <f>IF(B10="","",'計算A'!DX15)</f>
        <v/>
      </c>
      <c r="J10" s="36">
        <f>IF(OR(H10="入力済み",H10="×なし"),'計算A'!DW15,"")</f>
        <v/>
      </c>
      <c r="K10" s="36">
        <f>IF('計算A'!C15=1,COUNTIFS('計算A'!$C$10:$C$54,1,'計算A'!$DW$10:$DW$54,"&lt;"&amp;'計算A'!DW15)+1,"")</f>
        <v/>
      </c>
      <c r="L10" s="38">
        <f>IF('計算A'!DY15=0,"",INDEX('設定'!$E$11:$E$20,INDEX('計算A'!$D$2:$DS$2,'計算A'!DY15)))</f>
        <v/>
      </c>
      <c r="M10" s="36">
        <f>IF('計算A'!DY15=0,"",INDEX('設定'!$I$11:$I$22,INDEX('計算A'!$D$3:$DS$3,'計算A'!DY15)))</f>
        <v/>
      </c>
      <c r="N10" s="38">
        <f>IF(G10="","",IF(COUNTIF('割り当て'!$C$6:$L$17,G10)&gt;1,"2か所以上に入っています",IF('計算A'!DY15&gt;0,IF(INDEX('計算A'!$D$4:$DS$4,'計算A'!DY15)=0,"使えない枠に入っています",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38">
        <f>IF('計算A'!DU15=0,IF('計算A'!DV15=1,"入る枠がありません",""),INDEX('計算A'!$D$8:$DS$8,'計算A'!DU15))</f>
        <v/>
      </c>
      <c r="P10" s="48">
        <f>HYPERLINK("#'×入力'!B85","×入力へ")</f>
        <v/>
      </c>
    </row>
    <row r="11" ht="19" customHeight="1">
      <c r="A11" s="46" t="n"/>
      <c r="B11" s="47" t="n"/>
      <c r="C11" s="46" t="n"/>
      <c r="D11" s="47" t="n"/>
      <c r="E11" s="46" t="n"/>
      <c r="F11" s="46" t="n"/>
      <c r="G11" s="38">
        <f>IF(B11="","",IF(A11="","",A11&amp;" ")&amp;B11)</f>
        <v/>
      </c>
      <c r="H11" s="36">
        <f>IF(B11="","",IF('×入力'!F101="未提出","未提出",IF(I11&gt;0,"入力済み",IF('×入力'!F101="×なし（どこでもOK）","×なし","未入力"))))</f>
        <v/>
      </c>
      <c r="I11" s="36">
        <f>IF(B11="","",'計算A'!DX16)</f>
        <v/>
      </c>
      <c r="J11" s="36">
        <f>IF(OR(H11="入力済み",H11="×なし"),'計算A'!DW16,"")</f>
        <v/>
      </c>
      <c r="K11" s="36">
        <f>IF('計算A'!C16=1,COUNTIFS('計算A'!$C$10:$C$54,1,'計算A'!$DW$10:$DW$54,"&lt;"&amp;'計算A'!DW16)+1,"")</f>
        <v/>
      </c>
      <c r="L11" s="38">
        <f>IF('計算A'!DY16=0,"",INDEX('設定'!$E$11:$E$20,INDEX('計算A'!$D$2:$DS$2,'計算A'!DY16)))</f>
        <v/>
      </c>
      <c r="M11" s="36">
        <f>IF('計算A'!DY16=0,"",INDEX('設定'!$I$11:$I$22,INDEX('計算A'!$D$3:$DS$3,'計算A'!DY16)))</f>
        <v/>
      </c>
      <c r="N11" s="38">
        <f>IF(G11="","",IF(COUNTIF('割り当て'!$C$6:$L$17,G11)&gt;1,"2か所以上に入っています",IF('計算A'!DY16&gt;0,IF(INDEX('計算A'!$D$4:$DS$4,'計算A'!DY16)=0,"使えない枠に入っています",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38">
        <f>IF('計算A'!DU16=0,IF('計算A'!DV16=1,"入る枠がありません",""),INDEX('計算A'!$D$8:$DS$8,'計算A'!DU16))</f>
        <v/>
      </c>
      <c r="P11" s="48">
        <f>HYPERLINK("#'×入力'!B101","×入力へ")</f>
        <v/>
      </c>
    </row>
    <row r="12" ht="19" customHeight="1">
      <c r="A12" s="46" t="n"/>
      <c r="B12" s="47" t="n"/>
      <c r="C12" s="46" t="n"/>
      <c r="D12" s="47" t="n"/>
      <c r="E12" s="46" t="n"/>
      <c r="F12" s="46" t="n"/>
      <c r="G12" s="38">
        <f>IF(B12="","",IF(A12="","",A12&amp;" ")&amp;B12)</f>
        <v/>
      </c>
      <c r="H12" s="36">
        <f>IF(B12="","",IF('×入力'!F117="未提出","未提出",IF(I12&gt;0,"入力済み",IF('×入力'!F117="×なし（どこでもOK）","×なし","未入力"))))</f>
        <v/>
      </c>
      <c r="I12" s="36">
        <f>IF(B12="","",'計算A'!DX17)</f>
        <v/>
      </c>
      <c r="J12" s="36">
        <f>IF(OR(H12="入力済み",H12="×なし"),'計算A'!DW17,"")</f>
        <v/>
      </c>
      <c r="K12" s="36">
        <f>IF('計算A'!C17=1,COUNTIFS('計算A'!$C$10:$C$54,1,'計算A'!$DW$10:$DW$54,"&lt;"&amp;'計算A'!DW17)+1,"")</f>
        <v/>
      </c>
      <c r="L12" s="38">
        <f>IF('計算A'!DY17=0,"",INDEX('設定'!$E$11:$E$20,INDEX('計算A'!$D$2:$DS$2,'計算A'!DY17)))</f>
        <v/>
      </c>
      <c r="M12" s="36">
        <f>IF('計算A'!DY17=0,"",INDEX('設定'!$I$11:$I$22,INDEX('計算A'!$D$3:$DS$3,'計算A'!DY17)))</f>
        <v/>
      </c>
      <c r="N12" s="38">
        <f>IF(G12="","",IF(COUNTIF('割り当て'!$C$6:$L$17,G12)&gt;1,"2か所以上に入っています",IF('計算A'!DY17&gt;0,IF(INDEX('計算A'!$D$4:$DS$4,'計算A'!DY17)=0,"使えない枠に入っています",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38">
        <f>IF('計算A'!DU17=0,IF('計算A'!DV17=1,"入る枠がありません",""),INDEX('計算A'!$D$8:$DS$8,'計算A'!DU17))</f>
        <v/>
      </c>
      <c r="P12" s="48">
        <f>HYPERLINK("#'×入力'!B117","×入力へ")</f>
        <v/>
      </c>
    </row>
    <row r="13" ht="19" customHeight="1">
      <c r="A13" s="46" t="n"/>
      <c r="B13" s="47" t="n"/>
      <c r="C13" s="46" t="n"/>
      <c r="D13" s="47" t="n"/>
      <c r="E13" s="46" t="n"/>
      <c r="F13" s="46" t="n"/>
      <c r="G13" s="38">
        <f>IF(B13="","",IF(A13="","",A13&amp;" ")&amp;B13)</f>
        <v/>
      </c>
      <c r="H13" s="36">
        <f>IF(B13="","",IF('×入力'!F133="未提出","未提出",IF(I13&gt;0,"入力済み",IF('×入力'!F133="×なし（どこでもOK）","×なし","未入力"))))</f>
        <v/>
      </c>
      <c r="I13" s="36">
        <f>IF(B13="","",'計算A'!DX18)</f>
        <v/>
      </c>
      <c r="J13" s="36">
        <f>IF(OR(H13="入力済み",H13="×なし"),'計算A'!DW18,"")</f>
        <v/>
      </c>
      <c r="K13" s="36">
        <f>IF('計算A'!C18=1,COUNTIFS('計算A'!$C$10:$C$54,1,'計算A'!$DW$10:$DW$54,"&lt;"&amp;'計算A'!DW18)+1,"")</f>
        <v/>
      </c>
      <c r="L13" s="38">
        <f>IF('計算A'!DY18=0,"",INDEX('設定'!$E$11:$E$20,INDEX('計算A'!$D$2:$DS$2,'計算A'!DY18)))</f>
        <v/>
      </c>
      <c r="M13" s="36">
        <f>IF('計算A'!DY18=0,"",INDEX('設定'!$I$11:$I$22,INDEX('計算A'!$D$3:$DS$3,'計算A'!DY18)))</f>
        <v/>
      </c>
      <c r="N13" s="38">
        <f>IF(G13="","",IF(COUNTIF('割り当て'!$C$6:$L$17,G13)&gt;1,"2か所以上に入っています",IF('計算A'!DY18&gt;0,IF(INDEX('計算A'!$D$4:$DS$4,'計算A'!DY18)=0,"使えない枠に入っています",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38">
        <f>IF('計算A'!DU18=0,IF('計算A'!DV18=1,"入る枠がありません",""),INDEX('計算A'!$D$8:$DS$8,'計算A'!DU18))</f>
        <v/>
      </c>
      <c r="P13" s="48">
        <f>HYPERLINK("#'×入力'!B133","×入力へ")</f>
        <v/>
      </c>
    </row>
    <row r="14" ht="19" customHeight="1">
      <c r="A14" s="46" t="n"/>
      <c r="B14" s="47" t="n"/>
      <c r="C14" s="46" t="n"/>
      <c r="D14" s="47" t="n"/>
      <c r="E14" s="46" t="n"/>
      <c r="F14" s="46" t="n"/>
      <c r="G14" s="38">
        <f>IF(B14="","",IF(A14="","",A14&amp;" ")&amp;B14)</f>
        <v/>
      </c>
      <c r="H14" s="36">
        <f>IF(B14="","",IF('×入力'!F149="未提出","未提出",IF(I14&gt;0,"入力済み",IF('×入力'!F149="×なし（どこでもOK）","×なし","未入力"))))</f>
        <v/>
      </c>
      <c r="I14" s="36">
        <f>IF(B14="","",'計算A'!DX19)</f>
        <v/>
      </c>
      <c r="J14" s="36">
        <f>IF(OR(H14="入力済み",H14="×なし"),'計算A'!DW19,"")</f>
        <v/>
      </c>
      <c r="K14" s="36">
        <f>IF('計算A'!C19=1,COUNTIFS('計算A'!$C$10:$C$54,1,'計算A'!$DW$10:$DW$54,"&lt;"&amp;'計算A'!DW19)+1,"")</f>
        <v/>
      </c>
      <c r="L14" s="38">
        <f>IF('計算A'!DY19=0,"",INDEX('設定'!$E$11:$E$20,INDEX('計算A'!$D$2:$DS$2,'計算A'!DY19)))</f>
        <v/>
      </c>
      <c r="M14" s="36">
        <f>IF('計算A'!DY19=0,"",INDEX('設定'!$I$11:$I$22,INDEX('計算A'!$D$3:$DS$3,'計算A'!DY19)))</f>
        <v/>
      </c>
      <c r="N14" s="38">
        <f>IF(G14="","",IF(COUNTIF('割り当て'!$C$6:$L$17,G14)&gt;1,"2か所以上に入っています",IF('計算A'!DY19&gt;0,IF(INDEX('計算A'!$D$4:$DS$4,'計算A'!DY19)=0,"使えない枠に入っています",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38">
        <f>IF('計算A'!DU19=0,IF('計算A'!DV19=1,"入る枠がありません",""),INDEX('計算A'!$D$8:$DS$8,'計算A'!DU19))</f>
        <v/>
      </c>
      <c r="P14" s="48">
        <f>HYPERLINK("#'×入力'!B149","×入力へ")</f>
        <v/>
      </c>
    </row>
    <row r="15" ht="19" customHeight="1">
      <c r="A15" s="46" t="n"/>
      <c r="B15" s="47" t="n"/>
      <c r="C15" s="46" t="n"/>
      <c r="D15" s="47" t="n"/>
      <c r="E15" s="46" t="n"/>
      <c r="F15" s="46" t="n"/>
      <c r="G15" s="38">
        <f>IF(B15="","",IF(A15="","",A15&amp;" ")&amp;B15)</f>
        <v/>
      </c>
      <c r="H15" s="36">
        <f>IF(B15="","",IF('×入力'!F165="未提出","未提出",IF(I15&gt;0,"入力済み",IF('×入力'!F165="×なし（どこでもOK）","×なし","未入力"))))</f>
        <v/>
      </c>
      <c r="I15" s="36">
        <f>IF(B15="","",'計算A'!DX20)</f>
        <v/>
      </c>
      <c r="J15" s="36">
        <f>IF(OR(H15="入力済み",H15="×なし"),'計算A'!DW20,"")</f>
        <v/>
      </c>
      <c r="K15" s="36">
        <f>IF('計算A'!C20=1,COUNTIFS('計算A'!$C$10:$C$54,1,'計算A'!$DW$10:$DW$54,"&lt;"&amp;'計算A'!DW20)+1,"")</f>
        <v/>
      </c>
      <c r="L15" s="38">
        <f>IF('計算A'!DY20=0,"",INDEX('設定'!$E$11:$E$20,INDEX('計算A'!$D$2:$DS$2,'計算A'!DY20)))</f>
        <v/>
      </c>
      <c r="M15" s="36">
        <f>IF('計算A'!DY20=0,"",INDEX('設定'!$I$11:$I$22,INDEX('計算A'!$D$3:$DS$3,'計算A'!DY20)))</f>
        <v/>
      </c>
      <c r="N15" s="38">
        <f>IF(G15="","",IF(COUNTIF('割り当て'!$C$6:$L$17,G15)&gt;1,"2か所以上に入っています",IF('計算A'!DY20&gt;0,IF(INDEX('計算A'!$D$4:$DS$4,'計算A'!DY20)=0,"使えない枠に入っています",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38">
        <f>IF('計算A'!DU20=0,IF('計算A'!DV20=1,"入る枠がありません",""),INDEX('計算A'!$D$8:$DS$8,'計算A'!DU20))</f>
        <v/>
      </c>
      <c r="P15" s="48">
        <f>HYPERLINK("#'×入力'!B165","×入力へ")</f>
        <v/>
      </c>
    </row>
    <row r="16" ht="19" customHeight="1">
      <c r="A16" s="46" t="n"/>
      <c r="B16" s="47" t="n"/>
      <c r="C16" s="46" t="n"/>
      <c r="D16" s="47" t="n"/>
      <c r="E16" s="46" t="n"/>
      <c r="F16" s="46" t="n"/>
      <c r="G16" s="38">
        <f>IF(B16="","",IF(A16="","",A16&amp;" ")&amp;B16)</f>
        <v/>
      </c>
      <c r="H16" s="36">
        <f>IF(B16="","",IF('×入力'!F181="未提出","未提出",IF(I16&gt;0,"入力済み",IF('×入力'!F181="×なし（どこでもOK）","×なし","未入力"))))</f>
        <v/>
      </c>
      <c r="I16" s="36">
        <f>IF(B16="","",'計算A'!DX21)</f>
        <v/>
      </c>
      <c r="J16" s="36">
        <f>IF(OR(H16="入力済み",H16="×なし"),'計算A'!DW21,"")</f>
        <v/>
      </c>
      <c r="K16" s="36">
        <f>IF('計算A'!C21=1,COUNTIFS('計算A'!$C$10:$C$54,1,'計算A'!$DW$10:$DW$54,"&lt;"&amp;'計算A'!DW21)+1,"")</f>
        <v/>
      </c>
      <c r="L16" s="38">
        <f>IF('計算A'!DY21=0,"",INDEX('設定'!$E$11:$E$20,INDEX('計算A'!$D$2:$DS$2,'計算A'!DY21)))</f>
        <v/>
      </c>
      <c r="M16" s="36">
        <f>IF('計算A'!DY21=0,"",INDEX('設定'!$I$11:$I$22,INDEX('計算A'!$D$3:$DS$3,'計算A'!DY21)))</f>
        <v/>
      </c>
      <c r="N16" s="38">
        <f>IF(G16="","",IF(COUNTIF('割り当て'!$C$6:$L$17,G16)&gt;1,"2か所以上に入っています",IF('計算A'!DY21&gt;0,IF(INDEX('計算A'!$D$4:$DS$4,'計算A'!DY21)=0,"使えない枠に入っています",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38">
        <f>IF('計算A'!DU21=0,IF('計算A'!DV21=1,"入る枠がありません",""),INDEX('計算A'!$D$8:$DS$8,'計算A'!DU21))</f>
        <v/>
      </c>
      <c r="P16" s="48">
        <f>HYPERLINK("#'×入力'!B181","×入力へ")</f>
        <v/>
      </c>
    </row>
    <row r="17" ht="19" customHeight="1">
      <c r="A17" s="46" t="n"/>
      <c r="B17" s="47" t="n"/>
      <c r="C17" s="46" t="n"/>
      <c r="D17" s="47" t="n"/>
      <c r="E17" s="46" t="n"/>
      <c r="F17" s="46" t="n"/>
      <c r="G17" s="38">
        <f>IF(B17="","",IF(A17="","",A17&amp;" ")&amp;B17)</f>
        <v/>
      </c>
      <c r="H17" s="36">
        <f>IF(B17="","",IF('×入力'!F197="未提出","未提出",IF(I17&gt;0,"入力済み",IF('×入力'!F197="×なし（どこでもOK）","×なし","未入力"))))</f>
        <v/>
      </c>
      <c r="I17" s="36">
        <f>IF(B17="","",'計算A'!DX22)</f>
        <v/>
      </c>
      <c r="J17" s="36">
        <f>IF(OR(H17="入力済み",H17="×なし"),'計算A'!DW22,"")</f>
        <v/>
      </c>
      <c r="K17" s="36">
        <f>IF('計算A'!C22=1,COUNTIFS('計算A'!$C$10:$C$54,1,'計算A'!$DW$10:$DW$54,"&lt;"&amp;'計算A'!DW22)+1,"")</f>
        <v/>
      </c>
      <c r="L17" s="38">
        <f>IF('計算A'!DY22=0,"",INDEX('設定'!$E$11:$E$20,INDEX('計算A'!$D$2:$DS$2,'計算A'!DY22)))</f>
        <v/>
      </c>
      <c r="M17" s="36">
        <f>IF('計算A'!DY22=0,"",INDEX('設定'!$I$11:$I$22,INDEX('計算A'!$D$3:$DS$3,'計算A'!DY22)))</f>
        <v/>
      </c>
      <c r="N17" s="38">
        <f>IF(G17="","",IF(COUNTIF('割り当て'!$C$6:$L$17,G17)&gt;1,"2か所以上に入っています",IF('計算A'!DY22&gt;0,IF(INDEX('計算A'!$D$4:$DS$4,'計算A'!DY22)=0,"使えない枠に入っています",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38">
        <f>IF('計算A'!DU22=0,IF('計算A'!DV22=1,"入る枠がありません",""),INDEX('計算A'!$D$8:$DS$8,'計算A'!DU22))</f>
        <v/>
      </c>
      <c r="P17" s="48">
        <f>HYPERLINK("#'×入力'!B197","×入力へ")</f>
        <v/>
      </c>
    </row>
    <row r="18" ht="19" customHeight="1">
      <c r="A18" s="46" t="n"/>
      <c r="B18" s="47" t="n"/>
      <c r="C18" s="46" t="n"/>
      <c r="D18" s="47" t="n"/>
      <c r="E18" s="46" t="n"/>
      <c r="F18" s="46" t="n"/>
      <c r="G18" s="38">
        <f>IF(B18="","",IF(A18="","",A18&amp;" ")&amp;B18)</f>
        <v/>
      </c>
      <c r="H18" s="36">
        <f>IF(B18="","",IF('×入力'!F213="未提出","未提出",IF(I18&gt;0,"入力済み",IF('×入力'!F213="×なし（どこでもOK）","×なし","未入力"))))</f>
        <v/>
      </c>
      <c r="I18" s="36">
        <f>IF(B18="","",'計算A'!DX23)</f>
        <v/>
      </c>
      <c r="J18" s="36">
        <f>IF(OR(H18="入力済み",H18="×なし"),'計算A'!DW23,"")</f>
        <v/>
      </c>
      <c r="K18" s="36">
        <f>IF('計算A'!C23=1,COUNTIFS('計算A'!$C$10:$C$54,1,'計算A'!$DW$10:$DW$54,"&lt;"&amp;'計算A'!DW23)+1,"")</f>
        <v/>
      </c>
      <c r="L18" s="38">
        <f>IF('計算A'!DY23=0,"",INDEX('設定'!$E$11:$E$20,INDEX('計算A'!$D$2:$DS$2,'計算A'!DY23)))</f>
        <v/>
      </c>
      <c r="M18" s="36">
        <f>IF('計算A'!DY23=0,"",INDEX('設定'!$I$11:$I$22,INDEX('計算A'!$D$3:$DS$3,'計算A'!DY23)))</f>
        <v/>
      </c>
      <c r="N18" s="38">
        <f>IF(G18="","",IF(COUNTIF('割り当て'!$C$6:$L$17,G18)&gt;1,"2か所以上に入っています",IF('計算A'!DY23&gt;0,IF(INDEX('計算A'!$D$4:$DS$4,'計算A'!DY23)=0,"使えない枠に入っています",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38">
        <f>IF('計算A'!DU23=0,IF('計算A'!DV23=1,"入る枠がありません",""),INDEX('計算A'!$D$8:$DS$8,'計算A'!DU23))</f>
        <v/>
      </c>
      <c r="P18" s="48">
        <f>HYPERLINK("#'×入力'!B213","×入力へ")</f>
        <v/>
      </c>
    </row>
    <row r="19" ht="19" customHeight="1">
      <c r="A19" s="46" t="n"/>
      <c r="B19" s="47" t="n"/>
      <c r="C19" s="46" t="n"/>
      <c r="D19" s="47" t="n"/>
      <c r="E19" s="46" t="n"/>
      <c r="F19" s="46" t="n"/>
      <c r="G19" s="38">
        <f>IF(B19="","",IF(A19="","",A19&amp;" ")&amp;B19)</f>
        <v/>
      </c>
      <c r="H19" s="36">
        <f>IF(B19="","",IF('×入力'!F229="未提出","未提出",IF(I19&gt;0,"入力済み",IF('×入力'!F229="×なし（どこでもOK）","×なし","未入力"))))</f>
        <v/>
      </c>
      <c r="I19" s="36">
        <f>IF(B19="","",'計算A'!DX24)</f>
        <v/>
      </c>
      <c r="J19" s="36">
        <f>IF(OR(H19="入力済み",H19="×なし"),'計算A'!DW24,"")</f>
        <v/>
      </c>
      <c r="K19" s="36">
        <f>IF('計算A'!C24=1,COUNTIFS('計算A'!$C$10:$C$54,1,'計算A'!$DW$10:$DW$54,"&lt;"&amp;'計算A'!DW24)+1,"")</f>
        <v/>
      </c>
      <c r="L19" s="38">
        <f>IF('計算A'!DY24=0,"",INDEX('設定'!$E$11:$E$20,INDEX('計算A'!$D$2:$DS$2,'計算A'!DY24)))</f>
        <v/>
      </c>
      <c r="M19" s="36">
        <f>IF('計算A'!DY24=0,"",INDEX('設定'!$I$11:$I$22,INDEX('計算A'!$D$3:$DS$3,'計算A'!DY24)))</f>
        <v/>
      </c>
      <c r="N19" s="38">
        <f>IF(G19="","",IF(COUNTIF('割り当て'!$C$6:$L$17,G19)&gt;1,"2か所以上に入っています",IF('計算A'!DY24&gt;0,IF(INDEX('計算A'!$D$4:$DS$4,'計算A'!DY24)=0,"使えない枠に入っています",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38">
        <f>IF('計算A'!DU24=0,IF('計算A'!DV24=1,"入る枠がありません",""),INDEX('計算A'!$D$8:$DS$8,'計算A'!DU24))</f>
        <v/>
      </c>
      <c r="P19" s="48">
        <f>HYPERLINK("#'×入力'!B229","×入力へ")</f>
        <v/>
      </c>
    </row>
    <row r="20" ht="19" customHeight="1">
      <c r="A20" s="46" t="n"/>
      <c r="B20" s="47" t="n"/>
      <c r="C20" s="46" t="n"/>
      <c r="D20" s="47" t="n"/>
      <c r="E20" s="46" t="n"/>
      <c r="F20" s="46" t="n"/>
      <c r="G20" s="38">
        <f>IF(B20="","",IF(A20="","",A20&amp;" ")&amp;B20)</f>
        <v/>
      </c>
      <c r="H20" s="36">
        <f>IF(B20="","",IF('×入力'!F245="未提出","未提出",IF(I20&gt;0,"入力済み",IF('×入力'!F245="×なし（どこでもOK）","×なし","未入力"))))</f>
        <v/>
      </c>
      <c r="I20" s="36">
        <f>IF(B20="","",'計算A'!DX25)</f>
        <v/>
      </c>
      <c r="J20" s="36">
        <f>IF(OR(H20="入力済み",H20="×なし"),'計算A'!DW25,"")</f>
        <v/>
      </c>
      <c r="K20" s="36">
        <f>IF('計算A'!C25=1,COUNTIFS('計算A'!$C$10:$C$54,1,'計算A'!$DW$10:$DW$54,"&lt;"&amp;'計算A'!DW25)+1,"")</f>
        <v/>
      </c>
      <c r="L20" s="38">
        <f>IF('計算A'!DY25=0,"",INDEX('設定'!$E$11:$E$20,INDEX('計算A'!$D$2:$DS$2,'計算A'!DY25)))</f>
        <v/>
      </c>
      <c r="M20" s="36">
        <f>IF('計算A'!DY25=0,"",INDEX('設定'!$I$11:$I$22,INDEX('計算A'!$D$3:$DS$3,'計算A'!DY25)))</f>
        <v/>
      </c>
      <c r="N20" s="38">
        <f>IF(G20="","",IF(COUNTIF('割り当て'!$C$6:$L$17,G20)&gt;1,"2か所以上に入っています",IF('計算A'!DY25&gt;0,IF(INDEX('計算A'!$D$4:$DS$4,'計算A'!DY25)=0,"使えない枠に入っています",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38">
        <f>IF('計算A'!DU25=0,IF('計算A'!DV25=1,"入る枠がありません",""),INDEX('計算A'!$D$8:$DS$8,'計算A'!DU25))</f>
        <v/>
      </c>
      <c r="P20" s="48">
        <f>HYPERLINK("#'×入力'!B245","×入力へ")</f>
        <v/>
      </c>
    </row>
    <row r="21" ht="19" customHeight="1">
      <c r="A21" s="46" t="n"/>
      <c r="B21" s="47" t="n"/>
      <c r="C21" s="46" t="n"/>
      <c r="D21" s="47" t="n"/>
      <c r="E21" s="46" t="n"/>
      <c r="F21" s="46" t="n"/>
      <c r="G21" s="38">
        <f>IF(B21="","",IF(A21="","",A21&amp;" ")&amp;B21)</f>
        <v/>
      </c>
      <c r="H21" s="36">
        <f>IF(B21="","",IF('×入力'!F261="未提出","未提出",IF(I21&gt;0,"入力済み",IF('×入力'!F261="×なし（どこでもOK）","×なし","未入力"))))</f>
        <v/>
      </c>
      <c r="I21" s="36">
        <f>IF(B21="","",'計算A'!DX26)</f>
        <v/>
      </c>
      <c r="J21" s="36">
        <f>IF(OR(H21="入力済み",H21="×なし"),'計算A'!DW26,"")</f>
        <v/>
      </c>
      <c r="K21" s="36">
        <f>IF('計算A'!C26=1,COUNTIFS('計算A'!$C$10:$C$54,1,'計算A'!$DW$10:$DW$54,"&lt;"&amp;'計算A'!DW26)+1,"")</f>
        <v/>
      </c>
      <c r="L21" s="38">
        <f>IF('計算A'!DY26=0,"",INDEX('設定'!$E$11:$E$20,INDEX('計算A'!$D$2:$DS$2,'計算A'!DY26)))</f>
        <v/>
      </c>
      <c r="M21" s="36">
        <f>IF('計算A'!DY26=0,"",INDEX('設定'!$I$11:$I$22,INDEX('計算A'!$D$3:$DS$3,'計算A'!DY26)))</f>
        <v/>
      </c>
      <c r="N21" s="38">
        <f>IF(G21="","",IF(COUNTIF('割り当て'!$C$6:$L$17,G21)&gt;1,"2か所以上に入っています",IF('計算A'!DY26&gt;0,IF(INDEX('計算A'!$D$4:$DS$4,'計算A'!DY26)=0,"使えない枠に入っています",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38">
        <f>IF('計算A'!DU26=0,IF('計算A'!DV26=1,"入る枠がありません",""),INDEX('計算A'!$D$8:$DS$8,'計算A'!DU26))</f>
        <v/>
      </c>
      <c r="P21" s="48">
        <f>HYPERLINK("#'×入力'!B261","×入力へ")</f>
        <v/>
      </c>
    </row>
    <row r="22" ht="19" customHeight="1">
      <c r="A22" s="46" t="n"/>
      <c r="B22" s="47" t="n"/>
      <c r="C22" s="46" t="n"/>
      <c r="D22" s="47" t="n"/>
      <c r="E22" s="46" t="n"/>
      <c r="F22" s="46" t="n"/>
      <c r="G22" s="38">
        <f>IF(B22="","",IF(A22="","",A22&amp;" ")&amp;B22)</f>
        <v/>
      </c>
      <c r="H22" s="36">
        <f>IF(B22="","",IF('×入力'!F277="未提出","未提出",IF(I22&gt;0,"入力済み",IF('×入力'!F277="×なし（どこでもOK）","×なし","未入力"))))</f>
        <v/>
      </c>
      <c r="I22" s="36">
        <f>IF(B22="","",'計算A'!DX27)</f>
        <v/>
      </c>
      <c r="J22" s="36">
        <f>IF(OR(H22="入力済み",H22="×なし"),'計算A'!DW27,"")</f>
        <v/>
      </c>
      <c r="K22" s="36">
        <f>IF('計算A'!C27=1,COUNTIFS('計算A'!$C$10:$C$54,1,'計算A'!$DW$10:$DW$54,"&lt;"&amp;'計算A'!DW27)+1,"")</f>
        <v/>
      </c>
      <c r="L22" s="38">
        <f>IF('計算A'!DY27=0,"",INDEX('設定'!$E$11:$E$20,INDEX('計算A'!$D$2:$DS$2,'計算A'!DY27)))</f>
        <v/>
      </c>
      <c r="M22" s="36">
        <f>IF('計算A'!DY27=0,"",INDEX('設定'!$I$11:$I$22,INDEX('計算A'!$D$3:$DS$3,'計算A'!DY27)))</f>
        <v/>
      </c>
      <c r="N22" s="38">
        <f>IF(G22="","",IF(COUNTIF('割り当て'!$C$6:$L$17,G22)&gt;1,"2か所以上に入っています",IF('計算A'!DY27&gt;0,IF(INDEX('計算A'!$D$4:$DS$4,'計算A'!DY27)=0,"使えない枠に入っています",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38">
        <f>IF('計算A'!DU27=0,IF('計算A'!DV27=1,"入る枠がありません",""),INDEX('計算A'!$D$8:$DS$8,'計算A'!DU27))</f>
        <v/>
      </c>
      <c r="P22" s="48">
        <f>HYPERLINK("#'×入力'!B277","×入力へ")</f>
        <v/>
      </c>
    </row>
    <row r="23" ht="19" customHeight="1">
      <c r="A23" s="46" t="n"/>
      <c r="B23" s="47" t="n"/>
      <c r="C23" s="46" t="n"/>
      <c r="D23" s="47" t="n"/>
      <c r="E23" s="46" t="n"/>
      <c r="F23" s="46" t="n"/>
      <c r="G23" s="38">
        <f>IF(B23="","",IF(A23="","",A23&amp;" ")&amp;B23)</f>
        <v/>
      </c>
      <c r="H23" s="36">
        <f>IF(B23="","",IF('×入力'!F293="未提出","未提出",IF(I23&gt;0,"入力済み",IF('×入力'!F293="×なし（どこでもOK）","×なし","未入力"))))</f>
        <v/>
      </c>
      <c r="I23" s="36">
        <f>IF(B23="","",'計算A'!DX28)</f>
        <v/>
      </c>
      <c r="J23" s="36">
        <f>IF(OR(H23="入力済み",H23="×なし"),'計算A'!DW28,"")</f>
        <v/>
      </c>
      <c r="K23" s="36">
        <f>IF('計算A'!C28=1,COUNTIFS('計算A'!$C$10:$C$54,1,'計算A'!$DW$10:$DW$54,"&lt;"&amp;'計算A'!DW28)+1,"")</f>
        <v/>
      </c>
      <c r="L23" s="38">
        <f>IF('計算A'!DY28=0,"",INDEX('設定'!$E$11:$E$20,INDEX('計算A'!$D$2:$DS$2,'計算A'!DY28)))</f>
        <v/>
      </c>
      <c r="M23" s="36">
        <f>IF('計算A'!DY28=0,"",INDEX('設定'!$I$11:$I$22,INDEX('計算A'!$D$3:$DS$3,'計算A'!DY28)))</f>
        <v/>
      </c>
      <c r="N23" s="38">
        <f>IF(G23="","",IF(COUNTIF('割り当て'!$C$6:$L$17,G23)&gt;1,"2か所以上に入っています",IF('計算A'!DY28&gt;0,IF(INDEX('計算A'!$D$4:$DS$4,'計算A'!DY28)=0,"使えない枠に入っています",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38">
        <f>IF('計算A'!DU28=0,IF('計算A'!DV28=1,"入る枠がありません",""),INDEX('計算A'!$D$8:$DS$8,'計算A'!DU28))</f>
        <v/>
      </c>
      <c r="P23" s="48">
        <f>HYPERLINK("#'×入力'!B293","×入力へ")</f>
        <v/>
      </c>
    </row>
    <row r="24" ht="19" customHeight="1">
      <c r="A24" s="46" t="n"/>
      <c r="B24" s="47" t="n"/>
      <c r="C24" s="46" t="n"/>
      <c r="D24" s="47" t="n"/>
      <c r="E24" s="46" t="n"/>
      <c r="F24" s="46" t="n"/>
      <c r="G24" s="38">
        <f>IF(B24="","",IF(A24="","",A24&amp;" ")&amp;B24)</f>
        <v/>
      </c>
      <c r="H24" s="36">
        <f>IF(B24="","",IF('×入力'!F309="未提出","未提出",IF(I24&gt;0,"入力済み",IF('×入力'!F309="×なし（どこでもOK）","×なし","未入力"))))</f>
        <v/>
      </c>
      <c r="I24" s="36">
        <f>IF(B24="","",'計算A'!DX29)</f>
        <v/>
      </c>
      <c r="J24" s="36">
        <f>IF(OR(H24="入力済み",H24="×なし"),'計算A'!DW29,"")</f>
        <v/>
      </c>
      <c r="K24" s="36">
        <f>IF('計算A'!C29=1,COUNTIFS('計算A'!$C$10:$C$54,1,'計算A'!$DW$10:$DW$54,"&lt;"&amp;'計算A'!DW29)+1,"")</f>
        <v/>
      </c>
      <c r="L24" s="38">
        <f>IF('計算A'!DY29=0,"",INDEX('設定'!$E$11:$E$20,INDEX('計算A'!$D$2:$DS$2,'計算A'!DY29)))</f>
        <v/>
      </c>
      <c r="M24" s="36">
        <f>IF('計算A'!DY29=0,"",INDEX('設定'!$I$11:$I$22,INDEX('計算A'!$D$3:$DS$3,'計算A'!DY29)))</f>
        <v/>
      </c>
      <c r="N24" s="38">
        <f>IF(G24="","",IF(COUNTIF('割り当て'!$C$6:$L$17,G24)&gt;1,"2か所以上に入っています",IF('計算A'!DY29&gt;0,IF(INDEX('計算A'!$D$4:$DS$4,'計算A'!DY29)=0,"使えない枠に入っています",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38">
        <f>IF('計算A'!DU29=0,IF('計算A'!DV29=1,"入る枠がありません",""),INDEX('計算A'!$D$8:$DS$8,'計算A'!DU29))</f>
        <v/>
      </c>
      <c r="P24" s="48">
        <f>HYPERLINK("#'×入力'!B309","×入力へ")</f>
        <v/>
      </c>
    </row>
    <row r="25" ht="19" customHeight="1">
      <c r="A25" s="46" t="n"/>
      <c r="B25" s="47" t="n"/>
      <c r="C25" s="46" t="n"/>
      <c r="D25" s="47" t="n"/>
      <c r="E25" s="46" t="n"/>
      <c r="F25" s="46" t="n"/>
      <c r="G25" s="38">
        <f>IF(B25="","",IF(A25="","",A25&amp;" ")&amp;B25)</f>
        <v/>
      </c>
      <c r="H25" s="36">
        <f>IF(B25="","",IF('×入力'!F325="未提出","未提出",IF(I25&gt;0,"入力済み",IF('×入力'!F325="×なし（どこでもOK）","×なし","未入力"))))</f>
        <v/>
      </c>
      <c r="I25" s="36">
        <f>IF(B25="","",'計算A'!DX30)</f>
        <v/>
      </c>
      <c r="J25" s="36">
        <f>IF(OR(H25="入力済み",H25="×なし"),'計算A'!DW30,"")</f>
        <v/>
      </c>
      <c r="K25" s="36">
        <f>IF('計算A'!C30=1,COUNTIFS('計算A'!$C$10:$C$54,1,'計算A'!$DW$10:$DW$54,"&lt;"&amp;'計算A'!DW30)+1,"")</f>
        <v/>
      </c>
      <c r="L25" s="38">
        <f>IF('計算A'!DY30=0,"",INDEX('設定'!$E$11:$E$20,INDEX('計算A'!$D$2:$DS$2,'計算A'!DY30)))</f>
        <v/>
      </c>
      <c r="M25" s="36">
        <f>IF('計算A'!DY30=0,"",INDEX('設定'!$I$11:$I$22,INDEX('計算A'!$D$3:$DS$3,'計算A'!DY30)))</f>
        <v/>
      </c>
      <c r="N25" s="38">
        <f>IF(G25="","",IF(COUNTIF('割り当て'!$C$6:$L$17,G25)&gt;1,"2か所以上に入っています",IF('計算A'!DY30&gt;0,IF(INDEX('計算A'!$D$4:$DS$4,'計算A'!DY30)=0,"使えない枠に入っています",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38">
        <f>IF('計算A'!DU30=0,IF('計算A'!DV30=1,"入る枠がありません",""),INDEX('計算A'!$D$8:$DS$8,'計算A'!DU30))</f>
        <v/>
      </c>
      <c r="P25" s="48">
        <f>HYPERLINK("#'×入力'!B325","×入力へ")</f>
        <v/>
      </c>
    </row>
    <row r="26" ht="19" customHeight="1">
      <c r="A26" s="46" t="n"/>
      <c r="B26" s="47" t="n"/>
      <c r="C26" s="46" t="n"/>
      <c r="D26" s="47" t="n"/>
      <c r="E26" s="46" t="n"/>
      <c r="F26" s="46" t="n"/>
      <c r="G26" s="38">
        <f>IF(B26="","",IF(A26="","",A26&amp;" ")&amp;B26)</f>
        <v/>
      </c>
      <c r="H26" s="36">
        <f>IF(B26="","",IF('×入力'!F341="未提出","未提出",IF(I26&gt;0,"入力済み",IF('×入力'!F341="×なし（どこでもOK）","×なし","未入力"))))</f>
        <v/>
      </c>
      <c r="I26" s="36">
        <f>IF(B26="","",'計算A'!DX31)</f>
        <v/>
      </c>
      <c r="J26" s="36">
        <f>IF(OR(H26="入力済み",H26="×なし"),'計算A'!DW31,"")</f>
        <v/>
      </c>
      <c r="K26" s="36">
        <f>IF('計算A'!C31=1,COUNTIFS('計算A'!$C$10:$C$54,1,'計算A'!$DW$10:$DW$54,"&lt;"&amp;'計算A'!DW31)+1,"")</f>
        <v/>
      </c>
      <c r="L26" s="38">
        <f>IF('計算A'!DY31=0,"",INDEX('設定'!$E$11:$E$20,INDEX('計算A'!$D$2:$DS$2,'計算A'!DY31)))</f>
        <v/>
      </c>
      <c r="M26" s="36">
        <f>IF('計算A'!DY31=0,"",INDEX('設定'!$I$11:$I$22,INDEX('計算A'!$D$3:$DS$3,'計算A'!DY31)))</f>
        <v/>
      </c>
      <c r="N26" s="38">
        <f>IF(G26="","",IF(COUNTIF('割り当て'!$C$6:$L$17,G26)&gt;1,"2か所以上に入っています",IF('計算A'!DY31&gt;0,IF(INDEX('計算A'!$D$4:$DS$4,'計算A'!DY31)=0,"使えない枠に入っています",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38">
        <f>IF('計算A'!DU31=0,IF('計算A'!DV31=1,"入る枠がありません",""),INDEX('計算A'!$D$8:$DS$8,'計算A'!DU31))</f>
        <v/>
      </c>
      <c r="P26" s="48">
        <f>HYPERLINK("#'×入力'!B341","×入力へ")</f>
        <v/>
      </c>
    </row>
    <row r="27" ht="19" customHeight="1">
      <c r="A27" s="46" t="n"/>
      <c r="B27" s="47" t="n"/>
      <c r="C27" s="46" t="n"/>
      <c r="D27" s="47" t="n"/>
      <c r="E27" s="46" t="n"/>
      <c r="F27" s="46" t="n"/>
      <c r="G27" s="38">
        <f>IF(B27="","",IF(A27="","",A27&amp;" ")&amp;B27)</f>
        <v/>
      </c>
      <c r="H27" s="36">
        <f>IF(B27="","",IF('×入力'!F357="未提出","未提出",IF(I27&gt;0,"入力済み",IF('×入力'!F357="×なし（どこでもOK）","×なし","未入力"))))</f>
        <v/>
      </c>
      <c r="I27" s="36">
        <f>IF(B27="","",'計算A'!DX32)</f>
        <v/>
      </c>
      <c r="J27" s="36">
        <f>IF(OR(H27="入力済み",H27="×なし"),'計算A'!DW32,"")</f>
        <v/>
      </c>
      <c r="K27" s="36">
        <f>IF('計算A'!C32=1,COUNTIFS('計算A'!$C$10:$C$54,1,'計算A'!$DW$10:$DW$54,"&lt;"&amp;'計算A'!DW32)+1,"")</f>
        <v/>
      </c>
      <c r="L27" s="38">
        <f>IF('計算A'!DY32=0,"",INDEX('設定'!$E$11:$E$20,INDEX('計算A'!$D$2:$DS$2,'計算A'!DY32)))</f>
        <v/>
      </c>
      <c r="M27" s="36">
        <f>IF('計算A'!DY32=0,"",INDEX('設定'!$I$11:$I$22,INDEX('計算A'!$D$3:$DS$3,'計算A'!DY32)))</f>
        <v/>
      </c>
      <c r="N27" s="38">
        <f>IF(G27="","",IF(COUNTIF('割り当て'!$C$6:$L$17,G27)&gt;1,"2か所以上に入っています",IF('計算A'!DY32&gt;0,IF(INDEX('計算A'!$D$4:$DS$4,'計算A'!DY32)=0,"使えない枠に入っています",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38">
        <f>IF('計算A'!DU32=0,IF('計算A'!DV32=1,"入る枠がありません",""),INDEX('計算A'!$D$8:$DS$8,'計算A'!DU32))</f>
        <v/>
      </c>
      <c r="P27" s="48">
        <f>HYPERLINK("#'×入力'!B357","×入力へ")</f>
        <v/>
      </c>
    </row>
    <row r="28" ht="19" customHeight="1">
      <c r="A28" s="46" t="n"/>
      <c r="B28" s="47" t="n"/>
      <c r="C28" s="46" t="n"/>
      <c r="D28" s="47" t="n"/>
      <c r="E28" s="46" t="n"/>
      <c r="F28" s="46" t="n"/>
      <c r="G28" s="38">
        <f>IF(B28="","",IF(A28="","",A28&amp;" ")&amp;B28)</f>
        <v/>
      </c>
      <c r="H28" s="36">
        <f>IF(B28="","",IF('×入力'!F373="未提出","未提出",IF(I28&gt;0,"入力済み",IF('×入力'!F373="×なし（どこでもOK）","×なし","未入力"))))</f>
        <v/>
      </c>
      <c r="I28" s="36">
        <f>IF(B28="","",'計算A'!DX33)</f>
        <v/>
      </c>
      <c r="J28" s="36">
        <f>IF(OR(H28="入力済み",H28="×なし"),'計算A'!DW33,"")</f>
        <v/>
      </c>
      <c r="K28" s="36">
        <f>IF('計算A'!C33=1,COUNTIFS('計算A'!$C$10:$C$54,1,'計算A'!$DW$10:$DW$54,"&lt;"&amp;'計算A'!DW33)+1,"")</f>
        <v/>
      </c>
      <c r="L28" s="38">
        <f>IF('計算A'!DY33=0,"",INDEX('設定'!$E$11:$E$20,INDEX('計算A'!$D$2:$DS$2,'計算A'!DY33)))</f>
        <v/>
      </c>
      <c r="M28" s="36">
        <f>IF('計算A'!DY33=0,"",INDEX('設定'!$I$11:$I$22,INDEX('計算A'!$D$3:$DS$3,'計算A'!DY33)))</f>
        <v/>
      </c>
      <c r="N28" s="38">
        <f>IF(G28="","",IF(COUNTIF('割り当て'!$C$6:$L$17,G28)&gt;1,"2か所以上に入っています",IF('計算A'!DY33&gt;0,IF(INDEX('計算A'!$D$4:$DS$4,'計算A'!DY33)=0,"使えない枠に入っています",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38">
        <f>IF('計算A'!DU33=0,IF('計算A'!DV33=1,"入る枠がありません",""),INDEX('計算A'!$D$8:$DS$8,'計算A'!DU33))</f>
        <v/>
      </c>
      <c r="P28" s="48">
        <f>HYPERLINK("#'×入力'!B373","×入力へ")</f>
        <v/>
      </c>
    </row>
    <row r="29" ht="19" customHeight="1">
      <c r="A29" s="46" t="n"/>
      <c r="B29" s="47" t="n"/>
      <c r="C29" s="46" t="n"/>
      <c r="D29" s="47" t="n"/>
      <c r="E29" s="46" t="n"/>
      <c r="F29" s="46" t="n"/>
      <c r="G29" s="38">
        <f>IF(B29="","",IF(A29="","",A29&amp;" ")&amp;B29)</f>
        <v/>
      </c>
      <c r="H29" s="36">
        <f>IF(B29="","",IF('×入力'!F389="未提出","未提出",IF(I29&gt;0,"入力済み",IF('×入力'!F389="×なし（どこでもOK）","×なし","未入力"))))</f>
        <v/>
      </c>
      <c r="I29" s="36">
        <f>IF(B29="","",'計算A'!DX34)</f>
        <v/>
      </c>
      <c r="J29" s="36">
        <f>IF(OR(H29="入力済み",H29="×なし"),'計算A'!DW34,"")</f>
        <v/>
      </c>
      <c r="K29" s="36">
        <f>IF('計算A'!C34=1,COUNTIFS('計算A'!$C$10:$C$54,1,'計算A'!$DW$10:$DW$54,"&lt;"&amp;'計算A'!DW34)+1,"")</f>
        <v/>
      </c>
      <c r="L29" s="38">
        <f>IF('計算A'!DY34=0,"",INDEX('設定'!$E$11:$E$20,INDEX('計算A'!$D$2:$DS$2,'計算A'!DY34)))</f>
        <v/>
      </c>
      <c r="M29" s="36">
        <f>IF('計算A'!DY34=0,"",INDEX('設定'!$I$11:$I$22,INDEX('計算A'!$D$3:$DS$3,'計算A'!DY34)))</f>
        <v/>
      </c>
      <c r="N29" s="38">
        <f>IF(G29="","",IF(COUNTIF('割り当て'!$C$6:$L$17,G29)&gt;1,"2か所以上に入っています",IF('計算A'!DY34&gt;0,IF(INDEX('計算A'!$D$4:$DS$4,'計算A'!DY34)=0,"使えない枠に入っています",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38">
        <f>IF('計算A'!DU34=0,IF('計算A'!DV34=1,"入る枠がありません",""),INDEX('計算A'!$D$8:$DS$8,'計算A'!DU34))</f>
        <v/>
      </c>
      <c r="P29" s="48">
        <f>HYPERLINK("#'×入力'!B389","×入力へ")</f>
        <v/>
      </c>
    </row>
    <row r="30" ht="19" customHeight="1">
      <c r="A30" s="46" t="n"/>
      <c r="B30" s="47" t="n"/>
      <c r="C30" s="46" t="n"/>
      <c r="D30" s="47" t="n"/>
      <c r="E30" s="46" t="n"/>
      <c r="F30" s="46" t="n"/>
      <c r="G30" s="38">
        <f>IF(B30="","",IF(A30="","",A30&amp;" ")&amp;B30)</f>
        <v/>
      </c>
      <c r="H30" s="36">
        <f>IF(B30="","",IF('×入力'!F405="未提出","未提出",IF(I30&gt;0,"入力済み",IF('×入力'!F405="×なし（どこでもOK）","×なし","未入力"))))</f>
        <v/>
      </c>
      <c r="I30" s="36">
        <f>IF(B30="","",'計算A'!DX35)</f>
        <v/>
      </c>
      <c r="J30" s="36">
        <f>IF(OR(H30="入力済み",H30="×なし"),'計算A'!DW35,"")</f>
        <v/>
      </c>
      <c r="K30" s="36">
        <f>IF('計算A'!C35=1,COUNTIFS('計算A'!$C$10:$C$54,1,'計算A'!$DW$10:$DW$54,"&lt;"&amp;'計算A'!DW35)+1,"")</f>
        <v/>
      </c>
      <c r="L30" s="38">
        <f>IF('計算A'!DY35=0,"",INDEX('設定'!$E$11:$E$20,INDEX('計算A'!$D$2:$DS$2,'計算A'!DY35)))</f>
        <v/>
      </c>
      <c r="M30" s="36">
        <f>IF('計算A'!DY35=0,"",INDEX('設定'!$I$11:$I$22,INDEX('計算A'!$D$3:$DS$3,'計算A'!DY35)))</f>
        <v/>
      </c>
      <c r="N30" s="38">
        <f>IF(G30="","",IF(COUNTIF('割り当て'!$C$6:$L$17,G30)&gt;1,"2か所以上に入っています",IF('計算A'!DY35&gt;0,IF(INDEX('計算A'!$D$4:$DS$4,'計算A'!DY35)=0,"使えない枠に入っています",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38">
        <f>IF('計算A'!DU35=0,IF('計算A'!DV35=1,"入る枠がありません",""),INDEX('計算A'!$D$8:$DS$8,'計算A'!DU35))</f>
        <v/>
      </c>
      <c r="P30" s="48">
        <f>HYPERLINK("#'×入力'!B405","×入力へ")</f>
        <v/>
      </c>
    </row>
    <row r="31" ht="19" customHeight="1">
      <c r="A31" s="46" t="n"/>
      <c r="B31" s="47" t="n"/>
      <c r="C31" s="46" t="n"/>
      <c r="D31" s="47" t="n"/>
      <c r="E31" s="46" t="n"/>
      <c r="F31" s="46" t="n"/>
      <c r="G31" s="38">
        <f>IF(B31="","",IF(A31="","",A31&amp;" ")&amp;B31)</f>
        <v/>
      </c>
      <c r="H31" s="36">
        <f>IF(B31="","",IF('×入力'!F421="未提出","未提出",IF(I31&gt;0,"入力済み",IF('×入力'!F421="×なし（どこでもOK）","×なし","未入力"))))</f>
        <v/>
      </c>
      <c r="I31" s="36">
        <f>IF(B31="","",'計算A'!DX36)</f>
        <v/>
      </c>
      <c r="J31" s="36">
        <f>IF(OR(H31="入力済み",H31="×なし"),'計算A'!DW36,"")</f>
        <v/>
      </c>
      <c r="K31" s="36">
        <f>IF('計算A'!C36=1,COUNTIFS('計算A'!$C$10:$C$54,1,'計算A'!$DW$10:$DW$54,"&lt;"&amp;'計算A'!DW36)+1,"")</f>
        <v/>
      </c>
      <c r="L31" s="38">
        <f>IF('計算A'!DY36=0,"",INDEX('設定'!$E$11:$E$20,INDEX('計算A'!$D$2:$DS$2,'計算A'!DY36)))</f>
        <v/>
      </c>
      <c r="M31" s="36">
        <f>IF('計算A'!DY36=0,"",INDEX('設定'!$I$11:$I$22,INDEX('計算A'!$D$3:$DS$3,'計算A'!DY36)))</f>
        <v/>
      </c>
      <c r="N31" s="38">
        <f>IF(G31="","",IF(COUNTIF('割り当て'!$C$6:$L$17,G31)&gt;1,"2か所以上に入っています",IF('計算A'!DY36&gt;0,IF(INDEX('計算A'!$D$4:$DS$4,'計算A'!DY36)=0,"使えない枠に入っています",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38">
        <f>IF('計算A'!DU36=0,IF('計算A'!DV36=1,"入る枠がありません",""),INDEX('計算A'!$D$8:$DS$8,'計算A'!DU36))</f>
        <v/>
      </c>
      <c r="P31" s="48">
        <f>HYPERLINK("#'×入力'!B421","×入力へ")</f>
        <v/>
      </c>
    </row>
    <row r="32" ht="19" customHeight="1">
      <c r="A32" s="46" t="n"/>
      <c r="B32" s="47" t="n"/>
      <c r="C32" s="46" t="n"/>
      <c r="D32" s="47" t="n"/>
      <c r="E32" s="46" t="n"/>
      <c r="F32" s="46" t="n"/>
      <c r="G32" s="38">
        <f>IF(B32="","",IF(A32="","",A32&amp;" ")&amp;B32)</f>
        <v/>
      </c>
      <c r="H32" s="36">
        <f>IF(B32="","",IF('×入力'!F437="未提出","未提出",IF(I32&gt;0,"入力済み",IF('×入力'!F437="×なし（どこでもOK）","×なし","未入力"))))</f>
        <v/>
      </c>
      <c r="I32" s="36">
        <f>IF(B32="","",'計算A'!DX37)</f>
        <v/>
      </c>
      <c r="J32" s="36">
        <f>IF(OR(H32="入力済み",H32="×なし"),'計算A'!DW37,"")</f>
        <v/>
      </c>
      <c r="K32" s="36">
        <f>IF('計算A'!C37=1,COUNTIFS('計算A'!$C$10:$C$54,1,'計算A'!$DW$10:$DW$54,"&lt;"&amp;'計算A'!DW37)+1,"")</f>
        <v/>
      </c>
      <c r="L32" s="38">
        <f>IF('計算A'!DY37=0,"",INDEX('設定'!$E$11:$E$20,INDEX('計算A'!$D$2:$DS$2,'計算A'!DY37)))</f>
        <v/>
      </c>
      <c r="M32" s="36">
        <f>IF('計算A'!DY37=0,"",INDEX('設定'!$I$11:$I$22,INDEX('計算A'!$D$3:$DS$3,'計算A'!DY37)))</f>
        <v/>
      </c>
      <c r="N32" s="38">
        <f>IF(G32="","",IF(COUNTIF('割り当て'!$C$6:$L$17,G32)&gt;1,"2か所以上に入っています",IF('計算A'!DY37&gt;0,IF(INDEX('計算A'!$D$4:$DS$4,'計算A'!DY37)=0,"使えない枠に入っています",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38">
        <f>IF('計算A'!DU37=0,IF('計算A'!DV37=1,"入る枠がありません",""),INDEX('計算A'!$D$8:$DS$8,'計算A'!DU37))</f>
        <v/>
      </c>
      <c r="P32" s="48">
        <f>HYPERLINK("#'×入力'!B437","×入力へ")</f>
        <v/>
      </c>
    </row>
    <row r="33" ht="19" customHeight="1">
      <c r="A33" s="46" t="n"/>
      <c r="B33" s="47" t="n"/>
      <c r="C33" s="46" t="n"/>
      <c r="D33" s="47" t="n"/>
      <c r="E33" s="46" t="n"/>
      <c r="F33" s="46" t="n"/>
      <c r="G33" s="38">
        <f>IF(B33="","",IF(A33="","",A33&amp;" ")&amp;B33)</f>
        <v/>
      </c>
      <c r="H33" s="36">
        <f>IF(B33="","",IF('×入力'!F453="未提出","未提出",IF(I33&gt;0,"入力済み",IF('×入力'!F453="×なし（どこでもOK）","×なし","未入力"))))</f>
        <v/>
      </c>
      <c r="I33" s="36">
        <f>IF(B33="","",'計算A'!DX38)</f>
        <v/>
      </c>
      <c r="J33" s="36">
        <f>IF(OR(H33="入力済み",H33="×なし"),'計算A'!DW38,"")</f>
        <v/>
      </c>
      <c r="K33" s="36">
        <f>IF('計算A'!C38=1,COUNTIFS('計算A'!$C$10:$C$54,1,'計算A'!$DW$10:$DW$54,"&lt;"&amp;'計算A'!DW38)+1,"")</f>
        <v/>
      </c>
      <c r="L33" s="38">
        <f>IF('計算A'!DY38=0,"",INDEX('設定'!$E$11:$E$20,INDEX('計算A'!$D$2:$DS$2,'計算A'!DY38)))</f>
        <v/>
      </c>
      <c r="M33" s="36">
        <f>IF('計算A'!DY38=0,"",INDEX('設定'!$I$11:$I$22,INDEX('計算A'!$D$3:$DS$3,'計算A'!DY38)))</f>
        <v/>
      </c>
      <c r="N33" s="38">
        <f>IF(G33="","",IF(COUNTIF('割り当て'!$C$6:$L$17,G33)&gt;1,"2か所以上に入っています",IF('計算A'!DY38&gt;0,IF(INDEX('計算A'!$D$4:$DS$4,'計算A'!DY38)=0,"使えない枠に入っています",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38">
        <f>IF('計算A'!DU38=0,IF('計算A'!DV38=1,"入る枠がありません",""),INDEX('計算A'!$D$8:$DS$8,'計算A'!DU38))</f>
        <v/>
      </c>
      <c r="P33" s="48">
        <f>HYPERLINK("#'×入力'!B453","×入力へ")</f>
        <v/>
      </c>
    </row>
    <row r="34" ht="19" customHeight="1">
      <c r="A34" s="46" t="n"/>
      <c r="B34" s="47" t="n"/>
      <c r="C34" s="46" t="n"/>
      <c r="D34" s="47" t="n"/>
      <c r="E34" s="46" t="n"/>
      <c r="F34" s="46" t="n"/>
      <c r="G34" s="38">
        <f>IF(B34="","",IF(A34="","",A34&amp;" ")&amp;B34)</f>
        <v/>
      </c>
      <c r="H34" s="36">
        <f>IF(B34="","",IF('×入力'!F469="未提出","未提出",IF(I34&gt;0,"入力済み",IF('×入力'!F469="×なし（どこでもOK）","×なし","未入力"))))</f>
        <v/>
      </c>
      <c r="I34" s="36">
        <f>IF(B34="","",'計算A'!DX39)</f>
        <v/>
      </c>
      <c r="J34" s="36">
        <f>IF(OR(H34="入力済み",H34="×なし"),'計算A'!DW39,"")</f>
        <v/>
      </c>
      <c r="K34" s="36">
        <f>IF('計算A'!C39=1,COUNTIFS('計算A'!$C$10:$C$54,1,'計算A'!$DW$10:$DW$54,"&lt;"&amp;'計算A'!DW39)+1,"")</f>
        <v/>
      </c>
      <c r="L34" s="38">
        <f>IF('計算A'!DY39=0,"",INDEX('設定'!$E$11:$E$20,INDEX('計算A'!$D$2:$DS$2,'計算A'!DY39)))</f>
        <v/>
      </c>
      <c r="M34" s="36">
        <f>IF('計算A'!DY39=0,"",INDEX('設定'!$I$11:$I$22,INDEX('計算A'!$D$3:$DS$3,'計算A'!DY39)))</f>
        <v/>
      </c>
      <c r="N34" s="38">
        <f>IF(G34="","",IF(COUNTIF('割り当て'!$C$6:$L$17,G34)&gt;1,"2か所以上に入っています",IF('計算A'!DY39&gt;0,IF(INDEX('計算A'!$D$4:$DS$4,'計算A'!DY39)=0,"使えない枠に入っています",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38">
        <f>IF('計算A'!DU39=0,IF('計算A'!DV39=1,"入る枠がありません",""),INDEX('計算A'!$D$8:$DS$8,'計算A'!DU39))</f>
        <v/>
      </c>
      <c r="P34" s="48">
        <f>HYPERLINK("#'×入力'!B469","×入力へ")</f>
        <v/>
      </c>
    </row>
    <row r="35" ht="19" customHeight="1">
      <c r="A35" s="46" t="n"/>
      <c r="B35" s="47" t="n"/>
      <c r="C35" s="46" t="n"/>
      <c r="D35" s="47" t="n"/>
      <c r="E35" s="46" t="n"/>
      <c r="F35" s="46" t="n"/>
      <c r="G35" s="38">
        <f>IF(B35="","",IF(A35="","",A35&amp;" ")&amp;B35)</f>
        <v/>
      </c>
      <c r="H35" s="36">
        <f>IF(B35="","",IF('×入力'!F485="未提出","未提出",IF(I35&gt;0,"入力済み",IF('×入力'!F485="×なし（どこでもOK）","×なし","未入力"))))</f>
        <v/>
      </c>
      <c r="I35" s="36">
        <f>IF(B35="","",'計算A'!DX40)</f>
        <v/>
      </c>
      <c r="J35" s="36">
        <f>IF(OR(H35="入力済み",H35="×なし"),'計算A'!DW40,"")</f>
        <v/>
      </c>
      <c r="K35" s="36">
        <f>IF('計算A'!C40=1,COUNTIFS('計算A'!$C$10:$C$54,1,'計算A'!$DW$10:$DW$54,"&lt;"&amp;'計算A'!DW40)+1,"")</f>
        <v/>
      </c>
      <c r="L35" s="38">
        <f>IF('計算A'!DY40=0,"",INDEX('設定'!$E$11:$E$20,INDEX('計算A'!$D$2:$DS$2,'計算A'!DY40)))</f>
        <v/>
      </c>
      <c r="M35" s="36">
        <f>IF('計算A'!DY40=0,"",INDEX('設定'!$I$11:$I$22,INDEX('計算A'!$D$3:$DS$3,'計算A'!DY40)))</f>
        <v/>
      </c>
      <c r="N35" s="38">
        <f>IF(G35="","",IF(COUNTIF('割り当て'!$C$6:$L$17,G35)&gt;1,"2か所以上に入っています",IF('計算A'!DY40&gt;0,IF(INDEX('計算A'!$D$4:$DS$4,'計算A'!DY40)=0,"使えない枠に入っています",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38">
        <f>IF('計算A'!DU40=0,IF('計算A'!DV40=1,"入る枠がありません",""),INDEX('計算A'!$D$8:$DS$8,'計算A'!DU40))</f>
        <v/>
      </c>
      <c r="P35" s="48">
        <f>HYPERLINK("#'×入力'!B485","×入力へ")</f>
        <v/>
      </c>
    </row>
    <row r="36" ht="19" customHeight="1">
      <c r="A36" s="46" t="n"/>
      <c r="B36" s="47" t="n"/>
      <c r="C36" s="46" t="n"/>
      <c r="D36" s="47" t="n"/>
      <c r="E36" s="46" t="n"/>
      <c r="F36" s="46" t="n"/>
      <c r="G36" s="38">
        <f>IF(B36="","",IF(A36="","",A36&amp;" ")&amp;B36)</f>
        <v/>
      </c>
      <c r="H36" s="36">
        <f>IF(B36="","",IF('×入力'!F501="未提出","未提出",IF(I36&gt;0,"入力済み",IF('×入力'!F501="×なし（どこでもOK）","×なし","未入力"))))</f>
        <v/>
      </c>
      <c r="I36" s="36">
        <f>IF(B36="","",'計算A'!DX41)</f>
        <v/>
      </c>
      <c r="J36" s="36">
        <f>IF(OR(H36="入力済み",H36="×なし"),'計算A'!DW41,"")</f>
        <v/>
      </c>
      <c r="K36" s="36">
        <f>IF('計算A'!C41=1,COUNTIFS('計算A'!$C$10:$C$54,1,'計算A'!$DW$10:$DW$54,"&lt;"&amp;'計算A'!DW41)+1,"")</f>
        <v/>
      </c>
      <c r="L36" s="38">
        <f>IF('計算A'!DY41=0,"",INDEX('設定'!$E$11:$E$20,INDEX('計算A'!$D$2:$DS$2,'計算A'!DY41)))</f>
        <v/>
      </c>
      <c r="M36" s="36">
        <f>IF('計算A'!DY41=0,"",INDEX('設定'!$I$11:$I$22,INDEX('計算A'!$D$3:$DS$3,'計算A'!DY41)))</f>
        <v/>
      </c>
      <c r="N36" s="38">
        <f>IF(G36="","",IF(COUNTIF('割り当て'!$C$6:$L$17,G36)&gt;1,"2か所以上に入っています",IF('計算A'!DY41&gt;0,IF(INDEX('計算A'!$D$4:$DS$4,'計算A'!DY41)=0,"使えない枠に入っています",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38">
        <f>IF('計算A'!DU41=0,IF('計算A'!DV41=1,"入る枠がありません",""),INDEX('計算A'!$D$8:$DS$8,'計算A'!DU41))</f>
        <v/>
      </c>
      <c r="P36" s="48">
        <f>HYPERLINK("#'×入力'!B501","×入力へ")</f>
        <v/>
      </c>
    </row>
    <row r="37" ht="19" customHeight="1">
      <c r="A37" s="46" t="n"/>
      <c r="B37" s="47" t="n"/>
      <c r="C37" s="46" t="n"/>
      <c r="D37" s="47" t="n"/>
      <c r="E37" s="46" t="n"/>
      <c r="F37" s="46" t="n"/>
      <c r="G37" s="38">
        <f>IF(B37="","",IF(A37="","",A37&amp;" ")&amp;B37)</f>
        <v/>
      </c>
      <c r="H37" s="36">
        <f>IF(B37="","",IF('×入力'!F517="未提出","未提出",IF(I37&gt;0,"入力済み",IF('×入力'!F517="×なし（どこでもOK）","×なし","未入力"))))</f>
        <v/>
      </c>
      <c r="I37" s="36">
        <f>IF(B37="","",'計算A'!DX42)</f>
        <v/>
      </c>
      <c r="J37" s="36">
        <f>IF(OR(H37="入力済み",H37="×なし"),'計算A'!DW42,"")</f>
        <v/>
      </c>
      <c r="K37" s="36">
        <f>IF('計算A'!C42=1,COUNTIFS('計算A'!$C$10:$C$54,1,'計算A'!$DW$10:$DW$54,"&lt;"&amp;'計算A'!DW42)+1,"")</f>
        <v/>
      </c>
      <c r="L37" s="38">
        <f>IF('計算A'!DY42=0,"",INDEX('設定'!$E$11:$E$20,INDEX('計算A'!$D$2:$DS$2,'計算A'!DY42)))</f>
        <v/>
      </c>
      <c r="M37" s="36">
        <f>IF('計算A'!DY42=0,"",INDEX('設定'!$I$11:$I$22,INDEX('計算A'!$D$3:$DS$3,'計算A'!DY42)))</f>
        <v/>
      </c>
      <c r="N37" s="38">
        <f>IF(G37="","",IF(COUNTIF('割り当て'!$C$6:$L$17,G37)&gt;1,"2か所以上に入っています",IF('計算A'!DY42&gt;0,IF(INDEX('計算A'!$D$4:$DS$4,'計算A'!DY42)=0,"使えない枠に入っています",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38">
        <f>IF('計算A'!DU42=0,IF('計算A'!DV42=1,"入る枠がありません",""),INDEX('計算A'!$D$8:$DS$8,'計算A'!DU42))</f>
        <v/>
      </c>
      <c r="P37" s="48">
        <f>HYPERLINK("#'×入力'!B517","×入力へ")</f>
        <v/>
      </c>
    </row>
    <row r="38" ht="19" customHeight="1">
      <c r="A38" s="46" t="n"/>
      <c r="B38" s="47" t="n"/>
      <c r="C38" s="46" t="n"/>
      <c r="D38" s="47" t="n"/>
      <c r="E38" s="46" t="n"/>
      <c r="F38" s="46" t="n"/>
      <c r="G38" s="38">
        <f>IF(B38="","",IF(A38="","",A38&amp;" ")&amp;B38)</f>
        <v/>
      </c>
      <c r="H38" s="36">
        <f>IF(B38="","",IF('×入力'!F533="未提出","未提出",IF(I38&gt;0,"入力済み",IF('×入力'!F533="×なし（どこでもOK）","×なし","未入力"))))</f>
        <v/>
      </c>
      <c r="I38" s="36">
        <f>IF(B38="","",'計算A'!DX43)</f>
        <v/>
      </c>
      <c r="J38" s="36">
        <f>IF(OR(H38="入力済み",H38="×なし"),'計算A'!DW43,"")</f>
        <v/>
      </c>
      <c r="K38" s="36">
        <f>IF('計算A'!C43=1,COUNTIFS('計算A'!$C$10:$C$54,1,'計算A'!$DW$10:$DW$54,"&lt;"&amp;'計算A'!DW43)+1,"")</f>
        <v/>
      </c>
      <c r="L38" s="38">
        <f>IF('計算A'!DY43=0,"",INDEX('設定'!$E$11:$E$20,INDEX('計算A'!$D$2:$DS$2,'計算A'!DY43)))</f>
        <v/>
      </c>
      <c r="M38" s="36">
        <f>IF('計算A'!DY43=0,"",INDEX('設定'!$I$11:$I$22,INDEX('計算A'!$D$3:$DS$3,'計算A'!DY43)))</f>
        <v/>
      </c>
      <c r="N38" s="38">
        <f>IF(G38="","",IF(COUNTIF('割り当て'!$C$6:$L$17,G38)&gt;1,"2か所以上に入っています",IF('計算A'!DY43&gt;0,IF(INDEX('計算A'!$D$4:$DS$4,'計算A'!DY43)=0,"使えない枠に入っています",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38">
        <f>IF('計算A'!DU43=0,IF('計算A'!DV43=1,"入る枠がありません",""),INDEX('計算A'!$D$8:$DS$8,'計算A'!DU43))</f>
        <v/>
      </c>
      <c r="P38" s="48">
        <f>HYPERLINK("#'×入力'!B533","×入力へ")</f>
        <v/>
      </c>
    </row>
    <row r="39" ht="19" customHeight="1">
      <c r="A39" s="46" t="n"/>
      <c r="B39" s="47" t="n"/>
      <c r="C39" s="46" t="n"/>
      <c r="D39" s="47" t="n"/>
      <c r="E39" s="46" t="n"/>
      <c r="F39" s="46" t="n"/>
      <c r="G39" s="38">
        <f>IF(B39="","",IF(A39="","",A39&amp;" ")&amp;B39)</f>
        <v/>
      </c>
      <c r="H39" s="36">
        <f>IF(B39="","",IF('×入力'!F549="未提出","未提出",IF(I39&gt;0,"入力済み",IF('×入力'!F549="×なし（どこでもOK）","×なし","未入力"))))</f>
        <v/>
      </c>
      <c r="I39" s="36">
        <f>IF(B39="","",'計算A'!DX44)</f>
        <v/>
      </c>
      <c r="J39" s="36">
        <f>IF(OR(H39="入力済み",H39="×なし"),'計算A'!DW44,"")</f>
        <v/>
      </c>
      <c r="K39" s="36">
        <f>IF('計算A'!C44=1,COUNTIFS('計算A'!$C$10:$C$54,1,'計算A'!$DW$10:$DW$54,"&lt;"&amp;'計算A'!DW44)+1,"")</f>
        <v/>
      </c>
      <c r="L39" s="38">
        <f>IF('計算A'!DY44=0,"",INDEX('設定'!$E$11:$E$20,INDEX('計算A'!$D$2:$DS$2,'計算A'!DY44)))</f>
        <v/>
      </c>
      <c r="M39" s="36">
        <f>IF('計算A'!DY44=0,"",INDEX('設定'!$I$11:$I$22,INDEX('計算A'!$D$3:$DS$3,'計算A'!DY44)))</f>
        <v/>
      </c>
      <c r="N39" s="38">
        <f>IF(G39="","",IF(COUNTIF('割り当て'!$C$6:$L$17,G39)&gt;1,"2か所以上に入っています",IF('計算A'!DY44&gt;0,IF(INDEX('計算A'!$D$4:$DS$4,'計算A'!DY44)=0,"使えない枠に入っています",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38">
        <f>IF('計算A'!DU44=0,IF('計算A'!DV44=1,"入る枠がありません",""),INDEX('計算A'!$D$8:$DS$8,'計算A'!DU44))</f>
        <v/>
      </c>
      <c r="P39" s="48">
        <f>HYPERLINK("#'×入力'!B549","×入力へ")</f>
        <v/>
      </c>
    </row>
    <row r="40" ht="19" customHeight="1">
      <c r="A40" s="46" t="n"/>
      <c r="B40" s="47" t="n"/>
      <c r="C40" s="46" t="n"/>
      <c r="D40" s="47" t="n"/>
      <c r="E40" s="46" t="n"/>
      <c r="F40" s="46" t="n"/>
      <c r="G40" s="38">
        <f>IF(B40="","",IF(A40="","",A40&amp;" ")&amp;B40)</f>
        <v/>
      </c>
      <c r="H40" s="36">
        <f>IF(B40="","",IF('×入力'!F565="未提出","未提出",IF(I40&gt;0,"入力済み",IF('×入力'!F565="×なし（どこでもOK）","×なし","未入力"))))</f>
        <v/>
      </c>
      <c r="I40" s="36">
        <f>IF(B40="","",'計算A'!DX45)</f>
        <v/>
      </c>
      <c r="J40" s="36">
        <f>IF(OR(H40="入力済み",H40="×なし"),'計算A'!DW45,"")</f>
        <v/>
      </c>
      <c r="K40" s="36">
        <f>IF('計算A'!C45=1,COUNTIFS('計算A'!$C$10:$C$54,1,'計算A'!$DW$10:$DW$54,"&lt;"&amp;'計算A'!DW45)+1,"")</f>
        <v/>
      </c>
      <c r="L40" s="38">
        <f>IF('計算A'!DY45=0,"",INDEX('設定'!$E$11:$E$20,INDEX('計算A'!$D$2:$DS$2,'計算A'!DY45)))</f>
        <v/>
      </c>
      <c r="M40" s="36">
        <f>IF('計算A'!DY45=0,"",INDEX('設定'!$I$11:$I$22,INDEX('計算A'!$D$3:$DS$3,'計算A'!DY45)))</f>
        <v/>
      </c>
      <c r="N40" s="38">
        <f>IF(G40="","",IF(COUNTIF('割り当て'!$C$6:$L$17,G40)&gt;1,"2か所以上に入っています",IF('計算A'!DY45&gt;0,IF(INDEX('計算A'!$D$4:$DS$4,'計算A'!DY45)=0,"使えない枠に入っています",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38">
        <f>IF('計算A'!DU45=0,IF('計算A'!DV45=1,"入る枠がありません",""),INDEX('計算A'!$D$8:$DS$8,'計算A'!DU45))</f>
        <v/>
      </c>
      <c r="P40" s="48">
        <f>HYPERLINK("#'×入力'!B565","×入力へ")</f>
        <v/>
      </c>
    </row>
    <row r="41" ht="19" customHeight="1">
      <c r="A41" s="46" t="n"/>
      <c r="B41" s="47" t="n"/>
      <c r="C41" s="46" t="n"/>
      <c r="D41" s="47" t="n"/>
      <c r="E41" s="46" t="n"/>
      <c r="F41" s="46" t="n"/>
      <c r="G41" s="38">
        <f>IF(B41="","",IF(A41="","",A41&amp;" ")&amp;B41)</f>
        <v/>
      </c>
      <c r="H41" s="36">
        <f>IF(B41="","",IF('×入力'!F581="未提出","未提出",IF(I41&gt;0,"入力済み",IF('×入力'!F581="×なし（どこでもOK）","×なし","未入力"))))</f>
        <v/>
      </c>
      <c r="I41" s="36">
        <f>IF(B41="","",'計算A'!DX46)</f>
        <v/>
      </c>
      <c r="J41" s="36">
        <f>IF(OR(H41="入力済み",H41="×なし"),'計算A'!DW46,"")</f>
        <v/>
      </c>
      <c r="K41" s="36">
        <f>IF('計算A'!C46=1,COUNTIFS('計算A'!$C$10:$C$54,1,'計算A'!$DW$10:$DW$54,"&lt;"&amp;'計算A'!DW46)+1,"")</f>
        <v/>
      </c>
      <c r="L41" s="38">
        <f>IF('計算A'!DY46=0,"",INDEX('設定'!$E$11:$E$20,INDEX('計算A'!$D$2:$DS$2,'計算A'!DY46)))</f>
        <v/>
      </c>
      <c r="M41" s="36">
        <f>IF('計算A'!DY46=0,"",INDEX('設定'!$I$11:$I$22,INDEX('計算A'!$D$3:$DS$3,'計算A'!DY46)))</f>
        <v/>
      </c>
      <c r="N41" s="38">
        <f>IF(G41="","",IF(COUNTIF('割り当て'!$C$6:$L$17,G41)&gt;1,"2か所以上に入っています",IF('計算A'!DY46&gt;0,IF(INDEX('計算A'!$D$4:$DS$4,'計算A'!DY46)=0,"使えない枠に入っています",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38">
        <f>IF('計算A'!DU46=0,IF('計算A'!DV46=1,"入る枠がありません",""),INDEX('計算A'!$D$8:$DS$8,'計算A'!DU46))</f>
        <v/>
      </c>
      <c r="P41" s="48">
        <f>HYPERLINK("#'×入力'!B581","×入力へ")</f>
        <v/>
      </c>
    </row>
    <row r="42" ht="19" customHeight="1">
      <c r="A42" s="46" t="n"/>
      <c r="B42" s="47" t="n"/>
      <c r="C42" s="46" t="n"/>
      <c r="D42" s="47" t="n"/>
      <c r="E42" s="46" t="n"/>
      <c r="F42" s="46" t="n"/>
      <c r="G42" s="38">
        <f>IF(B42="","",IF(A42="","",A42&amp;" ")&amp;B42)</f>
        <v/>
      </c>
      <c r="H42" s="36">
        <f>IF(B42="","",IF('×入力'!F597="未提出","未提出",IF(I42&gt;0,"入力済み",IF('×入力'!F597="×なし（どこでもOK）","×なし","未入力"))))</f>
        <v/>
      </c>
      <c r="I42" s="36">
        <f>IF(B42="","",'計算A'!DX47)</f>
        <v/>
      </c>
      <c r="J42" s="36">
        <f>IF(OR(H42="入力済み",H42="×なし"),'計算A'!DW47,"")</f>
        <v/>
      </c>
      <c r="K42" s="36">
        <f>IF('計算A'!C47=1,COUNTIFS('計算A'!$C$10:$C$54,1,'計算A'!$DW$10:$DW$54,"&lt;"&amp;'計算A'!DW47)+1,"")</f>
        <v/>
      </c>
      <c r="L42" s="38">
        <f>IF('計算A'!DY47=0,"",INDEX('設定'!$E$11:$E$20,INDEX('計算A'!$D$2:$DS$2,'計算A'!DY47)))</f>
        <v/>
      </c>
      <c r="M42" s="36">
        <f>IF('計算A'!DY47=0,"",INDEX('設定'!$I$11:$I$22,INDEX('計算A'!$D$3:$DS$3,'計算A'!DY47)))</f>
        <v/>
      </c>
      <c r="N42" s="38">
        <f>IF(G42="","",IF(COUNTIF('割り当て'!$C$6:$L$17,G42)&gt;1,"2か所以上に入っています",IF('計算A'!DY47&gt;0,IF(INDEX('計算A'!$D$4:$DS$4,'計算A'!DY47)=0,"使えない枠に入っています",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38">
        <f>IF('計算A'!DU47=0,IF('計算A'!DV47=1,"入る枠がありません",""),INDEX('計算A'!$D$8:$DS$8,'計算A'!DU47))</f>
        <v/>
      </c>
      <c r="P42" s="48">
        <f>HYPERLINK("#'×入力'!B597","×入力へ")</f>
        <v/>
      </c>
    </row>
    <row r="43" ht="19" customHeight="1">
      <c r="A43" s="46" t="n"/>
      <c r="B43" s="47" t="n"/>
      <c r="C43" s="46" t="n"/>
      <c r="D43" s="47" t="n"/>
      <c r="E43" s="46" t="n"/>
      <c r="F43" s="46" t="n"/>
      <c r="G43" s="38">
        <f>IF(B43="","",IF(A43="","",A43&amp;" ")&amp;B43)</f>
        <v/>
      </c>
      <c r="H43" s="36">
        <f>IF(B43="","",IF('×入力'!F613="未提出","未提出",IF(I43&gt;0,"入力済み",IF('×入力'!F613="×なし（どこでもOK）","×なし","未入力"))))</f>
        <v/>
      </c>
      <c r="I43" s="36">
        <f>IF(B43="","",'計算A'!DX48)</f>
        <v/>
      </c>
      <c r="J43" s="36">
        <f>IF(OR(H43="入力済み",H43="×なし"),'計算A'!DW48,"")</f>
        <v/>
      </c>
      <c r="K43" s="36">
        <f>IF('計算A'!C48=1,COUNTIFS('計算A'!$C$10:$C$54,1,'計算A'!$DW$10:$DW$54,"&lt;"&amp;'計算A'!DW48)+1,"")</f>
        <v/>
      </c>
      <c r="L43" s="38">
        <f>IF('計算A'!DY48=0,"",INDEX('設定'!$E$11:$E$20,INDEX('計算A'!$D$2:$DS$2,'計算A'!DY48)))</f>
        <v/>
      </c>
      <c r="M43" s="36">
        <f>IF('計算A'!DY48=0,"",INDEX('設定'!$I$11:$I$22,INDEX('計算A'!$D$3:$DS$3,'計算A'!DY48)))</f>
        <v/>
      </c>
      <c r="N43" s="38">
        <f>IF(G43="","",IF(COUNTIF('割り当て'!$C$6:$L$17,G43)&gt;1,"2か所以上に入っています",IF('計算A'!DY48&gt;0,IF(INDEX('計算A'!$D$4:$DS$4,'計算A'!DY48)=0,"使えない枠に入っています",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38">
        <f>IF('計算A'!DU48=0,IF('計算A'!DV48=1,"入る枠がありません",""),INDEX('計算A'!$D$8:$DS$8,'計算A'!DU48))</f>
        <v/>
      </c>
      <c r="P43" s="48">
        <f>HYPERLINK("#'×入力'!B613","×入力へ")</f>
        <v/>
      </c>
    </row>
    <row r="44" ht="19" customHeight="1">
      <c r="A44" s="46" t="n"/>
      <c r="B44" s="47" t="n"/>
      <c r="C44" s="46" t="n"/>
      <c r="D44" s="47" t="n"/>
      <c r="E44" s="46" t="n"/>
      <c r="F44" s="46" t="n"/>
      <c r="G44" s="38">
        <f>IF(B44="","",IF(A44="","",A44&amp;" ")&amp;B44)</f>
        <v/>
      </c>
      <c r="H44" s="36">
        <f>IF(B44="","",IF('×入力'!F629="未提出","未提出",IF(I44&gt;0,"入力済み",IF('×入力'!F629="×なし（どこでもOK）","×なし","未入力"))))</f>
        <v/>
      </c>
      <c r="I44" s="36">
        <f>IF(B44="","",'計算A'!DX49)</f>
        <v/>
      </c>
      <c r="J44" s="36">
        <f>IF(OR(H44="入力済み",H44="×なし"),'計算A'!DW49,"")</f>
        <v/>
      </c>
      <c r="K44" s="36">
        <f>IF('計算A'!C49=1,COUNTIFS('計算A'!$C$10:$C$54,1,'計算A'!$DW$10:$DW$54,"&lt;"&amp;'計算A'!DW49)+1,"")</f>
        <v/>
      </c>
      <c r="L44" s="38">
        <f>IF('計算A'!DY49=0,"",INDEX('設定'!$E$11:$E$20,INDEX('計算A'!$D$2:$DS$2,'計算A'!DY49)))</f>
        <v/>
      </c>
      <c r="M44" s="36">
        <f>IF('計算A'!DY49=0,"",INDEX('設定'!$I$11:$I$22,INDEX('計算A'!$D$3:$DS$3,'計算A'!DY49)))</f>
        <v/>
      </c>
      <c r="N44" s="38">
        <f>IF(G44="","",IF(COUNTIF('割り当て'!$C$6:$L$17,G44)&gt;1,"2か所以上に入っています",IF('計算A'!DY49&gt;0,IF(INDEX('計算A'!$D$4:$DS$4,'計算A'!DY49)=0,"使えない枠に入っています",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38">
        <f>IF('計算A'!DU49=0,IF('計算A'!DV49=1,"入る枠がありません",""),INDEX('計算A'!$D$8:$DS$8,'計算A'!DU49))</f>
        <v/>
      </c>
      <c r="P44" s="48">
        <f>HYPERLINK("#'×入力'!B629","×入力へ")</f>
        <v/>
      </c>
    </row>
    <row r="45" ht="19" customHeight="1">
      <c r="A45" s="46" t="n"/>
      <c r="B45" s="47" t="n"/>
      <c r="C45" s="46" t="n"/>
      <c r="D45" s="47" t="n"/>
      <c r="E45" s="46" t="n"/>
      <c r="F45" s="46" t="n"/>
      <c r="G45" s="38">
        <f>IF(B45="","",IF(A45="","",A45&amp;" ")&amp;B45)</f>
        <v/>
      </c>
      <c r="H45" s="36">
        <f>IF(B45="","",IF('×入力'!F645="未提出","未提出",IF(I45&gt;0,"入力済み",IF('×入力'!F645="×なし（どこでもOK）","×なし","未入力"))))</f>
        <v/>
      </c>
      <c r="I45" s="36">
        <f>IF(B45="","",'計算A'!DX50)</f>
        <v/>
      </c>
      <c r="J45" s="36">
        <f>IF(OR(H45="入力済み",H45="×なし"),'計算A'!DW50,"")</f>
        <v/>
      </c>
      <c r="K45" s="36">
        <f>IF('計算A'!C50=1,COUNTIFS('計算A'!$C$10:$C$54,1,'計算A'!$DW$10:$DW$54,"&lt;"&amp;'計算A'!DW50)+1,"")</f>
        <v/>
      </c>
      <c r="L45" s="38">
        <f>IF('計算A'!DY50=0,"",INDEX('設定'!$E$11:$E$20,INDEX('計算A'!$D$2:$DS$2,'計算A'!DY50)))</f>
        <v/>
      </c>
      <c r="M45" s="36">
        <f>IF('計算A'!DY50=0,"",INDEX('設定'!$I$11:$I$22,INDEX('計算A'!$D$3:$DS$3,'計算A'!DY50)))</f>
        <v/>
      </c>
      <c r="N45" s="38">
        <f>IF(G45="","",IF(COUNTIF('割り当て'!$C$6:$L$17,G45)&gt;1,"2か所以上に入っています",IF('計算A'!DY50&gt;0,IF(INDEX('計算A'!$D$4:$DS$4,'計算A'!DY50)=0,"使えない枠に入っています",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38">
        <f>IF('計算A'!DU50=0,IF('計算A'!DV50=1,"入る枠がありません",""),INDEX('計算A'!$D$8:$DS$8,'計算A'!DU50))</f>
        <v/>
      </c>
      <c r="P45" s="48">
        <f>HYPERLINK("#'×入力'!B645","×入力へ")</f>
        <v/>
      </c>
    </row>
    <row r="46" ht="19" customHeight="1">
      <c r="A46" s="46" t="n"/>
      <c r="B46" s="47" t="n"/>
      <c r="C46" s="46" t="n"/>
      <c r="D46" s="47" t="n"/>
      <c r="E46" s="46" t="n"/>
      <c r="F46" s="46" t="n"/>
      <c r="G46" s="38">
        <f>IF(B46="","",IF(A46="","",A46&amp;" ")&amp;B46)</f>
        <v/>
      </c>
      <c r="H46" s="36">
        <f>IF(B46="","",IF('×入力'!F661="未提出","未提出",IF(I46&gt;0,"入力済み",IF('×入力'!F661="×なし（どこでもOK）","×なし","未入力"))))</f>
        <v/>
      </c>
      <c r="I46" s="36">
        <f>IF(B46="","",'計算A'!DX51)</f>
        <v/>
      </c>
      <c r="J46" s="36">
        <f>IF(OR(H46="入力済み",H46="×なし"),'計算A'!DW51,"")</f>
        <v/>
      </c>
      <c r="K46" s="36">
        <f>IF('計算A'!C51=1,COUNTIFS('計算A'!$C$10:$C$54,1,'計算A'!$DW$10:$DW$54,"&lt;"&amp;'計算A'!DW51)+1,"")</f>
        <v/>
      </c>
      <c r="L46" s="38">
        <f>IF('計算A'!DY51=0,"",INDEX('設定'!$E$11:$E$20,INDEX('計算A'!$D$2:$DS$2,'計算A'!DY51)))</f>
        <v/>
      </c>
      <c r="M46" s="36">
        <f>IF('計算A'!DY51=0,"",INDEX('設定'!$I$11:$I$22,INDEX('計算A'!$D$3:$DS$3,'計算A'!DY51)))</f>
        <v/>
      </c>
      <c r="N46" s="38">
        <f>IF(G46="","",IF(COUNTIF('割り当て'!$C$6:$L$17,G46)&gt;1,"2か所以上に入っています",IF('計算A'!DY51&gt;0,IF(INDEX('計算A'!$D$4:$DS$4,'計算A'!DY51)=0,"使えない枠に入っています",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38">
        <f>IF('計算A'!DU51=0,IF('計算A'!DV51=1,"入る枠がありません",""),INDEX('計算A'!$D$8:$DS$8,'計算A'!DU51))</f>
        <v/>
      </c>
      <c r="P46" s="48">
        <f>HYPERLINK("#'×入力'!B661","×入力へ")</f>
        <v/>
      </c>
    </row>
    <row r="47" ht="19" customHeight="1">
      <c r="A47" s="46" t="n"/>
      <c r="B47" s="47" t="n"/>
      <c r="C47" s="46" t="n"/>
      <c r="D47" s="47" t="n"/>
      <c r="E47" s="46" t="n"/>
      <c r="F47" s="46" t="n"/>
      <c r="G47" s="38">
        <f>IF(B47="","",IF(A47="","",A47&amp;" ")&amp;B47)</f>
        <v/>
      </c>
      <c r="H47" s="36">
        <f>IF(B47="","",IF('×入力'!F677="未提出","未提出",IF(I47&gt;0,"入力済み",IF('×入力'!F677="×なし（どこでもOK）","×なし","未入力"))))</f>
        <v/>
      </c>
      <c r="I47" s="36">
        <f>IF(B47="","",'計算A'!DX52)</f>
        <v/>
      </c>
      <c r="J47" s="36">
        <f>IF(OR(H47="入力済み",H47="×なし"),'計算A'!DW52,"")</f>
        <v/>
      </c>
      <c r="K47" s="36">
        <f>IF('計算A'!C52=1,COUNTIFS('計算A'!$C$10:$C$54,1,'計算A'!$DW$10:$DW$54,"&lt;"&amp;'計算A'!DW52)+1,"")</f>
        <v/>
      </c>
      <c r="L47" s="38">
        <f>IF('計算A'!DY52=0,"",INDEX('設定'!$E$11:$E$20,INDEX('計算A'!$D$2:$DS$2,'計算A'!DY52)))</f>
        <v/>
      </c>
      <c r="M47" s="36">
        <f>IF('計算A'!DY52=0,"",INDEX('設定'!$I$11:$I$22,INDEX('計算A'!$D$3:$DS$3,'計算A'!DY52)))</f>
        <v/>
      </c>
      <c r="N47" s="38">
        <f>IF(G47="","",IF(COUNTIF('割り当て'!$C$6:$L$17,G47)&gt;1,"2か所以上に入っています",IF('計算A'!DY52&gt;0,IF(INDEX('計算A'!$D$4:$DS$4,'計算A'!DY52)=0,"使えない枠に入っています",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38">
        <f>IF('計算A'!DU52=0,IF('計算A'!DV52=1,"入る枠がありません",""),INDEX('計算A'!$D$8:$DS$8,'計算A'!DU52))</f>
        <v/>
      </c>
      <c r="P47" s="48">
        <f>HYPERLINK("#'×入力'!B677","×入力へ")</f>
        <v/>
      </c>
    </row>
    <row r="48" ht="19" customHeight="1">
      <c r="A48" s="46" t="n"/>
      <c r="B48" s="47" t="n"/>
      <c r="C48" s="46" t="n"/>
      <c r="D48" s="47" t="n"/>
      <c r="E48" s="46" t="n"/>
      <c r="F48" s="46" t="n"/>
      <c r="G48" s="38">
        <f>IF(B48="","",IF(A48="","",A48&amp;" ")&amp;B48)</f>
        <v/>
      </c>
      <c r="H48" s="36">
        <f>IF(B48="","",IF('×入力'!F693="未提出","未提出",IF(I48&gt;0,"入力済み",IF('×入力'!F693="×なし（どこでもOK）","×なし","未入力"))))</f>
        <v/>
      </c>
      <c r="I48" s="36">
        <f>IF(B48="","",'計算A'!DX53)</f>
        <v/>
      </c>
      <c r="J48" s="36">
        <f>IF(OR(H48="入力済み",H48="×なし"),'計算A'!DW53,"")</f>
        <v/>
      </c>
      <c r="K48" s="36">
        <f>IF('計算A'!C53=1,COUNTIFS('計算A'!$C$10:$C$54,1,'計算A'!$DW$10:$DW$54,"&lt;"&amp;'計算A'!DW53)+1,"")</f>
        <v/>
      </c>
      <c r="L48" s="38">
        <f>IF('計算A'!DY53=0,"",INDEX('設定'!$E$11:$E$20,INDEX('計算A'!$D$2:$DS$2,'計算A'!DY53)))</f>
        <v/>
      </c>
      <c r="M48" s="36">
        <f>IF('計算A'!DY53=0,"",INDEX('設定'!$I$11:$I$22,INDEX('計算A'!$D$3:$DS$3,'計算A'!DY53)))</f>
        <v/>
      </c>
      <c r="N48" s="38">
        <f>IF(G48="","",IF(COUNTIF('割り当て'!$C$6:$L$17,G48)&gt;1,"2か所以上に入っています",IF('計算A'!DY53&gt;0,IF(INDEX('計算A'!$D$4:$DS$4,'計算A'!DY53)=0,"使えない枠に入っています",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38">
        <f>IF('計算A'!DU53=0,IF('計算A'!DV53=1,"入る枠がありません",""),INDEX('計算A'!$D$8:$DS$8,'計算A'!DU53))</f>
        <v/>
      </c>
      <c r="P48" s="48">
        <f>HYPERLINK("#'×入力'!B693","×入力へ")</f>
        <v/>
      </c>
    </row>
    <row r="49" ht="19" customHeight="1">
      <c r="A49" s="46" t="n"/>
      <c r="B49" s="47" t="n"/>
      <c r="C49" s="46" t="n"/>
      <c r="D49" s="47" t="n"/>
      <c r="E49" s="46" t="n"/>
      <c r="F49" s="46" t="n"/>
      <c r="G49" s="38">
        <f>IF(B49="","",IF(A49="","",A49&amp;" ")&amp;B49)</f>
        <v/>
      </c>
      <c r="H49" s="36">
        <f>IF(B49="","",IF('×入力'!F709="未提出","未提出",IF(I49&gt;0,"入力済み",IF('×入力'!F709="×なし（どこでもOK）","×なし","未入力"))))</f>
        <v/>
      </c>
      <c r="I49" s="36">
        <f>IF(B49="","",'計算A'!DX54)</f>
        <v/>
      </c>
      <c r="J49" s="36">
        <f>IF(OR(H49="入力済み",H49="×なし"),'計算A'!DW54,"")</f>
        <v/>
      </c>
      <c r="K49" s="36">
        <f>IF('計算A'!C54=1,COUNTIFS('計算A'!$C$10:$C$54,1,'計算A'!$DW$10:$DW$54,"&lt;"&amp;'計算A'!DW54)+1,"")</f>
        <v/>
      </c>
      <c r="L49" s="38">
        <f>IF('計算A'!DY54=0,"",INDEX('設定'!$E$11:$E$20,INDEX('計算A'!$D$2:$DS$2,'計算A'!DY54)))</f>
        <v/>
      </c>
      <c r="M49" s="36">
        <f>IF('計算A'!DY54=0,"",INDEX('設定'!$I$11:$I$22,INDEX('計算A'!$D$3:$DS$3,'計算A'!DY54)))</f>
        <v/>
      </c>
      <c r="N49" s="38">
        <f>IF(G49="","",IF(COUNTIF('割り当て'!$C$6:$L$17,G49)&gt;1,"2か所以上に入っています",IF('計算A'!DY54&gt;0,IF(INDEX('計算A'!$D$4:$DS$4,'計算A'!DY54)=0,"使えない枠に入っています",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38">
        <f>IF('計算A'!DU54=0,IF('計算A'!DV54=1,"入る枠がありません",""),INDEX('計算A'!$D$8:$DS$8,'計算A'!DU54))</f>
        <v/>
      </c>
      <c r="P49" s="48">
        <f>HYPERLINK("#'×入力'!B709","×入力へ")</f>
        <v/>
      </c>
    </row>
  </sheetData>
  <autoFilter ref="A4:O49"/>
  <mergeCells count="4">
    <mergeCell ref="L1:M1"/>
    <mergeCell ref="J1:K1"/>
    <mergeCell ref="E1:F1"/>
    <mergeCell ref="H1:I1"/>
  </mergeCells>
  <conditionalFormatting sqref="N5:N49">
    <cfRule type="expression" priority="1" dxfId="5">
      <formula>OR(N5="未割り当て",LEFT(N5,6)="（出来れば）")</formula>
    </cfRule>
    <cfRule type="expression" priority="2" dxfId="6">
      <formula>N5&lt;&gt;""</formula>
    </cfRule>
  </conditionalFormatting>
  <conditionalFormatting sqref="O5:O49">
    <cfRule type="expression" priority="3" dxfId="6">
      <formula>O5="入る枠がありません"</formula>
    </cfRule>
  </conditionalFormatting>
  <conditionalFormatting sqref="H5:H49">
    <cfRule type="expression" priority="4" dxfId="7">
      <formula>OR(H5="未入力",H5="未提出")</formula>
    </cfRule>
  </conditionalFormatting>
  <conditionalFormatting sqref="J5:J49">
    <cfRule type="expression" priority="5" dxfId="3">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72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49"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HYPERLINK("#'割り当て'!A1","⑤ 割り当て")</f>
        <v/>
      </c>
      <c r="L1" s="2" t="n"/>
    </row>
    <row r="2" ht="24" customHeight="1">
      <c r="A2" s="4" t="n"/>
      <c r="B2" s="50"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3" t="inlineStr">
        <is>
          <t>×が1つもない家庭は「提出状況」で「×なし（どこでもOK）」、出していない家庭は「未提出」を選びます。名簿の「×入力へ」で各児童の表に移動できます。</t>
        </is>
      </c>
    </row>
    <row r="4"/>
    <row r="5" ht="26" customHeight="1">
      <c r="B5" s="51">
        <f>IF('名簿'!B5="","（名簿 1行目：なし）",'名簿'!G5)</f>
        <v/>
      </c>
      <c r="C5" s="4" t="n"/>
      <c r="D5" s="4" t="n"/>
      <c r="E5" s="52" t="inlineStr">
        <is>
          <t>提出状況 ▶</t>
        </is>
      </c>
      <c r="F5" s="37" t="n"/>
      <c r="G5" s="29" t="n"/>
      <c r="H5" s="53" t="inlineStr">
        <is>
          <t>状況：</t>
        </is>
      </c>
      <c r="I5" s="54">
        <f>'名簿'!H5</f>
        <v/>
      </c>
      <c r="J5" s="53" t="inlineStr">
        <is>
          <t>×の数：</t>
        </is>
      </c>
      <c r="K5" s="54">
        <f>'名簿'!I5</f>
        <v/>
      </c>
      <c r="L5" s="4" t="n"/>
    </row>
    <row r="6" ht="22" customHeight="1">
      <c r="A6" s="30" t="inlineStr">
        <is>
          <t>この日全部 ▶</t>
        </is>
      </c>
      <c r="C6" s="55" t="n"/>
      <c r="D6" s="55" t="n"/>
      <c r="E6" s="55" t="n"/>
      <c r="F6" s="55" t="n"/>
      <c r="G6" s="55" t="n"/>
      <c r="H6" s="55" t="n"/>
      <c r="I6" s="55" t="n"/>
      <c r="J6" s="55" t="n"/>
      <c r="K6" s="55" t="n"/>
      <c r="L6" s="55" t="n"/>
    </row>
    <row r="7" ht="28" customHeight="1">
      <c r="A7" s="33" t="inlineStr">
        <is>
          <t>この時間
全部 ▼</t>
        </is>
      </c>
      <c r="B7" s="34" t="inlineStr"/>
      <c r="C7" s="32">
        <f>'設定'!$E$11</f>
        <v/>
      </c>
      <c r="D7" s="32">
        <f>'設定'!$E$12</f>
        <v/>
      </c>
      <c r="E7" s="32">
        <f>'設定'!$E$13</f>
        <v/>
      </c>
      <c r="F7" s="32">
        <f>'設定'!$E$14</f>
        <v/>
      </c>
      <c r="G7" s="32">
        <f>'設定'!$E$15</f>
        <v/>
      </c>
      <c r="H7" s="32">
        <f>'設定'!$E$16</f>
        <v/>
      </c>
      <c r="I7" s="32">
        <f>'設定'!$E$17</f>
        <v/>
      </c>
      <c r="J7" s="32">
        <f>'設定'!$E$18</f>
        <v/>
      </c>
      <c r="K7" s="32">
        <f>'設定'!$E$19</f>
        <v/>
      </c>
      <c r="L7" s="32">
        <f>'設定'!$E$20</f>
        <v/>
      </c>
    </row>
    <row r="8" ht="22" customHeight="1">
      <c r="A8" s="55" t="n"/>
      <c r="B8" s="41">
        <f>'設定'!$I$11</f>
        <v/>
      </c>
      <c r="C8" s="56" t="n"/>
      <c r="D8" s="56" t="n"/>
      <c r="E8" s="56" t="n"/>
      <c r="F8" s="56" t="n"/>
      <c r="G8" s="56" t="n"/>
      <c r="H8" s="56" t="n"/>
      <c r="I8" s="56" t="n"/>
      <c r="J8" s="56" t="n"/>
      <c r="K8" s="56" t="n"/>
      <c r="L8" s="56" t="n"/>
    </row>
    <row r="9" ht="22" customHeight="1">
      <c r="A9" s="55" t="n"/>
      <c r="B9" s="41">
        <f>'設定'!$I$12</f>
        <v/>
      </c>
      <c r="C9" s="56" t="n"/>
      <c r="D9" s="56" t="n"/>
      <c r="E9" s="56" t="n"/>
      <c r="F9" s="56" t="n"/>
      <c r="G9" s="56" t="n"/>
      <c r="H9" s="56" t="n"/>
      <c r="I9" s="56" t="n"/>
      <c r="J9" s="56" t="n"/>
      <c r="K9" s="56" t="n"/>
      <c r="L9" s="56" t="n"/>
    </row>
    <row r="10" ht="22" customHeight="1">
      <c r="A10" s="55" t="n"/>
      <c r="B10" s="41">
        <f>'設定'!$I$13</f>
        <v/>
      </c>
      <c r="C10" s="56" t="n"/>
      <c r="D10" s="56" t="n"/>
      <c r="E10" s="56" t="n"/>
      <c r="F10" s="56" t="n"/>
      <c r="G10" s="56" t="n"/>
      <c r="H10" s="56" t="n"/>
      <c r="I10" s="56" t="n"/>
      <c r="J10" s="56" t="n"/>
      <c r="K10" s="56" t="n"/>
      <c r="L10" s="56" t="n"/>
    </row>
    <row r="11" ht="22" customHeight="1">
      <c r="A11" s="55" t="n"/>
      <c r="B11" s="41">
        <f>'設定'!$I$14</f>
        <v/>
      </c>
      <c r="C11" s="56" t="n"/>
      <c r="D11" s="56" t="n"/>
      <c r="E11" s="56" t="n"/>
      <c r="F11" s="56" t="n"/>
      <c r="G11" s="56" t="n"/>
      <c r="H11" s="56" t="n"/>
      <c r="I11" s="56" t="n"/>
      <c r="J11" s="56" t="n"/>
      <c r="K11" s="56" t="n"/>
      <c r="L11" s="56" t="n"/>
    </row>
    <row r="12" ht="22" customHeight="1">
      <c r="A12" s="55" t="n"/>
      <c r="B12" s="41">
        <f>'設定'!$I$15</f>
        <v/>
      </c>
      <c r="C12" s="56" t="n"/>
      <c r="D12" s="56" t="n"/>
      <c r="E12" s="56" t="n"/>
      <c r="F12" s="56" t="n"/>
      <c r="G12" s="56" t="n"/>
      <c r="H12" s="56" t="n"/>
      <c r="I12" s="56" t="n"/>
      <c r="J12" s="56" t="n"/>
      <c r="K12" s="56" t="n"/>
      <c r="L12" s="56" t="n"/>
    </row>
    <row r="13" ht="22" customHeight="1">
      <c r="A13" s="55" t="n"/>
      <c r="B13" s="41">
        <f>'設定'!$I$16</f>
        <v/>
      </c>
      <c r="C13" s="56" t="n"/>
      <c r="D13" s="56" t="n"/>
      <c r="E13" s="56" t="n"/>
      <c r="F13" s="56" t="n"/>
      <c r="G13" s="56" t="n"/>
      <c r="H13" s="56" t="n"/>
      <c r="I13" s="56" t="n"/>
      <c r="J13" s="56" t="n"/>
      <c r="K13" s="56" t="n"/>
      <c r="L13" s="56" t="n"/>
    </row>
    <row r="14" ht="22" customHeight="1">
      <c r="A14" s="55" t="n"/>
      <c r="B14" s="41">
        <f>'設定'!$I$17</f>
        <v/>
      </c>
      <c r="C14" s="56" t="n"/>
      <c r="D14" s="56" t="n"/>
      <c r="E14" s="56" t="n"/>
      <c r="F14" s="56" t="n"/>
      <c r="G14" s="56" t="n"/>
      <c r="H14" s="56" t="n"/>
      <c r="I14" s="56" t="n"/>
      <c r="J14" s="56" t="n"/>
      <c r="K14" s="56" t="n"/>
      <c r="L14" s="56" t="n"/>
    </row>
    <row r="15" ht="22" customHeight="1">
      <c r="A15" s="55" t="n"/>
      <c r="B15" s="41">
        <f>'設定'!$I$18</f>
        <v/>
      </c>
      <c r="C15" s="56" t="n"/>
      <c r="D15" s="56" t="n"/>
      <c r="E15" s="56" t="n"/>
      <c r="F15" s="56" t="n"/>
      <c r="G15" s="56" t="n"/>
      <c r="H15" s="56" t="n"/>
      <c r="I15" s="56" t="n"/>
      <c r="J15" s="56" t="n"/>
      <c r="K15" s="56" t="n"/>
      <c r="L15" s="56" t="n"/>
    </row>
    <row r="16" ht="22" customHeight="1">
      <c r="A16" s="55" t="n"/>
      <c r="B16" s="41">
        <f>'設定'!$I$19</f>
        <v/>
      </c>
      <c r="C16" s="56" t="n"/>
      <c r="D16" s="56" t="n"/>
      <c r="E16" s="56" t="n"/>
      <c r="F16" s="56" t="n"/>
      <c r="G16" s="56" t="n"/>
      <c r="H16" s="56" t="n"/>
      <c r="I16" s="56" t="n"/>
      <c r="J16" s="56" t="n"/>
      <c r="K16" s="56" t="n"/>
      <c r="L16" s="56" t="n"/>
    </row>
    <row r="17" ht="22" customHeight="1">
      <c r="A17" s="55" t="n"/>
      <c r="B17" s="41">
        <f>'設定'!$I$20</f>
        <v/>
      </c>
      <c r="C17" s="56" t="n"/>
      <c r="D17" s="56" t="n"/>
      <c r="E17" s="56" t="n"/>
      <c r="F17" s="56" t="n"/>
      <c r="G17" s="56" t="n"/>
      <c r="H17" s="56" t="n"/>
      <c r="I17" s="56" t="n"/>
      <c r="J17" s="56" t="n"/>
      <c r="K17" s="56" t="n"/>
      <c r="L17" s="56" t="n"/>
    </row>
    <row r="18" ht="22" customHeight="1">
      <c r="A18" s="55" t="n"/>
      <c r="B18" s="41">
        <f>'設定'!$I$21</f>
        <v/>
      </c>
      <c r="C18" s="56" t="n"/>
      <c r="D18" s="56" t="n"/>
      <c r="E18" s="56" t="n"/>
      <c r="F18" s="56" t="n"/>
      <c r="G18" s="56" t="n"/>
      <c r="H18" s="56" t="n"/>
      <c r="I18" s="56" t="n"/>
      <c r="J18" s="56" t="n"/>
      <c r="K18" s="56" t="n"/>
      <c r="L18" s="56" t="n"/>
    </row>
    <row r="19" ht="22" customHeight="1">
      <c r="A19" s="55" t="n"/>
      <c r="B19" s="41">
        <f>'設定'!$I$22</f>
        <v/>
      </c>
      <c r="C19" s="56" t="n"/>
      <c r="D19" s="56" t="n"/>
      <c r="E19" s="56" t="n"/>
      <c r="F19" s="56" t="n"/>
      <c r="G19" s="56" t="n"/>
      <c r="H19" s="56" t="n"/>
      <c r="I19" s="56" t="n"/>
      <c r="J19" s="56" t="n"/>
      <c r="K19" s="56" t="n"/>
      <c r="L19" s="56" t="n"/>
    </row>
    <row r="20"/>
    <row r="21" ht="26" customHeight="1">
      <c r="B21" s="51">
        <f>IF('名簿'!B6="","（名簿 2行目：なし）",'名簿'!G6)</f>
        <v/>
      </c>
      <c r="C21" s="4" t="n"/>
      <c r="D21" s="4" t="n"/>
      <c r="E21" s="52" t="inlineStr">
        <is>
          <t>提出状況 ▶</t>
        </is>
      </c>
      <c r="F21" s="37" t="n"/>
      <c r="G21" s="29" t="n"/>
      <c r="H21" s="53" t="inlineStr">
        <is>
          <t>状況：</t>
        </is>
      </c>
      <c r="I21" s="54">
        <f>'名簿'!H6</f>
        <v/>
      </c>
      <c r="J21" s="53" t="inlineStr">
        <is>
          <t>×の数：</t>
        </is>
      </c>
      <c r="K21" s="54">
        <f>'名簿'!I6</f>
        <v/>
      </c>
      <c r="L21" s="4" t="n"/>
    </row>
    <row r="22" ht="22" customHeight="1">
      <c r="A22" s="30" t="inlineStr">
        <is>
          <t>この日全部 ▶</t>
        </is>
      </c>
      <c r="C22" s="55" t="n"/>
      <c r="D22" s="55" t="n"/>
      <c r="E22" s="55" t="n"/>
      <c r="F22" s="55" t="n"/>
      <c r="G22" s="55" t="n"/>
      <c r="H22" s="55" t="n"/>
      <c r="I22" s="55" t="n"/>
      <c r="J22" s="55" t="n"/>
      <c r="K22" s="55" t="n"/>
      <c r="L22" s="55" t="n"/>
    </row>
    <row r="23" ht="28" customHeight="1">
      <c r="A23" s="33" t="inlineStr">
        <is>
          <t>この時間
全部 ▼</t>
        </is>
      </c>
      <c r="B23" s="34" t="inlineStr"/>
      <c r="C23" s="32">
        <f>'設定'!$E$11</f>
        <v/>
      </c>
      <c r="D23" s="32">
        <f>'設定'!$E$12</f>
        <v/>
      </c>
      <c r="E23" s="32">
        <f>'設定'!$E$13</f>
        <v/>
      </c>
      <c r="F23" s="32">
        <f>'設定'!$E$14</f>
        <v/>
      </c>
      <c r="G23" s="32">
        <f>'設定'!$E$15</f>
        <v/>
      </c>
      <c r="H23" s="32">
        <f>'設定'!$E$16</f>
        <v/>
      </c>
      <c r="I23" s="32">
        <f>'設定'!$E$17</f>
        <v/>
      </c>
      <c r="J23" s="32">
        <f>'設定'!$E$18</f>
        <v/>
      </c>
      <c r="K23" s="32">
        <f>'設定'!$E$19</f>
        <v/>
      </c>
      <c r="L23" s="32">
        <f>'設定'!$E$20</f>
        <v/>
      </c>
    </row>
    <row r="24" ht="22" customHeight="1">
      <c r="A24" s="55" t="n"/>
      <c r="B24" s="41">
        <f>'設定'!$I$11</f>
        <v/>
      </c>
      <c r="C24" s="56" t="n"/>
      <c r="D24" s="56" t="n"/>
      <c r="E24" s="56" t="n"/>
      <c r="F24" s="56" t="n"/>
      <c r="G24" s="56" t="n"/>
      <c r="H24" s="56" t="n"/>
      <c r="I24" s="56" t="n"/>
      <c r="J24" s="56" t="n"/>
      <c r="K24" s="56" t="n"/>
      <c r="L24" s="56" t="n"/>
    </row>
    <row r="25" ht="22" customHeight="1">
      <c r="A25" s="55" t="n"/>
      <c r="B25" s="41">
        <f>'設定'!$I$12</f>
        <v/>
      </c>
      <c r="C25" s="56" t="n"/>
      <c r="D25" s="56" t="n"/>
      <c r="E25" s="56" t="n"/>
      <c r="F25" s="56" t="n"/>
      <c r="G25" s="56" t="n"/>
      <c r="H25" s="56" t="n"/>
      <c r="I25" s="56" t="n"/>
      <c r="J25" s="56" t="n"/>
      <c r="K25" s="56" t="n"/>
      <c r="L25" s="56" t="n"/>
    </row>
    <row r="26" ht="22" customHeight="1">
      <c r="A26" s="55" t="n"/>
      <c r="B26" s="41">
        <f>'設定'!$I$13</f>
        <v/>
      </c>
      <c r="C26" s="56" t="n"/>
      <c r="D26" s="56" t="n"/>
      <c r="E26" s="56" t="n"/>
      <c r="F26" s="56" t="n"/>
      <c r="G26" s="56" t="n"/>
      <c r="H26" s="56" t="n"/>
      <c r="I26" s="56" t="n"/>
      <c r="J26" s="56" t="n"/>
      <c r="K26" s="56" t="n"/>
      <c r="L26" s="56" t="n"/>
    </row>
    <row r="27" ht="22" customHeight="1">
      <c r="A27" s="55" t="n"/>
      <c r="B27" s="41">
        <f>'設定'!$I$14</f>
        <v/>
      </c>
      <c r="C27" s="56" t="n"/>
      <c r="D27" s="56" t="n"/>
      <c r="E27" s="56" t="n"/>
      <c r="F27" s="56" t="n"/>
      <c r="G27" s="56" t="n"/>
      <c r="H27" s="56" t="n"/>
      <c r="I27" s="56" t="n"/>
      <c r="J27" s="56" t="n"/>
      <c r="K27" s="56" t="n"/>
      <c r="L27" s="56" t="n"/>
    </row>
    <row r="28" ht="22" customHeight="1">
      <c r="A28" s="55" t="n"/>
      <c r="B28" s="41">
        <f>'設定'!$I$15</f>
        <v/>
      </c>
      <c r="C28" s="56" t="n"/>
      <c r="D28" s="56" t="n"/>
      <c r="E28" s="56" t="n"/>
      <c r="F28" s="56" t="n"/>
      <c r="G28" s="56" t="n"/>
      <c r="H28" s="56" t="n"/>
      <c r="I28" s="56" t="n"/>
      <c r="J28" s="56" t="n"/>
      <c r="K28" s="56" t="n"/>
      <c r="L28" s="56" t="n"/>
    </row>
    <row r="29" ht="22" customHeight="1">
      <c r="A29" s="55" t="n"/>
      <c r="B29" s="41">
        <f>'設定'!$I$16</f>
        <v/>
      </c>
      <c r="C29" s="56" t="n"/>
      <c r="D29" s="56" t="n"/>
      <c r="E29" s="56" t="n"/>
      <c r="F29" s="56" t="n"/>
      <c r="G29" s="56" t="n"/>
      <c r="H29" s="56" t="n"/>
      <c r="I29" s="56" t="n"/>
      <c r="J29" s="56" t="n"/>
      <c r="K29" s="56" t="n"/>
      <c r="L29" s="56" t="n"/>
    </row>
    <row r="30" ht="22" customHeight="1">
      <c r="A30" s="55" t="n"/>
      <c r="B30" s="41">
        <f>'設定'!$I$17</f>
        <v/>
      </c>
      <c r="C30" s="56" t="n"/>
      <c r="D30" s="56" t="n"/>
      <c r="E30" s="56" t="n"/>
      <c r="F30" s="56" t="n"/>
      <c r="G30" s="56" t="n"/>
      <c r="H30" s="56" t="n"/>
      <c r="I30" s="56" t="n"/>
      <c r="J30" s="56" t="n"/>
      <c r="K30" s="56" t="n"/>
      <c r="L30" s="56" t="n"/>
    </row>
    <row r="31" ht="22" customHeight="1">
      <c r="A31" s="55" t="n"/>
      <c r="B31" s="41">
        <f>'設定'!$I$18</f>
        <v/>
      </c>
      <c r="C31" s="56" t="n"/>
      <c r="D31" s="56" t="n"/>
      <c r="E31" s="56" t="n"/>
      <c r="F31" s="56" t="n"/>
      <c r="G31" s="56" t="n"/>
      <c r="H31" s="56" t="n"/>
      <c r="I31" s="56" t="n"/>
      <c r="J31" s="56" t="n"/>
      <c r="K31" s="56" t="n"/>
      <c r="L31" s="56" t="n"/>
    </row>
    <row r="32" ht="22" customHeight="1">
      <c r="A32" s="55" t="n"/>
      <c r="B32" s="41">
        <f>'設定'!$I$19</f>
        <v/>
      </c>
      <c r="C32" s="56" t="n"/>
      <c r="D32" s="56" t="n"/>
      <c r="E32" s="56" t="n"/>
      <c r="F32" s="56" t="n"/>
      <c r="G32" s="56" t="n"/>
      <c r="H32" s="56" t="n"/>
      <c r="I32" s="56" t="n"/>
      <c r="J32" s="56" t="n"/>
      <c r="K32" s="56" t="n"/>
      <c r="L32" s="56" t="n"/>
    </row>
    <row r="33" ht="22" customHeight="1">
      <c r="A33" s="55" t="n"/>
      <c r="B33" s="41">
        <f>'設定'!$I$20</f>
        <v/>
      </c>
      <c r="C33" s="56" t="n"/>
      <c r="D33" s="56" t="n"/>
      <c r="E33" s="56" t="n"/>
      <c r="F33" s="56" t="n"/>
      <c r="G33" s="56" t="n"/>
      <c r="H33" s="56" t="n"/>
      <c r="I33" s="56" t="n"/>
      <c r="J33" s="56" t="n"/>
      <c r="K33" s="56" t="n"/>
      <c r="L33" s="56" t="n"/>
    </row>
    <row r="34" ht="22" customHeight="1">
      <c r="A34" s="55" t="n"/>
      <c r="B34" s="41">
        <f>'設定'!$I$21</f>
        <v/>
      </c>
      <c r="C34" s="56" t="n"/>
      <c r="D34" s="56" t="n"/>
      <c r="E34" s="56" t="n"/>
      <c r="F34" s="56" t="n"/>
      <c r="G34" s="56" t="n"/>
      <c r="H34" s="56" t="n"/>
      <c r="I34" s="56" t="n"/>
      <c r="J34" s="56" t="n"/>
      <c r="K34" s="56" t="n"/>
      <c r="L34" s="56" t="n"/>
    </row>
    <row r="35" ht="22" customHeight="1">
      <c r="A35" s="55" t="n"/>
      <c r="B35" s="41">
        <f>'設定'!$I$22</f>
        <v/>
      </c>
      <c r="C35" s="56" t="n"/>
      <c r="D35" s="56" t="n"/>
      <c r="E35" s="56" t="n"/>
      <c r="F35" s="56" t="n"/>
      <c r="G35" s="56" t="n"/>
      <c r="H35" s="56" t="n"/>
      <c r="I35" s="56" t="n"/>
      <c r="J35" s="56" t="n"/>
      <c r="K35" s="56" t="n"/>
      <c r="L35" s="56" t="n"/>
    </row>
    <row r="36"/>
    <row r="37" ht="26" customHeight="1">
      <c r="B37" s="51">
        <f>IF('名簿'!B7="","（名簿 3行目：なし）",'名簿'!G7)</f>
        <v/>
      </c>
      <c r="C37" s="4" t="n"/>
      <c r="D37" s="4" t="n"/>
      <c r="E37" s="52" t="inlineStr">
        <is>
          <t>提出状況 ▶</t>
        </is>
      </c>
      <c r="F37" s="37" t="n"/>
      <c r="G37" s="29" t="n"/>
      <c r="H37" s="53" t="inlineStr">
        <is>
          <t>状況：</t>
        </is>
      </c>
      <c r="I37" s="54">
        <f>'名簿'!H7</f>
        <v/>
      </c>
      <c r="J37" s="53" t="inlineStr">
        <is>
          <t>×の数：</t>
        </is>
      </c>
      <c r="K37" s="54">
        <f>'名簿'!I7</f>
        <v/>
      </c>
      <c r="L37" s="4" t="n"/>
    </row>
    <row r="38" ht="22" customHeight="1">
      <c r="A38" s="30" t="inlineStr">
        <is>
          <t>この日全部 ▶</t>
        </is>
      </c>
      <c r="C38" s="55" t="n"/>
      <c r="D38" s="55" t="n"/>
      <c r="E38" s="55" t="n"/>
      <c r="F38" s="55" t="n"/>
      <c r="G38" s="55" t="n"/>
      <c r="H38" s="55" t="n"/>
      <c r="I38" s="55" t="n"/>
      <c r="J38" s="55" t="n"/>
      <c r="K38" s="55" t="n"/>
      <c r="L38" s="55" t="n"/>
    </row>
    <row r="39" ht="28" customHeight="1">
      <c r="A39" s="33" t="inlineStr">
        <is>
          <t>この時間
全部 ▼</t>
        </is>
      </c>
      <c r="B39" s="34" t="inlineStr"/>
      <c r="C39" s="32">
        <f>'設定'!$E$11</f>
        <v/>
      </c>
      <c r="D39" s="32">
        <f>'設定'!$E$12</f>
        <v/>
      </c>
      <c r="E39" s="32">
        <f>'設定'!$E$13</f>
        <v/>
      </c>
      <c r="F39" s="32">
        <f>'設定'!$E$14</f>
        <v/>
      </c>
      <c r="G39" s="32">
        <f>'設定'!$E$15</f>
        <v/>
      </c>
      <c r="H39" s="32">
        <f>'設定'!$E$16</f>
        <v/>
      </c>
      <c r="I39" s="32">
        <f>'設定'!$E$17</f>
        <v/>
      </c>
      <c r="J39" s="32">
        <f>'設定'!$E$18</f>
        <v/>
      </c>
      <c r="K39" s="32">
        <f>'設定'!$E$19</f>
        <v/>
      </c>
      <c r="L39" s="32">
        <f>'設定'!$E$20</f>
        <v/>
      </c>
    </row>
    <row r="40" ht="22" customHeight="1">
      <c r="A40" s="55" t="n"/>
      <c r="B40" s="41">
        <f>'設定'!$I$11</f>
        <v/>
      </c>
      <c r="C40" s="56" t="n"/>
      <c r="D40" s="56" t="n"/>
      <c r="E40" s="56" t="n"/>
      <c r="F40" s="56" t="n"/>
      <c r="G40" s="56" t="n"/>
      <c r="H40" s="56" t="n"/>
      <c r="I40" s="56" t="n"/>
      <c r="J40" s="56" t="n"/>
      <c r="K40" s="56" t="n"/>
      <c r="L40" s="56" t="n"/>
    </row>
    <row r="41" ht="22" customHeight="1">
      <c r="A41" s="55" t="n"/>
      <c r="B41" s="41">
        <f>'設定'!$I$12</f>
        <v/>
      </c>
      <c r="C41" s="56" t="n"/>
      <c r="D41" s="56" t="n"/>
      <c r="E41" s="56" t="n"/>
      <c r="F41" s="56" t="n"/>
      <c r="G41" s="56" t="n"/>
      <c r="H41" s="56" t="n"/>
      <c r="I41" s="56" t="n"/>
      <c r="J41" s="56" t="n"/>
      <c r="K41" s="56" t="n"/>
      <c r="L41" s="56" t="n"/>
    </row>
    <row r="42" ht="22" customHeight="1">
      <c r="A42" s="55" t="n"/>
      <c r="B42" s="41">
        <f>'設定'!$I$13</f>
        <v/>
      </c>
      <c r="C42" s="56" t="n"/>
      <c r="D42" s="56" t="n"/>
      <c r="E42" s="56" t="n"/>
      <c r="F42" s="56" t="n"/>
      <c r="G42" s="56" t="n"/>
      <c r="H42" s="56" t="n"/>
      <c r="I42" s="56" t="n"/>
      <c r="J42" s="56" t="n"/>
      <c r="K42" s="56" t="n"/>
      <c r="L42" s="56" t="n"/>
    </row>
    <row r="43" ht="22" customHeight="1">
      <c r="A43" s="55" t="n"/>
      <c r="B43" s="41">
        <f>'設定'!$I$14</f>
        <v/>
      </c>
      <c r="C43" s="56" t="n"/>
      <c r="D43" s="56" t="n"/>
      <c r="E43" s="56" t="n"/>
      <c r="F43" s="56" t="n"/>
      <c r="G43" s="56" t="n"/>
      <c r="H43" s="56" t="n"/>
      <c r="I43" s="56" t="n"/>
      <c r="J43" s="56" t="n"/>
      <c r="K43" s="56" t="n"/>
      <c r="L43" s="56" t="n"/>
    </row>
    <row r="44" ht="22" customHeight="1">
      <c r="A44" s="55" t="n"/>
      <c r="B44" s="41">
        <f>'設定'!$I$15</f>
        <v/>
      </c>
      <c r="C44" s="56" t="n"/>
      <c r="D44" s="56" t="n"/>
      <c r="E44" s="56" t="n"/>
      <c r="F44" s="56" t="n"/>
      <c r="G44" s="56" t="n"/>
      <c r="H44" s="56" t="n"/>
      <c r="I44" s="56" t="n"/>
      <c r="J44" s="56" t="n"/>
      <c r="K44" s="56" t="n"/>
      <c r="L44" s="56" t="n"/>
    </row>
    <row r="45" ht="22" customHeight="1">
      <c r="A45" s="55" t="n"/>
      <c r="B45" s="41">
        <f>'設定'!$I$16</f>
        <v/>
      </c>
      <c r="C45" s="56" t="n"/>
      <c r="D45" s="56" t="n"/>
      <c r="E45" s="56" t="n"/>
      <c r="F45" s="56" t="n"/>
      <c r="G45" s="56" t="n"/>
      <c r="H45" s="56" t="n"/>
      <c r="I45" s="56" t="n"/>
      <c r="J45" s="56" t="n"/>
      <c r="K45" s="56" t="n"/>
      <c r="L45" s="56" t="n"/>
    </row>
    <row r="46" ht="22" customHeight="1">
      <c r="A46" s="55" t="n"/>
      <c r="B46" s="41">
        <f>'設定'!$I$17</f>
        <v/>
      </c>
      <c r="C46" s="56" t="n"/>
      <c r="D46" s="56" t="n"/>
      <c r="E46" s="56" t="n"/>
      <c r="F46" s="56" t="n"/>
      <c r="G46" s="56" t="n"/>
      <c r="H46" s="56" t="n"/>
      <c r="I46" s="56" t="n"/>
      <c r="J46" s="56" t="n"/>
      <c r="K46" s="56" t="n"/>
      <c r="L46" s="56" t="n"/>
    </row>
    <row r="47" ht="22" customHeight="1">
      <c r="A47" s="55" t="n"/>
      <c r="B47" s="41">
        <f>'設定'!$I$18</f>
        <v/>
      </c>
      <c r="C47" s="56" t="n"/>
      <c r="D47" s="56" t="n"/>
      <c r="E47" s="56" t="n"/>
      <c r="F47" s="56" t="n"/>
      <c r="G47" s="56" t="n"/>
      <c r="H47" s="56" t="n"/>
      <c r="I47" s="56" t="n"/>
      <c r="J47" s="56" t="n"/>
      <c r="K47" s="56" t="n"/>
      <c r="L47" s="56" t="n"/>
    </row>
    <row r="48" ht="22" customHeight="1">
      <c r="A48" s="55" t="n"/>
      <c r="B48" s="41">
        <f>'設定'!$I$19</f>
        <v/>
      </c>
      <c r="C48" s="56" t="n"/>
      <c r="D48" s="56" t="n"/>
      <c r="E48" s="56" t="n"/>
      <c r="F48" s="56" t="n"/>
      <c r="G48" s="56" t="n"/>
      <c r="H48" s="56" t="n"/>
      <c r="I48" s="56" t="n"/>
      <c r="J48" s="56" t="n"/>
      <c r="K48" s="56" t="n"/>
      <c r="L48" s="56" t="n"/>
    </row>
    <row r="49" ht="22" customHeight="1">
      <c r="A49" s="55" t="n"/>
      <c r="B49" s="41">
        <f>'設定'!$I$20</f>
        <v/>
      </c>
      <c r="C49" s="56" t="n"/>
      <c r="D49" s="56" t="n"/>
      <c r="E49" s="56" t="n"/>
      <c r="F49" s="56" t="n"/>
      <c r="G49" s="56" t="n"/>
      <c r="H49" s="56" t="n"/>
      <c r="I49" s="56" t="n"/>
      <c r="J49" s="56" t="n"/>
      <c r="K49" s="56" t="n"/>
      <c r="L49" s="56" t="n"/>
    </row>
    <row r="50" ht="22" customHeight="1">
      <c r="A50" s="55" t="n"/>
      <c r="B50" s="41">
        <f>'設定'!$I$21</f>
        <v/>
      </c>
      <c r="C50" s="56" t="n"/>
      <c r="D50" s="56" t="n"/>
      <c r="E50" s="56" t="n"/>
      <c r="F50" s="56" t="n"/>
      <c r="G50" s="56" t="n"/>
      <c r="H50" s="56" t="n"/>
      <c r="I50" s="56" t="n"/>
      <c r="J50" s="56" t="n"/>
      <c r="K50" s="56" t="n"/>
      <c r="L50" s="56" t="n"/>
    </row>
    <row r="51" ht="22" customHeight="1">
      <c r="A51" s="55" t="n"/>
      <c r="B51" s="41">
        <f>'設定'!$I$22</f>
        <v/>
      </c>
      <c r="C51" s="56" t="n"/>
      <c r="D51" s="56" t="n"/>
      <c r="E51" s="56" t="n"/>
      <c r="F51" s="56" t="n"/>
      <c r="G51" s="56" t="n"/>
      <c r="H51" s="56" t="n"/>
      <c r="I51" s="56" t="n"/>
      <c r="J51" s="56" t="n"/>
      <c r="K51" s="56" t="n"/>
      <c r="L51" s="56" t="n"/>
    </row>
    <row r="52"/>
    <row r="53" ht="26" customHeight="1">
      <c r="B53" s="51">
        <f>IF('名簿'!B8="","（名簿 4行目：なし）",'名簿'!G8)</f>
        <v/>
      </c>
      <c r="C53" s="4" t="n"/>
      <c r="D53" s="4" t="n"/>
      <c r="E53" s="52" t="inlineStr">
        <is>
          <t>提出状況 ▶</t>
        </is>
      </c>
      <c r="F53" s="37" t="n"/>
      <c r="G53" s="29" t="n"/>
      <c r="H53" s="53" t="inlineStr">
        <is>
          <t>状況：</t>
        </is>
      </c>
      <c r="I53" s="54">
        <f>'名簿'!H8</f>
        <v/>
      </c>
      <c r="J53" s="53" t="inlineStr">
        <is>
          <t>×の数：</t>
        </is>
      </c>
      <c r="K53" s="54">
        <f>'名簿'!I8</f>
        <v/>
      </c>
      <c r="L53" s="4" t="n"/>
    </row>
    <row r="54" ht="22" customHeight="1">
      <c r="A54" s="30" t="inlineStr">
        <is>
          <t>この日全部 ▶</t>
        </is>
      </c>
      <c r="C54" s="55" t="n"/>
      <c r="D54" s="55" t="n"/>
      <c r="E54" s="55" t="n"/>
      <c r="F54" s="55" t="n"/>
      <c r="G54" s="55" t="n"/>
      <c r="H54" s="55" t="n"/>
      <c r="I54" s="55" t="n"/>
      <c r="J54" s="55" t="n"/>
      <c r="K54" s="55" t="n"/>
      <c r="L54" s="55" t="n"/>
    </row>
    <row r="55" ht="28" customHeight="1">
      <c r="A55" s="33" t="inlineStr">
        <is>
          <t>この時間
全部 ▼</t>
        </is>
      </c>
      <c r="B55" s="34" t="inlineStr"/>
      <c r="C55" s="32">
        <f>'設定'!$E$11</f>
        <v/>
      </c>
      <c r="D55" s="32">
        <f>'設定'!$E$12</f>
        <v/>
      </c>
      <c r="E55" s="32">
        <f>'設定'!$E$13</f>
        <v/>
      </c>
      <c r="F55" s="32">
        <f>'設定'!$E$14</f>
        <v/>
      </c>
      <c r="G55" s="32">
        <f>'設定'!$E$15</f>
        <v/>
      </c>
      <c r="H55" s="32">
        <f>'設定'!$E$16</f>
        <v/>
      </c>
      <c r="I55" s="32">
        <f>'設定'!$E$17</f>
        <v/>
      </c>
      <c r="J55" s="32">
        <f>'設定'!$E$18</f>
        <v/>
      </c>
      <c r="K55" s="32">
        <f>'設定'!$E$19</f>
        <v/>
      </c>
      <c r="L55" s="32">
        <f>'設定'!$E$20</f>
        <v/>
      </c>
    </row>
    <row r="56" ht="22" customHeight="1">
      <c r="A56" s="55" t="n"/>
      <c r="B56" s="41">
        <f>'設定'!$I$11</f>
        <v/>
      </c>
      <c r="C56" s="56" t="n"/>
      <c r="D56" s="56" t="n"/>
      <c r="E56" s="56" t="n"/>
      <c r="F56" s="56" t="n"/>
      <c r="G56" s="56" t="n"/>
      <c r="H56" s="56" t="n"/>
      <c r="I56" s="56" t="n"/>
      <c r="J56" s="56" t="n"/>
      <c r="K56" s="56" t="n"/>
      <c r="L56" s="56" t="n"/>
    </row>
    <row r="57" ht="22" customHeight="1">
      <c r="A57" s="55" t="n"/>
      <c r="B57" s="41">
        <f>'設定'!$I$12</f>
        <v/>
      </c>
      <c r="C57" s="56" t="n"/>
      <c r="D57" s="56" t="n"/>
      <c r="E57" s="56" t="n"/>
      <c r="F57" s="56" t="n"/>
      <c r="G57" s="56" t="n"/>
      <c r="H57" s="56" t="n"/>
      <c r="I57" s="56" t="n"/>
      <c r="J57" s="56" t="n"/>
      <c r="K57" s="56" t="n"/>
      <c r="L57" s="56" t="n"/>
    </row>
    <row r="58" ht="22" customHeight="1">
      <c r="A58" s="55" t="n"/>
      <c r="B58" s="41">
        <f>'設定'!$I$13</f>
        <v/>
      </c>
      <c r="C58" s="56" t="n"/>
      <c r="D58" s="56" t="n"/>
      <c r="E58" s="56" t="n"/>
      <c r="F58" s="56" t="n"/>
      <c r="G58" s="56" t="n"/>
      <c r="H58" s="56" t="n"/>
      <c r="I58" s="56" t="n"/>
      <c r="J58" s="56" t="n"/>
      <c r="K58" s="56" t="n"/>
      <c r="L58" s="56" t="n"/>
    </row>
    <row r="59" ht="22" customHeight="1">
      <c r="A59" s="55" t="n"/>
      <c r="B59" s="41">
        <f>'設定'!$I$14</f>
        <v/>
      </c>
      <c r="C59" s="56" t="n"/>
      <c r="D59" s="56" t="n"/>
      <c r="E59" s="56" t="n"/>
      <c r="F59" s="56" t="n"/>
      <c r="G59" s="56" t="n"/>
      <c r="H59" s="56" t="n"/>
      <c r="I59" s="56" t="n"/>
      <c r="J59" s="56" t="n"/>
      <c r="K59" s="56" t="n"/>
      <c r="L59" s="56" t="n"/>
    </row>
    <row r="60" ht="22" customHeight="1">
      <c r="A60" s="55" t="n"/>
      <c r="B60" s="41">
        <f>'設定'!$I$15</f>
        <v/>
      </c>
      <c r="C60" s="56" t="n"/>
      <c r="D60" s="56" t="n"/>
      <c r="E60" s="56" t="n"/>
      <c r="F60" s="56" t="n"/>
      <c r="G60" s="56" t="n"/>
      <c r="H60" s="56" t="n"/>
      <c r="I60" s="56" t="n"/>
      <c r="J60" s="56" t="n"/>
      <c r="K60" s="56" t="n"/>
      <c r="L60" s="56" t="n"/>
    </row>
    <row r="61" ht="22" customHeight="1">
      <c r="A61" s="55" t="n"/>
      <c r="B61" s="41">
        <f>'設定'!$I$16</f>
        <v/>
      </c>
      <c r="C61" s="56" t="n"/>
      <c r="D61" s="56" t="n"/>
      <c r="E61" s="56" t="n"/>
      <c r="F61" s="56" t="n"/>
      <c r="G61" s="56" t="n"/>
      <c r="H61" s="56" t="n"/>
      <c r="I61" s="56" t="n"/>
      <c r="J61" s="56" t="n"/>
      <c r="K61" s="56" t="n"/>
      <c r="L61" s="56" t="n"/>
    </row>
    <row r="62" ht="22" customHeight="1">
      <c r="A62" s="55" t="n"/>
      <c r="B62" s="41">
        <f>'設定'!$I$17</f>
        <v/>
      </c>
      <c r="C62" s="56" t="n"/>
      <c r="D62" s="56" t="n"/>
      <c r="E62" s="56" t="n"/>
      <c r="F62" s="56" t="n"/>
      <c r="G62" s="56" t="n"/>
      <c r="H62" s="56" t="n"/>
      <c r="I62" s="56" t="n"/>
      <c r="J62" s="56" t="n"/>
      <c r="K62" s="56" t="n"/>
      <c r="L62" s="56" t="n"/>
    </row>
    <row r="63" ht="22" customHeight="1">
      <c r="A63" s="55" t="n"/>
      <c r="B63" s="41">
        <f>'設定'!$I$18</f>
        <v/>
      </c>
      <c r="C63" s="56" t="n"/>
      <c r="D63" s="56" t="n"/>
      <c r="E63" s="56" t="n"/>
      <c r="F63" s="56" t="n"/>
      <c r="G63" s="56" t="n"/>
      <c r="H63" s="56" t="n"/>
      <c r="I63" s="56" t="n"/>
      <c r="J63" s="56" t="n"/>
      <c r="K63" s="56" t="n"/>
      <c r="L63" s="56" t="n"/>
    </row>
    <row r="64" ht="22" customHeight="1">
      <c r="A64" s="55" t="n"/>
      <c r="B64" s="41">
        <f>'設定'!$I$19</f>
        <v/>
      </c>
      <c r="C64" s="56" t="n"/>
      <c r="D64" s="56" t="n"/>
      <c r="E64" s="56" t="n"/>
      <c r="F64" s="56" t="n"/>
      <c r="G64" s="56" t="n"/>
      <c r="H64" s="56" t="n"/>
      <c r="I64" s="56" t="n"/>
      <c r="J64" s="56" t="n"/>
      <c r="K64" s="56" t="n"/>
      <c r="L64" s="56" t="n"/>
    </row>
    <row r="65" ht="22" customHeight="1">
      <c r="A65" s="55" t="n"/>
      <c r="B65" s="41">
        <f>'設定'!$I$20</f>
        <v/>
      </c>
      <c r="C65" s="56" t="n"/>
      <c r="D65" s="56" t="n"/>
      <c r="E65" s="56" t="n"/>
      <c r="F65" s="56" t="n"/>
      <c r="G65" s="56" t="n"/>
      <c r="H65" s="56" t="n"/>
      <c r="I65" s="56" t="n"/>
      <c r="J65" s="56" t="n"/>
      <c r="K65" s="56" t="n"/>
      <c r="L65" s="56" t="n"/>
    </row>
    <row r="66" ht="22" customHeight="1">
      <c r="A66" s="55" t="n"/>
      <c r="B66" s="41">
        <f>'設定'!$I$21</f>
        <v/>
      </c>
      <c r="C66" s="56" t="n"/>
      <c r="D66" s="56" t="n"/>
      <c r="E66" s="56" t="n"/>
      <c r="F66" s="56" t="n"/>
      <c r="G66" s="56" t="n"/>
      <c r="H66" s="56" t="n"/>
      <c r="I66" s="56" t="n"/>
      <c r="J66" s="56" t="n"/>
      <c r="K66" s="56" t="n"/>
      <c r="L66" s="56" t="n"/>
    </row>
    <row r="67" ht="22" customHeight="1">
      <c r="A67" s="55" t="n"/>
      <c r="B67" s="41">
        <f>'設定'!$I$22</f>
        <v/>
      </c>
      <c r="C67" s="56" t="n"/>
      <c r="D67" s="56" t="n"/>
      <c r="E67" s="56" t="n"/>
      <c r="F67" s="56" t="n"/>
      <c r="G67" s="56" t="n"/>
      <c r="H67" s="56" t="n"/>
      <c r="I67" s="56" t="n"/>
      <c r="J67" s="56" t="n"/>
      <c r="K67" s="56" t="n"/>
      <c r="L67" s="56" t="n"/>
    </row>
    <row r="68"/>
    <row r="69" ht="26" customHeight="1">
      <c r="B69" s="51">
        <f>IF('名簿'!B9="","（名簿 5行目：なし）",'名簿'!G9)</f>
        <v/>
      </c>
      <c r="C69" s="4" t="n"/>
      <c r="D69" s="4" t="n"/>
      <c r="E69" s="52" t="inlineStr">
        <is>
          <t>提出状況 ▶</t>
        </is>
      </c>
      <c r="F69" s="37" t="n"/>
      <c r="G69" s="29" t="n"/>
      <c r="H69" s="53" t="inlineStr">
        <is>
          <t>状況：</t>
        </is>
      </c>
      <c r="I69" s="54">
        <f>'名簿'!H9</f>
        <v/>
      </c>
      <c r="J69" s="53" t="inlineStr">
        <is>
          <t>×の数：</t>
        </is>
      </c>
      <c r="K69" s="54">
        <f>'名簿'!I9</f>
        <v/>
      </c>
      <c r="L69" s="4" t="n"/>
    </row>
    <row r="70" ht="22" customHeight="1">
      <c r="A70" s="30" t="inlineStr">
        <is>
          <t>この日全部 ▶</t>
        </is>
      </c>
      <c r="C70" s="55" t="n"/>
      <c r="D70" s="55" t="n"/>
      <c r="E70" s="55" t="n"/>
      <c r="F70" s="55" t="n"/>
      <c r="G70" s="55" t="n"/>
      <c r="H70" s="55" t="n"/>
      <c r="I70" s="55" t="n"/>
      <c r="J70" s="55" t="n"/>
      <c r="K70" s="55" t="n"/>
      <c r="L70" s="55" t="n"/>
    </row>
    <row r="71" ht="28" customHeight="1">
      <c r="A71" s="33" t="inlineStr">
        <is>
          <t>この時間
全部 ▼</t>
        </is>
      </c>
      <c r="B71" s="34" t="inlineStr"/>
      <c r="C71" s="32">
        <f>'設定'!$E$11</f>
        <v/>
      </c>
      <c r="D71" s="32">
        <f>'設定'!$E$12</f>
        <v/>
      </c>
      <c r="E71" s="32">
        <f>'設定'!$E$13</f>
        <v/>
      </c>
      <c r="F71" s="32">
        <f>'設定'!$E$14</f>
        <v/>
      </c>
      <c r="G71" s="32">
        <f>'設定'!$E$15</f>
        <v/>
      </c>
      <c r="H71" s="32">
        <f>'設定'!$E$16</f>
        <v/>
      </c>
      <c r="I71" s="32">
        <f>'設定'!$E$17</f>
        <v/>
      </c>
      <c r="J71" s="32">
        <f>'設定'!$E$18</f>
        <v/>
      </c>
      <c r="K71" s="32">
        <f>'設定'!$E$19</f>
        <v/>
      </c>
      <c r="L71" s="32">
        <f>'設定'!$E$20</f>
        <v/>
      </c>
    </row>
    <row r="72" ht="22" customHeight="1">
      <c r="A72" s="55" t="n"/>
      <c r="B72" s="41">
        <f>'設定'!$I$11</f>
        <v/>
      </c>
      <c r="C72" s="56" t="n"/>
      <c r="D72" s="56" t="n"/>
      <c r="E72" s="56" t="n"/>
      <c r="F72" s="56" t="n"/>
      <c r="G72" s="56" t="n"/>
      <c r="H72" s="56" t="n"/>
      <c r="I72" s="56" t="n"/>
      <c r="J72" s="56" t="n"/>
      <c r="K72" s="56" t="n"/>
      <c r="L72" s="56" t="n"/>
    </row>
    <row r="73" ht="22" customHeight="1">
      <c r="A73" s="55" t="n"/>
      <c r="B73" s="41">
        <f>'設定'!$I$12</f>
        <v/>
      </c>
      <c r="C73" s="56" t="n"/>
      <c r="D73" s="56" t="n"/>
      <c r="E73" s="56" t="n"/>
      <c r="F73" s="56" t="n"/>
      <c r="G73" s="56" t="n"/>
      <c r="H73" s="56" t="n"/>
      <c r="I73" s="56" t="n"/>
      <c r="J73" s="56" t="n"/>
      <c r="K73" s="56" t="n"/>
      <c r="L73" s="56" t="n"/>
    </row>
    <row r="74" ht="22" customHeight="1">
      <c r="A74" s="55" t="n"/>
      <c r="B74" s="41">
        <f>'設定'!$I$13</f>
        <v/>
      </c>
      <c r="C74" s="56" t="n"/>
      <c r="D74" s="56" t="n"/>
      <c r="E74" s="56" t="n"/>
      <c r="F74" s="56" t="n"/>
      <c r="G74" s="56" t="n"/>
      <c r="H74" s="56" t="n"/>
      <c r="I74" s="56" t="n"/>
      <c r="J74" s="56" t="n"/>
      <c r="K74" s="56" t="n"/>
      <c r="L74" s="56" t="n"/>
    </row>
    <row r="75" ht="22" customHeight="1">
      <c r="A75" s="55" t="n"/>
      <c r="B75" s="41">
        <f>'設定'!$I$14</f>
        <v/>
      </c>
      <c r="C75" s="56" t="n"/>
      <c r="D75" s="56" t="n"/>
      <c r="E75" s="56" t="n"/>
      <c r="F75" s="56" t="n"/>
      <c r="G75" s="56" t="n"/>
      <c r="H75" s="56" t="n"/>
      <c r="I75" s="56" t="n"/>
      <c r="J75" s="56" t="n"/>
      <c r="K75" s="56" t="n"/>
      <c r="L75" s="56" t="n"/>
    </row>
    <row r="76" ht="22" customHeight="1">
      <c r="A76" s="55" t="n"/>
      <c r="B76" s="41">
        <f>'設定'!$I$15</f>
        <v/>
      </c>
      <c r="C76" s="56" t="n"/>
      <c r="D76" s="56" t="n"/>
      <c r="E76" s="56" t="n"/>
      <c r="F76" s="56" t="n"/>
      <c r="G76" s="56" t="n"/>
      <c r="H76" s="56" t="n"/>
      <c r="I76" s="56" t="n"/>
      <c r="J76" s="56" t="n"/>
      <c r="K76" s="56" t="n"/>
      <c r="L76" s="56" t="n"/>
    </row>
    <row r="77" ht="22" customHeight="1">
      <c r="A77" s="55" t="n"/>
      <c r="B77" s="41">
        <f>'設定'!$I$16</f>
        <v/>
      </c>
      <c r="C77" s="56" t="n"/>
      <c r="D77" s="56" t="n"/>
      <c r="E77" s="56" t="n"/>
      <c r="F77" s="56" t="n"/>
      <c r="G77" s="56" t="n"/>
      <c r="H77" s="56" t="n"/>
      <c r="I77" s="56" t="n"/>
      <c r="J77" s="56" t="n"/>
      <c r="K77" s="56" t="n"/>
      <c r="L77" s="56" t="n"/>
    </row>
    <row r="78" ht="22" customHeight="1">
      <c r="A78" s="55" t="n"/>
      <c r="B78" s="41">
        <f>'設定'!$I$17</f>
        <v/>
      </c>
      <c r="C78" s="56" t="n"/>
      <c r="D78" s="56" t="n"/>
      <c r="E78" s="56" t="n"/>
      <c r="F78" s="56" t="n"/>
      <c r="G78" s="56" t="n"/>
      <c r="H78" s="56" t="n"/>
      <c r="I78" s="56" t="n"/>
      <c r="J78" s="56" t="n"/>
      <c r="K78" s="56" t="n"/>
      <c r="L78" s="56" t="n"/>
    </row>
    <row r="79" ht="22" customHeight="1">
      <c r="A79" s="55" t="n"/>
      <c r="B79" s="41">
        <f>'設定'!$I$18</f>
        <v/>
      </c>
      <c r="C79" s="56" t="n"/>
      <c r="D79" s="56" t="n"/>
      <c r="E79" s="56" t="n"/>
      <c r="F79" s="56" t="n"/>
      <c r="G79" s="56" t="n"/>
      <c r="H79" s="56" t="n"/>
      <c r="I79" s="56" t="n"/>
      <c r="J79" s="56" t="n"/>
      <c r="K79" s="56" t="n"/>
      <c r="L79" s="56" t="n"/>
    </row>
    <row r="80" ht="22" customHeight="1">
      <c r="A80" s="55" t="n"/>
      <c r="B80" s="41">
        <f>'設定'!$I$19</f>
        <v/>
      </c>
      <c r="C80" s="56" t="n"/>
      <c r="D80" s="56" t="n"/>
      <c r="E80" s="56" t="n"/>
      <c r="F80" s="56" t="n"/>
      <c r="G80" s="56" t="n"/>
      <c r="H80" s="56" t="n"/>
      <c r="I80" s="56" t="n"/>
      <c r="J80" s="56" t="n"/>
      <c r="K80" s="56" t="n"/>
      <c r="L80" s="56" t="n"/>
    </row>
    <row r="81" ht="22" customHeight="1">
      <c r="A81" s="55" t="n"/>
      <c r="B81" s="41">
        <f>'設定'!$I$20</f>
        <v/>
      </c>
      <c r="C81" s="56" t="n"/>
      <c r="D81" s="56" t="n"/>
      <c r="E81" s="56" t="n"/>
      <c r="F81" s="56" t="n"/>
      <c r="G81" s="56" t="n"/>
      <c r="H81" s="56" t="n"/>
      <c r="I81" s="56" t="n"/>
      <c r="J81" s="56" t="n"/>
      <c r="K81" s="56" t="n"/>
      <c r="L81" s="56" t="n"/>
    </row>
    <row r="82" ht="22" customHeight="1">
      <c r="A82" s="55" t="n"/>
      <c r="B82" s="41">
        <f>'設定'!$I$21</f>
        <v/>
      </c>
      <c r="C82" s="56" t="n"/>
      <c r="D82" s="56" t="n"/>
      <c r="E82" s="56" t="n"/>
      <c r="F82" s="56" t="n"/>
      <c r="G82" s="56" t="n"/>
      <c r="H82" s="56" t="n"/>
      <c r="I82" s="56" t="n"/>
      <c r="J82" s="56" t="n"/>
      <c r="K82" s="56" t="n"/>
      <c r="L82" s="56" t="n"/>
    </row>
    <row r="83" ht="22" customHeight="1">
      <c r="A83" s="55" t="n"/>
      <c r="B83" s="41">
        <f>'設定'!$I$22</f>
        <v/>
      </c>
      <c r="C83" s="56" t="n"/>
      <c r="D83" s="56" t="n"/>
      <c r="E83" s="56" t="n"/>
      <c r="F83" s="56" t="n"/>
      <c r="G83" s="56" t="n"/>
      <c r="H83" s="56" t="n"/>
      <c r="I83" s="56" t="n"/>
      <c r="J83" s="56" t="n"/>
      <c r="K83" s="56" t="n"/>
      <c r="L83" s="56" t="n"/>
    </row>
    <row r="84"/>
    <row r="85" ht="26" customHeight="1">
      <c r="B85" s="51">
        <f>IF('名簿'!B10="","（名簿 6行目：なし）",'名簿'!G10)</f>
        <v/>
      </c>
      <c r="C85" s="4" t="n"/>
      <c r="D85" s="4" t="n"/>
      <c r="E85" s="52" t="inlineStr">
        <is>
          <t>提出状況 ▶</t>
        </is>
      </c>
      <c r="F85" s="37" t="n"/>
      <c r="G85" s="29" t="n"/>
      <c r="H85" s="53" t="inlineStr">
        <is>
          <t>状況：</t>
        </is>
      </c>
      <c r="I85" s="54">
        <f>'名簿'!H10</f>
        <v/>
      </c>
      <c r="J85" s="53" t="inlineStr">
        <is>
          <t>×の数：</t>
        </is>
      </c>
      <c r="K85" s="54">
        <f>'名簿'!I10</f>
        <v/>
      </c>
      <c r="L85" s="4" t="n"/>
    </row>
    <row r="86" ht="22" customHeight="1">
      <c r="A86" s="30" t="inlineStr">
        <is>
          <t>この日全部 ▶</t>
        </is>
      </c>
      <c r="C86" s="55" t="n"/>
      <c r="D86" s="55" t="n"/>
      <c r="E86" s="55" t="n"/>
      <c r="F86" s="55" t="n"/>
      <c r="G86" s="55" t="n"/>
      <c r="H86" s="55" t="n"/>
      <c r="I86" s="55" t="n"/>
      <c r="J86" s="55" t="n"/>
      <c r="K86" s="55" t="n"/>
      <c r="L86" s="55" t="n"/>
    </row>
    <row r="87" ht="28" customHeight="1">
      <c r="A87" s="33" t="inlineStr">
        <is>
          <t>この時間
全部 ▼</t>
        </is>
      </c>
      <c r="B87" s="34" t="inlineStr"/>
      <c r="C87" s="32">
        <f>'設定'!$E$11</f>
        <v/>
      </c>
      <c r="D87" s="32">
        <f>'設定'!$E$12</f>
        <v/>
      </c>
      <c r="E87" s="32">
        <f>'設定'!$E$13</f>
        <v/>
      </c>
      <c r="F87" s="32">
        <f>'設定'!$E$14</f>
        <v/>
      </c>
      <c r="G87" s="32">
        <f>'設定'!$E$15</f>
        <v/>
      </c>
      <c r="H87" s="32">
        <f>'設定'!$E$16</f>
        <v/>
      </c>
      <c r="I87" s="32">
        <f>'設定'!$E$17</f>
        <v/>
      </c>
      <c r="J87" s="32">
        <f>'設定'!$E$18</f>
        <v/>
      </c>
      <c r="K87" s="32">
        <f>'設定'!$E$19</f>
        <v/>
      </c>
      <c r="L87" s="32">
        <f>'設定'!$E$20</f>
        <v/>
      </c>
    </row>
    <row r="88" ht="22" customHeight="1">
      <c r="A88" s="55" t="n"/>
      <c r="B88" s="41">
        <f>'設定'!$I$11</f>
        <v/>
      </c>
      <c r="C88" s="56" t="n"/>
      <c r="D88" s="56" t="n"/>
      <c r="E88" s="56" t="n"/>
      <c r="F88" s="56" t="n"/>
      <c r="G88" s="56" t="n"/>
      <c r="H88" s="56" t="n"/>
      <c r="I88" s="56" t="n"/>
      <c r="J88" s="56" t="n"/>
      <c r="K88" s="56" t="n"/>
      <c r="L88" s="56" t="n"/>
    </row>
    <row r="89" ht="22" customHeight="1">
      <c r="A89" s="55" t="n"/>
      <c r="B89" s="41">
        <f>'設定'!$I$12</f>
        <v/>
      </c>
      <c r="C89" s="56" t="n"/>
      <c r="D89" s="56" t="n"/>
      <c r="E89" s="56" t="n"/>
      <c r="F89" s="56" t="n"/>
      <c r="G89" s="56" t="n"/>
      <c r="H89" s="56" t="n"/>
      <c r="I89" s="56" t="n"/>
      <c r="J89" s="56" t="n"/>
      <c r="K89" s="56" t="n"/>
      <c r="L89" s="56" t="n"/>
    </row>
    <row r="90" ht="22" customHeight="1">
      <c r="A90" s="55" t="n"/>
      <c r="B90" s="41">
        <f>'設定'!$I$13</f>
        <v/>
      </c>
      <c r="C90" s="56" t="n"/>
      <c r="D90" s="56" t="n"/>
      <c r="E90" s="56" t="n"/>
      <c r="F90" s="56" t="n"/>
      <c r="G90" s="56" t="n"/>
      <c r="H90" s="56" t="n"/>
      <c r="I90" s="56" t="n"/>
      <c r="J90" s="56" t="n"/>
      <c r="K90" s="56" t="n"/>
      <c r="L90" s="56" t="n"/>
    </row>
    <row r="91" ht="22" customHeight="1">
      <c r="A91" s="55" t="n"/>
      <c r="B91" s="41">
        <f>'設定'!$I$14</f>
        <v/>
      </c>
      <c r="C91" s="56" t="n"/>
      <c r="D91" s="56" t="n"/>
      <c r="E91" s="56" t="n"/>
      <c r="F91" s="56" t="n"/>
      <c r="G91" s="56" t="n"/>
      <c r="H91" s="56" t="n"/>
      <c r="I91" s="56" t="n"/>
      <c r="J91" s="56" t="n"/>
      <c r="K91" s="56" t="n"/>
      <c r="L91" s="56" t="n"/>
    </row>
    <row r="92" ht="22" customHeight="1">
      <c r="A92" s="55" t="n"/>
      <c r="B92" s="41">
        <f>'設定'!$I$15</f>
        <v/>
      </c>
      <c r="C92" s="56" t="n"/>
      <c r="D92" s="56" t="n"/>
      <c r="E92" s="56" t="n"/>
      <c r="F92" s="56" t="n"/>
      <c r="G92" s="56" t="n"/>
      <c r="H92" s="56" t="n"/>
      <c r="I92" s="56" t="n"/>
      <c r="J92" s="56" t="n"/>
      <c r="K92" s="56" t="n"/>
      <c r="L92" s="56" t="n"/>
    </row>
    <row r="93" ht="22" customHeight="1">
      <c r="A93" s="55" t="n"/>
      <c r="B93" s="41">
        <f>'設定'!$I$16</f>
        <v/>
      </c>
      <c r="C93" s="56" t="n"/>
      <c r="D93" s="56" t="n"/>
      <c r="E93" s="56" t="n"/>
      <c r="F93" s="56" t="n"/>
      <c r="G93" s="56" t="n"/>
      <c r="H93" s="56" t="n"/>
      <c r="I93" s="56" t="n"/>
      <c r="J93" s="56" t="n"/>
      <c r="K93" s="56" t="n"/>
      <c r="L93" s="56" t="n"/>
    </row>
    <row r="94" ht="22" customHeight="1">
      <c r="A94" s="55" t="n"/>
      <c r="B94" s="41">
        <f>'設定'!$I$17</f>
        <v/>
      </c>
      <c r="C94" s="56" t="n"/>
      <c r="D94" s="56" t="n"/>
      <c r="E94" s="56" t="n"/>
      <c r="F94" s="56" t="n"/>
      <c r="G94" s="56" t="n"/>
      <c r="H94" s="56" t="n"/>
      <c r="I94" s="56" t="n"/>
      <c r="J94" s="56" t="n"/>
      <c r="K94" s="56" t="n"/>
      <c r="L94" s="56" t="n"/>
    </row>
    <row r="95" ht="22" customHeight="1">
      <c r="A95" s="55" t="n"/>
      <c r="B95" s="41">
        <f>'設定'!$I$18</f>
        <v/>
      </c>
      <c r="C95" s="56" t="n"/>
      <c r="D95" s="56" t="n"/>
      <c r="E95" s="56" t="n"/>
      <c r="F95" s="56" t="n"/>
      <c r="G95" s="56" t="n"/>
      <c r="H95" s="56" t="n"/>
      <c r="I95" s="56" t="n"/>
      <c r="J95" s="56" t="n"/>
      <c r="K95" s="56" t="n"/>
      <c r="L95" s="56" t="n"/>
    </row>
    <row r="96" ht="22" customHeight="1">
      <c r="A96" s="55" t="n"/>
      <c r="B96" s="41">
        <f>'設定'!$I$19</f>
        <v/>
      </c>
      <c r="C96" s="56" t="n"/>
      <c r="D96" s="56" t="n"/>
      <c r="E96" s="56" t="n"/>
      <c r="F96" s="56" t="n"/>
      <c r="G96" s="56" t="n"/>
      <c r="H96" s="56" t="n"/>
      <c r="I96" s="56" t="n"/>
      <c r="J96" s="56" t="n"/>
      <c r="K96" s="56" t="n"/>
      <c r="L96" s="56" t="n"/>
    </row>
    <row r="97" ht="22" customHeight="1">
      <c r="A97" s="55" t="n"/>
      <c r="B97" s="41">
        <f>'設定'!$I$20</f>
        <v/>
      </c>
      <c r="C97" s="56" t="n"/>
      <c r="D97" s="56" t="n"/>
      <c r="E97" s="56" t="n"/>
      <c r="F97" s="56" t="n"/>
      <c r="G97" s="56" t="n"/>
      <c r="H97" s="56" t="n"/>
      <c r="I97" s="56" t="n"/>
      <c r="J97" s="56" t="n"/>
      <c r="K97" s="56" t="n"/>
      <c r="L97" s="56" t="n"/>
    </row>
    <row r="98" ht="22" customHeight="1">
      <c r="A98" s="55" t="n"/>
      <c r="B98" s="41">
        <f>'設定'!$I$21</f>
        <v/>
      </c>
      <c r="C98" s="56" t="n"/>
      <c r="D98" s="56" t="n"/>
      <c r="E98" s="56" t="n"/>
      <c r="F98" s="56" t="n"/>
      <c r="G98" s="56" t="n"/>
      <c r="H98" s="56" t="n"/>
      <c r="I98" s="56" t="n"/>
      <c r="J98" s="56" t="n"/>
      <c r="K98" s="56" t="n"/>
      <c r="L98" s="56" t="n"/>
    </row>
    <row r="99" ht="22" customHeight="1">
      <c r="A99" s="55" t="n"/>
      <c r="B99" s="41">
        <f>'設定'!$I$22</f>
        <v/>
      </c>
      <c r="C99" s="56" t="n"/>
      <c r="D99" s="56" t="n"/>
      <c r="E99" s="56" t="n"/>
      <c r="F99" s="56" t="n"/>
      <c r="G99" s="56" t="n"/>
      <c r="H99" s="56" t="n"/>
      <c r="I99" s="56" t="n"/>
      <c r="J99" s="56" t="n"/>
      <c r="K99" s="56" t="n"/>
      <c r="L99" s="56" t="n"/>
    </row>
    <row r="100"/>
    <row r="101" ht="26" customHeight="1">
      <c r="B101" s="51">
        <f>IF('名簿'!B11="","（名簿 7行目：なし）",'名簿'!G11)</f>
        <v/>
      </c>
      <c r="C101" s="4" t="n"/>
      <c r="D101" s="4" t="n"/>
      <c r="E101" s="52" t="inlineStr">
        <is>
          <t>提出状況 ▶</t>
        </is>
      </c>
      <c r="F101" s="37" t="n"/>
      <c r="G101" s="29" t="n"/>
      <c r="H101" s="53" t="inlineStr">
        <is>
          <t>状況：</t>
        </is>
      </c>
      <c r="I101" s="54">
        <f>'名簿'!H11</f>
        <v/>
      </c>
      <c r="J101" s="53" t="inlineStr">
        <is>
          <t>×の数：</t>
        </is>
      </c>
      <c r="K101" s="54">
        <f>'名簿'!I11</f>
        <v/>
      </c>
      <c r="L101" s="4" t="n"/>
    </row>
    <row r="102" ht="22" customHeight="1">
      <c r="A102" s="30" t="inlineStr">
        <is>
          <t>この日全部 ▶</t>
        </is>
      </c>
      <c r="C102" s="55" t="n"/>
      <c r="D102" s="55" t="n"/>
      <c r="E102" s="55" t="n"/>
      <c r="F102" s="55" t="n"/>
      <c r="G102" s="55" t="n"/>
      <c r="H102" s="55" t="n"/>
      <c r="I102" s="55" t="n"/>
      <c r="J102" s="55" t="n"/>
      <c r="K102" s="55" t="n"/>
      <c r="L102" s="55" t="n"/>
    </row>
    <row r="103" ht="28" customHeight="1">
      <c r="A103" s="33" t="inlineStr">
        <is>
          <t>この時間
全部 ▼</t>
        </is>
      </c>
      <c r="B103" s="34" t="inlineStr"/>
      <c r="C103" s="32">
        <f>'設定'!$E$11</f>
        <v/>
      </c>
      <c r="D103" s="32">
        <f>'設定'!$E$12</f>
        <v/>
      </c>
      <c r="E103" s="32">
        <f>'設定'!$E$13</f>
        <v/>
      </c>
      <c r="F103" s="32">
        <f>'設定'!$E$14</f>
        <v/>
      </c>
      <c r="G103" s="32">
        <f>'設定'!$E$15</f>
        <v/>
      </c>
      <c r="H103" s="32">
        <f>'設定'!$E$16</f>
        <v/>
      </c>
      <c r="I103" s="32">
        <f>'設定'!$E$17</f>
        <v/>
      </c>
      <c r="J103" s="32">
        <f>'設定'!$E$18</f>
        <v/>
      </c>
      <c r="K103" s="32">
        <f>'設定'!$E$19</f>
        <v/>
      </c>
      <c r="L103" s="32">
        <f>'設定'!$E$20</f>
        <v/>
      </c>
    </row>
    <row r="104" ht="22" customHeight="1">
      <c r="A104" s="55" t="n"/>
      <c r="B104" s="41">
        <f>'設定'!$I$11</f>
        <v/>
      </c>
      <c r="C104" s="56" t="n"/>
      <c r="D104" s="56" t="n"/>
      <c r="E104" s="56" t="n"/>
      <c r="F104" s="56" t="n"/>
      <c r="G104" s="56" t="n"/>
      <c r="H104" s="56" t="n"/>
      <c r="I104" s="56" t="n"/>
      <c r="J104" s="56" t="n"/>
      <c r="K104" s="56" t="n"/>
      <c r="L104" s="56" t="n"/>
    </row>
    <row r="105" ht="22" customHeight="1">
      <c r="A105" s="55" t="n"/>
      <c r="B105" s="41">
        <f>'設定'!$I$12</f>
        <v/>
      </c>
      <c r="C105" s="56" t="n"/>
      <c r="D105" s="56" t="n"/>
      <c r="E105" s="56" t="n"/>
      <c r="F105" s="56" t="n"/>
      <c r="G105" s="56" t="n"/>
      <c r="H105" s="56" t="n"/>
      <c r="I105" s="56" t="n"/>
      <c r="J105" s="56" t="n"/>
      <c r="K105" s="56" t="n"/>
      <c r="L105" s="56" t="n"/>
    </row>
    <row r="106" ht="22" customHeight="1">
      <c r="A106" s="55" t="n"/>
      <c r="B106" s="41">
        <f>'設定'!$I$13</f>
        <v/>
      </c>
      <c r="C106" s="56" t="n"/>
      <c r="D106" s="56" t="n"/>
      <c r="E106" s="56" t="n"/>
      <c r="F106" s="56" t="n"/>
      <c r="G106" s="56" t="n"/>
      <c r="H106" s="56" t="n"/>
      <c r="I106" s="56" t="n"/>
      <c r="J106" s="56" t="n"/>
      <c r="K106" s="56" t="n"/>
      <c r="L106" s="56" t="n"/>
    </row>
    <row r="107" ht="22" customHeight="1">
      <c r="A107" s="55" t="n"/>
      <c r="B107" s="41">
        <f>'設定'!$I$14</f>
        <v/>
      </c>
      <c r="C107" s="56" t="n"/>
      <c r="D107" s="56" t="n"/>
      <c r="E107" s="56" t="n"/>
      <c r="F107" s="56" t="n"/>
      <c r="G107" s="56" t="n"/>
      <c r="H107" s="56" t="n"/>
      <c r="I107" s="56" t="n"/>
      <c r="J107" s="56" t="n"/>
      <c r="K107" s="56" t="n"/>
      <c r="L107" s="56" t="n"/>
    </row>
    <row r="108" ht="22" customHeight="1">
      <c r="A108" s="55" t="n"/>
      <c r="B108" s="41">
        <f>'設定'!$I$15</f>
        <v/>
      </c>
      <c r="C108" s="56" t="n"/>
      <c r="D108" s="56" t="n"/>
      <c r="E108" s="56" t="n"/>
      <c r="F108" s="56" t="n"/>
      <c r="G108" s="56" t="n"/>
      <c r="H108" s="56" t="n"/>
      <c r="I108" s="56" t="n"/>
      <c r="J108" s="56" t="n"/>
      <c r="K108" s="56" t="n"/>
      <c r="L108" s="56" t="n"/>
    </row>
    <row r="109" ht="22" customHeight="1">
      <c r="A109" s="55" t="n"/>
      <c r="B109" s="41">
        <f>'設定'!$I$16</f>
        <v/>
      </c>
      <c r="C109" s="56" t="n"/>
      <c r="D109" s="56" t="n"/>
      <c r="E109" s="56" t="n"/>
      <c r="F109" s="56" t="n"/>
      <c r="G109" s="56" t="n"/>
      <c r="H109" s="56" t="n"/>
      <c r="I109" s="56" t="n"/>
      <c r="J109" s="56" t="n"/>
      <c r="K109" s="56" t="n"/>
      <c r="L109" s="56" t="n"/>
    </row>
    <row r="110" ht="22" customHeight="1">
      <c r="A110" s="55" t="n"/>
      <c r="B110" s="41">
        <f>'設定'!$I$17</f>
        <v/>
      </c>
      <c r="C110" s="56" t="n"/>
      <c r="D110" s="56" t="n"/>
      <c r="E110" s="56" t="n"/>
      <c r="F110" s="56" t="n"/>
      <c r="G110" s="56" t="n"/>
      <c r="H110" s="56" t="n"/>
      <c r="I110" s="56" t="n"/>
      <c r="J110" s="56" t="n"/>
      <c r="K110" s="56" t="n"/>
      <c r="L110" s="56" t="n"/>
    </row>
    <row r="111" ht="22" customHeight="1">
      <c r="A111" s="55" t="n"/>
      <c r="B111" s="41">
        <f>'設定'!$I$18</f>
        <v/>
      </c>
      <c r="C111" s="56" t="n"/>
      <c r="D111" s="56" t="n"/>
      <c r="E111" s="56" t="n"/>
      <c r="F111" s="56" t="n"/>
      <c r="G111" s="56" t="n"/>
      <c r="H111" s="56" t="n"/>
      <c r="I111" s="56" t="n"/>
      <c r="J111" s="56" t="n"/>
      <c r="K111" s="56" t="n"/>
      <c r="L111" s="56" t="n"/>
    </row>
    <row r="112" ht="22" customHeight="1">
      <c r="A112" s="55" t="n"/>
      <c r="B112" s="41">
        <f>'設定'!$I$19</f>
        <v/>
      </c>
      <c r="C112" s="56" t="n"/>
      <c r="D112" s="56" t="n"/>
      <c r="E112" s="56" t="n"/>
      <c r="F112" s="56" t="n"/>
      <c r="G112" s="56" t="n"/>
      <c r="H112" s="56" t="n"/>
      <c r="I112" s="56" t="n"/>
      <c r="J112" s="56" t="n"/>
      <c r="K112" s="56" t="n"/>
      <c r="L112" s="56" t="n"/>
    </row>
    <row r="113" ht="22" customHeight="1">
      <c r="A113" s="55" t="n"/>
      <c r="B113" s="41">
        <f>'設定'!$I$20</f>
        <v/>
      </c>
      <c r="C113" s="56" t="n"/>
      <c r="D113" s="56" t="n"/>
      <c r="E113" s="56" t="n"/>
      <c r="F113" s="56" t="n"/>
      <c r="G113" s="56" t="n"/>
      <c r="H113" s="56" t="n"/>
      <c r="I113" s="56" t="n"/>
      <c r="J113" s="56" t="n"/>
      <c r="K113" s="56" t="n"/>
      <c r="L113" s="56" t="n"/>
    </row>
    <row r="114" ht="22" customHeight="1">
      <c r="A114" s="55" t="n"/>
      <c r="B114" s="41">
        <f>'設定'!$I$21</f>
        <v/>
      </c>
      <c r="C114" s="56" t="n"/>
      <c r="D114" s="56" t="n"/>
      <c r="E114" s="56" t="n"/>
      <c r="F114" s="56" t="n"/>
      <c r="G114" s="56" t="n"/>
      <c r="H114" s="56" t="n"/>
      <c r="I114" s="56" t="n"/>
      <c r="J114" s="56" t="n"/>
      <c r="K114" s="56" t="n"/>
      <c r="L114" s="56" t="n"/>
    </row>
    <row r="115" ht="22" customHeight="1">
      <c r="A115" s="55" t="n"/>
      <c r="B115" s="41">
        <f>'設定'!$I$22</f>
        <v/>
      </c>
      <c r="C115" s="56" t="n"/>
      <c r="D115" s="56" t="n"/>
      <c r="E115" s="56" t="n"/>
      <c r="F115" s="56" t="n"/>
      <c r="G115" s="56" t="n"/>
      <c r="H115" s="56" t="n"/>
      <c r="I115" s="56" t="n"/>
      <c r="J115" s="56" t="n"/>
      <c r="K115" s="56" t="n"/>
      <c r="L115" s="56" t="n"/>
    </row>
    <row r="116"/>
    <row r="117" ht="26" customHeight="1">
      <c r="B117" s="51">
        <f>IF('名簿'!B12="","（名簿 8行目：なし）",'名簿'!G12)</f>
        <v/>
      </c>
      <c r="C117" s="4" t="n"/>
      <c r="D117" s="4" t="n"/>
      <c r="E117" s="52" t="inlineStr">
        <is>
          <t>提出状況 ▶</t>
        </is>
      </c>
      <c r="F117" s="37" t="n"/>
      <c r="G117" s="29" t="n"/>
      <c r="H117" s="53" t="inlineStr">
        <is>
          <t>状況：</t>
        </is>
      </c>
      <c r="I117" s="54">
        <f>'名簿'!H12</f>
        <v/>
      </c>
      <c r="J117" s="53" t="inlineStr">
        <is>
          <t>×の数：</t>
        </is>
      </c>
      <c r="K117" s="54">
        <f>'名簿'!I12</f>
        <v/>
      </c>
      <c r="L117" s="4" t="n"/>
    </row>
    <row r="118" ht="22" customHeight="1">
      <c r="A118" s="30" t="inlineStr">
        <is>
          <t>この日全部 ▶</t>
        </is>
      </c>
      <c r="C118" s="55" t="n"/>
      <c r="D118" s="55" t="n"/>
      <c r="E118" s="55" t="n"/>
      <c r="F118" s="55" t="n"/>
      <c r="G118" s="55" t="n"/>
      <c r="H118" s="55" t="n"/>
      <c r="I118" s="55" t="n"/>
      <c r="J118" s="55" t="n"/>
      <c r="K118" s="55" t="n"/>
      <c r="L118" s="55" t="n"/>
    </row>
    <row r="119" ht="28" customHeight="1">
      <c r="A119" s="33" t="inlineStr">
        <is>
          <t>この時間
全部 ▼</t>
        </is>
      </c>
      <c r="B119" s="34" t="inlineStr"/>
      <c r="C119" s="32">
        <f>'設定'!$E$11</f>
        <v/>
      </c>
      <c r="D119" s="32">
        <f>'設定'!$E$12</f>
        <v/>
      </c>
      <c r="E119" s="32">
        <f>'設定'!$E$13</f>
        <v/>
      </c>
      <c r="F119" s="32">
        <f>'設定'!$E$14</f>
        <v/>
      </c>
      <c r="G119" s="32">
        <f>'設定'!$E$15</f>
        <v/>
      </c>
      <c r="H119" s="32">
        <f>'設定'!$E$16</f>
        <v/>
      </c>
      <c r="I119" s="32">
        <f>'設定'!$E$17</f>
        <v/>
      </c>
      <c r="J119" s="32">
        <f>'設定'!$E$18</f>
        <v/>
      </c>
      <c r="K119" s="32">
        <f>'設定'!$E$19</f>
        <v/>
      </c>
      <c r="L119" s="32">
        <f>'設定'!$E$20</f>
        <v/>
      </c>
    </row>
    <row r="120" ht="22" customHeight="1">
      <c r="A120" s="55" t="n"/>
      <c r="B120" s="41">
        <f>'設定'!$I$11</f>
        <v/>
      </c>
      <c r="C120" s="56" t="n"/>
      <c r="D120" s="56" t="n"/>
      <c r="E120" s="56" t="n"/>
      <c r="F120" s="56" t="n"/>
      <c r="G120" s="56" t="n"/>
      <c r="H120" s="56" t="n"/>
      <c r="I120" s="56" t="n"/>
      <c r="J120" s="56" t="n"/>
      <c r="K120" s="56" t="n"/>
      <c r="L120" s="56" t="n"/>
    </row>
    <row r="121" ht="22" customHeight="1">
      <c r="A121" s="55" t="n"/>
      <c r="B121" s="41">
        <f>'設定'!$I$12</f>
        <v/>
      </c>
      <c r="C121" s="56" t="n"/>
      <c r="D121" s="56" t="n"/>
      <c r="E121" s="56" t="n"/>
      <c r="F121" s="56" t="n"/>
      <c r="G121" s="56" t="n"/>
      <c r="H121" s="56" t="n"/>
      <c r="I121" s="56" t="n"/>
      <c r="J121" s="56" t="n"/>
      <c r="K121" s="56" t="n"/>
      <c r="L121" s="56" t="n"/>
    </row>
    <row r="122" ht="22" customHeight="1">
      <c r="A122" s="55" t="n"/>
      <c r="B122" s="41">
        <f>'設定'!$I$13</f>
        <v/>
      </c>
      <c r="C122" s="56" t="n"/>
      <c r="D122" s="56" t="n"/>
      <c r="E122" s="56" t="n"/>
      <c r="F122" s="56" t="n"/>
      <c r="G122" s="56" t="n"/>
      <c r="H122" s="56" t="n"/>
      <c r="I122" s="56" t="n"/>
      <c r="J122" s="56" t="n"/>
      <c r="K122" s="56" t="n"/>
      <c r="L122" s="56" t="n"/>
    </row>
    <row r="123" ht="22" customHeight="1">
      <c r="A123" s="55" t="n"/>
      <c r="B123" s="41">
        <f>'設定'!$I$14</f>
        <v/>
      </c>
      <c r="C123" s="56" t="n"/>
      <c r="D123" s="56" t="n"/>
      <c r="E123" s="56" t="n"/>
      <c r="F123" s="56" t="n"/>
      <c r="G123" s="56" t="n"/>
      <c r="H123" s="56" t="n"/>
      <c r="I123" s="56" t="n"/>
      <c r="J123" s="56" t="n"/>
      <c r="K123" s="56" t="n"/>
      <c r="L123" s="56" t="n"/>
    </row>
    <row r="124" ht="22" customHeight="1">
      <c r="A124" s="55" t="n"/>
      <c r="B124" s="41">
        <f>'設定'!$I$15</f>
        <v/>
      </c>
      <c r="C124" s="56" t="n"/>
      <c r="D124" s="56" t="n"/>
      <c r="E124" s="56" t="n"/>
      <c r="F124" s="56" t="n"/>
      <c r="G124" s="56" t="n"/>
      <c r="H124" s="56" t="n"/>
      <c r="I124" s="56" t="n"/>
      <c r="J124" s="56" t="n"/>
      <c r="K124" s="56" t="n"/>
      <c r="L124" s="56" t="n"/>
    </row>
    <row r="125" ht="22" customHeight="1">
      <c r="A125" s="55" t="n"/>
      <c r="B125" s="41">
        <f>'設定'!$I$16</f>
        <v/>
      </c>
      <c r="C125" s="56" t="n"/>
      <c r="D125" s="56" t="n"/>
      <c r="E125" s="56" t="n"/>
      <c r="F125" s="56" t="n"/>
      <c r="G125" s="56" t="n"/>
      <c r="H125" s="56" t="n"/>
      <c r="I125" s="56" t="n"/>
      <c r="J125" s="56" t="n"/>
      <c r="K125" s="56" t="n"/>
      <c r="L125" s="56" t="n"/>
    </row>
    <row r="126" ht="22" customHeight="1">
      <c r="A126" s="55" t="n"/>
      <c r="B126" s="41">
        <f>'設定'!$I$17</f>
        <v/>
      </c>
      <c r="C126" s="56" t="n"/>
      <c r="D126" s="56" t="n"/>
      <c r="E126" s="56" t="n"/>
      <c r="F126" s="56" t="n"/>
      <c r="G126" s="56" t="n"/>
      <c r="H126" s="56" t="n"/>
      <c r="I126" s="56" t="n"/>
      <c r="J126" s="56" t="n"/>
      <c r="K126" s="56" t="n"/>
      <c r="L126" s="56" t="n"/>
    </row>
    <row r="127" ht="22" customHeight="1">
      <c r="A127" s="55" t="n"/>
      <c r="B127" s="41">
        <f>'設定'!$I$18</f>
        <v/>
      </c>
      <c r="C127" s="56" t="n"/>
      <c r="D127" s="56" t="n"/>
      <c r="E127" s="56" t="n"/>
      <c r="F127" s="56" t="n"/>
      <c r="G127" s="56" t="n"/>
      <c r="H127" s="56" t="n"/>
      <c r="I127" s="56" t="n"/>
      <c r="J127" s="56" t="n"/>
      <c r="K127" s="56" t="n"/>
      <c r="L127" s="56" t="n"/>
    </row>
    <row r="128" ht="22" customHeight="1">
      <c r="A128" s="55" t="n"/>
      <c r="B128" s="41">
        <f>'設定'!$I$19</f>
        <v/>
      </c>
      <c r="C128" s="56" t="n"/>
      <c r="D128" s="56" t="n"/>
      <c r="E128" s="56" t="n"/>
      <c r="F128" s="56" t="n"/>
      <c r="G128" s="56" t="n"/>
      <c r="H128" s="56" t="n"/>
      <c r="I128" s="56" t="n"/>
      <c r="J128" s="56" t="n"/>
      <c r="K128" s="56" t="n"/>
      <c r="L128" s="56" t="n"/>
    </row>
    <row r="129" ht="22" customHeight="1">
      <c r="A129" s="55" t="n"/>
      <c r="B129" s="41">
        <f>'設定'!$I$20</f>
        <v/>
      </c>
      <c r="C129" s="56" t="n"/>
      <c r="D129" s="56" t="n"/>
      <c r="E129" s="56" t="n"/>
      <c r="F129" s="56" t="n"/>
      <c r="G129" s="56" t="n"/>
      <c r="H129" s="56" t="n"/>
      <c r="I129" s="56" t="n"/>
      <c r="J129" s="56" t="n"/>
      <c r="K129" s="56" t="n"/>
      <c r="L129" s="56" t="n"/>
    </row>
    <row r="130" ht="22" customHeight="1">
      <c r="A130" s="55" t="n"/>
      <c r="B130" s="41">
        <f>'設定'!$I$21</f>
        <v/>
      </c>
      <c r="C130" s="56" t="n"/>
      <c r="D130" s="56" t="n"/>
      <c r="E130" s="56" t="n"/>
      <c r="F130" s="56" t="n"/>
      <c r="G130" s="56" t="n"/>
      <c r="H130" s="56" t="n"/>
      <c r="I130" s="56" t="n"/>
      <c r="J130" s="56" t="n"/>
      <c r="K130" s="56" t="n"/>
      <c r="L130" s="56" t="n"/>
    </row>
    <row r="131" ht="22" customHeight="1">
      <c r="A131" s="55" t="n"/>
      <c r="B131" s="41">
        <f>'設定'!$I$22</f>
        <v/>
      </c>
      <c r="C131" s="56" t="n"/>
      <c r="D131" s="56" t="n"/>
      <c r="E131" s="56" t="n"/>
      <c r="F131" s="56" t="n"/>
      <c r="G131" s="56" t="n"/>
      <c r="H131" s="56" t="n"/>
      <c r="I131" s="56" t="n"/>
      <c r="J131" s="56" t="n"/>
      <c r="K131" s="56" t="n"/>
      <c r="L131" s="56" t="n"/>
    </row>
    <row r="132"/>
    <row r="133" ht="26" customHeight="1">
      <c r="B133" s="51">
        <f>IF('名簿'!B13="","（名簿 9行目：なし）",'名簿'!G13)</f>
        <v/>
      </c>
      <c r="C133" s="4" t="n"/>
      <c r="D133" s="4" t="n"/>
      <c r="E133" s="52" t="inlineStr">
        <is>
          <t>提出状況 ▶</t>
        </is>
      </c>
      <c r="F133" s="37" t="n"/>
      <c r="G133" s="29" t="n"/>
      <c r="H133" s="53" t="inlineStr">
        <is>
          <t>状況：</t>
        </is>
      </c>
      <c r="I133" s="54">
        <f>'名簿'!H13</f>
        <v/>
      </c>
      <c r="J133" s="53" t="inlineStr">
        <is>
          <t>×の数：</t>
        </is>
      </c>
      <c r="K133" s="54">
        <f>'名簿'!I13</f>
        <v/>
      </c>
      <c r="L133" s="4" t="n"/>
    </row>
    <row r="134" ht="22" customHeight="1">
      <c r="A134" s="30" t="inlineStr">
        <is>
          <t>この日全部 ▶</t>
        </is>
      </c>
      <c r="C134" s="55" t="n"/>
      <c r="D134" s="55" t="n"/>
      <c r="E134" s="55" t="n"/>
      <c r="F134" s="55" t="n"/>
      <c r="G134" s="55" t="n"/>
      <c r="H134" s="55" t="n"/>
      <c r="I134" s="55" t="n"/>
      <c r="J134" s="55" t="n"/>
      <c r="K134" s="55" t="n"/>
      <c r="L134" s="55" t="n"/>
    </row>
    <row r="135" ht="28" customHeight="1">
      <c r="A135" s="33" t="inlineStr">
        <is>
          <t>この時間
全部 ▼</t>
        </is>
      </c>
      <c r="B135" s="34" t="inlineStr"/>
      <c r="C135" s="32">
        <f>'設定'!$E$11</f>
        <v/>
      </c>
      <c r="D135" s="32">
        <f>'設定'!$E$12</f>
        <v/>
      </c>
      <c r="E135" s="32">
        <f>'設定'!$E$13</f>
        <v/>
      </c>
      <c r="F135" s="32">
        <f>'設定'!$E$14</f>
        <v/>
      </c>
      <c r="G135" s="32">
        <f>'設定'!$E$15</f>
        <v/>
      </c>
      <c r="H135" s="32">
        <f>'設定'!$E$16</f>
        <v/>
      </c>
      <c r="I135" s="32">
        <f>'設定'!$E$17</f>
        <v/>
      </c>
      <c r="J135" s="32">
        <f>'設定'!$E$18</f>
        <v/>
      </c>
      <c r="K135" s="32">
        <f>'設定'!$E$19</f>
        <v/>
      </c>
      <c r="L135" s="32">
        <f>'設定'!$E$20</f>
        <v/>
      </c>
    </row>
    <row r="136" ht="22" customHeight="1">
      <c r="A136" s="55" t="n"/>
      <c r="B136" s="41">
        <f>'設定'!$I$11</f>
        <v/>
      </c>
      <c r="C136" s="56" t="n"/>
      <c r="D136" s="56" t="n"/>
      <c r="E136" s="56" t="n"/>
      <c r="F136" s="56" t="n"/>
      <c r="G136" s="56" t="n"/>
      <c r="H136" s="56" t="n"/>
      <c r="I136" s="56" t="n"/>
      <c r="J136" s="56" t="n"/>
      <c r="K136" s="56" t="n"/>
      <c r="L136" s="56" t="n"/>
    </row>
    <row r="137" ht="22" customHeight="1">
      <c r="A137" s="55" t="n"/>
      <c r="B137" s="41">
        <f>'設定'!$I$12</f>
        <v/>
      </c>
      <c r="C137" s="56" t="n"/>
      <c r="D137" s="56" t="n"/>
      <c r="E137" s="56" t="n"/>
      <c r="F137" s="56" t="n"/>
      <c r="G137" s="56" t="n"/>
      <c r="H137" s="56" t="n"/>
      <c r="I137" s="56" t="n"/>
      <c r="J137" s="56" t="n"/>
      <c r="K137" s="56" t="n"/>
      <c r="L137" s="56" t="n"/>
    </row>
    <row r="138" ht="22" customHeight="1">
      <c r="A138" s="55" t="n"/>
      <c r="B138" s="41">
        <f>'設定'!$I$13</f>
        <v/>
      </c>
      <c r="C138" s="56" t="n"/>
      <c r="D138" s="56" t="n"/>
      <c r="E138" s="56" t="n"/>
      <c r="F138" s="56" t="n"/>
      <c r="G138" s="56" t="n"/>
      <c r="H138" s="56" t="n"/>
      <c r="I138" s="56" t="n"/>
      <c r="J138" s="56" t="n"/>
      <c r="K138" s="56" t="n"/>
      <c r="L138" s="56" t="n"/>
    </row>
    <row r="139" ht="22" customHeight="1">
      <c r="A139" s="55" t="n"/>
      <c r="B139" s="41">
        <f>'設定'!$I$14</f>
        <v/>
      </c>
      <c r="C139" s="56" t="n"/>
      <c r="D139" s="56" t="n"/>
      <c r="E139" s="56" t="n"/>
      <c r="F139" s="56" t="n"/>
      <c r="G139" s="56" t="n"/>
      <c r="H139" s="56" t="n"/>
      <c r="I139" s="56" t="n"/>
      <c r="J139" s="56" t="n"/>
      <c r="K139" s="56" t="n"/>
      <c r="L139" s="56" t="n"/>
    </row>
    <row r="140" ht="22" customHeight="1">
      <c r="A140" s="55" t="n"/>
      <c r="B140" s="41">
        <f>'設定'!$I$15</f>
        <v/>
      </c>
      <c r="C140" s="56" t="n"/>
      <c r="D140" s="56" t="n"/>
      <c r="E140" s="56" t="n"/>
      <c r="F140" s="56" t="n"/>
      <c r="G140" s="56" t="n"/>
      <c r="H140" s="56" t="n"/>
      <c r="I140" s="56" t="n"/>
      <c r="J140" s="56" t="n"/>
      <c r="K140" s="56" t="n"/>
      <c r="L140" s="56" t="n"/>
    </row>
    <row r="141" ht="22" customHeight="1">
      <c r="A141" s="55" t="n"/>
      <c r="B141" s="41">
        <f>'設定'!$I$16</f>
        <v/>
      </c>
      <c r="C141" s="56" t="n"/>
      <c r="D141" s="56" t="n"/>
      <c r="E141" s="56" t="n"/>
      <c r="F141" s="56" t="n"/>
      <c r="G141" s="56" t="n"/>
      <c r="H141" s="56" t="n"/>
      <c r="I141" s="56" t="n"/>
      <c r="J141" s="56" t="n"/>
      <c r="K141" s="56" t="n"/>
      <c r="L141" s="56" t="n"/>
    </row>
    <row r="142" ht="22" customHeight="1">
      <c r="A142" s="55" t="n"/>
      <c r="B142" s="41">
        <f>'設定'!$I$17</f>
        <v/>
      </c>
      <c r="C142" s="56" t="n"/>
      <c r="D142" s="56" t="n"/>
      <c r="E142" s="56" t="n"/>
      <c r="F142" s="56" t="n"/>
      <c r="G142" s="56" t="n"/>
      <c r="H142" s="56" t="n"/>
      <c r="I142" s="56" t="n"/>
      <c r="J142" s="56" t="n"/>
      <c r="K142" s="56" t="n"/>
      <c r="L142" s="56" t="n"/>
    </row>
    <row r="143" ht="22" customHeight="1">
      <c r="A143" s="55" t="n"/>
      <c r="B143" s="41">
        <f>'設定'!$I$18</f>
        <v/>
      </c>
      <c r="C143" s="56" t="n"/>
      <c r="D143" s="56" t="n"/>
      <c r="E143" s="56" t="n"/>
      <c r="F143" s="56" t="n"/>
      <c r="G143" s="56" t="n"/>
      <c r="H143" s="56" t="n"/>
      <c r="I143" s="56" t="n"/>
      <c r="J143" s="56" t="n"/>
      <c r="K143" s="56" t="n"/>
      <c r="L143" s="56" t="n"/>
    </row>
    <row r="144" ht="22" customHeight="1">
      <c r="A144" s="55" t="n"/>
      <c r="B144" s="41">
        <f>'設定'!$I$19</f>
        <v/>
      </c>
      <c r="C144" s="56" t="n"/>
      <c r="D144" s="56" t="n"/>
      <c r="E144" s="56" t="n"/>
      <c r="F144" s="56" t="n"/>
      <c r="G144" s="56" t="n"/>
      <c r="H144" s="56" t="n"/>
      <c r="I144" s="56" t="n"/>
      <c r="J144" s="56" t="n"/>
      <c r="K144" s="56" t="n"/>
      <c r="L144" s="56" t="n"/>
    </row>
    <row r="145" ht="22" customHeight="1">
      <c r="A145" s="55" t="n"/>
      <c r="B145" s="41">
        <f>'設定'!$I$20</f>
        <v/>
      </c>
      <c r="C145" s="56" t="n"/>
      <c r="D145" s="56" t="n"/>
      <c r="E145" s="56" t="n"/>
      <c r="F145" s="56" t="n"/>
      <c r="G145" s="56" t="n"/>
      <c r="H145" s="56" t="n"/>
      <c r="I145" s="56" t="n"/>
      <c r="J145" s="56" t="n"/>
      <c r="K145" s="56" t="n"/>
      <c r="L145" s="56" t="n"/>
    </row>
    <row r="146" ht="22" customHeight="1">
      <c r="A146" s="55" t="n"/>
      <c r="B146" s="41">
        <f>'設定'!$I$21</f>
        <v/>
      </c>
      <c r="C146" s="56" t="n"/>
      <c r="D146" s="56" t="n"/>
      <c r="E146" s="56" t="n"/>
      <c r="F146" s="56" t="n"/>
      <c r="G146" s="56" t="n"/>
      <c r="H146" s="56" t="n"/>
      <c r="I146" s="56" t="n"/>
      <c r="J146" s="56" t="n"/>
      <c r="K146" s="56" t="n"/>
      <c r="L146" s="56" t="n"/>
    </row>
    <row r="147" ht="22" customHeight="1">
      <c r="A147" s="55" t="n"/>
      <c r="B147" s="41">
        <f>'設定'!$I$22</f>
        <v/>
      </c>
      <c r="C147" s="56" t="n"/>
      <c r="D147" s="56" t="n"/>
      <c r="E147" s="56" t="n"/>
      <c r="F147" s="56" t="n"/>
      <c r="G147" s="56" t="n"/>
      <c r="H147" s="56" t="n"/>
      <c r="I147" s="56" t="n"/>
      <c r="J147" s="56" t="n"/>
      <c r="K147" s="56" t="n"/>
      <c r="L147" s="56" t="n"/>
    </row>
    <row r="148"/>
    <row r="149" ht="26" customHeight="1">
      <c r="B149" s="51">
        <f>IF('名簿'!B14="","（名簿 10行目：なし）",'名簿'!G14)</f>
        <v/>
      </c>
      <c r="C149" s="4" t="n"/>
      <c r="D149" s="4" t="n"/>
      <c r="E149" s="52" t="inlineStr">
        <is>
          <t>提出状況 ▶</t>
        </is>
      </c>
      <c r="F149" s="37" t="n"/>
      <c r="G149" s="29" t="n"/>
      <c r="H149" s="53" t="inlineStr">
        <is>
          <t>状況：</t>
        </is>
      </c>
      <c r="I149" s="54">
        <f>'名簿'!H14</f>
        <v/>
      </c>
      <c r="J149" s="53" t="inlineStr">
        <is>
          <t>×の数：</t>
        </is>
      </c>
      <c r="K149" s="54">
        <f>'名簿'!I14</f>
        <v/>
      </c>
      <c r="L149" s="4" t="n"/>
    </row>
    <row r="150" ht="22" customHeight="1">
      <c r="A150" s="30" t="inlineStr">
        <is>
          <t>この日全部 ▶</t>
        </is>
      </c>
      <c r="C150" s="55" t="n"/>
      <c r="D150" s="55" t="n"/>
      <c r="E150" s="55" t="n"/>
      <c r="F150" s="55" t="n"/>
      <c r="G150" s="55" t="n"/>
      <c r="H150" s="55" t="n"/>
      <c r="I150" s="55" t="n"/>
      <c r="J150" s="55" t="n"/>
      <c r="K150" s="55" t="n"/>
      <c r="L150" s="55" t="n"/>
    </row>
    <row r="151" ht="28" customHeight="1">
      <c r="A151" s="33" t="inlineStr">
        <is>
          <t>この時間
全部 ▼</t>
        </is>
      </c>
      <c r="B151" s="34" t="inlineStr"/>
      <c r="C151" s="32">
        <f>'設定'!$E$11</f>
        <v/>
      </c>
      <c r="D151" s="32">
        <f>'設定'!$E$12</f>
        <v/>
      </c>
      <c r="E151" s="32">
        <f>'設定'!$E$13</f>
        <v/>
      </c>
      <c r="F151" s="32">
        <f>'設定'!$E$14</f>
        <v/>
      </c>
      <c r="G151" s="32">
        <f>'設定'!$E$15</f>
        <v/>
      </c>
      <c r="H151" s="32">
        <f>'設定'!$E$16</f>
        <v/>
      </c>
      <c r="I151" s="32">
        <f>'設定'!$E$17</f>
        <v/>
      </c>
      <c r="J151" s="32">
        <f>'設定'!$E$18</f>
        <v/>
      </c>
      <c r="K151" s="32">
        <f>'設定'!$E$19</f>
        <v/>
      </c>
      <c r="L151" s="32">
        <f>'設定'!$E$20</f>
        <v/>
      </c>
    </row>
    <row r="152" ht="22" customHeight="1">
      <c r="A152" s="55" t="n"/>
      <c r="B152" s="41">
        <f>'設定'!$I$11</f>
        <v/>
      </c>
      <c r="C152" s="56" t="n"/>
      <c r="D152" s="56" t="n"/>
      <c r="E152" s="56" t="n"/>
      <c r="F152" s="56" t="n"/>
      <c r="G152" s="56" t="n"/>
      <c r="H152" s="56" t="n"/>
      <c r="I152" s="56" t="n"/>
      <c r="J152" s="56" t="n"/>
      <c r="K152" s="56" t="n"/>
      <c r="L152" s="56" t="n"/>
    </row>
    <row r="153" ht="22" customHeight="1">
      <c r="A153" s="55" t="n"/>
      <c r="B153" s="41">
        <f>'設定'!$I$12</f>
        <v/>
      </c>
      <c r="C153" s="56" t="n"/>
      <c r="D153" s="56" t="n"/>
      <c r="E153" s="56" t="n"/>
      <c r="F153" s="56" t="n"/>
      <c r="G153" s="56" t="n"/>
      <c r="H153" s="56" t="n"/>
      <c r="I153" s="56" t="n"/>
      <c r="J153" s="56" t="n"/>
      <c r="K153" s="56" t="n"/>
      <c r="L153" s="56" t="n"/>
    </row>
    <row r="154" ht="22" customHeight="1">
      <c r="A154" s="55" t="n"/>
      <c r="B154" s="41">
        <f>'設定'!$I$13</f>
        <v/>
      </c>
      <c r="C154" s="56" t="n"/>
      <c r="D154" s="56" t="n"/>
      <c r="E154" s="56" t="n"/>
      <c r="F154" s="56" t="n"/>
      <c r="G154" s="56" t="n"/>
      <c r="H154" s="56" t="n"/>
      <c r="I154" s="56" t="n"/>
      <c r="J154" s="56" t="n"/>
      <c r="K154" s="56" t="n"/>
      <c r="L154" s="56" t="n"/>
    </row>
    <row r="155" ht="22" customHeight="1">
      <c r="A155" s="55" t="n"/>
      <c r="B155" s="41">
        <f>'設定'!$I$14</f>
        <v/>
      </c>
      <c r="C155" s="56" t="n"/>
      <c r="D155" s="56" t="n"/>
      <c r="E155" s="56" t="n"/>
      <c r="F155" s="56" t="n"/>
      <c r="G155" s="56" t="n"/>
      <c r="H155" s="56" t="n"/>
      <c r="I155" s="56" t="n"/>
      <c r="J155" s="56" t="n"/>
      <c r="K155" s="56" t="n"/>
      <c r="L155" s="56" t="n"/>
    </row>
    <row r="156" ht="22" customHeight="1">
      <c r="A156" s="55" t="n"/>
      <c r="B156" s="41">
        <f>'設定'!$I$15</f>
        <v/>
      </c>
      <c r="C156" s="56" t="n"/>
      <c r="D156" s="56" t="n"/>
      <c r="E156" s="56" t="n"/>
      <c r="F156" s="56" t="n"/>
      <c r="G156" s="56" t="n"/>
      <c r="H156" s="56" t="n"/>
      <c r="I156" s="56" t="n"/>
      <c r="J156" s="56" t="n"/>
      <c r="K156" s="56" t="n"/>
      <c r="L156" s="56" t="n"/>
    </row>
    <row r="157" ht="22" customHeight="1">
      <c r="A157" s="55" t="n"/>
      <c r="B157" s="41">
        <f>'設定'!$I$16</f>
        <v/>
      </c>
      <c r="C157" s="56" t="n"/>
      <c r="D157" s="56" t="n"/>
      <c r="E157" s="56" t="n"/>
      <c r="F157" s="56" t="n"/>
      <c r="G157" s="56" t="n"/>
      <c r="H157" s="56" t="n"/>
      <c r="I157" s="56" t="n"/>
      <c r="J157" s="56" t="n"/>
      <c r="K157" s="56" t="n"/>
      <c r="L157" s="56" t="n"/>
    </row>
    <row r="158" ht="22" customHeight="1">
      <c r="A158" s="55" t="n"/>
      <c r="B158" s="41">
        <f>'設定'!$I$17</f>
        <v/>
      </c>
      <c r="C158" s="56" t="n"/>
      <c r="D158" s="56" t="n"/>
      <c r="E158" s="56" t="n"/>
      <c r="F158" s="56" t="n"/>
      <c r="G158" s="56" t="n"/>
      <c r="H158" s="56" t="n"/>
      <c r="I158" s="56" t="n"/>
      <c r="J158" s="56" t="n"/>
      <c r="K158" s="56" t="n"/>
      <c r="L158" s="56" t="n"/>
    </row>
    <row r="159" ht="22" customHeight="1">
      <c r="A159" s="55" t="n"/>
      <c r="B159" s="41">
        <f>'設定'!$I$18</f>
        <v/>
      </c>
      <c r="C159" s="56" t="n"/>
      <c r="D159" s="56" t="n"/>
      <c r="E159" s="56" t="n"/>
      <c r="F159" s="56" t="n"/>
      <c r="G159" s="56" t="n"/>
      <c r="H159" s="56" t="n"/>
      <c r="I159" s="56" t="n"/>
      <c r="J159" s="56" t="n"/>
      <c r="K159" s="56" t="n"/>
      <c r="L159" s="56" t="n"/>
    </row>
    <row r="160" ht="22" customHeight="1">
      <c r="A160" s="55" t="n"/>
      <c r="B160" s="41">
        <f>'設定'!$I$19</f>
        <v/>
      </c>
      <c r="C160" s="56" t="n"/>
      <c r="D160" s="56" t="n"/>
      <c r="E160" s="56" t="n"/>
      <c r="F160" s="56" t="n"/>
      <c r="G160" s="56" t="n"/>
      <c r="H160" s="56" t="n"/>
      <c r="I160" s="56" t="n"/>
      <c r="J160" s="56" t="n"/>
      <c r="K160" s="56" t="n"/>
      <c r="L160" s="56" t="n"/>
    </row>
    <row r="161" ht="22" customHeight="1">
      <c r="A161" s="55" t="n"/>
      <c r="B161" s="41">
        <f>'設定'!$I$20</f>
        <v/>
      </c>
      <c r="C161" s="56" t="n"/>
      <c r="D161" s="56" t="n"/>
      <c r="E161" s="56" t="n"/>
      <c r="F161" s="56" t="n"/>
      <c r="G161" s="56" t="n"/>
      <c r="H161" s="56" t="n"/>
      <c r="I161" s="56" t="n"/>
      <c r="J161" s="56" t="n"/>
      <c r="K161" s="56" t="n"/>
      <c r="L161" s="56" t="n"/>
    </row>
    <row r="162" ht="22" customHeight="1">
      <c r="A162" s="55" t="n"/>
      <c r="B162" s="41">
        <f>'設定'!$I$21</f>
        <v/>
      </c>
      <c r="C162" s="56" t="n"/>
      <c r="D162" s="56" t="n"/>
      <c r="E162" s="56" t="n"/>
      <c r="F162" s="56" t="n"/>
      <c r="G162" s="56" t="n"/>
      <c r="H162" s="56" t="n"/>
      <c r="I162" s="56" t="n"/>
      <c r="J162" s="56" t="n"/>
      <c r="K162" s="56" t="n"/>
      <c r="L162" s="56" t="n"/>
    </row>
    <row r="163" ht="22" customHeight="1">
      <c r="A163" s="55" t="n"/>
      <c r="B163" s="41">
        <f>'設定'!$I$22</f>
        <v/>
      </c>
      <c r="C163" s="56" t="n"/>
      <c r="D163" s="56" t="n"/>
      <c r="E163" s="56" t="n"/>
      <c r="F163" s="56" t="n"/>
      <c r="G163" s="56" t="n"/>
      <c r="H163" s="56" t="n"/>
      <c r="I163" s="56" t="n"/>
      <c r="J163" s="56" t="n"/>
      <c r="K163" s="56" t="n"/>
      <c r="L163" s="56" t="n"/>
    </row>
    <row r="164"/>
    <row r="165" ht="26" customHeight="1">
      <c r="B165" s="51">
        <f>IF('名簿'!B15="","（名簿 11行目：なし）",'名簿'!G15)</f>
        <v/>
      </c>
      <c r="C165" s="4" t="n"/>
      <c r="D165" s="4" t="n"/>
      <c r="E165" s="52" t="inlineStr">
        <is>
          <t>提出状況 ▶</t>
        </is>
      </c>
      <c r="F165" s="37" t="n"/>
      <c r="G165" s="29" t="n"/>
      <c r="H165" s="53" t="inlineStr">
        <is>
          <t>状況：</t>
        </is>
      </c>
      <c r="I165" s="54">
        <f>'名簿'!H15</f>
        <v/>
      </c>
      <c r="J165" s="53" t="inlineStr">
        <is>
          <t>×の数：</t>
        </is>
      </c>
      <c r="K165" s="54">
        <f>'名簿'!I15</f>
        <v/>
      </c>
      <c r="L165" s="4" t="n"/>
    </row>
    <row r="166" ht="22" customHeight="1">
      <c r="A166" s="30" t="inlineStr">
        <is>
          <t>この日全部 ▶</t>
        </is>
      </c>
      <c r="C166" s="55" t="n"/>
      <c r="D166" s="55" t="n"/>
      <c r="E166" s="55" t="n"/>
      <c r="F166" s="55" t="n"/>
      <c r="G166" s="55" t="n"/>
      <c r="H166" s="55" t="n"/>
      <c r="I166" s="55" t="n"/>
      <c r="J166" s="55" t="n"/>
      <c r="K166" s="55" t="n"/>
      <c r="L166" s="55" t="n"/>
    </row>
    <row r="167" ht="28" customHeight="1">
      <c r="A167" s="33" t="inlineStr">
        <is>
          <t>この時間
全部 ▼</t>
        </is>
      </c>
      <c r="B167" s="34" t="inlineStr"/>
      <c r="C167" s="32">
        <f>'設定'!$E$11</f>
        <v/>
      </c>
      <c r="D167" s="32">
        <f>'設定'!$E$12</f>
        <v/>
      </c>
      <c r="E167" s="32">
        <f>'設定'!$E$13</f>
        <v/>
      </c>
      <c r="F167" s="32">
        <f>'設定'!$E$14</f>
        <v/>
      </c>
      <c r="G167" s="32">
        <f>'設定'!$E$15</f>
        <v/>
      </c>
      <c r="H167" s="32">
        <f>'設定'!$E$16</f>
        <v/>
      </c>
      <c r="I167" s="32">
        <f>'設定'!$E$17</f>
        <v/>
      </c>
      <c r="J167" s="32">
        <f>'設定'!$E$18</f>
        <v/>
      </c>
      <c r="K167" s="32">
        <f>'設定'!$E$19</f>
        <v/>
      </c>
      <c r="L167" s="32">
        <f>'設定'!$E$20</f>
        <v/>
      </c>
    </row>
    <row r="168" ht="22" customHeight="1">
      <c r="A168" s="55" t="n"/>
      <c r="B168" s="41">
        <f>'設定'!$I$11</f>
        <v/>
      </c>
      <c r="C168" s="56" t="n"/>
      <c r="D168" s="56" t="n"/>
      <c r="E168" s="56" t="n"/>
      <c r="F168" s="56" t="n"/>
      <c r="G168" s="56" t="n"/>
      <c r="H168" s="56" t="n"/>
      <c r="I168" s="56" t="n"/>
      <c r="J168" s="56" t="n"/>
      <c r="K168" s="56" t="n"/>
      <c r="L168" s="56" t="n"/>
    </row>
    <row r="169" ht="22" customHeight="1">
      <c r="A169" s="55" t="n"/>
      <c r="B169" s="41">
        <f>'設定'!$I$12</f>
        <v/>
      </c>
      <c r="C169" s="56" t="n"/>
      <c r="D169" s="56" t="n"/>
      <c r="E169" s="56" t="n"/>
      <c r="F169" s="56" t="n"/>
      <c r="G169" s="56" t="n"/>
      <c r="H169" s="56" t="n"/>
      <c r="I169" s="56" t="n"/>
      <c r="J169" s="56" t="n"/>
      <c r="K169" s="56" t="n"/>
      <c r="L169" s="56" t="n"/>
    </row>
    <row r="170" ht="22" customHeight="1">
      <c r="A170" s="55" t="n"/>
      <c r="B170" s="41">
        <f>'設定'!$I$13</f>
        <v/>
      </c>
      <c r="C170" s="56" t="n"/>
      <c r="D170" s="56" t="n"/>
      <c r="E170" s="56" t="n"/>
      <c r="F170" s="56" t="n"/>
      <c r="G170" s="56" t="n"/>
      <c r="H170" s="56" t="n"/>
      <c r="I170" s="56" t="n"/>
      <c r="J170" s="56" t="n"/>
      <c r="K170" s="56" t="n"/>
      <c r="L170" s="56" t="n"/>
    </row>
    <row r="171" ht="22" customHeight="1">
      <c r="A171" s="55" t="n"/>
      <c r="B171" s="41">
        <f>'設定'!$I$14</f>
        <v/>
      </c>
      <c r="C171" s="56" t="n"/>
      <c r="D171" s="56" t="n"/>
      <c r="E171" s="56" t="n"/>
      <c r="F171" s="56" t="n"/>
      <c r="G171" s="56" t="n"/>
      <c r="H171" s="56" t="n"/>
      <c r="I171" s="56" t="n"/>
      <c r="J171" s="56" t="n"/>
      <c r="K171" s="56" t="n"/>
      <c r="L171" s="56" t="n"/>
    </row>
    <row r="172" ht="22" customHeight="1">
      <c r="A172" s="55" t="n"/>
      <c r="B172" s="41">
        <f>'設定'!$I$15</f>
        <v/>
      </c>
      <c r="C172" s="56" t="n"/>
      <c r="D172" s="56" t="n"/>
      <c r="E172" s="56" t="n"/>
      <c r="F172" s="56" t="n"/>
      <c r="G172" s="56" t="n"/>
      <c r="H172" s="56" t="n"/>
      <c r="I172" s="56" t="n"/>
      <c r="J172" s="56" t="n"/>
      <c r="K172" s="56" t="n"/>
      <c r="L172" s="56" t="n"/>
    </row>
    <row r="173" ht="22" customHeight="1">
      <c r="A173" s="55" t="n"/>
      <c r="B173" s="41">
        <f>'設定'!$I$16</f>
        <v/>
      </c>
      <c r="C173" s="56" t="n"/>
      <c r="D173" s="56" t="n"/>
      <c r="E173" s="56" t="n"/>
      <c r="F173" s="56" t="n"/>
      <c r="G173" s="56" t="n"/>
      <c r="H173" s="56" t="n"/>
      <c r="I173" s="56" t="n"/>
      <c r="J173" s="56" t="n"/>
      <c r="K173" s="56" t="n"/>
      <c r="L173" s="56" t="n"/>
    </row>
    <row r="174" ht="22" customHeight="1">
      <c r="A174" s="55" t="n"/>
      <c r="B174" s="41">
        <f>'設定'!$I$17</f>
        <v/>
      </c>
      <c r="C174" s="56" t="n"/>
      <c r="D174" s="56" t="n"/>
      <c r="E174" s="56" t="n"/>
      <c r="F174" s="56" t="n"/>
      <c r="G174" s="56" t="n"/>
      <c r="H174" s="56" t="n"/>
      <c r="I174" s="56" t="n"/>
      <c r="J174" s="56" t="n"/>
      <c r="K174" s="56" t="n"/>
      <c r="L174" s="56" t="n"/>
    </row>
    <row r="175" ht="22" customHeight="1">
      <c r="A175" s="55" t="n"/>
      <c r="B175" s="41">
        <f>'設定'!$I$18</f>
        <v/>
      </c>
      <c r="C175" s="56" t="n"/>
      <c r="D175" s="56" t="n"/>
      <c r="E175" s="56" t="n"/>
      <c r="F175" s="56" t="n"/>
      <c r="G175" s="56" t="n"/>
      <c r="H175" s="56" t="n"/>
      <c r="I175" s="56" t="n"/>
      <c r="J175" s="56" t="n"/>
      <c r="K175" s="56" t="n"/>
      <c r="L175" s="56" t="n"/>
    </row>
    <row r="176" ht="22" customHeight="1">
      <c r="A176" s="55" t="n"/>
      <c r="B176" s="41">
        <f>'設定'!$I$19</f>
        <v/>
      </c>
      <c r="C176" s="56" t="n"/>
      <c r="D176" s="56" t="n"/>
      <c r="E176" s="56" t="n"/>
      <c r="F176" s="56" t="n"/>
      <c r="G176" s="56" t="n"/>
      <c r="H176" s="56" t="n"/>
      <c r="I176" s="56" t="n"/>
      <c r="J176" s="56" t="n"/>
      <c r="K176" s="56" t="n"/>
      <c r="L176" s="56" t="n"/>
    </row>
    <row r="177" ht="22" customHeight="1">
      <c r="A177" s="55" t="n"/>
      <c r="B177" s="41">
        <f>'設定'!$I$20</f>
        <v/>
      </c>
      <c r="C177" s="56" t="n"/>
      <c r="D177" s="56" t="n"/>
      <c r="E177" s="56" t="n"/>
      <c r="F177" s="56" t="n"/>
      <c r="G177" s="56" t="n"/>
      <c r="H177" s="56" t="n"/>
      <c r="I177" s="56" t="n"/>
      <c r="J177" s="56" t="n"/>
      <c r="K177" s="56" t="n"/>
      <c r="L177" s="56" t="n"/>
    </row>
    <row r="178" ht="22" customHeight="1">
      <c r="A178" s="55" t="n"/>
      <c r="B178" s="41">
        <f>'設定'!$I$21</f>
        <v/>
      </c>
      <c r="C178" s="56" t="n"/>
      <c r="D178" s="56" t="n"/>
      <c r="E178" s="56" t="n"/>
      <c r="F178" s="56" t="n"/>
      <c r="G178" s="56" t="n"/>
      <c r="H178" s="56" t="n"/>
      <c r="I178" s="56" t="n"/>
      <c r="J178" s="56" t="n"/>
      <c r="K178" s="56" t="n"/>
      <c r="L178" s="56" t="n"/>
    </row>
    <row r="179" ht="22" customHeight="1">
      <c r="A179" s="55" t="n"/>
      <c r="B179" s="41">
        <f>'設定'!$I$22</f>
        <v/>
      </c>
      <c r="C179" s="56" t="n"/>
      <c r="D179" s="56" t="n"/>
      <c r="E179" s="56" t="n"/>
      <c r="F179" s="56" t="n"/>
      <c r="G179" s="56" t="n"/>
      <c r="H179" s="56" t="n"/>
      <c r="I179" s="56" t="n"/>
      <c r="J179" s="56" t="n"/>
      <c r="K179" s="56" t="n"/>
      <c r="L179" s="56" t="n"/>
    </row>
    <row r="180"/>
    <row r="181" ht="26" customHeight="1">
      <c r="B181" s="51">
        <f>IF('名簿'!B16="","（名簿 12行目：なし）",'名簿'!G16)</f>
        <v/>
      </c>
      <c r="C181" s="4" t="n"/>
      <c r="D181" s="4" t="n"/>
      <c r="E181" s="52" t="inlineStr">
        <is>
          <t>提出状況 ▶</t>
        </is>
      </c>
      <c r="F181" s="37" t="n"/>
      <c r="G181" s="29" t="n"/>
      <c r="H181" s="53" t="inlineStr">
        <is>
          <t>状況：</t>
        </is>
      </c>
      <c r="I181" s="54">
        <f>'名簿'!H16</f>
        <v/>
      </c>
      <c r="J181" s="53" t="inlineStr">
        <is>
          <t>×の数：</t>
        </is>
      </c>
      <c r="K181" s="54">
        <f>'名簿'!I16</f>
        <v/>
      </c>
      <c r="L181" s="4" t="n"/>
    </row>
    <row r="182" ht="22" customHeight="1">
      <c r="A182" s="30" t="inlineStr">
        <is>
          <t>この日全部 ▶</t>
        </is>
      </c>
      <c r="C182" s="55" t="n"/>
      <c r="D182" s="55" t="n"/>
      <c r="E182" s="55" t="n"/>
      <c r="F182" s="55" t="n"/>
      <c r="G182" s="55" t="n"/>
      <c r="H182" s="55" t="n"/>
      <c r="I182" s="55" t="n"/>
      <c r="J182" s="55" t="n"/>
      <c r="K182" s="55" t="n"/>
      <c r="L182" s="55" t="n"/>
    </row>
    <row r="183" ht="28" customHeight="1">
      <c r="A183" s="33" t="inlineStr">
        <is>
          <t>この時間
全部 ▼</t>
        </is>
      </c>
      <c r="B183" s="34" t="inlineStr"/>
      <c r="C183" s="32">
        <f>'設定'!$E$11</f>
        <v/>
      </c>
      <c r="D183" s="32">
        <f>'設定'!$E$12</f>
        <v/>
      </c>
      <c r="E183" s="32">
        <f>'設定'!$E$13</f>
        <v/>
      </c>
      <c r="F183" s="32">
        <f>'設定'!$E$14</f>
        <v/>
      </c>
      <c r="G183" s="32">
        <f>'設定'!$E$15</f>
        <v/>
      </c>
      <c r="H183" s="32">
        <f>'設定'!$E$16</f>
        <v/>
      </c>
      <c r="I183" s="32">
        <f>'設定'!$E$17</f>
        <v/>
      </c>
      <c r="J183" s="32">
        <f>'設定'!$E$18</f>
        <v/>
      </c>
      <c r="K183" s="32">
        <f>'設定'!$E$19</f>
        <v/>
      </c>
      <c r="L183" s="32">
        <f>'設定'!$E$20</f>
        <v/>
      </c>
    </row>
    <row r="184" ht="22" customHeight="1">
      <c r="A184" s="55" t="n"/>
      <c r="B184" s="41">
        <f>'設定'!$I$11</f>
        <v/>
      </c>
      <c r="C184" s="56" t="n"/>
      <c r="D184" s="56" t="n"/>
      <c r="E184" s="56" t="n"/>
      <c r="F184" s="56" t="n"/>
      <c r="G184" s="56" t="n"/>
      <c r="H184" s="56" t="n"/>
      <c r="I184" s="56" t="n"/>
      <c r="J184" s="56" t="n"/>
      <c r="K184" s="56" t="n"/>
      <c r="L184" s="56" t="n"/>
    </row>
    <row r="185" ht="22" customHeight="1">
      <c r="A185" s="55" t="n"/>
      <c r="B185" s="41">
        <f>'設定'!$I$12</f>
        <v/>
      </c>
      <c r="C185" s="56" t="n"/>
      <c r="D185" s="56" t="n"/>
      <c r="E185" s="56" t="n"/>
      <c r="F185" s="56" t="n"/>
      <c r="G185" s="56" t="n"/>
      <c r="H185" s="56" t="n"/>
      <c r="I185" s="56" t="n"/>
      <c r="J185" s="56" t="n"/>
      <c r="K185" s="56" t="n"/>
      <c r="L185" s="56" t="n"/>
    </row>
    <row r="186" ht="22" customHeight="1">
      <c r="A186" s="55" t="n"/>
      <c r="B186" s="41">
        <f>'設定'!$I$13</f>
        <v/>
      </c>
      <c r="C186" s="56" t="n"/>
      <c r="D186" s="56" t="n"/>
      <c r="E186" s="56" t="n"/>
      <c r="F186" s="56" t="n"/>
      <c r="G186" s="56" t="n"/>
      <c r="H186" s="56" t="n"/>
      <c r="I186" s="56" t="n"/>
      <c r="J186" s="56" t="n"/>
      <c r="K186" s="56" t="n"/>
      <c r="L186" s="56" t="n"/>
    </row>
    <row r="187" ht="22" customHeight="1">
      <c r="A187" s="55" t="n"/>
      <c r="B187" s="41">
        <f>'設定'!$I$14</f>
        <v/>
      </c>
      <c r="C187" s="56" t="n"/>
      <c r="D187" s="56" t="n"/>
      <c r="E187" s="56" t="n"/>
      <c r="F187" s="56" t="n"/>
      <c r="G187" s="56" t="n"/>
      <c r="H187" s="56" t="n"/>
      <c r="I187" s="56" t="n"/>
      <c r="J187" s="56" t="n"/>
      <c r="K187" s="56" t="n"/>
      <c r="L187" s="56" t="n"/>
    </row>
    <row r="188" ht="22" customHeight="1">
      <c r="A188" s="55" t="n"/>
      <c r="B188" s="41">
        <f>'設定'!$I$15</f>
        <v/>
      </c>
      <c r="C188" s="56" t="n"/>
      <c r="D188" s="56" t="n"/>
      <c r="E188" s="56" t="n"/>
      <c r="F188" s="56" t="n"/>
      <c r="G188" s="56" t="n"/>
      <c r="H188" s="56" t="n"/>
      <c r="I188" s="56" t="n"/>
      <c r="J188" s="56" t="n"/>
      <c r="K188" s="56" t="n"/>
      <c r="L188" s="56" t="n"/>
    </row>
    <row r="189" ht="22" customHeight="1">
      <c r="A189" s="55" t="n"/>
      <c r="B189" s="41">
        <f>'設定'!$I$16</f>
        <v/>
      </c>
      <c r="C189" s="56" t="n"/>
      <c r="D189" s="56" t="n"/>
      <c r="E189" s="56" t="n"/>
      <c r="F189" s="56" t="n"/>
      <c r="G189" s="56" t="n"/>
      <c r="H189" s="56" t="n"/>
      <c r="I189" s="56" t="n"/>
      <c r="J189" s="56" t="n"/>
      <c r="K189" s="56" t="n"/>
      <c r="L189" s="56" t="n"/>
    </row>
    <row r="190" ht="22" customHeight="1">
      <c r="A190" s="55" t="n"/>
      <c r="B190" s="41">
        <f>'設定'!$I$17</f>
        <v/>
      </c>
      <c r="C190" s="56" t="n"/>
      <c r="D190" s="56" t="n"/>
      <c r="E190" s="56" t="n"/>
      <c r="F190" s="56" t="n"/>
      <c r="G190" s="56" t="n"/>
      <c r="H190" s="56" t="n"/>
      <c r="I190" s="56" t="n"/>
      <c r="J190" s="56" t="n"/>
      <c r="K190" s="56" t="n"/>
      <c r="L190" s="56" t="n"/>
    </row>
    <row r="191" ht="22" customHeight="1">
      <c r="A191" s="55" t="n"/>
      <c r="B191" s="41">
        <f>'設定'!$I$18</f>
        <v/>
      </c>
      <c r="C191" s="56" t="n"/>
      <c r="D191" s="56" t="n"/>
      <c r="E191" s="56" t="n"/>
      <c r="F191" s="56" t="n"/>
      <c r="G191" s="56" t="n"/>
      <c r="H191" s="56" t="n"/>
      <c r="I191" s="56" t="n"/>
      <c r="J191" s="56" t="n"/>
      <c r="K191" s="56" t="n"/>
      <c r="L191" s="56" t="n"/>
    </row>
    <row r="192" ht="22" customHeight="1">
      <c r="A192" s="55" t="n"/>
      <c r="B192" s="41">
        <f>'設定'!$I$19</f>
        <v/>
      </c>
      <c r="C192" s="56" t="n"/>
      <c r="D192" s="56" t="n"/>
      <c r="E192" s="56" t="n"/>
      <c r="F192" s="56" t="n"/>
      <c r="G192" s="56" t="n"/>
      <c r="H192" s="56" t="n"/>
      <c r="I192" s="56" t="n"/>
      <c r="J192" s="56" t="n"/>
      <c r="K192" s="56" t="n"/>
      <c r="L192" s="56" t="n"/>
    </row>
    <row r="193" ht="22" customHeight="1">
      <c r="A193" s="55" t="n"/>
      <c r="B193" s="41">
        <f>'設定'!$I$20</f>
        <v/>
      </c>
      <c r="C193" s="56" t="n"/>
      <c r="D193" s="56" t="n"/>
      <c r="E193" s="56" t="n"/>
      <c r="F193" s="56" t="n"/>
      <c r="G193" s="56" t="n"/>
      <c r="H193" s="56" t="n"/>
      <c r="I193" s="56" t="n"/>
      <c r="J193" s="56" t="n"/>
      <c r="K193" s="56" t="n"/>
      <c r="L193" s="56" t="n"/>
    </row>
    <row r="194" ht="22" customHeight="1">
      <c r="A194" s="55" t="n"/>
      <c r="B194" s="41">
        <f>'設定'!$I$21</f>
        <v/>
      </c>
      <c r="C194" s="56" t="n"/>
      <c r="D194" s="56" t="n"/>
      <c r="E194" s="56" t="n"/>
      <c r="F194" s="56" t="n"/>
      <c r="G194" s="56" t="n"/>
      <c r="H194" s="56" t="n"/>
      <c r="I194" s="56" t="n"/>
      <c r="J194" s="56" t="n"/>
      <c r="K194" s="56" t="n"/>
      <c r="L194" s="56" t="n"/>
    </row>
    <row r="195" ht="22" customHeight="1">
      <c r="A195" s="55" t="n"/>
      <c r="B195" s="41">
        <f>'設定'!$I$22</f>
        <v/>
      </c>
      <c r="C195" s="56" t="n"/>
      <c r="D195" s="56" t="n"/>
      <c r="E195" s="56" t="n"/>
      <c r="F195" s="56" t="n"/>
      <c r="G195" s="56" t="n"/>
      <c r="H195" s="56" t="n"/>
      <c r="I195" s="56" t="n"/>
      <c r="J195" s="56" t="n"/>
      <c r="K195" s="56" t="n"/>
      <c r="L195" s="56" t="n"/>
    </row>
    <row r="196"/>
    <row r="197" ht="26" customHeight="1">
      <c r="B197" s="51">
        <f>IF('名簿'!B17="","（名簿 13行目：なし）",'名簿'!G17)</f>
        <v/>
      </c>
      <c r="C197" s="4" t="n"/>
      <c r="D197" s="4" t="n"/>
      <c r="E197" s="52" t="inlineStr">
        <is>
          <t>提出状況 ▶</t>
        </is>
      </c>
      <c r="F197" s="37" t="n"/>
      <c r="G197" s="29" t="n"/>
      <c r="H197" s="53" t="inlineStr">
        <is>
          <t>状況：</t>
        </is>
      </c>
      <c r="I197" s="54">
        <f>'名簿'!H17</f>
        <v/>
      </c>
      <c r="J197" s="53" t="inlineStr">
        <is>
          <t>×の数：</t>
        </is>
      </c>
      <c r="K197" s="54">
        <f>'名簿'!I17</f>
        <v/>
      </c>
      <c r="L197" s="4" t="n"/>
    </row>
    <row r="198" ht="22" customHeight="1">
      <c r="A198" s="30" t="inlineStr">
        <is>
          <t>この日全部 ▶</t>
        </is>
      </c>
      <c r="C198" s="55" t="n"/>
      <c r="D198" s="55" t="n"/>
      <c r="E198" s="55" t="n"/>
      <c r="F198" s="55" t="n"/>
      <c r="G198" s="55" t="n"/>
      <c r="H198" s="55" t="n"/>
      <c r="I198" s="55" t="n"/>
      <c r="J198" s="55" t="n"/>
      <c r="K198" s="55" t="n"/>
      <c r="L198" s="55" t="n"/>
    </row>
    <row r="199" ht="28" customHeight="1">
      <c r="A199" s="33" t="inlineStr">
        <is>
          <t>この時間
全部 ▼</t>
        </is>
      </c>
      <c r="B199" s="34" t="inlineStr"/>
      <c r="C199" s="32">
        <f>'設定'!$E$11</f>
        <v/>
      </c>
      <c r="D199" s="32">
        <f>'設定'!$E$12</f>
        <v/>
      </c>
      <c r="E199" s="32">
        <f>'設定'!$E$13</f>
        <v/>
      </c>
      <c r="F199" s="32">
        <f>'設定'!$E$14</f>
        <v/>
      </c>
      <c r="G199" s="32">
        <f>'設定'!$E$15</f>
        <v/>
      </c>
      <c r="H199" s="32">
        <f>'設定'!$E$16</f>
        <v/>
      </c>
      <c r="I199" s="32">
        <f>'設定'!$E$17</f>
        <v/>
      </c>
      <c r="J199" s="32">
        <f>'設定'!$E$18</f>
        <v/>
      </c>
      <c r="K199" s="32">
        <f>'設定'!$E$19</f>
        <v/>
      </c>
      <c r="L199" s="32">
        <f>'設定'!$E$20</f>
        <v/>
      </c>
    </row>
    <row r="200" ht="22" customHeight="1">
      <c r="A200" s="55" t="n"/>
      <c r="B200" s="41">
        <f>'設定'!$I$11</f>
        <v/>
      </c>
      <c r="C200" s="56" t="n"/>
      <c r="D200" s="56" t="n"/>
      <c r="E200" s="56" t="n"/>
      <c r="F200" s="56" t="n"/>
      <c r="G200" s="56" t="n"/>
      <c r="H200" s="56" t="n"/>
      <c r="I200" s="56" t="n"/>
      <c r="J200" s="56" t="n"/>
      <c r="K200" s="56" t="n"/>
      <c r="L200" s="56" t="n"/>
    </row>
    <row r="201" ht="22" customHeight="1">
      <c r="A201" s="55" t="n"/>
      <c r="B201" s="41">
        <f>'設定'!$I$12</f>
        <v/>
      </c>
      <c r="C201" s="56" t="n"/>
      <c r="D201" s="56" t="n"/>
      <c r="E201" s="56" t="n"/>
      <c r="F201" s="56" t="n"/>
      <c r="G201" s="56" t="n"/>
      <c r="H201" s="56" t="n"/>
      <c r="I201" s="56" t="n"/>
      <c r="J201" s="56" t="n"/>
      <c r="K201" s="56" t="n"/>
      <c r="L201" s="56" t="n"/>
    </row>
    <row r="202" ht="22" customHeight="1">
      <c r="A202" s="55" t="n"/>
      <c r="B202" s="41">
        <f>'設定'!$I$13</f>
        <v/>
      </c>
      <c r="C202" s="56" t="n"/>
      <c r="D202" s="56" t="n"/>
      <c r="E202" s="56" t="n"/>
      <c r="F202" s="56" t="n"/>
      <c r="G202" s="56" t="n"/>
      <c r="H202" s="56" t="n"/>
      <c r="I202" s="56" t="n"/>
      <c r="J202" s="56" t="n"/>
      <c r="K202" s="56" t="n"/>
      <c r="L202" s="56" t="n"/>
    </row>
    <row r="203" ht="22" customHeight="1">
      <c r="A203" s="55" t="n"/>
      <c r="B203" s="41">
        <f>'設定'!$I$14</f>
        <v/>
      </c>
      <c r="C203" s="56" t="n"/>
      <c r="D203" s="56" t="n"/>
      <c r="E203" s="56" t="n"/>
      <c r="F203" s="56" t="n"/>
      <c r="G203" s="56" t="n"/>
      <c r="H203" s="56" t="n"/>
      <c r="I203" s="56" t="n"/>
      <c r="J203" s="56" t="n"/>
      <c r="K203" s="56" t="n"/>
      <c r="L203" s="56" t="n"/>
    </row>
    <row r="204" ht="22" customHeight="1">
      <c r="A204" s="55" t="n"/>
      <c r="B204" s="41">
        <f>'設定'!$I$15</f>
        <v/>
      </c>
      <c r="C204" s="56" t="n"/>
      <c r="D204" s="56" t="n"/>
      <c r="E204" s="56" t="n"/>
      <c r="F204" s="56" t="n"/>
      <c r="G204" s="56" t="n"/>
      <c r="H204" s="56" t="n"/>
      <c r="I204" s="56" t="n"/>
      <c r="J204" s="56" t="n"/>
      <c r="K204" s="56" t="n"/>
      <c r="L204" s="56" t="n"/>
    </row>
    <row r="205" ht="22" customHeight="1">
      <c r="A205" s="55" t="n"/>
      <c r="B205" s="41">
        <f>'設定'!$I$16</f>
        <v/>
      </c>
      <c r="C205" s="56" t="n"/>
      <c r="D205" s="56" t="n"/>
      <c r="E205" s="56" t="n"/>
      <c r="F205" s="56" t="n"/>
      <c r="G205" s="56" t="n"/>
      <c r="H205" s="56" t="n"/>
      <c r="I205" s="56" t="n"/>
      <c r="J205" s="56" t="n"/>
      <c r="K205" s="56" t="n"/>
      <c r="L205" s="56" t="n"/>
    </row>
    <row r="206" ht="22" customHeight="1">
      <c r="A206" s="55" t="n"/>
      <c r="B206" s="41">
        <f>'設定'!$I$17</f>
        <v/>
      </c>
      <c r="C206" s="56" t="n"/>
      <c r="D206" s="56" t="n"/>
      <c r="E206" s="56" t="n"/>
      <c r="F206" s="56" t="n"/>
      <c r="G206" s="56" t="n"/>
      <c r="H206" s="56" t="n"/>
      <c r="I206" s="56" t="n"/>
      <c r="J206" s="56" t="n"/>
      <c r="K206" s="56" t="n"/>
      <c r="L206" s="56" t="n"/>
    </row>
    <row r="207" ht="22" customHeight="1">
      <c r="A207" s="55" t="n"/>
      <c r="B207" s="41">
        <f>'設定'!$I$18</f>
        <v/>
      </c>
      <c r="C207" s="56" t="n"/>
      <c r="D207" s="56" t="n"/>
      <c r="E207" s="56" t="n"/>
      <c r="F207" s="56" t="n"/>
      <c r="G207" s="56" t="n"/>
      <c r="H207" s="56" t="n"/>
      <c r="I207" s="56" t="n"/>
      <c r="J207" s="56" t="n"/>
      <c r="K207" s="56" t="n"/>
      <c r="L207" s="56" t="n"/>
    </row>
    <row r="208" ht="22" customHeight="1">
      <c r="A208" s="55" t="n"/>
      <c r="B208" s="41">
        <f>'設定'!$I$19</f>
        <v/>
      </c>
      <c r="C208" s="56" t="n"/>
      <c r="D208" s="56" t="n"/>
      <c r="E208" s="56" t="n"/>
      <c r="F208" s="56" t="n"/>
      <c r="G208" s="56" t="n"/>
      <c r="H208" s="56" t="n"/>
      <c r="I208" s="56" t="n"/>
      <c r="J208" s="56" t="n"/>
      <c r="K208" s="56" t="n"/>
      <c r="L208" s="56" t="n"/>
    </row>
    <row r="209" ht="22" customHeight="1">
      <c r="A209" s="55" t="n"/>
      <c r="B209" s="41">
        <f>'設定'!$I$20</f>
        <v/>
      </c>
      <c r="C209" s="56" t="n"/>
      <c r="D209" s="56" t="n"/>
      <c r="E209" s="56" t="n"/>
      <c r="F209" s="56" t="n"/>
      <c r="G209" s="56" t="n"/>
      <c r="H209" s="56" t="n"/>
      <c r="I209" s="56" t="n"/>
      <c r="J209" s="56" t="n"/>
      <c r="K209" s="56" t="n"/>
      <c r="L209" s="56" t="n"/>
    </row>
    <row r="210" ht="22" customHeight="1">
      <c r="A210" s="55" t="n"/>
      <c r="B210" s="41">
        <f>'設定'!$I$21</f>
        <v/>
      </c>
      <c r="C210" s="56" t="n"/>
      <c r="D210" s="56" t="n"/>
      <c r="E210" s="56" t="n"/>
      <c r="F210" s="56" t="n"/>
      <c r="G210" s="56" t="n"/>
      <c r="H210" s="56" t="n"/>
      <c r="I210" s="56" t="n"/>
      <c r="J210" s="56" t="n"/>
      <c r="K210" s="56" t="n"/>
      <c r="L210" s="56" t="n"/>
    </row>
    <row r="211" ht="22" customHeight="1">
      <c r="A211" s="55" t="n"/>
      <c r="B211" s="41">
        <f>'設定'!$I$22</f>
        <v/>
      </c>
      <c r="C211" s="56" t="n"/>
      <c r="D211" s="56" t="n"/>
      <c r="E211" s="56" t="n"/>
      <c r="F211" s="56" t="n"/>
      <c r="G211" s="56" t="n"/>
      <c r="H211" s="56" t="n"/>
      <c r="I211" s="56" t="n"/>
      <c r="J211" s="56" t="n"/>
      <c r="K211" s="56" t="n"/>
      <c r="L211" s="56" t="n"/>
    </row>
    <row r="212"/>
    <row r="213" ht="26" customHeight="1">
      <c r="B213" s="51">
        <f>IF('名簿'!B18="","（名簿 14行目：なし）",'名簿'!G18)</f>
        <v/>
      </c>
      <c r="C213" s="4" t="n"/>
      <c r="D213" s="4" t="n"/>
      <c r="E213" s="52" t="inlineStr">
        <is>
          <t>提出状況 ▶</t>
        </is>
      </c>
      <c r="F213" s="37" t="n"/>
      <c r="G213" s="29" t="n"/>
      <c r="H213" s="53" t="inlineStr">
        <is>
          <t>状況：</t>
        </is>
      </c>
      <c r="I213" s="54">
        <f>'名簿'!H18</f>
        <v/>
      </c>
      <c r="J213" s="53" t="inlineStr">
        <is>
          <t>×の数：</t>
        </is>
      </c>
      <c r="K213" s="54">
        <f>'名簿'!I18</f>
        <v/>
      </c>
      <c r="L213" s="4" t="n"/>
    </row>
    <row r="214" ht="22" customHeight="1">
      <c r="A214" s="30" t="inlineStr">
        <is>
          <t>この日全部 ▶</t>
        </is>
      </c>
      <c r="C214" s="55" t="n"/>
      <c r="D214" s="55" t="n"/>
      <c r="E214" s="55" t="n"/>
      <c r="F214" s="55" t="n"/>
      <c r="G214" s="55" t="n"/>
      <c r="H214" s="55" t="n"/>
      <c r="I214" s="55" t="n"/>
      <c r="J214" s="55" t="n"/>
      <c r="K214" s="55" t="n"/>
      <c r="L214" s="55" t="n"/>
    </row>
    <row r="215" ht="28" customHeight="1">
      <c r="A215" s="33" t="inlineStr">
        <is>
          <t>この時間
全部 ▼</t>
        </is>
      </c>
      <c r="B215" s="34" t="inlineStr"/>
      <c r="C215" s="32">
        <f>'設定'!$E$11</f>
        <v/>
      </c>
      <c r="D215" s="32">
        <f>'設定'!$E$12</f>
        <v/>
      </c>
      <c r="E215" s="32">
        <f>'設定'!$E$13</f>
        <v/>
      </c>
      <c r="F215" s="32">
        <f>'設定'!$E$14</f>
        <v/>
      </c>
      <c r="G215" s="32">
        <f>'設定'!$E$15</f>
        <v/>
      </c>
      <c r="H215" s="32">
        <f>'設定'!$E$16</f>
        <v/>
      </c>
      <c r="I215" s="32">
        <f>'設定'!$E$17</f>
        <v/>
      </c>
      <c r="J215" s="32">
        <f>'設定'!$E$18</f>
        <v/>
      </c>
      <c r="K215" s="32">
        <f>'設定'!$E$19</f>
        <v/>
      </c>
      <c r="L215" s="32">
        <f>'設定'!$E$20</f>
        <v/>
      </c>
    </row>
    <row r="216" ht="22" customHeight="1">
      <c r="A216" s="55" t="n"/>
      <c r="B216" s="41">
        <f>'設定'!$I$11</f>
        <v/>
      </c>
      <c r="C216" s="56" t="n"/>
      <c r="D216" s="56" t="n"/>
      <c r="E216" s="56" t="n"/>
      <c r="F216" s="56" t="n"/>
      <c r="G216" s="56" t="n"/>
      <c r="H216" s="56" t="n"/>
      <c r="I216" s="56" t="n"/>
      <c r="J216" s="56" t="n"/>
      <c r="K216" s="56" t="n"/>
      <c r="L216" s="56" t="n"/>
    </row>
    <row r="217" ht="22" customHeight="1">
      <c r="A217" s="55" t="n"/>
      <c r="B217" s="41">
        <f>'設定'!$I$12</f>
        <v/>
      </c>
      <c r="C217" s="56" t="n"/>
      <c r="D217" s="56" t="n"/>
      <c r="E217" s="56" t="n"/>
      <c r="F217" s="56" t="n"/>
      <c r="G217" s="56" t="n"/>
      <c r="H217" s="56" t="n"/>
      <c r="I217" s="56" t="n"/>
      <c r="J217" s="56" t="n"/>
      <c r="K217" s="56" t="n"/>
      <c r="L217" s="56" t="n"/>
    </row>
    <row r="218" ht="22" customHeight="1">
      <c r="A218" s="55" t="n"/>
      <c r="B218" s="41">
        <f>'設定'!$I$13</f>
        <v/>
      </c>
      <c r="C218" s="56" t="n"/>
      <c r="D218" s="56" t="n"/>
      <c r="E218" s="56" t="n"/>
      <c r="F218" s="56" t="n"/>
      <c r="G218" s="56" t="n"/>
      <c r="H218" s="56" t="n"/>
      <c r="I218" s="56" t="n"/>
      <c r="J218" s="56" t="n"/>
      <c r="K218" s="56" t="n"/>
      <c r="L218" s="56" t="n"/>
    </row>
    <row r="219" ht="22" customHeight="1">
      <c r="A219" s="55" t="n"/>
      <c r="B219" s="41">
        <f>'設定'!$I$14</f>
        <v/>
      </c>
      <c r="C219" s="56" t="n"/>
      <c r="D219" s="56" t="n"/>
      <c r="E219" s="56" t="n"/>
      <c r="F219" s="56" t="n"/>
      <c r="G219" s="56" t="n"/>
      <c r="H219" s="56" t="n"/>
      <c r="I219" s="56" t="n"/>
      <c r="J219" s="56" t="n"/>
      <c r="K219" s="56" t="n"/>
      <c r="L219" s="56" t="n"/>
    </row>
    <row r="220" ht="22" customHeight="1">
      <c r="A220" s="55" t="n"/>
      <c r="B220" s="41">
        <f>'設定'!$I$15</f>
        <v/>
      </c>
      <c r="C220" s="56" t="n"/>
      <c r="D220" s="56" t="n"/>
      <c r="E220" s="56" t="n"/>
      <c r="F220" s="56" t="n"/>
      <c r="G220" s="56" t="n"/>
      <c r="H220" s="56" t="n"/>
      <c r="I220" s="56" t="n"/>
      <c r="J220" s="56" t="n"/>
      <c r="K220" s="56" t="n"/>
      <c r="L220" s="56" t="n"/>
    </row>
    <row r="221" ht="22" customHeight="1">
      <c r="A221" s="55" t="n"/>
      <c r="B221" s="41">
        <f>'設定'!$I$16</f>
        <v/>
      </c>
      <c r="C221" s="56" t="n"/>
      <c r="D221" s="56" t="n"/>
      <c r="E221" s="56" t="n"/>
      <c r="F221" s="56" t="n"/>
      <c r="G221" s="56" t="n"/>
      <c r="H221" s="56" t="n"/>
      <c r="I221" s="56" t="n"/>
      <c r="J221" s="56" t="n"/>
      <c r="K221" s="56" t="n"/>
      <c r="L221" s="56" t="n"/>
    </row>
    <row r="222" ht="22" customHeight="1">
      <c r="A222" s="55" t="n"/>
      <c r="B222" s="41">
        <f>'設定'!$I$17</f>
        <v/>
      </c>
      <c r="C222" s="56" t="n"/>
      <c r="D222" s="56" t="n"/>
      <c r="E222" s="56" t="n"/>
      <c r="F222" s="56" t="n"/>
      <c r="G222" s="56" t="n"/>
      <c r="H222" s="56" t="n"/>
      <c r="I222" s="56" t="n"/>
      <c r="J222" s="56" t="n"/>
      <c r="K222" s="56" t="n"/>
      <c r="L222" s="56" t="n"/>
    </row>
    <row r="223" ht="22" customHeight="1">
      <c r="A223" s="55" t="n"/>
      <c r="B223" s="41">
        <f>'設定'!$I$18</f>
        <v/>
      </c>
      <c r="C223" s="56" t="n"/>
      <c r="D223" s="56" t="n"/>
      <c r="E223" s="56" t="n"/>
      <c r="F223" s="56" t="n"/>
      <c r="G223" s="56" t="n"/>
      <c r="H223" s="56" t="n"/>
      <c r="I223" s="56" t="n"/>
      <c r="J223" s="56" t="n"/>
      <c r="K223" s="56" t="n"/>
      <c r="L223" s="56" t="n"/>
    </row>
    <row r="224" ht="22" customHeight="1">
      <c r="A224" s="55" t="n"/>
      <c r="B224" s="41">
        <f>'設定'!$I$19</f>
        <v/>
      </c>
      <c r="C224" s="56" t="n"/>
      <c r="D224" s="56" t="n"/>
      <c r="E224" s="56" t="n"/>
      <c r="F224" s="56" t="n"/>
      <c r="G224" s="56" t="n"/>
      <c r="H224" s="56" t="n"/>
      <c r="I224" s="56" t="n"/>
      <c r="J224" s="56" t="n"/>
      <c r="K224" s="56" t="n"/>
      <c r="L224" s="56" t="n"/>
    </row>
    <row r="225" ht="22" customHeight="1">
      <c r="A225" s="55" t="n"/>
      <c r="B225" s="41">
        <f>'設定'!$I$20</f>
        <v/>
      </c>
      <c r="C225" s="56" t="n"/>
      <c r="D225" s="56" t="n"/>
      <c r="E225" s="56" t="n"/>
      <c r="F225" s="56" t="n"/>
      <c r="G225" s="56" t="n"/>
      <c r="H225" s="56" t="n"/>
      <c r="I225" s="56" t="n"/>
      <c r="J225" s="56" t="n"/>
      <c r="K225" s="56" t="n"/>
      <c r="L225" s="56" t="n"/>
    </row>
    <row r="226" ht="22" customHeight="1">
      <c r="A226" s="55" t="n"/>
      <c r="B226" s="41">
        <f>'設定'!$I$21</f>
        <v/>
      </c>
      <c r="C226" s="56" t="n"/>
      <c r="D226" s="56" t="n"/>
      <c r="E226" s="56" t="n"/>
      <c r="F226" s="56" t="n"/>
      <c r="G226" s="56" t="n"/>
      <c r="H226" s="56" t="n"/>
      <c r="I226" s="56" t="n"/>
      <c r="J226" s="56" t="n"/>
      <c r="K226" s="56" t="n"/>
      <c r="L226" s="56" t="n"/>
    </row>
    <row r="227" ht="22" customHeight="1">
      <c r="A227" s="55" t="n"/>
      <c r="B227" s="41">
        <f>'設定'!$I$22</f>
        <v/>
      </c>
      <c r="C227" s="56" t="n"/>
      <c r="D227" s="56" t="n"/>
      <c r="E227" s="56" t="n"/>
      <c r="F227" s="56" t="n"/>
      <c r="G227" s="56" t="n"/>
      <c r="H227" s="56" t="n"/>
      <c r="I227" s="56" t="n"/>
      <c r="J227" s="56" t="n"/>
      <c r="K227" s="56" t="n"/>
      <c r="L227" s="56" t="n"/>
    </row>
    <row r="228"/>
    <row r="229" ht="26" customHeight="1">
      <c r="B229" s="51">
        <f>IF('名簿'!B19="","（名簿 15行目：なし）",'名簿'!G19)</f>
        <v/>
      </c>
      <c r="C229" s="4" t="n"/>
      <c r="D229" s="4" t="n"/>
      <c r="E229" s="52" t="inlineStr">
        <is>
          <t>提出状況 ▶</t>
        </is>
      </c>
      <c r="F229" s="37" t="n"/>
      <c r="G229" s="29" t="n"/>
      <c r="H229" s="53" t="inlineStr">
        <is>
          <t>状況：</t>
        </is>
      </c>
      <c r="I229" s="54">
        <f>'名簿'!H19</f>
        <v/>
      </c>
      <c r="J229" s="53" t="inlineStr">
        <is>
          <t>×の数：</t>
        </is>
      </c>
      <c r="K229" s="54">
        <f>'名簿'!I19</f>
        <v/>
      </c>
      <c r="L229" s="4" t="n"/>
    </row>
    <row r="230" ht="22" customHeight="1">
      <c r="A230" s="30" t="inlineStr">
        <is>
          <t>この日全部 ▶</t>
        </is>
      </c>
      <c r="C230" s="55" t="n"/>
      <c r="D230" s="55" t="n"/>
      <c r="E230" s="55" t="n"/>
      <c r="F230" s="55" t="n"/>
      <c r="G230" s="55" t="n"/>
      <c r="H230" s="55" t="n"/>
      <c r="I230" s="55" t="n"/>
      <c r="J230" s="55" t="n"/>
      <c r="K230" s="55" t="n"/>
      <c r="L230" s="55" t="n"/>
    </row>
    <row r="231" ht="28" customHeight="1">
      <c r="A231" s="33" t="inlineStr">
        <is>
          <t>この時間
全部 ▼</t>
        </is>
      </c>
      <c r="B231" s="34" t="inlineStr"/>
      <c r="C231" s="32">
        <f>'設定'!$E$11</f>
        <v/>
      </c>
      <c r="D231" s="32">
        <f>'設定'!$E$12</f>
        <v/>
      </c>
      <c r="E231" s="32">
        <f>'設定'!$E$13</f>
        <v/>
      </c>
      <c r="F231" s="32">
        <f>'設定'!$E$14</f>
        <v/>
      </c>
      <c r="G231" s="32">
        <f>'設定'!$E$15</f>
        <v/>
      </c>
      <c r="H231" s="32">
        <f>'設定'!$E$16</f>
        <v/>
      </c>
      <c r="I231" s="32">
        <f>'設定'!$E$17</f>
        <v/>
      </c>
      <c r="J231" s="32">
        <f>'設定'!$E$18</f>
        <v/>
      </c>
      <c r="K231" s="32">
        <f>'設定'!$E$19</f>
        <v/>
      </c>
      <c r="L231" s="32">
        <f>'設定'!$E$20</f>
        <v/>
      </c>
    </row>
    <row r="232" ht="22" customHeight="1">
      <c r="A232" s="55" t="n"/>
      <c r="B232" s="41">
        <f>'設定'!$I$11</f>
        <v/>
      </c>
      <c r="C232" s="56" t="n"/>
      <c r="D232" s="56" t="n"/>
      <c r="E232" s="56" t="n"/>
      <c r="F232" s="56" t="n"/>
      <c r="G232" s="56" t="n"/>
      <c r="H232" s="56" t="n"/>
      <c r="I232" s="56" t="n"/>
      <c r="J232" s="56" t="n"/>
      <c r="K232" s="56" t="n"/>
      <c r="L232" s="56" t="n"/>
    </row>
    <row r="233" ht="22" customHeight="1">
      <c r="A233" s="55" t="n"/>
      <c r="B233" s="41">
        <f>'設定'!$I$12</f>
        <v/>
      </c>
      <c r="C233" s="56" t="n"/>
      <c r="D233" s="56" t="n"/>
      <c r="E233" s="56" t="n"/>
      <c r="F233" s="56" t="n"/>
      <c r="G233" s="56" t="n"/>
      <c r="H233" s="56" t="n"/>
      <c r="I233" s="56" t="n"/>
      <c r="J233" s="56" t="n"/>
      <c r="K233" s="56" t="n"/>
      <c r="L233" s="56" t="n"/>
    </row>
    <row r="234" ht="22" customHeight="1">
      <c r="A234" s="55" t="n"/>
      <c r="B234" s="41">
        <f>'設定'!$I$13</f>
        <v/>
      </c>
      <c r="C234" s="56" t="n"/>
      <c r="D234" s="56" t="n"/>
      <c r="E234" s="56" t="n"/>
      <c r="F234" s="56" t="n"/>
      <c r="G234" s="56" t="n"/>
      <c r="H234" s="56" t="n"/>
      <c r="I234" s="56" t="n"/>
      <c r="J234" s="56" t="n"/>
      <c r="K234" s="56" t="n"/>
      <c r="L234" s="56" t="n"/>
    </row>
    <row r="235" ht="22" customHeight="1">
      <c r="A235" s="55" t="n"/>
      <c r="B235" s="41">
        <f>'設定'!$I$14</f>
        <v/>
      </c>
      <c r="C235" s="56" t="n"/>
      <c r="D235" s="56" t="n"/>
      <c r="E235" s="56" t="n"/>
      <c r="F235" s="56" t="n"/>
      <c r="G235" s="56" t="n"/>
      <c r="H235" s="56" t="n"/>
      <c r="I235" s="56" t="n"/>
      <c r="J235" s="56" t="n"/>
      <c r="K235" s="56" t="n"/>
      <c r="L235" s="56" t="n"/>
    </row>
    <row r="236" ht="22" customHeight="1">
      <c r="A236" s="55" t="n"/>
      <c r="B236" s="41">
        <f>'設定'!$I$15</f>
        <v/>
      </c>
      <c r="C236" s="56" t="n"/>
      <c r="D236" s="56" t="n"/>
      <c r="E236" s="56" t="n"/>
      <c r="F236" s="56" t="n"/>
      <c r="G236" s="56" t="n"/>
      <c r="H236" s="56" t="n"/>
      <c r="I236" s="56" t="n"/>
      <c r="J236" s="56" t="n"/>
      <c r="K236" s="56" t="n"/>
      <c r="L236" s="56" t="n"/>
    </row>
    <row r="237" ht="22" customHeight="1">
      <c r="A237" s="55" t="n"/>
      <c r="B237" s="41">
        <f>'設定'!$I$16</f>
        <v/>
      </c>
      <c r="C237" s="56" t="n"/>
      <c r="D237" s="56" t="n"/>
      <c r="E237" s="56" t="n"/>
      <c r="F237" s="56" t="n"/>
      <c r="G237" s="56" t="n"/>
      <c r="H237" s="56" t="n"/>
      <c r="I237" s="56" t="n"/>
      <c r="J237" s="56" t="n"/>
      <c r="K237" s="56" t="n"/>
      <c r="L237" s="56" t="n"/>
    </row>
    <row r="238" ht="22" customHeight="1">
      <c r="A238" s="55" t="n"/>
      <c r="B238" s="41">
        <f>'設定'!$I$17</f>
        <v/>
      </c>
      <c r="C238" s="56" t="n"/>
      <c r="D238" s="56" t="n"/>
      <c r="E238" s="56" t="n"/>
      <c r="F238" s="56" t="n"/>
      <c r="G238" s="56" t="n"/>
      <c r="H238" s="56" t="n"/>
      <c r="I238" s="56" t="n"/>
      <c r="J238" s="56" t="n"/>
      <c r="K238" s="56" t="n"/>
      <c r="L238" s="56" t="n"/>
    </row>
    <row r="239" ht="22" customHeight="1">
      <c r="A239" s="55" t="n"/>
      <c r="B239" s="41">
        <f>'設定'!$I$18</f>
        <v/>
      </c>
      <c r="C239" s="56" t="n"/>
      <c r="D239" s="56" t="n"/>
      <c r="E239" s="56" t="n"/>
      <c r="F239" s="56" t="n"/>
      <c r="G239" s="56" t="n"/>
      <c r="H239" s="56" t="n"/>
      <c r="I239" s="56" t="n"/>
      <c r="J239" s="56" t="n"/>
      <c r="K239" s="56" t="n"/>
      <c r="L239" s="56" t="n"/>
    </row>
    <row r="240" ht="22" customHeight="1">
      <c r="A240" s="55" t="n"/>
      <c r="B240" s="41">
        <f>'設定'!$I$19</f>
        <v/>
      </c>
      <c r="C240" s="56" t="n"/>
      <c r="D240" s="56" t="n"/>
      <c r="E240" s="56" t="n"/>
      <c r="F240" s="56" t="n"/>
      <c r="G240" s="56" t="n"/>
      <c r="H240" s="56" t="n"/>
      <c r="I240" s="56" t="n"/>
      <c r="J240" s="56" t="n"/>
      <c r="K240" s="56" t="n"/>
      <c r="L240" s="56" t="n"/>
    </row>
    <row r="241" ht="22" customHeight="1">
      <c r="A241" s="55" t="n"/>
      <c r="B241" s="41">
        <f>'設定'!$I$20</f>
        <v/>
      </c>
      <c r="C241" s="56" t="n"/>
      <c r="D241" s="56" t="n"/>
      <c r="E241" s="56" t="n"/>
      <c r="F241" s="56" t="n"/>
      <c r="G241" s="56" t="n"/>
      <c r="H241" s="56" t="n"/>
      <c r="I241" s="56" t="n"/>
      <c r="J241" s="56" t="n"/>
      <c r="K241" s="56" t="n"/>
      <c r="L241" s="56" t="n"/>
    </row>
    <row r="242" ht="22" customHeight="1">
      <c r="A242" s="55" t="n"/>
      <c r="B242" s="41">
        <f>'設定'!$I$21</f>
        <v/>
      </c>
      <c r="C242" s="56" t="n"/>
      <c r="D242" s="56" t="n"/>
      <c r="E242" s="56" t="n"/>
      <c r="F242" s="56" t="n"/>
      <c r="G242" s="56" t="n"/>
      <c r="H242" s="56" t="n"/>
      <c r="I242" s="56" t="n"/>
      <c r="J242" s="56" t="n"/>
      <c r="K242" s="56" t="n"/>
      <c r="L242" s="56" t="n"/>
    </row>
    <row r="243" ht="22" customHeight="1">
      <c r="A243" s="55" t="n"/>
      <c r="B243" s="41">
        <f>'設定'!$I$22</f>
        <v/>
      </c>
      <c r="C243" s="56" t="n"/>
      <c r="D243" s="56" t="n"/>
      <c r="E243" s="56" t="n"/>
      <c r="F243" s="56" t="n"/>
      <c r="G243" s="56" t="n"/>
      <c r="H243" s="56" t="n"/>
      <c r="I243" s="56" t="n"/>
      <c r="J243" s="56" t="n"/>
      <c r="K243" s="56" t="n"/>
      <c r="L243" s="56" t="n"/>
    </row>
    <row r="244"/>
    <row r="245" ht="26" customHeight="1">
      <c r="B245" s="51">
        <f>IF('名簿'!B20="","（名簿 16行目：なし）",'名簿'!G20)</f>
        <v/>
      </c>
      <c r="C245" s="4" t="n"/>
      <c r="D245" s="4" t="n"/>
      <c r="E245" s="52" t="inlineStr">
        <is>
          <t>提出状況 ▶</t>
        </is>
      </c>
      <c r="F245" s="37" t="n"/>
      <c r="G245" s="29" t="n"/>
      <c r="H245" s="53" t="inlineStr">
        <is>
          <t>状況：</t>
        </is>
      </c>
      <c r="I245" s="54">
        <f>'名簿'!H20</f>
        <v/>
      </c>
      <c r="J245" s="53" t="inlineStr">
        <is>
          <t>×の数：</t>
        </is>
      </c>
      <c r="K245" s="54">
        <f>'名簿'!I20</f>
        <v/>
      </c>
      <c r="L245" s="4" t="n"/>
    </row>
    <row r="246" ht="22" customHeight="1">
      <c r="A246" s="30" t="inlineStr">
        <is>
          <t>この日全部 ▶</t>
        </is>
      </c>
      <c r="C246" s="55" t="n"/>
      <c r="D246" s="55" t="n"/>
      <c r="E246" s="55" t="n"/>
      <c r="F246" s="55" t="n"/>
      <c r="G246" s="55" t="n"/>
      <c r="H246" s="55" t="n"/>
      <c r="I246" s="55" t="n"/>
      <c r="J246" s="55" t="n"/>
      <c r="K246" s="55" t="n"/>
      <c r="L246" s="55" t="n"/>
    </row>
    <row r="247" ht="28" customHeight="1">
      <c r="A247" s="33" t="inlineStr">
        <is>
          <t>この時間
全部 ▼</t>
        </is>
      </c>
      <c r="B247" s="34" t="inlineStr"/>
      <c r="C247" s="32">
        <f>'設定'!$E$11</f>
        <v/>
      </c>
      <c r="D247" s="32">
        <f>'設定'!$E$12</f>
        <v/>
      </c>
      <c r="E247" s="32">
        <f>'設定'!$E$13</f>
        <v/>
      </c>
      <c r="F247" s="32">
        <f>'設定'!$E$14</f>
        <v/>
      </c>
      <c r="G247" s="32">
        <f>'設定'!$E$15</f>
        <v/>
      </c>
      <c r="H247" s="32">
        <f>'設定'!$E$16</f>
        <v/>
      </c>
      <c r="I247" s="32">
        <f>'設定'!$E$17</f>
        <v/>
      </c>
      <c r="J247" s="32">
        <f>'設定'!$E$18</f>
        <v/>
      </c>
      <c r="K247" s="32">
        <f>'設定'!$E$19</f>
        <v/>
      </c>
      <c r="L247" s="32">
        <f>'設定'!$E$20</f>
        <v/>
      </c>
    </row>
    <row r="248" ht="22" customHeight="1">
      <c r="A248" s="55" t="n"/>
      <c r="B248" s="41">
        <f>'設定'!$I$11</f>
        <v/>
      </c>
      <c r="C248" s="56" t="n"/>
      <c r="D248" s="56" t="n"/>
      <c r="E248" s="56" t="n"/>
      <c r="F248" s="56" t="n"/>
      <c r="G248" s="56" t="n"/>
      <c r="H248" s="56" t="n"/>
      <c r="I248" s="56" t="n"/>
      <c r="J248" s="56" t="n"/>
      <c r="K248" s="56" t="n"/>
      <c r="L248" s="56" t="n"/>
    </row>
    <row r="249" ht="22" customHeight="1">
      <c r="A249" s="55" t="n"/>
      <c r="B249" s="41">
        <f>'設定'!$I$12</f>
        <v/>
      </c>
      <c r="C249" s="56" t="n"/>
      <c r="D249" s="56" t="n"/>
      <c r="E249" s="56" t="n"/>
      <c r="F249" s="56" t="n"/>
      <c r="G249" s="56" t="n"/>
      <c r="H249" s="56" t="n"/>
      <c r="I249" s="56" t="n"/>
      <c r="J249" s="56" t="n"/>
      <c r="K249" s="56" t="n"/>
      <c r="L249" s="56" t="n"/>
    </row>
    <row r="250" ht="22" customHeight="1">
      <c r="A250" s="55" t="n"/>
      <c r="B250" s="41">
        <f>'設定'!$I$13</f>
        <v/>
      </c>
      <c r="C250" s="56" t="n"/>
      <c r="D250" s="56" t="n"/>
      <c r="E250" s="56" t="n"/>
      <c r="F250" s="56" t="n"/>
      <c r="G250" s="56" t="n"/>
      <c r="H250" s="56" t="n"/>
      <c r="I250" s="56" t="n"/>
      <c r="J250" s="56" t="n"/>
      <c r="K250" s="56" t="n"/>
      <c r="L250" s="56" t="n"/>
    </row>
    <row r="251" ht="22" customHeight="1">
      <c r="A251" s="55" t="n"/>
      <c r="B251" s="41">
        <f>'設定'!$I$14</f>
        <v/>
      </c>
      <c r="C251" s="56" t="n"/>
      <c r="D251" s="56" t="n"/>
      <c r="E251" s="56" t="n"/>
      <c r="F251" s="56" t="n"/>
      <c r="G251" s="56" t="n"/>
      <c r="H251" s="56" t="n"/>
      <c r="I251" s="56" t="n"/>
      <c r="J251" s="56" t="n"/>
      <c r="K251" s="56" t="n"/>
      <c r="L251" s="56" t="n"/>
    </row>
    <row r="252" ht="22" customHeight="1">
      <c r="A252" s="55" t="n"/>
      <c r="B252" s="41">
        <f>'設定'!$I$15</f>
        <v/>
      </c>
      <c r="C252" s="56" t="n"/>
      <c r="D252" s="56" t="n"/>
      <c r="E252" s="56" t="n"/>
      <c r="F252" s="56" t="n"/>
      <c r="G252" s="56" t="n"/>
      <c r="H252" s="56" t="n"/>
      <c r="I252" s="56" t="n"/>
      <c r="J252" s="56" t="n"/>
      <c r="K252" s="56" t="n"/>
      <c r="L252" s="56" t="n"/>
    </row>
    <row r="253" ht="22" customHeight="1">
      <c r="A253" s="55" t="n"/>
      <c r="B253" s="41">
        <f>'設定'!$I$16</f>
        <v/>
      </c>
      <c r="C253" s="56" t="n"/>
      <c r="D253" s="56" t="n"/>
      <c r="E253" s="56" t="n"/>
      <c r="F253" s="56" t="n"/>
      <c r="G253" s="56" t="n"/>
      <c r="H253" s="56" t="n"/>
      <c r="I253" s="56" t="n"/>
      <c r="J253" s="56" t="n"/>
      <c r="K253" s="56" t="n"/>
      <c r="L253" s="56" t="n"/>
    </row>
    <row r="254" ht="22" customHeight="1">
      <c r="A254" s="55" t="n"/>
      <c r="B254" s="41">
        <f>'設定'!$I$17</f>
        <v/>
      </c>
      <c r="C254" s="56" t="n"/>
      <c r="D254" s="56" t="n"/>
      <c r="E254" s="56" t="n"/>
      <c r="F254" s="56" t="n"/>
      <c r="G254" s="56" t="n"/>
      <c r="H254" s="56" t="n"/>
      <c r="I254" s="56" t="n"/>
      <c r="J254" s="56" t="n"/>
      <c r="K254" s="56" t="n"/>
      <c r="L254" s="56" t="n"/>
    </row>
    <row r="255" ht="22" customHeight="1">
      <c r="A255" s="55" t="n"/>
      <c r="B255" s="41">
        <f>'設定'!$I$18</f>
        <v/>
      </c>
      <c r="C255" s="56" t="n"/>
      <c r="D255" s="56" t="n"/>
      <c r="E255" s="56" t="n"/>
      <c r="F255" s="56" t="n"/>
      <c r="G255" s="56" t="n"/>
      <c r="H255" s="56" t="n"/>
      <c r="I255" s="56" t="n"/>
      <c r="J255" s="56" t="n"/>
      <c r="K255" s="56" t="n"/>
      <c r="L255" s="56" t="n"/>
    </row>
    <row r="256" ht="22" customHeight="1">
      <c r="A256" s="55" t="n"/>
      <c r="B256" s="41">
        <f>'設定'!$I$19</f>
        <v/>
      </c>
      <c r="C256" s="56" t="n"/>
      <c r="D256" s="56" t="n"/>
      <c r="E256" s="56" t="n"/>
      <c r="F256" s="56" t="n"/>
      <c r="G256" s="56" t="n"/>
      <c r="H256" s="56" t="n"/>
      <c r="I256" s="56" t="n"/>
      <c r="J256" s="56" t="n"/>
      <c r="K256" s="56" t="n"/>
      <c r="L256" s="56" t="n"/>
    </row>
    <row r="257" ht="22" customHeight="1">
      <c r="A257" s="55" t="n"/>
      <c r="B257" s="41">
        <f>'設定'!$I$20</f>
        <v/>
      </c>
      <c r="C257" s="56" t="n"/>
      <c r="D257" s="56" t="n"/>
      <c r="E257" s="56" t="n"/>
      <c r="F257" s="56" t="n"/>
      <c r="G257" s="56" t="n"/>
      <c r="H257" s="56" t="n"/>
      <c r="I257" s="56" t="n"/>
      <c r="J257" s="56" t="n"/>
      <c r="K257" s="56" t="n"/>
      <c r="L257" s="56" t="n"/>
    </row>
    <row r="258" ht="22" customHeight="1">
      <c r="A258" s="55" t="n"/>
      <c r="B258" s="41">
        <f>'設定'!$I$21</f>
        <v/>
      </c>
      <c r="C258" s="56" t="n"/>
      <c r="D258" s="56" t="n"/>
      <c r="E258" s="56" t="n"/>
      <c r="F258" s="56" t="n"/>
      <c r="G258" s="56" t="n"/>
      <c r="H258" s="56" t="n"/>
      <c r="I258" s="56" t="n"/>
      <c r="J258" s="56" t="n"/>
      <c r="K258" s="56" t="n"/>
      <c r="L258" s="56" t="n"/>
    </row>
    <row r="259" ht="22" customHeight="1">
      <c r="A259" s="55" t="n"/>
      <c r="B259" s="41">
        <f>'設定'!$I$22</f>
        <v/>
      </c>
      <c r="C259" s="56" t="n"/>
      <c r="D259" s="56" t="n"/>
      <c r="E259" s="56" t="n"/>
      <c r="F259" s="56" t="n"/>
      <c r="G259" s="56" t="n"/>
      <c r="H259" s="56" t="n"/>
      <c r="I259" s="56" t="n"/>
      <c r="J259" s="56" t="n"/>
      <c r="K259" s="56" t="n"/>
      <c r="L259" s="56" t="n"/>
    </row>
    <row r="260"/>
    <row r="261" ht="26" customHeight="1">
      <c r="B261" s="51">
        <f>IF('名簿'!B21="","（名簿 17行目：なし）",'名簿'!G21)</f>
        <v/>
      </c>
      <c r="C261" s="4" t="n"/>
      <c r="D261" s="4" t="n"/>
      <c r="E261" s="52" t="inlineStr">
        <is>
          <t>提出状況 ▶</t>
        </is>
      </c>
      <c r="F261" s="37" t="n"/>
      <c r="G261" s="29" t="n"/>
      <c r="H261" s="53" t="inlineStr">
        <is>
          <t>状況：</t>
        </is>
      </c>
      <c r="I261" s="54">
        <f>'名簿'!H21</f>
        <v/>
      </c>
      <c r="J261" s="53" t="inlineStr">
        <is>
          <t>×の数：</t>
        </is>
      </c>
      <c r="K261" s="54">
        <f>'名簿'!I21</f>
        <v/>
      </c>
      <c r="L261" s="4" t="n"/>
    </row>
    <row r="262" ht="22" customHeight="1">
      <c r="A262" s="30" t="inlineStr">
        <is>
          <t>この日全部 ▶</t>
        </is>
      </c>
      <c r="C262" s="55" t="n"/>
      <c r="D262" s="55" t="n"/>
      <c r="E262" s="55" t="n"/>
      <c r="F262" s="55" t="n"/>
      <c r="G262" s="55" t="n"/>
      <c r="H262" s="55" t="n"/>
      <c r="I262" s="55" t="n"/>
      <c r="J262" s="55" t="n"/>
      <c r="K262" s="55" t="n"/>
      <c r="L262" s="55" t="n"/>
    </row>
    <row r="263" ht="28" customHeight="1">
      <c r="A263" s="33" t="inlineStr">
        <is>
          <t>この時間
全部 ▼</t>
        </is>
      </c>
      <c r="B263" s="34" t="inlineStr"/>
      <c r="C263" s="32">
        <f>'設定'!$E$11</f>
        <v/>
      </c>
      <c r="D263" s="32">
        <f>'設定'!$E$12</f>
        <v/>
      </c>
      <c r="E263" s="32">
        <f>'設定'!$E$13</f>
        <v/>
      </c>
      <c r="F263" s="32">
        <f>'設定'!$E$14</f>
        <v/>
      </c>
      <c r="G263" s="32">
        <f>'設定'!$E$15</f>
        <v/>
      </c>
      <c r="H263" s="32">
        <f>'設定'!$E$16</f>
        <v/>
      </c>
      <c r="I263" s="32">
        <f>'設定'!$E$17</f>
        <v/>
      </c>
      <c r="J263" s="32">
        <f>'設定'!$E$18</f>
        <v/>
      </c>
      <c r="K263" s="32">
        <f>'設定'!$E$19</f>
        <v/>
      </c>
      <c r="L263" s="32">
        <f>'設定'!$E$20</f>
        <v/>
      </c>
    </row>
    <row r="264" ht="22" customHeight="1">
      <c r="A264" s="55" t="n"/>
      <c r="B264" s="41">
        <f>'設定'!$I$11</f>
        <v/>
      </c>
      <c r="C264" s="56" t="n"/>
      <c r="D264" s="56" t="n"/>
      <c r="E264" s="56" t="n"/>
      <c r="F264" s="56" t="n"/>
      <c r="G264" s="56" t="n"/>
      <c r="H264" s="56" t="n"/>
      <c r="I264" s="56" t="n"/>
      <c r="J264" s="56" t="n"/>
      <c r="K264" s="56" t="n"/>
      <c r="L264" s="56" t="n"/>
    </row>
    <row r="265" ht="22" customHeight="1">
      <c r="A265" s="55" t="n"/>
      <c r="B265" s="41">
        <f>'設定'!$I$12</f>
        <v/>
      </c>
      <c r="C265" s="56" t="n"/>
      <c r="D265" s="56" t="n"/>
      <c r="E265" s="56" t="n"/>
      <c r="F265" s="56" t="n"/>
      <c r="G265" s="56" t="n"/>
      <c r="H265" s="56" t="n"/>
      <c r="I265" s="56" t="n"/>
      <c r="J265" s="56" t="n"/>
      <c r="K265" s="56" t="n"/>
      <c r="L265" s="56" t="n"/>
    </row>
    <row r="266" ht="22" customHeight="1">
      <c r="A266" s="55" t="n"/>
      <c r="B266" s="41">
        <f>'設定'!$I$13</f>
        <v/>
      </c>
      <c r="C266" s="56" t="n"/>
      <c r="D266" s="56" t="n"/>
      <c r="E266" s="56" t="n"/>
      <c r="F266" s="56" t="n"/>
      <c r="G266" s="56" t="n"/>
      <c r="H266" s="56" t="n"/>
      <c r="I266" s="56" t="n"/>
      <c r="J266" s="56" t="n"/>
      <c r="K266" s="56" t="n"/>
      <c r="L266" s="56" t="n"/>
    </row>
    <row r="267" ht="22" customHeight="1">
      <c r="A267" s="55" t="n"/>
      <c r="B267" s="41">
        <f>'設定'!$I$14</f>
        <v/>
      </c>
      <c r="C267" s="56" t="n"/>
      <c r="D267" s="56" t="n"/>
      <c r="E267" s="56" t="n"/>
      <c r="F267" s="56" t="n"/>
      <c r="G267" s="56" t="n"/>
      <c r="H267" s="56" t="n"/>
      <c r="I267" s="56" t="n"/>
      <c r="J267" s="56" t="n"/>
      <c r="K267" s="56" t="n"/>
      <c r="L267" s="56" t="n"/>
    </row>
    <row r="268" ht="22" customHeight="1">
      <c r="A268" s="55" t="n"/>
      <c r="B268" s="41">
        <f>'設定'!$I$15</f>
        <v/>
      </c>
      <c r="C268" s="56" t="n"/>
      <c r="D268" s="56" t="n"/>
      <c r="E268" s="56" t="n"/>
      <c r="F268" s="56" t="n"/>
      <c r="G268" s="56" t="n"/>
      <c r="H268" s="56" t="n"/>
      <c r="I268" s="56" t="n"/>
      <c r="J268" s="56" t="n"/>
      <c r="K268" s="56" t="n"/>
      <c r="L268" s="56" t="n"/>
    </row>
    <row r="269" ht="22" customHeight="1">
      <c r="A269" s="55" t="n"/>
      <c r="B269" s="41">
        <f>'設定'!$I$16</f>
        <v/>
      </c>
      <c r="C269" s="56" t="n"/>
      <c r="D269" s="56" t="n"/>
      <c r="E269" s="56" t="n"/>
      <c r="F269" s="56" t="n"/>
      <c r="G269" s="56" t="n"/>
      <c r="H269" s="56" t="n"/>
      <c r="I269" s="56" t="n"/>
      <c r="J269" s="56" t="n"/>
      <c r="K269" s="56" t="n"/>
      <c r="L269" s="56" t="n"/>
    </row>
    <row r="270" ht="22" customHeight="1">
      <c r="A270" s="55" t="n"/>
      <c r="B270" s="41">
        <f>'設定'!$I$17</f>
        <v/>
      </c>
      <c r="C270" s="56" t="n"/>
      <c r="D270" s="56" t="n"/>
      <c r="E270" s="56" t="n"/>
      <c r="F270" s="56" t="n"/>
      <c r="G270" s="56" t="n"/>
      <c r="H270" s="56" t="n"/>
      <c r="I270" s="56" t="n"/>
      <c r="J270" s="56" t="n"/>
      <c r="K270" s="56" t="n"/>
      <c r="L270" s="56" t="n"/>
    </row>
    <row r="271" ht="22" customHeight="1">
      <c r="A271" s="55" t="n"/>
      <c r="B271" s="41">
        <f>'設定'!$I$18</f>
        <v/>
      </c>
      <c r="C271" s="56" t="n"/>
      <c r="D271" s="56" t="n"/>
      <c r="E271" s="56" t="n"/>
      <c r="F271" s="56" t="n"/>
      <c r="G271" s="56" t="n"/>
      <c r="H271" s="56" t="n"/>
      <c r="I271" s="56" t="n"/>
      <c r="J271" s="56" t="n"/>
      <c r="K271" s="56" t="n"/>
      <c r="L271" s="56" t="n"/>
    </row>
    <row r="272" ht="22" customHeight="1">
      <c r="A272" s="55" t="n"/>
      <c r="B272" s="41">
        <f>'設定'!$I$19</f>
        <v/>
      </c>
      <c r="C272" s="56" t="n"/>
      <c r="D272" s="56" t="n"/>
      <c r="E272" s="56" t="n"/>
      <c r="F272" s="56" t="n"/>
      <c r="G272" s="56" t="n"/>
      <c r="H272" s="56" t="n"/>
      <c r="I272" s="56" t="n"/>
      <c r="J272" s="56" t="n"/>
      <c r="K272" s="56" t="n"/>
      <c r="L272" s="56" t="n"/>
    </row>
    <row r="273" ht="22" customHeight="1">
      <c r="A273" s="55" t="n"/>
      <c r="B273" s="41">
        <f>'設定'!$I$20</f>
        <v/>
      </c>
      <c r="C273" s="56" t="n"/>
      <c r="D273" s="56" t="n"/>
      <c r="E273" s="56" t="n"/>
      <c r="F273" s="56" t="n"/>
      <c r="G273" s="56" t="n"/>
      <c r="H273" s="56" t="n"/>
      <c r="I273" s="56" t="n"/>
      <c r="J273" s="56" t="n"/>
      <c r="K273" s="56" t="n"/>
      <c r="L273" s="56" t="n"/>
    </row>
    <row r="274" ht="22" customHeight="1">
      <c r="A274" s="55" t="n"/>
      <c r="B274" s="41">
        <f>'設定'!$I$21</f>
        <v/>
      </c>
      <c r="C274" s="56" t="n"/>
      <c r="D274" s="56" t="n"/>
      <c r="E274" s="56" t="n"/>
      <c r="F274" s="56" t="n"/>
      <c r="G274" s="56" t="n"/>
      <c r="H274" s="56" t="n"/>
      <c r="I274" s="56" t="n"/>
      <c r="J274" s="56" t="n"/>
      <c r="K274" s="56" t="n"/>
      <c r="L274" s="56" t="n"/>
    </row>
    <row r="275" ht="22" customHeight="1">
      <c r="A275" s="55" t="n"/>
      <c r="B275" s="41">
        <f>'設定'!$I$22</f>
        <v/>
      </c>
      <c r="C275" s="56" t="n"/>
      <c r="D275" s="56" t="n"/>
      <c r="E275" s="56" t="n"/>
      <c r="F275" s="56" t="n"/>
      <c r="G275" s="56" t="n"/>
      <c r="H275" s="56" t="n"/>
      <c r="I275" s="56" t="n"/>
      <c r="J275" s="56" t="n"/>
      <c r="K275" s="56" t="n"/>
      <c r="L275" s="56" t="n"/>
    </row>
    <row r="276"/>
    <row r="277" ht="26" customHeight="1">
      <c r="B277" s="51">
        <f>IF('名簿'!B22="","（名簿 18行目：なし）",'名簿'!G22)</f>
        <v/>
      </c>
      <c r="C277" s="4" t="n"/>
      <c r="D277" s="4" t="n"/>
      <c r="E277" s="52" t="inlineStr">
        <is>
          <t>提出状況 ▶</t>
        </is>
      </c>
      <c r="F277" s="37" t="n"/>
      <c r="G277" s="29" t="n"/>
      <c r="H277" s="53" t="inlineStr">
        <is>
          <t>状況：</t>
        </is>
      </c>
      <c r="I277" s="54">
        <f>'名簿'!H22</f>
        <v/>
      </c>
      <c r="J277" s="53" t="inlineStr">
        <is>
          <t>×の数：</t>
        </is>
      </c>
      <c r="K277" s="54">
        <f>'名簿'!I22</f>
        <v/>
      </c>
      <c r="L277" s="4" t="n"/>
    </row>
    <row r="278" ht="22" customHeight="1">
      <c r="A278" s="30" t="inlineStr">
        <is>
          <t>この日全部 ▶</t>
        </is>
      </c>
      <c r="C278" s="55" t="n"/>
      <c r="D278" s="55" t="n"/>
      <c r="E278" s="55" t="n"/>
      <c r="F278" s="55" t="n"/>
      <c r="G278" s="55" t="n"/>
      <c r="H278" s="55" t="n"/>
      <c r="I278" s="55" t="n"/>
      <c r="J278" s="55" t="n"/>
      <c r="K278" s="55" t="n"/>
      <c r="L278" s="55" t="n"/>
    </row>
    <row r="279" ht="28" customHeight="1">
      <c r="A279" s="33" t="inlineStr">
        <is>
          <t>この時間
全部 ▼</t>
        </is>
      </c>
      <c r="B279" s="34" t="inlineStr"/>
      <c r="C279" s="32">
        <f>'設定'!$E$11</f>
        <v/>
      </c>
      <c r="D279" s="32">
        <f>'設定'!$E$12</f>
        <v/>
      </c>
      <c r="E279" s="32">
        <f>'設定'!$E$13</f>
        <v/>
      </c>
      <c r="F279" s="32">
        <f>'設定'!$E$14</f>
        <v/>
      </c>
      <c r="G279" s="32">
        <f>'設定'!$E$15</f>
        <v/>
      </c>
      <c r="H279" s="32">
        <f>'設定'!$E$16</f>
        <v/>
      </c>
      <c r="I279" s="32">
        <f>'設定'!$E$17</f>
        <v/>
      </c>
      <c r="J279" s="32">
        <f>'設定'!$E$18</f>
        <v/>
      </c>
      <c r="K279" s="32">
        <f>'設定'!$E$19</f>
        <v/>
      </c>
      <c r="L279" s="32">
        <f>'設定'!$E$20</f>
        <v/>
      </c>
    </row>
    <row r="280" ht="22" customHeight="1">
      <c r="A280" s="55" t="n"/>
      <c r="B280" s="41">
        <f>'設定'!$I$11</f>
        <v/>
      </c>
      <c r="C280" s="56" t="n"/>
      <c r="D280" s="56" t="n"/>
      <c r="E280" s="56" t="n"/>
      <c r="F280" s="56" t="n"/>
      <c r="G280" s="56" t="n"/>
      <c r="H280" s="56" t="n"/>
      <c r="I280" s="56" t="n"/>
      <c r="J280" s="56" t="n"/>
      <c r="K280" s="56" t="n"/>
      <c r="L280" s="56" t="n"/>
    </row>
    <row r="281" ht="22" customHeight="1">
      <c r="A281" s="55" t="n"/>
      <c r="B281" s="41">
        <f>'設定'!$I$12</f>
        <v/>
      </c>
      <c r="C281" s="56" t="n"/>
      <c r="D281" s="56" t="n"/>
      <c r="E281" s="56" t="n"/>
      <c r="F281" s="56" t="n"/>
      <c r="G281" s="56" t="n"/>
      <c r="H281" s="56" t="n"/>
      <c r="I281" s="56" t="n"/>
      <c r="J281" s="56" t="n"/>
      <c r="K281" s="56" t="n"/>
      <c r="L281" s="56" t="n"/>
    </row>
    <row r="282" ht="22" customHeight="1">
      <c r="A282" s="55" t="n"/>
      <c r="B282" s="41">
        <f>'設定'!$I$13</f>
        <v/>
      </c>
      <c r="C282" s="56" t="n"/>
      <c r="D282" s="56" t="n"/>
      <c r="E282" s="56" t="n"/>
      <c r="F282" s="56" t="n"/>
      <c r="G282" s="56" t="n"/>
      <c r="H282" s="56" t="n"/>
      <c r="I282" s="56" t="n"/>
      <c r="J282" s="56" t="n"/>
      <c r="K282" s="56" t="n"/>
      <c r="L282" s="56" t="n"/>
    </row>
    <row r="283" ht="22" customHeight="1">
      <c r="A283" s="55" t="n"/>
      <c r="B283" s="41">
        <f>'設定'!$I$14</f>
        <v/>
      </c>
      <c r="C283" s="56" t="n"/>
      <c r="D283" s="56" t="n"/>
      <c r="E283" s="56" t="n"/>
      <c r="F283" s="56" t="n"/>
      <c r="G283" s="56" t="n"/>
      <c r="H283" s="56" t="n"/>
      <c r="I283" s="56" t="n"/>
      <c r="J283" s="56" t="n"/>
      <c r="K283" s="56" t="n"/>
      <c r="L283" s="56" t="n"/>
    </row>
    <row r="284" ht="22" customHeight="1">
      <c r="A284" s="55" t="n"/>
      <c r="B284" s="41">
        <f>'設定'!$I$15</f>
        <v/>
      </c>
      <c r="C284" s="56" t="n"/>
      <c r="D284" s="56" t="n"/>
      <c r="E284" s="56" t="n"/>
      <c r="F284" s="56" t="n"/>
      <c r="G284" s="56" t="n"/>
      <c r="H284" s="56" t="n"/>
      <c r="I284" s="56" t="n"/>
      <c r="J284" s="56" t="n"/>
      <c r="K284" s="56" t="n"/>
      <c r="L284" s="56" t="n"/>
    </row>
    <row r="285" ht="22" customHeight="1">
      <c r="A285" s="55" t="n"/>
      <c r="B285" s="41">
        <f>'設定'!$I$16</f>
        <v/>
      </c>
      <c r="C285" s="56" t="n"/>
      <c r="D285" s="56" t="n"/>
      <c r="E285" s="56" t="n"/>
      <c r="F285" s="56" t="n"/>
      <c r="G285" s="56" t="n"/>
      <c r="H285" s="56" t="n"/>
      <c r="I285" s="56" t="n"/>
      <c r="J285" s="56" t="n"/>
      <c r="K285" s="56" t="n"/>
      <c r="L285" s="56" t="n"/>
    </row>
    <row r="286" ht="22" customHeight="1">
      <c r="A286" s="55" t="n"/>
      <c r="B286" s="41">
        <f>'設定'!$I$17</f>
        <v/>
      </c>
      <c r="C286" s="56" t="n"/>
      <c r="D286" s="56" t="n"/>
      <c r="E286" s="56" t="n"/>
      <c r="F286" s="56" t="n"/>
      <c r="G286" s="56" t="n"/>
      <c r="H286" s="56" t="n"/>
      <c r="I286" s="56" t="n"/>
      <c r="J286" s="56" t="n"/>
      <c r="K286" s="56" t="n"/>
      <c r="L286" s="56" t="n"/>
    </row>
    <row r="287" ht="22" customHeight="1">
      <c r="A287" s="55" t="n"/>
      <c r="B287" s="41">
        <f>'設定'!$I$18</f>
        <v/>
      </c>
      <c r="C287" s="56" t="n"/>
      <c r="D287" s="56" t="n"/>
      <c r="E287" s="56" t="n"/>
      <c r="F287" s="56" t="n"/>
      <c r="G287" s="56" t="n"/>
      <c r="H287" s="56" t="n"/>
      <c r="I287" s="56" t="n"/>
      <c r="J287" s="56" t="n"/>
      <c r="K287" s="56" t="n"/>
      <c r="L287" s="56" t="n"/>
    </row>
    <row r="288" ht="22" customHeight="1">
      <c r="A288" s="55" t="n"/>
      <c r="B288" s="41">
        <f>'設定'!$I$19</f>
        <v/>
      </c>
      <c r="C288" s="56" t="n"/>
      <c r="D288" s="56" t="n"/>
      <c r="E288" s="56" t="n"/>
      <c r="F288" s="56" t="n"/>
      <c r="G288" s="56" t="n"/>
      <c r="H288" s="56" t="n"/>
      <c r="I288" s="56" t="n"/>
      <c r="J288" s="56" t="n"/>
      <c r="K288" s="56" t="n"/>
      <c r="L288" s="56" t="n"/>
    </row>
    <row r="289" ht="22" customHeight="1">
      <c r="A289" s="55" t="n"/>
      <c r="B289" s="41">
        <f>'設定'!$I$20</f>
        <v/>
      </c>
      <c r="C289" s="56" t="n"/>
      <c r="D289" s="56" t="n"/>
      <c r="E289" s="56" t="n"/>
      <c r="F289" s="56" t="n"/>
      <c r="G289" s="56" t="n"/>
      <c r="H289" s="56" t="n"/>
      <c r="I289" s="56" t="n"/>
      <c r="J289" s="56" t="n"/>
      <c r="K289" s="56" t="n"/>
      <c r="L289" s="56" t="n"/>
    </row>
    <row r="290" ht="22" customHeight="1">
      <c r="A290" s="55" t="n"/>
      <c r="B290" s="41">
        <f>'設定'!$I$21</f>
        <v/>
      </c>
      <c r="C290" s="56" t="n"/>
      <c r="D290" s="56" t="n"/>
      <c r="E290" s="56" t="n"/>
      <c r="F290" s="56" t="n"/>
      <c r="G290" s="56" t="n"/>
      <c r="H290" s="56" t="n"/>
      <c r="I290" s="56" t="n"/>
      <c r="J290" s="56" t="n"/>
      <c r="K290" s="56" t="n"/>
      <c r="L290" s="56" t="n"/>
    </row>
    <row r="291" ht="22" customHeight="1">
      <c r="A291" s="55" t="n"/>
      <c r="B291" s="41">
        <f>'設定'!$I$22</f>
        <v/>
      </c>
      <c r="C291" s="56" t="n"/>
      <c r="D291" s="56" t="n"/>
      <c r="E291" s="56" t="n"/>
      <c r="F291" s="56" t="n"/>
      <c r="G291" s="56" t="n"/>
      <c r="H291" s="56" t="n"/>
      <c r="I291" s="56" t="n"/>
      <c r="J291" s="56" t="n"/>
      <c r="K291" s="56" t="n"/>
      <c r="L291" s="56" t="n"/>
    </row>
    <row r="292"/>
    <row r="293" ht="26" customHeight="1">
      <c r="B293" s="51">
        <f>IF('名簿'!B23="","（名簿 19行目：なし）",'名簿'!G23)</f>
        <v/>
      </c>
      <c r="C293" s="4" t="n"/>
      <c r="D293" s="4" t="n"/>
      <c r="E293" s="52" t="inlineStr">
        <is>
          <t>提出状況 ▶</t>
        </is>
      </c>
      <c r="F293" s="37" t="n"/>
      <c r="G293" s="29" t="n"/>
      <c r="H293" s="53" t="inlineStr">
        <is>
          <t>状況：</t>
        </is>
      </c>
      <c r="I293" s="54">
        <f>'名簿'!H23</f>
        <v/>
      </c>
      <c r="J293" s="53" t="inlineStr">
        <is>
          <t>×の数：</t>
        </is>
      </c>
      <c r="K293" s="54">
        <f>'名簿'!I23</f>
        <v/>
      </c>
      <c r="L293" s="4" t="n"/>
    </row>
    <row r="294" ht="22" customHeight="1">
      <c r="A294" s="30" t="inlineStr">
        <is>
          <t>この日全部 ▶</t>
        </is>
      </c>
      <c r="C294" s="55" t="n"/>
      <c r="D294" s="55" t="n"/>
      <c r="E294" s="55" t="n"/>
      <c r="F294" s="55" t="n"/>
      <c r="G294" s="55" t="n"/>
      <c r="H294" s="55" t="n"/>
      <c r="I294" s="55" t="n"/>
      <c r="J294" s="55" t="n"/>
      <c r="K294" s="55" t="n"/>
      <c r="L294" s="55" t="n"/>
    </row>
    <row r="295" ht="28" customHeight="1">
      <c r="A295" s="33" t="inlineStr">
        <is>
          <t>この時間
全部 ▼</t>
        </is>
      </c>
      <c r="B295" s="34" t="inlineStr"/>
      <c r="C295" s="32">
        <f>'設定'!$E$11</f>
        <v/>
      </c>
      <c r="D295" s="32">
        <f>'設定'!$E$12</f>
        <v/>
      </c>
      <c r="E295" s="32">
        <f>'設定'!$E$13</f>
        <v/>
      </c>
      <c r="F295" s="32">
        <f>'設定'!$E$14</f>
        <v/>
      </c>
      <c r="G295" s="32">
        <f>'設定'!$E$15</f>
        <v/>
      </c>
      <c r="H295" s="32">
        <f>'設定'!$E$16</f>
        <v/>
      </c>
      <c r="I295" s="32">
        <f>'設定'!$E$17</f>
        <v/>
      </c>
      <c r="J295" s="32">
        <f>'設定'!$E$18</f>
        <v/>
      </c>
      <c r="K295" s="32">
        <f>'設定'!$E$19</f>
        <v/>
      </c>
      <c r="L295" s="32">
        <f>'設定'!$E$20</f>
        <v/>
      </c>
    </row>
    <row r="296" ht="22" customHeight="1">
      <c r="A296" s="55" t="n"/>
      <c r="B296" s="41">
        <f>'設定'!$I$11</f>
        <v/>
      </c>
      <c r="C296" s="56" t="n"/>
      <c r="D296" s="56" t="n"/>
      <c r="E296" s="56" t="n"/>
      <c r="F296" s="56" t="n"/>
      <c r="G296" s="56" t="n"/>
      <c r="H296" s="56" t="n"/>
      <c r="I296" s="56" t="n"/>
      <c r="J296" s="56" t="n"/>
      <c r="K296" s="56" t="n"/>
      <c r="L296" s="56" t="n"/>
    </row>
    <row r="297" ht="22" customHeight="1">
      <c r="A297" s="55" t="n"/>
      <c r="B297" s="41">
        <f>'設定'!$I$12</f>
        <v/>
      </c>
      <c r="C297" s="56" t="n"/>
      <c r="D297" s="56" t="n"/>
      <c r="E297" s="56" t="n"/>
      <c r="F297" s="56" t="n"/>
      <c r="G297" s="56" t="n"/>
      <c r="H297" s="56" t="n"/>
      <c r="I297" s="56" t="n"/>
      <c r="J297" s="56" t="n"/>
      <c r="K297" s="56" t="n"/>
      <c r="L297" s="56" t="n"/>
    </row>
    <row r="298" ht="22" customHeight="1">
      <c r="A298" s="55" t="n"/>
      <c r="B298" s="41">
        <f>'設定'!$I$13</f>
        <v/>
      </c>
      <c r="C298" s="56" t="n"/>
      <c r="D298" s="56" t="n"/>
      <c r="E298" s="56" t="n"/>
      <c r="F298" s="56" t="n"/>
      <c r="G298" s="56" t="n"/>
      <c r="H298" s="56" t="n"/>
      <c r="I298" s="56" t="n"/>
      <c r="J298" s="56" t="n"/>
      <c r="K298" s="56" t="n"/>
      <c r="L298" s="56" t="n"/>
    </row>
    <row r="299" ht="22" customHeight="1">
      <c r="A299" s="55" t="n"/>
      <c r="B299" s="41">
        <f>'設定'!$I$14</f>
        <v/>
      </c>
      <c r="C299" s="56" t="n"/>
      <c r="D299" s="56" t="n"/>
      <c r="E299" s="56" t="n"/>
      <c r="F299" s="56" t="n"/>
      <c r="G299" s="56" t="n"/>
      <c r="H299" s="56" t="n"/>
      <c r="I299" s="56" t="n"/>
      <c r="J299" s="56" t="n"/>
      <c r="K299" s="56" t="n"/>
      <c r="L299" s="56" t="n"/>
    </row>
    <row r="300" ht="22" customHeight="1">
      <c r="A300" s="55" t="n"/>
      <c r="B300" s="41">
        <f>'設定'!$I$15</f>
        <v/>
      </c>
      <c r="C300" s="56" t="n"/>
      <c r="D300" s="56" t="n"/>
      <c r="E300" s="56" t="n"/>
      <c r="F300" s="56" t="n"/>
      <c r="G300" s="56" t="n"/>
      <c r="H300" s="56" t="n"/>
      <c r="I300" s="56" t="n"/>
      <c r="J300" s="56" t="n"/>
      <c r="K300" s="56" t="n"/>
      <c r="L300" s="56" t="n"/>
    </row>
    <row r="301" ht="22" customHeight="1">
      <c r="A301" s="55" t="n"/>
      <c r="B301" s="41">
        <f>'設定'!$I$16</f>
        <v/>
      </c>
      <c r="C301" s="56" t="n"/>
      <c r="D301" s="56" t="n"/>
      <c r="E301" s="56" t="n"/>
      <c r="F301" s="56" t="n"/>
      <c r="G301" s="56" t="n"/>
      <c r="H301" s="56" t="n"/>
      <c r="I301" s="56" t="n"/>
      <c r="J301" s="56" t="n"/>
      <c r="K301" s="56" t="n"/>
      <c r="L301" s="56" t="n"/>
    </row>
    <row r="302" ht="22" customHeight="1">
      <c r="A302" s="55" t="n"/>
      <c r="B302" s="41">
        <f>'設定'!$I$17</f>
        <v/>
      </c>
      <c r="C302" s="56" t="n"/>
      <c r="D302" s="56" t="n"/>
      <c r="E302" s="56" t="n"/>
      <c r="F302" s="56" t="n"/>
      <c r="G302" s="56" t="n"/>
      <c r="H302" s="56" t="n"/>
      <c r="I302" s="56" t="n"/>
      <c r="J302" s="56" t="n"/>
      <c r="K302" s="56" t="n"/>
      <c r="L302" s="56" t="n"/>
    </row>
    <row r="303" ht="22" customHeight="1">
      <c r="A303" s="55" t="n"/>
      <c r="B303" s="41">
        <f>'設定'!$I$18</f>
        <v/>
      </c>
      <c r="C303" s="56" t="n"/>
      <c r="D303" s="56" t="n"/>
      <c r="E303" s="56" t="n"/>
      <c r="F303" s="56" t="n"/>
      <c r="G303" s="56" t="n"/>
      <c r="H303" s="56" t="n"/>
      <c r="I303" s="56" t="n"/>
      <c r="J303" s="56" t="n"/>
      <c r="K303" s="56" t="n"/>
      <c r="L303" s="56" t="n"/>
    </row>
    <row r="304" ht="22" customHeight="1">
      <c r="A304" s="55" t="n"/>
      <c r="B304" s="41">
        <f>'設定'!$I$19</f>
        <v/>
      </c>
      <c r="C304" s="56" t="n"/>
      <c r="D304" s="56" t="n"/>
      <c r="E304" s="56" t="n"/>
      <c r="F304" s="56" t="n"/>
      <c r="G304" s="56" t="n"/>
      <c r="H304" s="56" t="n"/>
      <c r="I304" s="56" t="n"/>
      <c r="J304" s="56" t="n"/>
      <c r="K304" s="56" t="n"/>
      <c r="L304" s="56" t="n"/>
    </row>
    <row r="305" ht="22" customHeight="1">
      <c r="A305" s="55" t="n"/>
      <c r="B305" s="41">
        <f>'設定'!$I$20</f>
        <v/>
      </c>
      <c r="C305" s="56" t="n"/>
      <c r="D305" s="56" t="n"/>
      <c r="E305" s="56" t="n"/>
      <c r="F305" s="56" t="n"/>
      <c r="G305" s="56" t="n"/>
      <c r="H305" s="56" t="n"/>
      <c r="I305" s="56" t="n"/>
      <c r="J305" s="56" t="n"/>
      <c r="K305" s="56" t="n"/>
      <c r="L305" s="56" t="n"/>
    </row>
    <row r="306" ht="22" customHeight="1">
      <c r="A306" s="55" t="n"/>
      <c r="B306" s="41">
        <f>'設定'!$I$21</f>
        <v/>
      </c>
      <c r="C306" s="56" t="n"/>
      <c r="D306" s="56" t="n"/>
      <c r="E306" s="56" t="n"/>
      <c r="F306" s="56" t="n"/>
      <c r="G306" s="56" t="n"/>
      <c r="H306" s="56" t="n"/>
      <c r="I306" s="56" t="n"/>
      <c r="J306" s="56" t="n"/>
      <c r="K306" s="56" t="n"/>
      <c r="L306" s="56" t="n"/>
    </row>
    <row r="307" ht="22" customHeight="1">
      <c r="A307" s="55" t="n"/>
      <c r="B307" s="41">
        <f>'設定'!$I$22</f>
        <v/>
      </c>
      <c r="C307" s="56" t="n"/>
      <c r="D307" s="56" t="n"/>
      <c r="E307" s="56" t="n"/>
      <c r="F307" s="56" t="n"/>
      <c r="G307" s="56" t="n"/>
      <c r="H307" s="56" t="n"/>
      <c r="I307" s="56" t="n"/>
      <c r="J307" s="56" t="n"/>
      <c r="K307" s="56" t="n"/>
      <c r="L307" s="56" t="n"/>
    </row>
    <row r="308"/>
    <row r="309" ht="26" customHeight="1">
      <c r="B309" s="51">
        <f>IF('名簿'!B24="","（名簿 20行目：なし）",'名簿'!G24)</f>
        <v/>
      </c>
      <c r="C309" s="4" t="n"/>
      <c r="D309" s="4" t="n"/>
      <c r="E309" s="52" t="inlineStr">
        <is>
          <t>提出状況 ▶</t>
        </is>
      </c>
      <c r="F309" s="37" t="n"/>
      <c r="G309" s="29" t="n"/>
      <c r="H309" s="53" t="inlineStr">
        <is>
          <t>状況：</t>
        </is>
      </c>
      <c r="I309" s="54">
        <f>'名簿'!H24</f>
        <v/>
      </c>
      <c r="J309" s="53" t="inlineStr">
        <is>
          <t>×の数：</t>
        </is>
      </c>
      <c r="K309" s="54">
        <f>'名簿'!I24</f>
        <v/>
      </c>
      <c r="L309" s="4" t="n"/>
    </row>
    <row r="310" ht="22" customHeight="1">
      <c r="A310" s="30" t="inlineStr">
        <is>
          <t>この日全部 ▶</t>
        </is>
      </c>
      <c r="C310" s="55" t="n"/>
      <c r="D310" s="55" t="n"/>
      <c r="E310" s="55" t="n"/>
      <c r="F310" s="55" t="n"/>
      <c r="G310" s="55" t="n"/>
      <c r="H310" s="55" t="n"/>
      <c r="I310" s="55" t="n"/>
      <c r="J310" s="55" t="n"/>
      <c r="K310" s="55" t="n"/>
      <c r="L310" s="55" t="n"/>
    </row>
    <row r="311" ht="28" customHeight="1">
      <c r="A311" s="33" t="inlineStr">
        <is>
          <t>この時間
全部 ▼</t>
        </is>
      </c>
      <c r="B311" s="34" t="inlineStr"/>
      <c r="C311" s="32">
        <f>'設定'!$E$11</f>
        <v/>
      </c>
      <c r="D311" s="32">
        <f>'設定'!$E$12</f>
        <v/>
      </c>
      <c r="E311" s="32">
        <f>'設定'!$E$13</f>
        <v/>
      </c>
      <c r="F311" s="32">
        <f>'設定'!$E$14</f>
        <v/>
      </c>
      <c r="G311" s="32">
        <f>'設定'!$E$15</f>
        <v/>
      </c>
      <c r="H311" s="32">
        <f>'設定'!$E$16</f>
        <v/>
      </c>
      <c r="I311" s="32">
        <f>'設定'!$E$17</f>
        <v/>
      </c>
      <c r="J311" s="32">
        <f>'設定'!$E$18</f>
        <v/>
      </c>
      <c r="K311" s="32">
        <f>'設定'!$E$19</f>
        <v/>
      </c>
      <c r="L311" s="32">
        <f>'設定'!$E$20</f>
        <v/>
      </c>
    </row>
    <row r="312" ht="22" customHeight="1">
      <c r="A312" s="55" t="n"/>
      <c r="B312" s="41">
        <f>'設定'!$I$11</f>
        <v/>
      </c>
      <c r="C312" s="56" t="n"/>
      <c r="D312" s="56" t="n"/>
      <c r="E312" s="56" t="n"/>
      <c r="F312" s="56" t="n"/>
      <c r="G312" s="56" t="n"/>
      <c r="H312" s="56" t="n"/>
      <c r="I312" s="56" t="n"/>
      <c r="J312" s="56" t="n"/>
      <c r="K312" s="56" t="n"/>
      <c r="L312" s="56" t="n"/>
    </row>
    <row r="313" ht="22" customHeight="1">
      <c r="A313" s="55" t="n"/>
      <c r="B313" s="41">
        <f>'設定'!$I$12</f>
        <v/>
      </c>
      <c r="C313" s="56" t="n"/>
      <c r="D313" s="56" t="n"/>
      <c r="E313" s="56" t="n"/>
      <c r="F313" s="56" t="n"/>
      <c r="G313" s="56" t="n"/>
      <c r="H313" s="56" t="n"/>
      <c r="I313" s="56" t="n"/>
      <c r="J313" s="56" t="n"/>
      <c r="K313" s="56" t="n"/>
      <c r="L313" s="56" t="n"/>
    </row>
    <row r="314" ht="22" customHeight="1">
      <c r="A314" s="55" t="n"/>
      <c r="B314" s="41">
        <f>'設定'!$I$13</f>
        <v/>
      </c>
      <c r="C314" s="56" t="n"/>
      <c r="D314" s="56" t="n"/>
      <c r="E314" s="56" t="n"/>
      <c r="F314" s="56" t="n"/>
      <c r="G314" s="56" t="n"/>
      <c r="H314" s="56" t="n"/>
      <c r="I314" s="56" t="n"/>
      <c r="J314" s="56" t="n"/>
      <c r="K314" s="56" t="n"/>
      <c r="L314" s="56" t="n"/>
    </row>
    <row r="315" ht="22" customHeight="1">
      <c r="A315" s="55" t="n"/>
      <c r="B315" s="41">
        <f>'設定'!$I$14</f>
        <v/>
      </c>
      <c r="C315" s="56" t="n"/>
      <c r="D315" s="56" t="n"/>
      <c r="E315" s="56" t="n"/>
      <c r="F315" s="56" t="n"/>
      <c r="G315" s="56" t="n"/>
      <c r="H315" s="56" t="n"/>
      <c r="I315" s="56" t="n"/>
      <c r="J315" s="56" t="n"/>
      <c r="K315" s="56" t="n"/>
      <c r="L315" s="56" t="n"/>
    </row>
    <row r="316" ht="22" customHeight="1">
      <c r="A316" s="55" t="n"/>
      <c r="B316" s="41">
        <f>'設定'!$I$15</f>
        <v/>
      </c>
      <c r="C316" s="56" t="n"/>
      <c r="D316" s="56" t="n"/>
      <c r="E316" s="56" t="n"/>
      <c r="F316" s="56" t="n"/>
      <c r="G316" s="56" t="n"/>
      <c r="H316" s="56" t="n"/>
      <c r="I316" s="56" t="n"/>
      <c r="J316" s="56" t="n"/>
      <c r="K316" s="56" t="n"/>
      <c r="L316" s="56" t="n"/>
    </row>
    <row r="317" ht="22" customHeight="1">
      <c r="A317" s="55" t="n"/>
      <c r="B317" s="41">
        <f>'設定'!$I$16</f>
        <v/>
      </c>
      <c r="C317" s="56" t="n"/>
      <c r="D317" s="56" t="n"/>
      <c r="E317" s="56" t="n"/>
      <c r="F317" s="56" t="n"/>
      <c r="G317" s="56" t="n"/>
      <c r="H317" s="56" t="n"/>
      <c r="I317" s="56" t="n"/>
      <c r="J317" s="56" t="n"/>
      <c r="K317" s="56" t="n"/>
      <c r="L317" s="56" t="n"/>
    </row>
    <row r="318" ht="22" customHeight="1">
      <c r="A318" s="55" t="n"/>
      <c r="B318" s="41">
        <f>'設定'!$I$17</f>
        <v/>
      </c>
      <c r="C318" s="56" t="n"/>
      <c r="D318" s="56" t="n"/>
      <c r="E318" s="56" t="n"/>
      <c r="F318" s="56" t="n"/>
      <c r="G318" s="56" t="n"/>
      <c r="H318" s="56" t="n"/>
      <c r="I318" s="56" t="n"/>
      <c r="J318" s="56" t="n"/>
      <c r="K318" s="56" t="n"/>
      <c r="L318" s="56" t="n"/>
    </row>
    <row r="319" ht="22" customHeight="1">
      <c r="A319" s="55" t="n"/>
      <c r="B319" s="41">
        <f>'設定'!$I$18</f>
        <v/>
      </c>
      <c r="C319" s="56" t="n"/>
      <c r="D319" s="56" t="n"/>
      <c r="E319" s="56" t="n"/>
      <c r="F319" s="56" t="n"/>
      <c r="G319" s="56" t="n"/>
      <c r="H319" s="56" t="n"/>
      <c r="I319" s="56" t="n"/>
      <c r="J319" s="56" t="n"/>
      <c r="K319" s="56" t="n"/>
      <c r="L319" s="56" t="n"/>
    </row>
    <row r="320" ht="22" customHeight="1">
      <c r="A320" s="55" t="n"/>
      <c r="B320" s="41">
        <f>'設定'!$I$19</f>
        <v/>
      </c>
      <c r="C320" s="56" t="n"/>
      <c r="D320" s="56" t="n"/>
      <c r="E320" s="56" t="n"/>
      <c r="F320" s="56" t="n"/>
      <c r="G320" s="56" t="n"/>
      <c r="H320" s="56" t="n"/>
      <c r="I320" s="56" t="n"/>
      <c r="J320" s="56" t="n"/>
      <c r="K320" s="56" t="n"/>
      <c r="L320" s="56" t="n"/>
    </row>
    <row r="321" ht="22" customHeight="1">
      <c r="A321" s="55" t="n"/>
      <c r="B321" s="41">
        <f>'設定'!$I$20</f>
        <v/>
      </c>
      <c r="C321" s="56" t="n"/>
      <c r="D321" s="56" t="n"/>
      <c r="E321" s="56" t="n"/>
      <c r="F321" s="56" t="n"/>
      <c r="G321" s="56" t="n"/>
      <c r="H321" s="56" t="n"/>
      <c r="I321" s="56" t="n"/>
      <c r="J321" s="56" t="n"/>
      <c r="K321" s="56" t="n"/>
      <c r="L321" s="56" t="n"/>
    </row>
    <row r="322" ht="22" customHeight="1">
      <c r="A322" s="55" t="n"/>
      <c r="B322" s="41">
        <f>'設定'!$I$21</f>
        <v/>
      </c>
      <c r="C322" s="56" t="n"/>
      <c r="D322" s="56" t="n"/>
      <c r="E322" s="56" t="n"/>
      <c r="F322" s="56" t="n"/>
      <c r="G322" s="56" t="n"/>
      <c r="H322" s="56" t="n"/>
      <c r="I322" s="56" t="n"/>
      <c r="J322" s="56" t="n"/>
      <c r="K322" s="56" t="n"/>
      <c r="L322" s="56" t="n"/>
    </row>
    <row r="323" ht="22" customHeight="1">
      <c r="A323" s="55" t="n"/>
      <c r="B323" s="41">
        <f>'設定'!$I$22</f>
        <v/>
      </c>
      <c r="C323" s="56" t="n"/>
      <c r="D323" s="56" t="n"/>
      <c r="E323" s="56" t="n"/>
      <c r="F323" s="56" t="n"/>
      <c r="G323" s="56" t="n"/>
      <c r="H323" s="56" t="n"/>
      <c r="I323" s="56" t="n"/>
      <c r="J323" s="56" t="n"/>
      <c r="K323" s="56" t="n"/>
      <c r="L323" s="56" t="n"/>
    </row>
    <row r="324"/>
    <row r="325" ht="26" customHeight="1">
      <c r="B325" s="51">
        <f>IF('名簿'!B25="","（名簿 21行目：なし）",'名簿'!G25)</f>
        <v/>
      </c>
      <c r="C325" s="4" t="n"/>
      <c r="D325" s="4" t="n"/>
      <c r="E325" s="52" t="inlineStr">
        <is>
          <t>提出状況 ▶</t>
        </is>
      </c>
      <c r="F325" s="37" t="n"/>
      <c r="G325" s="29" t="n"/>
      <c r="H325" s="53" t="inlineStr">
        <is>
          <t>状況：</t>
        </is>
      </c>
      <c r="I325" s="54">
        <f>'名簿'!H25</f>
        <v/>
      </c>
      <c r="J325" s="53" t="inlineStr">
        <is>
          <t>×の数：</t>
        </is>
      </c>
      <c r="K325" s="54">
        <f>'名簿'!I25</f>
        <v/>
      </c>
      <c r="L325" s="4" t="n"/>
    </row>
    <row r="326" ht="22" customHeight="1">
      <c r="A326" s="30" t="inlineStr">
        <is>
          <t>この日全部 ▶</t>
        </is>
      </c>
      <c r="C326" s="55" t="n"/>
      <c r="D326" s="55" t="n"/>
      <c r="E326" s="55" t="n"/>
      <c r="F326" s="55" t="n"/>
      <c r="G326" s="55" t="n"/>
      <c r="H326" s="55" t="n"/>
      <c r="I326" s="55" t="n"/>
      <c r="J326" s="55" t="n"/>
      <c r="K326" s="55" t="n"/>
      <c r="L326" s="55" t="n"/>
    </row>
    <row r="327" ht="28" customHeight="1">
      <c r="A327" s="33" t="inlineStr">
        <is>
          <t>この時間
全部 ▼</t>
        </is>
      </c>
      <c r="B327" s="34" t="inlineStr"/>
      <c r="C327" s="32">
        <f>'設定'!$E$11</f>
        <v/>
      </c>
      <c r="D327" s="32">
        <f>'設定'!$E$12</f>
        <v/>
      </c>
      <c r="E327" s="32">
        <f>'設定'!$E$13</f>
        <v/>
      </c>
      <c r="F327" s="32">
        <f>'設定'!$E$14</f>
        <v/>
      </c>
      <c r="G327" s="32">
        <f>'設定'!$E$15</f>
        <v/>
      </c>
      <c r="H327" s="32">
        <f>'設定'!$E$16</f>
        <v/>
      </c>
      <c r="I327" s="32">
        <f>'設定'!$E$17</f>
        <v/>
      </c>
      <c r="J327" s="32">
        <f>'設定'!$E$18</f>
        <v/>
      </c>
      <c r="K327" s="32">
        <f>'設定'!$E$19</f>
        <v/>
      </c>
      <c r="L327" s="32">
        <f>'設定'!$E$20</f>
        <v/>
      </c>
    </row>
    <row r="328" ht="22" customHeight="1">
      <c r="A328" s="55" t="n"/>
      <c r="B328" s="41">
        <f>'設定'!$I$11</f>
        <v/>
      </c>
      <c r="C328" s="56" t="n"/>
      <c r="D328" s="56" t="n"/>
      <c r="E328" s="56" t="n"/>
      <c r="F328" s="56" t="n"/>
      <c r="G328" s="56" t="n"/>
      <c r="H328" s="56" t="n"/>
      <c r="I328" s="56" t="n"/>
      <c r="J328" s="56" t="n"/>
      <c r="K328" s="56" t="n"/>
      <c r="L328" s="56" t="n"/>
    </row>
    <row r="329" ht="22" customHeight="1">
      <c r="A329" s="55" t="n"/>
      <c r="B329" s="41">
        <f>'設定'!$I$12</f>
        <v/>
      </c>
      <c r="C329" s="56" t="n"/>
      <c r="D329" s="56" t="n"/>
      <c r="E329" s="56" t="n"/>
      <c r="F329" s="56" t="n"/>
      <c r="G329" s="56" t="n"/>
      <c r="H329" s="56" t="n"/>
      <c r="I329" s="56" t="n"/>
      <c r="J329" s="56" t="n"/>
      <c r="K329" s="56" t="n"/>
      <c r="L329" s="56" t="n"/>
    </row>
    <row r="330" ht="22" customHeight="1">
      <c r="A330" s="55" t="n"/>
      <c r="B330" s="41">
        <f>'設定'!$I$13</f>
        <v/>
      </c>
      <c r="C330" s="56" t="n"/>
      <c r="D330" s="56" t="n"/>
      <c r="E330" s="56" t="n"/>
      <c r="F330" s="56" t="n"/>
      <c r="G330" s="56" t="n"/>
      <c r="H330" s="56" t="n"/>
      <c r="I330" s="56" t="n"/>
      <c r="J330" s="56" t="n"/>
      <c r="K330" s="56" t="n"/>
      <c r="L330" s="56" t="n"/>
    </row>
    <row r="331" ht="22" customHeight="1">
      <c r="A331" s="55" t="n"/>
      <c r="B331" s="41">
        <f>'設定'!$I$14</f>
        <v/>
      </c>
      <c r="C331" s="56" t="n"/>
      <c r="D331" s="56" t="n"/>
      <c r="E331" s="56" t="n"/>
      <c r="F331" s="56" t="n"/>
      <c r="G331" s="56" t="n"/>
      <c r="H331" s="56" t="n"/>
      <c r="I331" s="56" t="n"/>
      <c r="J331" s="56" t="n"/>
      <c r="K331" s="56" t="n"/>
      <c r="L331" s="56" t="n"/>
    </row>
    <row r="332" ht="22" customHeight="1">
      <c r="A332" s="55" t="n"/>
      <c r="B332" s="41">
        <f>'設定'!$I$15</f>
        <v/>
      </c>
      <c r="C332" s="56" t="n"/>
      <c r="D332" s="56" t="n"/>
      <c r="E332" s="56" t="n"/>
      <c r="F332" s="56" t="n"/>
      <c r="G332" s="56" t="n"/>
      <c r="H332" s="56" t="n"/>
      <c r="I332" s="56" t="n"/>
      <c r="J332" s="56" t="n"/>
      <c r="K332" s="56" t="n"/>
      <c r="L332" s="56" t="n"/>
    </row>
    <row r="333" ht="22" customHeight="1">
      <c r="A333" s="55" t="n"/>
      <c r="B333" s="41">
        <f>'設定'!$I$16</f>
        <v/>
      </c>
      <c r="C333" s="56" t="n"/>
      <c r="D333" s="56" t="n"/>
      <c r="E333" s="56" t="n"/>
      <c r="F333" s="56" t="n"/>
      <c r="G333" s="56" t="n"/>
      <c r="H333" s="56" t="n"/>
      <c r="I333" s="56" t="n"/>
      <c r="J333" s="56" t="n"/>
      <c r="K333" s="56" t="n"/>
      <c r="L333" s="56" t="n"/>
    </row>
    <row r="334" ht="22" customHeight="1">
      <c r="A334" s="55" t="n"/>
      <c r="B334" s="41">
        <f>'設定'!$I$17</f>
        <v/>
      </c>
      <c r="C334" s="56" t="n"/>
      <c r="D334" s="56" t="n"/>
      <c r="E334" s="56" t="n"/>
      <c r="F334" s="56" t="n"/>
      <c r="G334" s="56" t="n"/>
      <c r="H334" s="56" t="n"/>
      <c r="I334" s="56" t="n"/>
      <c r="J334" s="56" t="n"/>
      <c r="K334" s="56" t="n"/>
      <c r="L334" s="56" t="n"/>
    </row>
    <row r="335" ht="22" customHeight="1">
      <c r="A335" s="55" t="n"/>
      <c r="B335" s="41">
        <f>'設定'!$I$18</f>
        <v/>
      </c>
      <c r="C335" s="56" t="n"/>
      <c r="D335" s="56" t="n"/>
      <c r="E335" s="56" t="n"/>
      <c r="F335" s="56" t="n"/>
      <c r="G335" s="56" t="n"/>
      <c r="H335" s="56" t="n"/>
      <c r="I335" s="56" t="n"/>
      <c r="J335" s="56" t="n"/>
      <c r="K335" s="56" t="n"/>
      <c r="L335" s="56" t="n"/>
    </row>
    <row r="336" ht="22" customHeight="1">
      <c r="A336" s="55" t="n"/>
      <c r="B336" s="41">
        <f>'設定'!$I$19</f>
        <v/>
      </c>
      <c r="C336" s="56" t="n"/>
      <c r="D336" s="56" t="n"/>
      <c r="E336" s="56" t="n"/>
      <c r="F336" s="56" t="n"/>
      <c r="G336" s="56" t="n"/>
      <c r="H336" s="56" t="n"/>
      <c r="I336" s="56" t="n"/>
      <c r="J336" s="56" t="n"/>
      <c r="K336" s="56" t="n"/>
      <c r="L336" s="56" t="n"/>
    </row>
    <row r="337" ht="22" customHeight="1">
      <c r="A337" s="55" t="n"/>
      <c r="B337" s="41">
        <f>'設定'!$I$20</f>
        <v/>
      </c>
      <c r="C337" s="56" t="n"/>
      <c r="D337" s="56" t="n"/>
      <c r="E337" s="56" t="n"/>
      <c r="F337" s="56" t="n"/>
      <c r="G337" s="56" t="n"/>
      <c r="H337" s="56" t="n"/>
      <c r="I337" s="56" t="n"/>
      <c r="J337" s="56" t="n"/>
      <c r="K337" s="56" t="n"/>
      <c r="L337" s="56" t="n"/>
    </row>
    <row r="338" ht="22" customHeight="1">
      <c r="A338" s="55" t="n"/>
      <c r="B338" s="41">
        <f>'設定'!$I$21</f>
        <v/>
      </c>
      <c r="C338" s="56" t="n"/>
      <c r="D338" s="56" t="n"/>
      <c r="E338" s="56" t="n"/>
      <c r="F338" s="56" t="n"/>
      <c r="G338" s="56" t="n"/>
      <c r="H338" s="56" t="n"/>
      <c r="I338" s="56" t="n"/>
      <c r="J338" s="56" t="n"/>
      <c r="K338" s="56" t="n"/>
      <c r="L338" s="56" t="n"/>
    </row>
    <row r="339" ht="22" customHeight="1">
      <c r="A339" s="55" t="n"/>
      <c r="B339" s="41">
        <f>'設定'!$I$22</f>
        <v/>
      </c>
      <c r="C339" s="56" t="n"/>
      <c r="D339" s="56" t="n"/>
      <c r="E339" s="56" t="n"/>
      <c r="F339" s="56" t="n"/>
      <c r="G339" s="56" t="n"/>
      <c r="H339" s="56" t="n"/>
      <c r="I339" s="56" t="n"/>
      <c r="J339" s="56" t="n"/>
      <c r="K339" s="56" t="n"/>
      <c r="L339" s="56" t="n"/>
    </row>
    <row r="340"/>
    <row r="341" ht="26" customHeight="1">
      <c r="B341" s="51">
        <f>IF('名簿'!B26="","（名簿 22行目：なし）",'名簿'!G26)</f>
        <v/>
      </c>
      <c r="C341" s="4" t="n"/>
      <c r="D341" s="4" t="n"/>
      <c r="E341" s="52" t="inlineStr">
        <is>
          <t>提出状況 ▶</t>
        </is>
      </c>
      <c r="F341" s="37" t="n"/>
      <c r="G341" s="29" t="n"/>
      <c r="H341" s="53" t="inlineStr">
        <is>
          <t>状況：</t>
        </is>
      </c>
      <c r="I341" s="54">
        <f>'名簿'!H26</f>
        <v/>
      </c>
      <c r="J341" s="53" t="inlineStr">
        <is>
          <t>×の数：</t>
        </is>
      </c>
      <c r="K341" s="54">
        <f>'名簿'!I26</f>
        <v/>
      </c>
      <c r="L341" s="4" t="n"/>
    </row>
    <row r="342" ht="22" customHeight="1">
      <c r="A342" s="30" t="inlineStr">
        <is>
          <t>この日全部 ▶</t>
        </is>
      </c>
      <c r="C342" s="55" t="n"/>
      <c r="D342" s="55" t="n"/>
      <c r="E342" s="55" t="n"/>
      <c r="F342" s="55" t="n"/>
      <c r="G342" s="55" t="n"/>
      <c r="H342" s="55" t="n"/>
      <c r="I342" s="55" t="n"/>
      <c r="J342" s="55" t="n"/>
      <c r="K342" s="55" t="n"/>
      <c r="L342" s="55" t="n"/>
    </row>
    <row r="343" ht="28" customHeight="1">
      <c r="A343" s="33" t="inlineStr">
        <is>
          <t>この時間
全部 ▼</t>
        </is>
      </c>
      <c r="B343" s="34" t="inlineStr"/>
      <c r="C343" s="32">
        <f>'設定'!$E$11</f>
        <v/>
      </c>
      <c r="D343" s="32">
        <f>'設定'!$E$12</f>
        <v/>
      </c>
      <c r="E343" s="32">
        <f>'設定'!$E$13</f>
        <v/>
      </c>
      <c r="F343" s="32">
        <f>'設定'!$E$14</f>
        <v/>
      </c>
      <c r="G343" s="32">
        <f>'設定'!$E$15</f>
        <v/>
      </c>
      <c r="H343" s="32">
        <f>'設定'!$E$16</f>
        <v/>
      </c>
      <c r="I343" s="32">
        <f>'設定'!$E$17</f>
        <v/>
      </c>
      <c r="J343" s="32">
        <f>'設定'!$E$18</f>
        <v/>
      </c>
      <c r="K343" s="32">
        <f>'設定'!$E$19</f>
        <v/>
      </c>
      <c r="L343" s="32">
        <f>'設定'!$E$20</f>
        <v/>
      </c>
    </row>
    <row r="344" ht="22" customHeight="1">
      <c r="A344" s="55" t="n"/>
      <c r="B344" s="41">
        <f>'設定'!$I$11</f>
        <v/>
      </c>
      <c r="C344" s="56" t="n"/>
      <c r="D344" s="56" t="n"/>
      <c r="E344" s="56" t="n"/>
      <c r="F344" s="56" t="n"/>
      <c r="G344" s="56" t="n"/>
      <c r="H344" s="56" t="n"/>
      <c r="I344" s="56" t="n"/>
      <c r="J344" s="56" t="n"/>
      <c r="K344" s="56" t="n"/>
      <c r="L344" s="56" t="n"/>
    </row>
    <row r="345" ht="22" customHeight="1">
      <c r="A345" s="55" t="n"/>
      <c r="B345" s="41">
        <f>'設定'!$I$12</f>
        <v/>
      </c>
      <c r="C345" s="56" t="n"/>
      <c r="D345" s="56" t="n"/>
      <c r="E345" s="56" t="n"/>
      <c r="F345" s="56" t="n"/>
      <c r="G345" s="56" t="n"/>
      <c r="H345" s="56" t="n"/>
      <c r="I345" s="56" t="n"/>
      <c r="J345" s="56" t="n"/>
      <c r="K345" s="56" t="n"/>
      <c r="L345" s="56" t="n"/>
    </row>
    <row r="346" ht="22" customHeight="1">
      <c r="A346" s="55" t="n"/>
      <c r="B346" s="41">
        <f>'設定'!$I$13</f>
        <v/>
      </c>
      <c r="C346" s="56" t="n"/>
      <c r="D346" s="56" t="n"/>
      <c r="E346" s="56" t="n"/>
      <c r="F346" s="56" t="n"/>
      <c r="G346" s="56" t="n"/>
      <c r="H346" s="56" t="n"/>
      <c r="I346" s="56" t="n"/>
      <c r="J346" s="56" t="n"/>
      <c r="K346" s="56" t="n"/>
      <c r="L346" s="56" t="n"/>
    </row>
    <row r="347" ht="22" customHeight="1">
      <c r="A347" s="55" t="n"/>
      <c r="B347" s="41">
        <f>'設定'!$I$14</f>
        <v/>
      </c>
      <c r="C347" s="56" t="n"/>
      <c r="D347" s="56" t="n"/>
      <c r="E347" s="56" t="n"/>
      <c r="F347" s="56" t="n"/>
      <c r="G347" s="56" t="n"/>
      <c r="H347" s="56" t="n"/>
      <c r="I347" s="56" t="n"/>
      <c r="J347" s="56" t="n"/>
      <c r="K347" s="56" t="n"/>
      <c r="L347" s="56" t="n"/>
    </row>
    <row r="348" ht="22" customHeight="1">
      <c r="A348" s="55" t="n"/>
      <c r="B348" s="41">
        <f>'設定'!$I$15</f>
        <v/>
      </c>
      <c r="C348" s="56" t="n"/>
      <c r="D348" s="56" t="n"/>
      <c r="E348" s="56" t="n"/>
      <c r="F348" s="56" t="n"/>
      <c r="G348" s="56" t="n"/>
      <c r="H348" s="56" t="n"/>
      <c r="I348" s="56" t="n"/>
      <c r="J348" s="56" t="n"/>
      <c r="K348" s="56" t="n"/>
      <c r="L348" s="56" t="n"/>
    </row>
    <row r="349" ht="22" customHeight="1">
      <c r="A349" s="55" t="n"/>
      <c r="B349" s="41">
        <f>'設定'!$I$16</f>
        <v/>
      </c>
      <c r="C349" s="56" t="n"/>
      <c r="D349" s="56" t="n"/>
      <c r="E349" s="56" t="n"/>
      <c r="F349" s="56" t="n"/>
      <c r="G349" s="56" t="n"/>
      <c r="H349" s="56" t="n"/>
      <c r="I349" s="56" t="n"/>
      <c r="J349" s="56" t="n"/>
      <c r="K349" s="56" t="n"/>
      <c r="L349" s="56" t="n"/>
    </row>
    <row r="350" ht="22" customHeight="1">
      <c r="A350" s="55" t="n"/>
      <c r="B350" s="41">
        <f>'設定'!$I$17</f>
        <v/>
      </c>
      <c r="C350" s="56" t="n"/>
      <c r="D350" s="56" t="n"/>
      <c r="E350" s="56" t="n"/>
      <c r="F350" s="56" t="n"/>
      <c r="G350" s="56" t="n"/>
      <c r="H350" s="56" t="n"/>
      <c r="I350" s="56" t="n"/>
      <c r="J350" s="56" t="n"/>
      <c r="K350" s="56" t="n"/>
      <c r="L350" s="56" t="n"/>
    </row>
    <row r="351" ht="22" customHeight="1">
      <c r="A351" s="55" t="n"/>
      <c r="B351" s="41">
        <f>'設定'!$I$18</f>
        <v/>
      </c>
      <c r="C351" s="56" t="n"/>
      <c r="D351" s="56" t="n"/>
      <c r="E351" s="56" t="n"/>
      <c r="F351" s="56" t="n"/>
      <c r="G351" s="56" t="n"/>
      <c r="H351" s="56" t="n"/>
      <c r="I351" s="56" t="n"/>
      <c r="J351" s="56" t="n"/>
      <c r="K351" s="56" t="n"/>
      <c r="L351" s="56" t="n"/>
    </row>
    <row r="352" ht="22" customHeight="1">
      <c r="A352" s="55" t="n"/>
      <c r="B352" s="41">
        <f>'設定'!$I$19</f>
        <v/>
      </c>
      <c r="C352" s="56" t="n"/>
      <c r="D352" s="56" t="n"/>
      <c r="E352" s="56" t="n"/>
      <c r="F352" s="56" t="n"/>
      <c r="G352" s="56" t="n"/>
      <c r="H352" s="56" t="n"/>
      <c r="I352" s="56" t="n"/>
      <c r="J352" s="56" t="n"/>
      <c r="K352" s="56" t="n"/>
      <c r="L352" s="56" t="n"/>
    </row>
    <row r="353" ht="22" customHeight="1">
      <c r="A353" s="55" t="n"/>
      <c r="B353" s="41">
        <f>'設定'!$I$20</f>
        <v/>
      </c>
      <c r="C353" s="56" t="n"/>
      <c r="D353" s="56" t="n"/>
      <c r="E353" s="56" t="n"/>
      <c r="F353" s="56" t="n"/>
      <c r="G353" s="56" t="n"/>
      <c r="H353" s="56" t="n"/>
      <c r="I353" s="56" t="n"/>
      <c r="J353" s="56" t="n"/>
      <c r="K353" s="56" t="n"/>
      <c r="L353" s="56" t="n"/>
    </row>
    <row r="354" ht="22" customHeight="1">
      <c r="A354" s="55" t="n"/>
      <c r="B354" s="41">
        <f>'設定'!$I$21</f>
        <v/>
      </c>
      <c r="C354" s="56" t="n"/>
      <c r="D354" s="56" t="n"/>
      <c r="E354" s="56" t="n"/>
      <c r="F354" s="56" t="n"/>
      <c r="G354" s="56" t="n"/>
      <c r="H354" s="56" t="n"/>
      <c r="I354" s="56" t="n"/>
      <c r="J354" s="56" t="n"/>
      <c r="K354" s="56" t="n"/>
      <c r="L354" s="56" t="n"/>
    </row>
    <row r="355" ht="22" customHeight="1">
      <c r="A355" s="55" t="n"/>
      <c r="B355" s="41">
        <f>'設定'!$I$22</f>
        <v/>
      </c>
      <c r="C355" s="56" t="n"/>
      <c r="D355" s="56" t="n"/>
      <c r="E355" s="56" t="n"/>
      <c r="F355" s="56" t="n"/>
      <c r="G355" s="56" t="n"/>
      <c r="H355" s="56" t="n"/>
      <c r="I355" s="56" t="n"/>
      <c r="J355" s="56" t="n"/>
      <c r="K355" s="56" t="n"/>
      <c r="L355" s="56" t="n"/>
    </row>
    <row r="356"/>
    <row r="357" ht="26" customHeight="1">
      <c r="B357" s="51">
        <f>IF('名簿'!B27="","（名簿 23行目：なし）",'名簿'!G27)</f>
        <v/>
      </c>
      <c r="C357" s="4" t="n"/>
      <c r="D357" s="4" t="n"/>
      <c r="E357" s="52" t="inlineStr">
        <is>
          <t>提出状況 ▶</t>
        </is>
      </c>
      <c r="F357" s="37" t="n"/>
      <c r="G357" s="29" t="n"/>
      <c r="H357" s="53" t="inlineStr">
        <is>
          <t>状況：</t>
        </is>
      </c>
      <c r="I357" s="54">
        <f>'名簿'!H27</f>
        <v/>
      </c>
      <c r="J357" s="53" t="inlineStr">
        <is>
          <t>×の数：</t>
        </is>
      </c>
      <c r="K357" s="54">
        <f>'名簿'!I27</f>
        <v/>
      </c>
      <c r="L357" s="4" t="n"/>
    </row>
    <row r="358" ht="22" customHeight="1">
      <c r="A358" s="30" t="inlineStr">
        <is>
          <t>この日全部 ▶</t>
        </is>
      </c>
      <c r="C358" s="55" t="n"/>
      <c r="D358" s="55" t="n"/>
      <c r="E358" s="55" t="n"/>
      <c r="F358" s="55" t="n"/>
      <c r="G358" s="55" t="n"/>
      <c r="H358" s="55" t="n"/>
      <c r="I358" s="55" t="n"/>
      <c r="J358" s="55" t="n"/>
      <c r="K358" s="55" t="n"/>
      <c r="L358" s="55" t="n"/>
    </row>
    <row r="359" ht="28" customHeight="1">
      <c r="A359" s="33" t="inlineStr">
        <is>
          <t>この時間
全部 ▼</t>
        </is>
      </c>
      <c r="B359" s="34" t="inlineStr"/>
      <c r="C359" s="32">
        <f>'設定'!$E$11</f>
        <v/>
      </c>
      <c r="D359" s="32">
        <f>'設定'!$E$12</f>
        <v/>
      </c>
      <c r="E359" s="32">
        <f>'設定'!$E$13</f>
        <v/>
      </c>
      <c r="F359" s="32">
        <f>'設定'!$E$14</f>
        <v/>
      </c>
      <c r="G359" s="32">
        <f>'設定'!$E$15</f>
        <v/>
      </c>
      <c r="H359" s="32">
        <f>'設定'!$E$16</f>
        <v/>
      </c>
      <c r="I359" s="32">
        <f>'設定'!$E$17</f>
        <v/>
      </c>
      <c r="J359" s="32">
        <f>'設定'!$E$18</f>
        <v/>
      </c>
      <c r="K359" s="32">
        <f>'設定'!$E$19</f>
        <v/>
      </c>
      <c r="L359" s="32">
        <f>'設定'!$E$20</f>
        <v/>
      </c>
    </row>
    <row r="360" ht="22" customHeight="1">
      <c r="A360" s="55" t="n"/>
      <c r="B360" s="41">
        <f>'設定'!$I$11</f>
        <v/>
      </c>
      <c r="C360" s="56" t="n"/>
      <c r="D360" s="56" t="n"/>
      <c r="E360" s="56" t="n"/>
      <c r="F360" s="56" t="n"/>
      <c r="G360" s="56" t="n"/>
      <c r="H360" s="56" t="n"/>
      <c r="I360" s="56" t="n"/>
      <c r="J360" s="56" t="n"/>
      <c r="K360" s="56" t="n"/>
      <c r="L360" s="56" t="n"/>
    </row>
    <row r="361" ht="22" customHeight="1">
      <c r="A361" s="55" t="n"/>
      <c r="B361" s="41">
        <f>'設定'!$I$12</f>
        <v/>
      </c>
      <c r="C361" s="56" t="n"/>
      <c r="D361" s="56" t="n"/>
      <c r="E361" s="56" t="n"/>
      <c r="F361" s="56" t="n"/>
      <c r="G361" s="56" t="n"/>
      <c r="H361" s="56" t="n"/>
      <c r="I361" s="56" t="n"/>
      <c r="J361" s="56" t="n"/>
      <c r="K361" s="56" t="n"/>
      <c r="L361" s="56" t="n"/>
    </row>
    <row r="362" ht="22" customHeight="1">
      <c r="A362" s="55" t="n"/>
      <c r="B362" s="41">
        <f>'設定'!$I$13</f>
        <v/>
      </c>
      <c r="C362" s="56" t="n"/>
      <c r="D362" s="56" t="n"/>
      <c r="E362" s="56" t="n"/>
      <c r="F362" s="56" t="n"/>
      <c r="G362" s="56" t="n"/>
      <c r="H362" s="56" t="n"/>
      <c r="I362" s="56" t="n"/>
      <c r="J362" s="56" t="n"/>
      <c r="K362" s="56" t="n"/>
      <c r="L362" s="56" t="n"/>
    </row>
    <row r="363" ht="22" customHeight="1">
      <c r="A363" s="55" t="n"/>
      <c r="B363" s="41">
        <f>'設定'!$I$14</f>
        <v/>
      </c>
      <c r="C363" s="56" t="n"/>
      <c r="D363" s="56" t="n"/>
      <c r="E363" s="56" t="n"/>
      <c r="F363" s="56" t="n"/>
      <c r="G363" s="56" t="n"/>
      <c r="H363" s="56" t="n"/>
      <c r="I363" s="56" t="n"/>
      <c r="J363" s="56" t="n"/>
      <c r="K363" s="56" t="n"/>
      <c r="L363" s="56" t="n"/>
    </row>
    <row r="364" ht="22" customHeight="1">
      <c r="A364" s="55" t="n"/>
      <c r="B364" s="41">
        <f>'設定'!$I$15</f>
        <v/>
      </c>
      <c r="C364" s="56" t="n"/>
      <c r="D364" s="56" t="n"/>
      <c r="E364" s="56" t="n"/>
      <c r="F364" s="56" t="n"/>
      <c r="G364" s="56" t="n"/>
      <c r="H364" s="56" t="n"/>
      <c r="I364" s="56" t="n"/>
      <c r="J364" s="56" t="n"/>
      <c r="K364" s="56" t="n"/>
      <c r="L364" s="56" t="n"/>
    </row>
    <row r="365" ht="22" customHeight="1">
      <c r="A365" s="55" t="n"/>
      <c r="B365" s="41">
        <f>'設定'!$I$16</f>
        <v/>
      </c>
      <c r="C365" s="56" t="n"/>
      <c r="D365" s="56" t="n"/>
      <c r="E365" s="56" t="n"/>
      <c r="F365" s="56" t="n"/>
      <c r="G365" s="56" t="n"/>
      <c r="H365" s="56" t="n"/>
      <c r="I365" s="56" t="n"/>
      <c r="J365" s="56" t="n"/>
      <c r="K365" s="56" t="n"/>
      <c r="L365" s="56" t="n"/>
    </row>
    <row r="366" ht="22" customHeight="1">
      <c r="A366" s="55" t="n"/>
      <c r="B366" s="41">
        <f>'設定'!$I$17</f>
        <v/>
      </c>
      <c r="C366" s="56" t="n"/>
      <c r="D366" s="56" t="n"/>
      <c r="E366" s="56" t="n"/>
      <c r="F366" s="56" t="n"/>
      <c r="G366" s="56" t="n"/>
      <c r="H366" s="56" t="n"/>
      <c r="I366" s="56" t="n"/>
      <c r="J366" s="56" t="n"/>
      <c r="K366" s="56" t="n"/>
      <c r="L366" s="56" t="n"/>
    </row>
    <row r="367" ht="22" customHeight="1">
      <c r="A367" s="55" t="n"/>
      <c r="B367" s="41">
        <f>'設定'!$I$18</f>
        <v/>
      </c>
      <c r="C367" s="56" t="n"/>
      <c r="D367" s="56" t="n"/>
      <c r="E367" s="56" t="n"/>
      <c r="F367" s="56" t="n"/>
      <c r="G367" s="56" t="n"/>
      <c r="H367" s="56" t="n"/>
      <c r="I367" s="56" t="n"/>
      <c r="J367" s="56" t="n"/>
      <c r="K367" s="56" t="n"/>
      <c r="L367" s="56" t="n"/>
    </row>
    <row r="368" ht="22" customHeight="1">
      <c r="A368" s="55" t="n"/>
      <c r="B368" s="41">
        <f>'設定'!$I$19</f>
        <v/>
      </c>
      <c r="C368" s="56" t="n"/>
      <c r="D368" s="56" t="n"/>
      <c r="E368" s="56" t="n"/>
      <c r="F368" s="56" t="n"/>
      <c r="G368" s="56" t="n"/>
      <c r="H368" s="56" t="n"/>
      <c r="I368" s="56" t="n"/>
      <c r="J368" s="56" t="n"/>
      <c r="K368" s="56" t="n"/>
      <c r="L368" s="56" t="n"/>
    </row>
    <row r="369" ht="22" customHeight="1">
      <c r="A369" s="55" t="n"/>
      <c r="B369" s="41">
        <f>'設定'!$I$20</f>
        <v/>
      </c>
      <c r="C369" s="56" t="n"/>
      <c r="D369" s="56" t="n"/>
      <c r="E369" s="56" t="n"/>
      <c r="F369" s="56" t="n"/>
      <c r="G369" s="56" t="n"/>
      <c r="H369" s="56" t="n"/>
      <c r="I369" s="56" t="n"/>
      <c r="J369" s="56" t="n"/>
      <c r="K369" s="56" t="n"/>
      <c r="L369" s="56" t="n"/>
    </row>
    <row r="370" ht="22" customHeight="1">
      <c r="A370" s="55" t="n"/>
      <c r="B370" s="41">
        <f>'設定'!$I$21</f>
        <v/>
      </c>
      <c r="C370" s="56" t="n"/>
      <c r="D370" s="56" t="n"/>
      <c r="E370" s="56" t="n"/>
      <c r="F370" s="56" t="n"/>
      <c r="G370" s="56" t="n"/>
      <c r="H370" s="56" t="n"/>
      <c r="I370" s="56" t="n"/>
      <c r="J370" s="56" t="n"/>
      <c r="K370" s="56" t="n"/>
      <c r="L370" s="56" t="n"/>
    </row>
    <row r="371" ht="22" customHeight="1">
      <c r="A371" s="55" t="n"/>
      <c r="B371" s="41">
        <f>'設定'!$I$22</f>
        <v/>
      </c>
      <c r="C371" s="56" t="n"/>
      <c r="D371" s="56" t="n"/>
      <c r="E371" s="56" t="n"/>
      <c r="F371" s="56" t="n"/>
      <c r="G371" s="56" t="n"/>
      <c r="H371" s="56" t="n"/>
      <c r="I371" s="56" t="n"/>
      <c r="J371" s="56" t="n"/>
      <c r="K371" s="56" t="n"/>
      <c r="L371" s="56" t="n"/>
    </row>
    <row r="372"/>
    <row r="373" ht="26" customHeight="1">
      <c r="B373" s="51">
        <f>IF('名簿'!B28="","（名簿 24行目：なし）",'名簿'!G28)</f>
        <v/>
      </c>
      <c r="C373" s="4" t="n"/>
      <c r="D373" s="4" t="n"/>
      <c r="E373" s="52" t="inlineStr">
        <is>
          <t>提出状況 ▶</t>
        </is>
      </c>
      <c r="F373" s="37" t="n"/>
      <c r="G373" s="29" t="n"/>
      <c r="H373" s="53" t="inlineStr">
        <is>
          <t>状況：</t>
        </is>
      </c>
      <c r="I373" s="54">
        <f>'名簿'!H28</f>
        <v/>
      </c>
      <c r="J373" s="53" t="inlineStr">
        <is>
          <t>×の数：</t>
        </is>
      </c>
      <c r="K373" s="54">
        <f>'名簿'!I28</f>
        <v/>
      </c>
      <c r="L373" s="4" t="n"/>
    </row>
    <row r="374" ht="22" customHeight="1">
      <c r="A374" s="30" t="inlineStr">
        <is>
          <t>この日全部 ▶</t>
        </is>
      </c>
      <c r="C374" s="55" t="n"/>
      <c r="D374" s="55" t="n"/>
      <c r="E374" s="55" t="n"/>
      <c r="F374" s="55" t="n"/>
      <c r="G374" s="55" t="n"/>
      <c r="H374" s="55" t="n"/>
      <c r="I374" s="55" t="n"/>
      <c r="J374" s="55" t="n"/>
      <c r="K374" s="55" t="n"/>
      <c r="L374" s="55" t="n"/>
    </row>
    <row r="375" ht="28" customHeight="1">
      <c r="A375" s="33" t="inlineStr">
        <is>
          <t>この時間
全部 ▼</t>
        </is>
      </c>
      <c r="B375" s="34" t="inlineStr"/>
      <c r="C375" s="32">
        <f>'設定'!$E$11</f>
        <v/>
      </c>
      <c r="D375" s="32">
        <f>'設定'!$E$12</f>
        <v/>
      </c>
      <c r="E375" s="32">
        <f>'設定'!$E$13</f>
        <v/>
      </c>
      <c r="F375" s="32">
        <f>'設定'!$E$14</f>
        <v/>
      </c>
      <c r="G375" s="32">
        <f>'設定'!$E$15</f>
        <v/>
      </c>
      <c r="H375" s="32">
        <f>'設定'!$E$16</f>
        <v/>
      </c>
      <c r="I375" s="32">
        <f>'設定'!$E$17</f>
        <v/>
      </c>
      <c r="J375" s="32">
        <f>'設定'!$E$18</f>
        <v/>
      </c>
      <c r="K375" s="32">
        <f>'設定'!$E$19</f>
        <v/>
      </c>
      <c r="L375" s="32">
        <f>'設定'!$E$20</f>
        <v/>
      </c>
    </row>
    <row r="376" ht="22" customHeight="1">
      <c r="A376" s="55" t="n"/>
      <c r="B376" s="41">
        <f>'設定'!$I$11</f>
        <v/>
      </c>
      <c r="C376" s="56" t="n"/>
      <c r="D376" s="56" t="n"/>
      <c r="E376" s="56" t="n"/>
      <c r="F376" s="56" t="n"/>
      <c r="G376" s="56" t="n"/>
      <c r="H376" s="56" t="n"/>
      <c r="I376" s="56" t="n"/>
      <c r="J376" s="56" t="n"/>
      <c r="K376" s="56" t="n"/>
      <c r="L376" s="56" t="n"/>
    </row>
    <row r="377" ht="22" customHeight="1">
      <c r="A377" s="55" t="n"/>
      <c r="B377" s="41">
        <f>'設定'!$I$12</f>
        <v/>
      </c>
      <c r="C377" s="56" t="n"/>
      <c r="D377" s="56" t="n"/>
      <c r="E377" s="56" t="n"/>
      <c r="F377" s="56" t="n"/>
      <c r="G377" s="56" t="n"/>
      <c r="H377" s="56" t="n"/>
      <c r="I377" s="56" t="n"/>
      <c r="J377" s="56" t="n"/>
      <c r="K377" s="56" t="n"/>
      <c r="L377" s="56" t="n"/>
    </row>
    <row r="378" ht="22" customHeight="1">
      <c r="A378" s="55" t="n"/>
      <c r="B378" s="41">
        <f>'設定'!$I$13</f>
        <v/>
      </c>
      <c r="C378" s="56" t="n"/>
      <c r="D378" s="56" t="n"/>
      <c r="E378" s="56" t="n"/>
      <c r="F378" s="56" t="n"/>
      <c r="G378" s="56" t="n"/>
      <c r="H378" s="56" t="n"/>
      <c r="I378" s="56" t="n"/>
      <c r="J378" s="56" t="n"/>
      <c r="K378" s="56" t="n"/>
      <c r="L378" s="56" t="n"/>
    </row>
    <row r="379" ht="22" customHeight="1">
      <c r="A379" s="55" t="n"/>
      <c r="B379" s="41">
        <f>'設定'!$I$14</f>
        <v/>
      </c>
      <c r="C379" s="56" t="n"/>
      <c r="D379" s="56" t="n"/>
      <c r="E379" s="56" t="n"/>
      <c r="F379" s="56" t="n"/>
      <c r="G379" s="56" t="n"/>
      <c r="H379" s="56" t="n"/>
      <c r="I379" s="56" t="n"/>
      <c r="J379" s="56" t="n"/>
      <c r="K379" s="56" t="n"/>
      <c r="L379" s="56" t="n"/>
    </row>
    <row r="380" ht="22" customHeight="1">
      <c r="A380" s="55" t="n"/>
      <c r="B380" s="41">
        <f>'設定'!$I$15</f>
        <v/>
      </c>
      <c r="C380" s="56" t="n"/>
      <c r="D380" s="56" t="n"/>
      <c r="E380" s="56" t="n"/>
      <c r="F380" s="56" t="n"/>
      <c r="G380" s="56" t="n"/>
      <c r="H380" s="56" t="n"/>
      <c r="I380" s="56" t="n"/>
      <c r="J380" s="56" t="n"/>
      <c r="K380" s="56" t="n"/>
      <c r="L380" s="56" t="n"/>
    </row>
    <row r="381" ht="22" customHeight="1">
      <c r="A381" s="55" t="n"/>
      <c r="B381" s="41">
        <f>'設定'!$I$16</f>
        <v/>
      </c>
      <c r="C381" s="56" t="n"/>
      <c r="D381" s="56" t="n"/>
      <c r="E381" s="56" t="n"/>
      <c r="F381" s="56" t="n"/>
      <c r="G381" s="56" t="n"/>
      <c r="H381" s="56" t="n"/>
      <c r="I381" s="56" t="n"/>
      <c r="J381" s="56" t="n"/>
      <c r="K381" s="56" t="n"/>
      <c r="L381" s="56" t="n"/>
    </row>
    <row r="382" ht="22" customHeight="1">
      <c r="A382" s="55" t="n"/>
      <c r="B382" s="41">
        <f>'設定'!$I$17</f>
        <v/>
      </c>
      <c r="C382" s="56" t="n"/>
      <c r="D382" s="56" t="n"/>
      <c r="E382" s="56" t="n"/>
      <c r="F382" s="56" t="n"/>
      <c r="G382" s="56" t="n"/>
      <c r="H382" s="56" t="n"/>
      <c r="I382" s="56" t="n"/>
      <c r="J382" s="56" t="n"/>
      <c r="K382" s="56" t="n"/>
      <c r="L382" s="56" t="n"/>
    </row>
    <row r="383" ht="22" customHeight="1">
      <c r="A383" s="55" t="n"/>
      <c r="B383" s="41">
        <f>'設定'!$I$18</f>
        <v/>
      </c>
      <c r="C383" s="56" t="n"/>
      <c r="D383" s="56" t="n"/>
      <c r="E383" s="56" t="n"/>
      <c r="F383" s="56" t="n"/>
      <c r="G383" s="56" t="n"/>
      <c r="H383" s="56" t="n"/>
      <c r="I383" s="56" t="n"/>
      <c r="J383" s="56" t="n"/>
      <c r="K383" s="56" t="n"/>
      <c r="L383" s="56" t="n"/>
    </row>
    <row r="384" ht="22" customHeight="1">
      <c r="A384" s="55" t="n"/>
      <c r="B384" s="41">
        <f>'設定'!$I$19</f>
        <v/>
      </c>
      <c r="C384" s="56" t="n"/>
      <c r="D384" s="56" t="n"/>
      <c r="E384" s="56" t="n"/>
      <c r="F384" s="56" t="n"/>
      <c r="G384" s="56" t="n"/>
      <c r="H384" s="56" t="n"/>
      <c r="I384" s="56" t="n"/>
      <c r="J384" s="56" t="n"/>
      <c r="K384" s="56" t="n"/>
      <c r="L384" s="56" t="n"/>
    </row>
    <row r="385" ht="22" customHeight="1">
      <c r="A385" s="55" t="n"/>
      <c r="B385" s="41">
        <f>'設定'!$I$20</f>
        <v/>
      </c>
      <c r="C385" s="56" t="n"/>
      <c r="D385" s="56" t="n"/>
      <c r="E385" s="56" t="n"/>
      <c r="F385" s="56" t="n"/>
      <c r="G385" s="56" t="n"/>
      <c r="H385" s="56" t="n"/>
      <c r="I385" s="56" t="n"/>
      <c r="J385" s="56" t="n"/>
      <c r="K385" s="56" t="n"/>
      <c r="L385" s="56" t="n"/>
    </row>
    <row r="386" ht="22" customHeight="1">
      <c r="A386" s="55" t="n"/>
      <c r="B386" s="41">
        <f>'設定'!$I$21</f>
        <v/>
      </c>
      <c r="C386" s="56" t="n"/>
      <c r="D386" s="56" t="n"/>
      <c r="E386" s="56" t="n"/>
      <c r="F386" s="56" t="n"/>
      <c r="G386" s="56" t="n"/>
      <c r="H386" s="56" t="n"/>
      <c r="I386" s="56" t="n"/>
      <c r="J386" s="56" t="n"/>
      <c r="K386" s="56" t="n"/>
      <c r="L386" s="56" t="n"/>
    </row>
    <row r="387" ht="22" customHeight="1">
      <c r="A387" s="55" t="n"/>
      <c r="B387" s="41">
        <f>'設定'!$I$22</f>
        <v/>
      </c>
      <c r="C387" s="56" t="n"/>
      <c r="D387" s="56" t="n"/>
      <c r="E387" s="56" t="n"/>
      <c r="F387" s="56" t="n"/>
      <c r="G387" s="56" t="n"/>
      <c r="H387" s="56" t="n"/>
      <c r="I387" s="56" t="n"/>
      <c r="J387" s="56" t="n"/>
      <c r="K387" s="56" t="n"/>
      <c r="L387" s="56" t="n"/>
    </row>
    <row r="388"/>
    <row r="389" ht="26" customHeight="1">
      <c r="B389" s="51">
        <f>IF('名簿'!B29="","（名簿 25行目：なし）",'名簿'!G29)</f>
        <v/>
      </c>
      <c r="C389" s="4" t="n"/>
      <c r="D389" s="4" t="n"/>
      <c r="E389" s="52" t="inlineStr">
        <is>
          <t>提出状況 ▶</t>
        </is>
      </c>
      <c r="F389" s="37" t="n"/>
      <c r="G389" s="29" t="n"/>
      <c r="H389" s="53" t="inlineStr">
        <is>
          <t>状況：</t>
        </is>
      </c>
      <c r="I389" s="54">
        <f>'名簿'!H29</f>
        <v/>
      </c>
      <c r="J389" s="53" t="inlineStr">
        <is>
          <t>×の数：</t>
        </is>
      </c>
      <c r="K389" s="54">
        <f>'名簿'!I29</f>
        <v/>
      </c>
      <c r="L389" s="4" t="n"/>
    </row>
    <row r="390" ht="22" customHeight="1">
      <c r="A390" s="30" t="inlineStr">
        <is>
          <t>この日全部 ▶</t>
        </is>
      </c>
      <c r="C390" s="55" t="n"/>
      <c r="D390" s="55" t="n"/>
      <c r="E390" s="55" t="n"/>
      <c r="F390" s="55" t="n"/>
      <c r="G390" s="55" t="n"/>
      <c r="H390" s="55" t="n"/>
      <c r="I390" s="55" t="n"/>
      <c r="J390" s="55" t="n"/>
      <c r="K390" s="55" t="n"/>
      <c r="L390" s="55" t="n"/>
    </row>
    <row r="391" ht="28" customHeight="1">
      <c r="A391" s="33" t="inlineStr">
        <is>
          <t>この時間
全部 ▼</t>
        </is>
      </c>
      <c r="B391" s="34" t="inlineStr"/>
      <c r="C391" s="32">
        <f>'設定'!$E$11</f>
        <v/>
      </c>
      <c r="D391" s="32">
        <f>'設定'!$E$12</f>
        <v/>
      </c>
      <c r="E391" s="32">
        <f>'設定'!$E$13</f>
        <v/>
      </c>
      <c r="F391" s="32">
        <f>'設定'!$E$14</f>
        <v/>
      </c>
      <c r="G391" s="32">
        <f>'設定'!$E$15</f>
        <v/>
      </c>
      <c r="H391" s="32">
        <f>'設定'!$E$16</f>
        <v/>
      </c>
      <c r="I391" s="32">
        <f>'設定'!$E$17</f>
        <v/>
      </c>
      <c r="J391" s="32">
        <f>'設定'!$E$18</f>
        <v/>
      </c>
      <c r="K391" s="32">
        <f>'設定'!$E$19</f>
        <v/>
      </c>
      <c r="L391" s="32">
        <f>'設定'!$E$20</f>
        <v/>
      </c>
    </row>
    <row r="392" ht="22" customHeight="1">
      <c r="A392" s="55" t="n"/>
      <c r="B392" s="41">
        <f>'設定'!$I$11</f>
        <v/>
      </c>
      <c r="C392" s="56" t="n"/>
      <c r="D392" s="56" t="n"/>
      <c r="E392" s="56" t="n"/>
      <c r="F392" s="56" t="n"/>
      <c r="G392" s="56" t="n"/>
      <c r="H392" s="56" t="n"/>
      <c r="I392" s="56" t="n"/>
      <c r="J392" s="56" t="n"/>
      <c r="K392" s="56" t="n"/>
      <c r="L392" s="56" t="n"/>
    </row>
    <row r="393" ht="22" customHeight="1">
      <c r="A393" s="55" t="n"/>
      <c r="B393" s="41">
        <f>'設定'!$I$12</f>
        <v/>
      </c>
      <c r="C393" s="56" t="n"/>
      <c r="D393" s="56" t="n"/>
      <c r="E393" s="56" t="n"/>
      <c r="F393" s="56" t="n"/>
      <c r="G393" s="56" t="n"/>
      <c r="H393" s="56" t="n"/>
      <c r="I393" s="56" t="n"/>
      <c r="J393" s="56" t="n"/>
      <c r="K393" s="56" t="n"/>
      <c r="L393" s="56" t="n"/>
    </row>
    <row r="394" ht="22" customHeight="1">
      <c r="A394" s="55" t="n"/>
      <c r="B394" s="41">
        <f>'設定'!$I$13</f>
        <v/>
      </c>
      <c r="C394" s="56" t="n"/>
      <c r="D394" s="56" t="n"/>
      <c r="E394" s="56" t="n"/>
      <c r="F394" s="56" t="n"/>
      <c r="G394" s="56" t="n"/>
      <c r="H394" s="56" t="n"/>
      <c r="I394" s="56" t="n"/>
      <c r="J394" s="56" t="n"/>
      <c r="K394" s="56" t="n"/>
      <c r="L394" s="56" t="n"/>
    </row>
    <row r="395" ht="22" customHeight="1">
      <c r="A395" s="55" t="n"/>
      <c r="B395" s="41">
        <f>'設定'!$I$14</f>
        <v/>
      </c>
      <c r="C395" s="56" t="n"/>
      <c r="D395" s="56" t="n"/>
      <c r="E395" s="56" t="n"/>
      <c r="F395" s="56" t="n"/>
      <c r="G395" s="56" t="n"/>
      <c r="H395" s="56" t="n"/>
      <c r="I395" s="56" t="n"/>
      <c r="J395" s="56" t="n"/>
      <c r="K395" s="56" t="n"/>
      <c r="L395" s="56" t="n"/>
    </row>
    <row r="396" ht="22" customHeight="1">
      <c r="A396" s="55" t="n"/>
      <c r="B396" s="41">
        <f>'設定'!$I$15</f>
        <v/>
      </c>
      <c r="C396" s="56" t="n"/>
      <c r="D396" s="56" t="n"/>
      <c r="E396" s="56" t="n"/>
      <c r="F396" s="56" t="n"/>
      <c r="G396" s="56" t="n"/>
      <c r="H396" s="56" t="n"/>
      <c r="I396" s="56" t="n"/>
      <c r="J396" s="56" t="n"/>
      <c r="K396" s="56" t="n"/>
      <c r="L396" s="56" t="n"/>
    </row>
    <row r="397" ht="22" customHeight="1">
      <c r="A397" s="55" t="n"/>
      <c r="B397" s="41">
        <f>'設定'!$I$16</f>
        <v/>
      </c>
      <c r="C397" s="56" t="n"/>
      <c r="D397" s="56" t="n"/>
      <c r="E397" s="56" t="n"/>
      <c r="F397" s="56" t="n"/>
      <c r="G397" s="56" t="n"/>
      <c r="H397" s="56" t="n"/>
      <c r="I397" s="56" t="n"/>
      <c r="J397" s="56" t="n"/>
      <c r="K397" s="56" t="n"/>
      <c r="L397" s="56" t="n"/>
    </row>
    <row r="398" ht="22" customHeight="1">
      <c r="A398" s="55" t="n"/>
      <c r="B398" s="41">
        <f>'設定'!$I$17</f>
        <v/>
      </c>
      <c r="C398" s="56" t="n"/>
      <c r="D398" s="56" t="n"/>
      <c r="E398" s="56" t="n"/>
      <c r="F398" s="56" t="n"/>
      <c r="G398" s="56" t="n"/>
      <c r="H398" s="56" t="n"/>
      <c r="I398" s="56" t="n"/>
      <c r="J398" s="56" t="n"/>
      <c r="K398" s="56" t="n"/>
      <c r="L398" s="56" t="n"/>
    </row>
    <row r="399" ht="22" customHeight="1">
      <c r="A399" s="55" t="n"/>
      <c r="B399" s="41">
        <f>'設定'!$I$18</f>
        <v/>
      </c>
      <c r="C399" s="56" t="n"/>
      <c r="D399" s="56" t="n"/>
      <c r="E399" s="56" t="n"/>
      <c r="F399" s="56" t="n"/>
      <c r="G399" s="56" t="n"/>
      <c r="H399" s="56" t="n"/>
      <c r="I399" s="56" t="n"/>
      <c r="J399" s="56" t="n"/>
      <c r="K399" s="56" t="n"/>
      <c r="L399" s="56" t="n"/>
    </row>
    <row r="400" ht="22" customHeight="1">
      <c r="A400" s="55" t="n"/>
      <c r="B400" s="41">
        <f>'設定'!$I$19</f>
        <v/>
      </c>
      <c r="C400" s="56" t="n"/>
      <c r="D400" s="56" t="n"/>
      <c r="E400" s="56" t="n"/>
      <c r="F400" s="56" t="n"/>
      <c r="G400" s="56" t="n"/>
      <c r="H400" s="56" t="n"/>
      <c r="I400" s="56" t="n"/>
      <c r="J400" s="56" t="n"/>
      <c r="K400" s="56" t="n"/>
      <c r="L400" s="56" t="n"/>
    </row>
    <row r="401" ht="22" customHeight="1">
      <c r="A401" s="55" t="n"/>
      <c r="B401" s="41">
        <f>'設定'!$I$20</f>
        <v/>
      </c>
      <c r="C401" s="56" t="n"/>
      <c r="D401" s="56" t="n"/>
      <c r="E401" s="56" t="n"/>
      <c r="F401" s="56" t="n"/>
      <c r="G401" s="56" t="n"/>
      <c r="H401" s="56" t="n"/>
      <c r="I401" s="56" t="n"/>
      <c r="J401" s="56" t="n"/>
      <c r="K401" s="56" t="n"/>
      <c r="L401" s="56" t="n"/>
    </row>
    <row r="402" ht="22" customHeight="1">
      <c r="A402" s="55" t="n"/>
      <c r="B402" s="41">
        <f>'設定'!$I$21</f>
        <v/>
      </c>
      <c r="C402" s="56" t="n"/>
      <c r="D402" s="56" t="n"/>
      <c r="E402" s="56" t="n"/>
      <c r="F402" s="56" t="n"/>
      <c r="G402" s="56" t="n"/>
      <c r="H402" s="56" t="n"/>
      <c r="I402" s="56" t="n"/>
      <c r="J402" s="56" t="n"/>
      <c r="K402" s="56" t="n"/>
      <c r="L402" s="56" t="n"/>
    </row>
    <row r="403" ht="22" customHeight="1">
      <c r="A403" s="55" t="n"/>
      <c r="B403" s="41">
        <f>'設定'!$I$22</f>
        <v/>
      </c>
      <c r="C403" s="56" t="n"/>
      <c r="D403" s="56" t="n"/>
      <c r="E403" s="56" t="n"/>
      <c r="F403" s="56" t="n"/>
      <c r="G403" s="56" t="n"/>
      <c r="H403" s="56" t="n"/>
      <c r="I403" s="56" t="n"/>
      <c r="J403" s="56" t="n"/>
      <c r="K403" s="56" t="n"/>
      <c r="L403" s="56" t="n"/>
    </row>
    <row r="404"/>
    <row r="405" ht="26" customHeight="1">
      <c r="B405" s="51">
        <f>IF('名簿'!B30="","（名簿 26行目：なし）",'名簿'!G30)</f>
        <v/>
      </c>
      <c r="C405" s="4" t="n"/>
      <c r="D405" s="4" t="n"/>
      <c r="E405" s="52" t="inlineStr">
        <is>
          <t>提出状況 ▶</t>
        </is>
      </c>
      <c r="F405" s="37" t="n"/>
      <c r="G405" s="29" t="n"/>
      <c r="H405" s="53" t="inlineStr">
        <is>
          <t>状況：</t>
        </is>
      </c>
      <c r="I405" s="54">
        <f>'名簿'!H30</f>
        <v/>
      </c>
      <c r="J405" s="53" t="inlineStr">
        <is>
          <t>×の数：</t>
        </is>
      </c>
      <c r="K405" s="54">
        <f>'名簿'!I30</f>
        <v/>
      </c>
      <c r="L405" s="4" t="n"/>
    </row>
    <row r="406" ht="22" customHeight="1">
      <c r="A406" s="30" t="inlineStr">
        <is>
          <t>この日全部 ▶</t>
        </is>
      </c>
      <c r="C406" s="55" t="n"/>
      <c r="D406" s="55" t="n"/>
      <c r="E406" s="55" t="n"/>
      <c r="F406" s="55" t="n"/>
      <c r="G406" s="55" t="n"/>
      <c r="H406" s="55" t="n"/>
      <c r="I406" s="55" t="n"/>
      <c r="J406" s="55" t="n"/>
      <c r="K406" s="55" t="n"/>
      <c r="L406" s="55" t="n"/>
    </row>
    <row r="407" ht="28" customHeight="1">
      <c r="A407" s="33" t="inlineStr">
        <is>
          <t>この時間
全部 ▼</t>
        </is>
      </c>
      <c r="B407" s="34" t="inlineStr"/>
      <c r="C407" s="32">
        <f>'設定'!$E$11</f>
        <v/>
      </c>
      <c r="D407" s="32">
        <f>'設定'!$E$12</f>
        <v/>
      </c>
      <c r="E407" s="32">
        <f>'設定'!$E$13</f>
        <v/>
      </c>
      <c r="F407" s="32">
        <f>'設定'!$E$14</f>
        <v/>
      </c>
      <c r="G407" s="32">
        <f>'設定'!$E$15</f>
        <v/>
      </c>
      <c r="H407" s="32">
        <f>'設定'!$E$16</f>
        <v/>
      </c>
      <c r="I407" s="32">
        <f>'設定'!$E$17</f>
        <v/>
      </c>
      <c r="J407" s="32">
        <f>'設定'!$E$18</f>
        <v/>
      </c>
      <c r="K407" s="32">
        <f>'設定'!$E$19</f>
        <v/>
      </c>
      <c r="L407" s="32">
        <f>'設定'!$E$20</f>
        <v/>
      </c>
    </row>
    <row r="408" ht="22" customHeight="1">
      <c r="A408" s="55" t="n"/>
      <c r="B408" s="41">
        <f>'設定'!$I$11</f>
        <v/>
      </c>
      <c r="C408" s="56" t="n"/>
      <c r="D408" s="56" t="n"/>
      <c r="E408" s="56" t="n"/>
      <c r="F408" s="56" t="n"/>
      <c r="G408" s="56" t="n"/>
      <c r="H408" s="56" t="n"/>
      <c r="I408" s="56" t="n"/>
      <c r="J408" s="56" t="n"/>
      <c r="K408" s="56" t="n"/>
      <c r="L408" s="56" t="n"/>
    </row>
    <row r="409" ht="22" customHeight="1">
      <c r="A409" s="55" t="n"/>
      <c r="B409" s="41">
        <f>'設定'!$I$12</f>
        <v/>
      </c>
      <c r="C409" s="56" t="n"/>
      <c r="D409" s="56" t="n"/>
      <c r="E409" s="56" t="n"/>
      <c r="F409" s="56" t="n"/>
      <c r="G409" s="56" t="n"/>
      <c r="H409" s="56" t="n"/>
      <c r="I409" s="56" t="n"/>
      <c r="J409" s="56" t="n"/>
      <c r="K409" s="56" t="n"/>
      <c r="L409" s="56" t="n"/>
    </row>
    <row r="410" ht="22" customHeight="1">
      <c r="A410" s="55" t="n"/>
      <c r="B410" s="41">
        <f>'設定'!$I$13</f>
        <v/>
      </c>
      <c r="C410" s="56" t="n"/>
      <c r="D410" s="56" t="n"/>
      <c r="E410" s="56" t="n"/>
      <c r="F410" s="56" t="n"/>
      <c r="G410" s="56" t="n"/>
      <c r="H410" s="56" t="n"/>
      <c r="I410" s="56" t="n"/>
      <c r="J410" s="56" t="n"/>
      <c r="K410" s="56" t="n"/>
      <c r="L410" s="56" t="n"/>
    </row>
    <row r="411" ht="22" customHeight="1">
      <c r="A411" s="55" t="n"/>
      <c r="B411" s="41">
        <f>'設定'!$I$14</f>
        <v/>
      </c>
      <c r="C411" s="56" t="n"/>
      <c r="D411" s="56" t="n"/>
      <c r="E411" s="56" t="n"/>
      <c r="F411" s="56" t="n"/>
      <c r="G411" s="56" t="n"/>
      <c r="H411" s="56" t="n"/>
      <c r="I411" s="56" t="n"/>
      <c r="J411" s="56" t="n"/>
      <c r="K411" s="56" t="n"/>
      <c r="L411" s="56" t="n"/>
    </row>
    <row r="412" ht="22" customHeight="1">
      <c r="A412" s="55" t="n"/>
      <c r="B412" s="41">
        <f>'設定'!$I$15</f>
        <v/>
      </c>
      <c r="C412" s="56" t="n"/>
      <c r="D412" s="56" t="n"/>
      <c r="E412" s="56" t="n"/>
      <c r="F412" s="56" t="n"/>
      <c r="G412" s="56" t="n"/>
      <c r="H412" s="56" t="n"/>
      <c r="I412" s="56" t="n"/>
      <c r="J412" s="56" t="n"/>
      <c r="K412" s="56" t="n"/>
      <c r="L412" s="56" t="n"/>
    </row>
    <row r="413" ht="22" customHeight="1">
      <c r="A413" s="55" t="n"/>
      <c r="B413" s="41">
        <f>'設定'!$I$16</f>
        <v/>
      </c>
      <c r="C413" s="56" t="n"/>
      <c r="D413" s="56" t="n"/>
      <c r="E413" s="56" t="n"/>
      <c r="F413" s="56" t="n"/>
      <c r="G413" s="56" t="n"/>
      <c r="H413" s="56" t="n"/>
      <c r="I413" s="56" t="n"/>
      <c r="J413" s="56" t="n"/>
      <c r="K413" s="56" t="n"/>
      <c r="L413" s="56" t="n"/>
    </row>
    <row r="414" ht="22" customHeight="1">
      <c r="A414" s="55" t="n"/>
      <c r="B414" s="41">
        <f>'設定'!$I$17</f>
        <v/>
      </c>
      <c r="C414" s="56" t="n"/>
      <c r="D414" s="56" t="n"/>
      <c r="E414" s="56" t="n"/>
      <c r="F414" s="56" t="n"/>
      <c r="G414" s="56" t="n"/>
      <c r="H414" s="56" t="n"/>
      <c r="I414" s="56" t="n"/>
      <c r="J414" s="56" t="n"/>
      <c r="K414" s="56" t="n"/>
      <c r="L414" s="56" t="n"/>
    </row>
    <row r="415" ht="22" customHeight="1">
      <c r="A415" s="55" t="n"/>
      <c r="B415" s="41">
        <f>'設定'!$I$18</f>
        <v/>
      </c>
      <c r="C415" s="56" t="n"/>
      <c r="D415" s="56" t="n"/>
      <c r="E415" s="56" t="n"/>
      <c r="F415" s="56" t="n"/>
      <c r="G415" s="56" t="n"/>
      <c r="H415" s="56" t="n"/>
      <c r="I415" s="56" t="n"/>
      <c r="J415" s="56" t="n"/>
      <c r="K415" s="56" t="n"/>
      <c r="L415" s="56" t="n"/>
    </row>
    <row r="416" ht="22" customHeight="1">
      <c r="A416" s="55" t="n"/>
      <c r="B416" s="41">
        <f>'設定'!$I$19</f>
        <v/>
      </c>
      <c r="C416" s="56" t="n"/>
      <c r="D416" s="56" t="n"/>
      <c r="E416" s="56" t="n"/>
      <c r="F416" s="56" t="n"/>
      <c r="G416" s="56" t="n"/>
      <c r="H416" s="56" t="n"/>
      <c r="I416" s="56" t="n"/>
      <c r="J416" s="56" t="n"/>
      <c r="K416" s="56" t="n"/>
      <c r="L416" s="56" t="n"/>
    </row>
    <row r="417" ht="22" customHeight="1">
      <c r="A417" s="55" t="n"/>
      <c r="B417" s="41">
        <f>'設定'!$I$20</f>
        <v/>
      </c>
      <c r="C417" s="56" t="n"/>
      <c r="D417" s="56" t="n"/>
      <c r="E417" s="56" t="n"/>
      <c r="F417" s="56" t="n"/>
      <c r="G417" s="56" t="n"/>
      <c r="H417" s="56" t="n"/>
      <c r="I417" s="56" t="n"/>
      <c r="J417" s="56" t="n"/>
      <c r="K417" s="56" t="n"/>
      <c r="L417" s="56" t="n"/>
    </row>
    <row r="418" ht="22" customHeight="1">
      <c r="A418" s="55" t="n"/>
      <c r="B418" s="41">
        <f>'設定'!$I$21</f>
        <v/>
      </c>
      <c r="C418" s="56" t="n"/>
      <c r="D418" s="56" t="n"/>
      <c r="E418" s="56" t="n"/>
      <c r="F418" s="56" t="n"/>
      <c r="G418" s="56" t="n"/>
      <c r="H418" s="56" t="n"/>
      <c r="I418" s="56" t="n"/>
      <c r="J418" s="56" t="n"/>
      <c r="K418" s="56" t="n"/>
      <c r="L418" s="56" t="n"/>
    </row>
    <row r="419" ht="22" customHeight="1">
      <c r="A419" s="55" t="n"/>
      <c r="B419" s="41">
        <f>'設定'!$I$22</f>
        <v/>
      </c>
      <c r="C419" s="56" t="n"/>
      <c r="D419" s="56" t="n"/>
      <c r="E419" s="56" t="n"/>
      <c r="F419" s="56" t="n"/>
      <c r="G419" s="56" t="n"/>
      <c r="H419" s="56" t="n"/>
      <c r="I419" s="56" t="n"/>
      <c r="J419" s="56" t="n"/>
      <c r="K419" s="56" t="n"/>
      <c r="L419" s="56" t="n"/>
    </row>
    <row r="420"/>
    <row r="421" ht="26" customHeight="1">
      <c r="B421" s="51">
        <f>IF('名簿'!B31="","（名簿 27行目：なし）",'名簿'!G31)</f>
        <v/>
      </c>
      <c r="C421" s="4" t="n"/>
      <c r="D421" s="4" t="n"/>
      <c r="E421" s="52" t="inlineStr">
        <is>
          <t>提出状況 ▶</t>
        </is>
      </c>
      <c r="F421" s="37" t="n"/>
      <c r="G421" s="29" t="n"/>
      <c r="H421" s="53" t="inlineStr">
        <is>
          <t>状況：</t>
        </is>
      </c>
      <c r="I421" s="54">
        <f>'名簿'!H31</f>
        <v/>
      </c>
      <c r="J421" s="53" t="inlineStr">
        <is>
          <t>×の数：</t>
        </is>
      </c>
      <c r="K421" s="54">
        <f>'名簿'!I31</f>
        <v/>
      </c>
      <c r="L421" s="4" t="n"/>
    </row>
    <row r="422" ht="22" customHeight="1">
      <c r="A422" s="30" t="inlineStr">
        <is>
          <t>この日全部 ▶</t>
        </is>
      </c>
      <c r="C422" s="55" t="n"/>
      <c r="D422" s="55" t="n"/>
      <c r="E422" s="55" t="n"/>
      <c r="F422" s="55" t="n"/>
      <c r="G422" s="55" t="n"/>
      <c r="H422" s="55" t="n"/>
      <c r="I422" s="55" t="n"/>
      <c r="J422" s="55" t="n"/>
      <c r="K422" s="55" t="n"/>
      <c r="L422" s="55" t="n"/>
    </row>
    <row r="423" ht="28" customHeight="1">
      <c r="A423" s="33" t="inlineStr">
        <is>
          <t>この時間
全部 ▼</t>
        </is>
      </c>
      <c r="B423" s="34" t="inlineStr"/>
      <c r="C423" s="32">
        <f>'設定'!$E$11</f>
        <v/>
      </c>
      <c r="D423" s="32">
        <f>'設定'!$E$12</f>
        <v/>
      </c>
      <c r="E423" s="32">
        <f>'設定'!$E$13</f>
        <v/>
      </c>
      <c r="F423" s="32">
        <f>'設定'!$E$14</f>
        <v/>
      </c>
      <c r="G423" s="32">
        <f>'設定'!$E$15</f>
        <v/>
      </c>
      <c r="H423" s="32">
        <f>'設定'!$E$16</f>
        <v/>
      </c>
      <c r="I423" s="32">
        <f>'設定'!$E$17</f>
        <v/>
      </c>
      <c r="J423" s="32">
        <f>'設定'!$E$18</f>
        <v/>
      </c>
      <c r="K423" s="32">
        <f>'設定'!$E$19</f>
        <v/>
      </c>
      <c r="L423" s="32">
        <f>'設定'!$E$20</f>
        <v/>
      </c>
    </row>
    <row r="424" ht="22" customHeight="1">
      <c r="A424" s="55" t="n"/>
      <c r="B424" s="41">
        <f>'設定'!$I$11</f>
        <v/>
      </c>
      <c r="C424" s="56" t="n"/>
      <c r="D424" s="56" t="n"/>
      <c r="E424" s="56" t="n"/>
      <c r="F424" s="56" t="n"/>
      <c r="G424" s="56" t="n"/>
      <c r="H424" s="56" t="n"/>
      <c r="I424" s="56" t="n"/>
      <c r="J424" s="56" t="n"/>
      <c r="K424" s="56" t="n"/>
      <c r="L424" s="56" t="n"/>
    </row>
    <row r="425" ht="22" customHeight="1">
      <c r="A425" s="55" t="n"/>
      <c r="B425" s="41">
        <f>'設定'!$I$12</f>
        <v/>
      </c>
      <c r="C425" s="56" t="n"/>
      <c r="D425" s="56" t="n"/>
      <c r="E425" s="56" t="n"/>
      <c r="F425" s="56" t="n"/>
      <c r="G425" s="56" t="n"/>
      <c r="H425" s="56" t="n"/>
      <c r="I425" s="56" t="n"/>
      <c r="J425" s="56" t="n"/>
      <c r="K425" s="56" t="n"/>
      <c r="L425" s="56" t="n"/>
    </row>
    <row r="426" ht="22" customHeight="1">
      <c r="A426" s="55" t="n"/>
      <c r="B426" s="41">
        <f>'設定'!$I$13</f>
        <v/>
      </c>
      <c r="C426" s="56" t="n"/>
      <c r="D426" s="56" t="n"/>
      <c r="E426" s="56" t="n"/>
      <c r="F426" s="56" t="n"/>
      <c r="G426" s="56" t="n"/>
      <c r="H426" s="56" t="n"/>
      <c r="I426" s="56" t="n"/>
      <c r="J426" s="56" t="n"/>
      <c r="K426" s="56" t="n"/>
      <c r="L426" s="56" t="n"/>
    </row>
    <row r="427" ht="22" customHeight="1">
      <c r="A427" s="55" t="n"/>
      <c r="B427" s="41">
        <f>'設定'!$I$14</f>
        <v/>
      </c>
      <c r="C427" s="56" t="n"/>
      <c r="D427" s="56" t="n"/>
      <c r="E427" s="56" t="n"/>
      <c r="F427" s="56" t="n"/>
      <c r="G427" s="56" t="n"/>
      <c r="H427" s="56" t="n"/>
      <c r="I427" s="56" t="n"/>
      <c r="J427" s="56" t="n"/>
      <c r="K427" s="56" t="n"/>
      <c r="L427" s="56" t="n"/>
    </row>
    <row r="428" ht="22" customHeight="1">
      <c r="A428" s="55" t="n"/>
      <c r="B428" s="41">
        <f>'設定'!$I$15</f>
        <v/>
      </c>
      <c r="C428" s="56" t="n"/>
      <c r="D428" s="56" t="n"/>
      <c r="E428" s="56" t="n"/>
      <c r="F428" s="56" t="n"/>
      <c r="G428" s="56" t="n"/>
      <c r="H428" s="56" t="n"/>
      <c r="I428" s="56" t="n"/>
      <c r="J428" s="56" t="n"/>
      <c r="K428" s="56" t="n"/>
      <c r="L428" s="56" t="n"/>
    </row>
    <row r="429" ht="22" customHeight="1">
      <c r="A429" s="55" t="n"/>
      <c r="B429" s="41">
        <f>'設定'!$I$16</f>
        <v/>
      </c>
      <c r="C429" s="56" t="n"/>
      <c r="D429" s="56" t="n"/>
      <c r="E429" s="56" t="n"/>
      <c r="F429" s="56" t="n"/>
      <c r="G429" s="56" t="n"/>
      <c r="H429" s="56" t="n"/>
      <c r="I429" s="56" t="n"/>
      <c r="J429" s="56" t="n"/>
      <c r="K429" s="56" t="n"/>
      <c r="L429" s="56" t="n"/>
    </row>
    <row r="430" ht="22" customHeight="1">
      <c r="A430" s="55" t="n"/>
      <c r="B430" s="41">
        <f>'設定'!$I$17</f>
        <v/>
      </c>
      <c r="C430" s="56" t="n"/>
      <c r="D430" s="56" t="n"/>
      <c r="E430" s="56" t="n"/>
      <c r="F430" s="56" t="n"/>
      <c r="G430" s="56" t="n"/>
      <c r="H430" s="56" t="n"/>
      <c r="I430" s="56" t="n"/>
      <c r="J430" s="56" t="n"/>
      <c r="K430" s="56" t="n"/>
      <c r="L430" s="56" t="n"/>
    </row>
    <row r="431" ht="22" customHeight="1">
      <c r="A431" s="55" t="n"/>
      <c r="B431" s="41">
        <f>'設定'!$I$18</f>
        <v/>
      </c>
      <c r="C431" s="56" t="n"/>
      <c r="D431" s="56" t="n"/>
      <c r="E431" s="56" t="n"/>
      <c r="F431" s="56" t="n"/>
      <c r="G431" s="56" t="n"/>
      <c r="H431" s="56" t="n"/>
      <c r="I431" s="56" t="n"/>
      <c r="J431" s="56" t="n"/>
      <c r="K431" s="56" t="n"/>
      <c r="L431" s="56" t="n"/>
    </row>
    <row r="432" ht="22" customHeight="1">
      <c r="A432" s="55" t="n"/>
      <c r="B432" s="41">
        <f>'設定'!$I$19</f>
        <v/>
      </c>
      <c r="C432" s="56" t="n"/>
      <c r="D432" s="56" t="n"/>
      <c r="E432" s="56" t="n"/>
      <c r="F432" s="56" t="n"/>
      <c r="G432" s="56" t="n"/>
      <c r="H432" s="56" t="n"/>
      <c r="I432" s="56" t="n"/>
      <c r="J432" s="56" t="n"/>
      <c r="K432" s="56" t="n"/>
      <c r="L432" s="56" t="n"/>
    </row>
    <row r="433" ht="22" customHeight="1">
      <c r="A433" s="55" t="n"/>
      <c r="B433" s="41">
        <f>'設定'!$I$20</f>
        <v/>
      </c>
      <c r="C433" s="56" t="n"/>
      <c r="D433" s="56" t="n"/>
      <c r="E433" s="56" t="n"/>
      <c r="F433" s="56" t="n"/>
      <c r="G433" s="56" t="n"/>
      <c r="H433" s="56" t="n"/>
      <c r="I433" s="56" t="n"/>
      <c r="J433" s="56" t="n"/>
      <c r="K433" s="56" t="n"/>
      <c r="L433" s="56" t="n"/>
    </row>
    <row r="434" ht="22" customHeight="1">
      <c r="A434" s="55" t="n"/>
      <c r="B434" s="41">
        <f>'設定'!$I$21</f>
        <v/>
      </c>
      <c r="C434" s="56" t="n"/>
      <c r="D434" s="56" t="n"/>
      <c r="E434" s="56" t="n"/>
      <c r="F434" s="56" t="n"/>
      <c r="G434" s="56" t="n"/>
      <c r="H434" s="56" t="n"/>
      <c r="I434" s="56" t="n"/>
      <c r="J434" s="56" t="n"/>
      <c r="K434" s="56" t="n"/>
      <c r="L434" s="56" t="n"/>
    </row>
    <row r="435" ht="22" customHeight="1">
      <c r="A435" s="55" t="n"/>
      <c r="B435" s="41">
        <f>'設定'!$I$22</f>
        <v/>
      </c>
      <c r="C435" s="56" t="n"/>
      <c r="D435" s="56" t="n"/>
      <c r="E435" s="56" t="n"/>
      <c r="F435" s="56" t="n"/>
      <c r="G435" s="56" t="n"/>
      <c r="H435" s="56" t="n"/>
      <c r="I435" s="56" t="n"/>
      <c r="J435" s="56" t="n"/>
      <c r="K435" s="56" t="n"/>
      <c r="L435" s="56" t="n"/>
    </row>
    <row r="436"/>
    <row r="437" ht="26" customHeight="1">
      <c r="B437" s="51">
        <f>IF('名簿'!B32="","（名簿 28行目：なし）",'名簿'!G32)</f>
        <v/>
      </c>
      <c r="C437" s="4" t="n"/>
      <c r="D437" s="4" t="n"/>
      <c r="E437" s="52" t="inlineStr">
        <is>
          <t>提出状況 ▶</t>
        </is>
      </c>
      <c r="F437" s="37" t="n"/>
      <c r="G437" s="29" t="n"/>
      <c r="H437" s="53" t="inlineStr">
        <is>
          <t>状況：</t>
        </is>
      </c>
      <c r="I437" s="54">
        <f>'名簿'!H32</f>
        <v/>
      </c>
      <c r="J437" s="53" t="inlineStr">
        <is>
          <t>×の数：</t>
        </is>
      </c>
      <c r="K437" s="54">
        <f>'名簿'!I32</f>
        <v/>
      </c>
      <c r="L437" s="4" t="n"/>
    </row>
    <row r="438" ht="22" customHeight="1">
      <c r="A438" s="30" t="inlineStr">
        <is>
          <t>この日全部 ▶</t>
        </is>
      </c>
      <c r="C438" s="55" t="n"/>
      <c r="D438" s="55" t="n"/>
      <c r="E438" s="55" t="n"/>
      <c r="F438" s="55" t="n"/>
      <c r="G438" s="55" t="n"/>
      <c r="H438" s="55" t="n"/>
      <c r="I438" s="55" t="n"/>
      <c r="J438" s="55" t="n"/>
      <c r="K438" s="55" t="n"/>
      <c r="L438" s="55" t="n"/>
    </row>
    <row r="439" ht="28" customHeight="1">
      <c r="A439" s="33" t="inlineStr">
        <is>
          <t>この時間
全部 ▼</t>
        </is>
      </c>
      <c r="B439" s="34" t="inlineStr"/>
      <c r="C439" s="32">
        <f>'設定'!$E$11</f>
        <v/>
      </c>
      <c r="D439" s="32">
        <f>'設定'!$E$12</f>
        <v/>
      </c>
      <c r="E439" s="32">
        <f>'設定'!$E$13</f>
        <v/>
      </c>
      <c r="F439" s="32">
        <f>'設定'!$E$14</f>
        <v/>
      </c>
      <c r="G439" s="32">
        <f>'設定'!$E$15</f>
        <v/>
      </c>
      <c r="H439" s="32">
        <f>'設定'!$E$16</f>
        <v/>
      </c>
      <c r="I439" s="32">
        <f>'設定'!$E$17</f>
        <v/>
      </c>
      <c r="J439" s="32">
        <f>'設定'!$E$18</f>
        <v/>
      </c>
      <c r="K439" s="32">
        <f>'設定'!$E$19</f>
        <v/>
      </c>
      <c r="L439" s="32">
        <f>'設定'!$E$20</f>
        <v/>
      </c>
    </row>
    <row r="440" ht="22" customHeight="1">
      <c r="A440" s="55" t="n"/>
      <c r="B440" s="41">
        <f>'設定'!$I$11</f>
        <v/>
      </c>
      <c r="C440" s="56" t="n"/>
      <c r="D440" s="56" t="n"/>
      <c r="E440" s="56" t="n"/>
      <c r="F440" s="56" t="n"/>
      <c r="G440" s="56" t="n"/>
      <c r="H440" s="56" t="n"/>
      <c r="I440" s="56" t="n"/>
      <c r="J440" s="56" t="n"/>
      <c r="K440" s="56" t="n"/>
      <c r="L440" s="56" t="n"/>
    </row>
    <row r="441" ht="22" customHeight="1">
      <c r="A441" s="55" t="n"/>
      <c r="B441" s="41">
        <f>'設定'!$I$12</f>
        <v/>
      </c>
      <c r="C441" s="56" t="n"/>
      <c r="D441" s="56" t="n"/>
      <c r="E441" s="56" t="n"/>
      <c r="F441" s="56" t="n"/>
      <c r="G441" s="56" t="n"/>
      <c r="H441" s="56" t="n"/>
      <c r="I441" s="56" t="n"/>
      <c r="J441" s="56" t="n"/>
      <c r="K441" s="56" t="n"/>
      <c r="L441" s="56" t="n"/>
    </row>
    <row r="442" ht="22" customHeight="1">
      <c r="A442" s="55" t="n"/>
      <c r="B442" s="41">
        <f>'設定'!$I$13</f>
        <v/>
      </c>
      <c r="C442" s="56" t="n"/>
      <c r="D442" s="56" t="n"/>
      <c r="E442" s="56" t="n"/>
      <c r="F442" s="56" t="n"/>
      <c r="G442" s="56" t="n"/>
      <c r="H442" s="56" t="n"/>
      <c r="I442" s="56" t="n"/>
      <c r="J442" s="56" t="n"/>
      <c r="K442" s="56" t="n"/>
      <c r="L442" s="56" t="n"/>
    </row>
    <row r="443" ht="22" customHeight="1">
      <c r="A443" s="55" t="n"/>
      <c r="B443" s="41">
        <f>'設定'!$I$14</f>
        <v/>
      </c>
      <c r="C443" s="56" t="n"/>
      <c r="D443" s="56" t="n"/>
      <c r="E443" s="56" t="n"/>
      <c r="F443" s="56" t="n"/>
      <c r="G443" s="56" t="n"/>
      <c r="H443" s="56" t="n"/>
      <c r="I443" s="56" t="n"/>
      <c r="J443" s="56" t="n"/>
      <c r="K443" s="56" t="n"/>
      <c r="L443" s="56" t="n"/>
    </row>
    <row r="444" ht="22" customHeight="1">
      <c r="A444" s="55" t="n"/>
      <c r="B444" s="41">
        <f>'設定'!$I$15</f>
        <v/>
      </c>
      <c r="C444" s="56" t="n"/>
      <c r="D444" s="56" t="n"/>
      <c r="E444" s="56" t="n"/>
      <c r="F444" s="56" t="n"/>
      <c r="G444" s="56" t="n"/>
      <c r="H444" s="56" t="n"/>
      <c r="I444" s="56" t="n"/>
      <c r="J444" s="56" t="n"/>
      <c r="K444" s="56" t="n"/>
      <c r="L444" s="56" t="n"/>
    </row>
    <row r="445" ht="22" customHeight="1">
      <c r="A445" s="55" t="n"/>
      <c r="B445" s="41">
        <f>'設定'!$I$16</f>
        <v/>
      </c>
      <c r="C445" s="56" t="n"/>
      <c r="D445" s="56" t="n"/>
      <c r="E445" s="56" t="n"/>
      <c r="F445" s="56" t="n"/>
      <c r="G445" s="56" t="n"/>
      <c r="H445" s="56" t="n"/>
      <c r="I445" s="56" t="n"/>
      <c r="J445" s="56" t="n"/>
      <c r="K445" s="56" t="n"/>
      <c r="L445" s="56" t="n"/>
    </row>
    <row r="446" ht="22" customHeight="1">
      <c r="A446" s="55" t="n"/>
      <c r="B446" s="41">
        <f>'設定'!$I$17</f>
        <v/>
      </c>
      <c r="C446" s="56" t="n"/>
      <c r="D446" s="56" t="n"/>
      <c r="E446" s="56" t="n"/>
      <c r="F446" s="56" t="n"/>
      <c r="G446" s="56" t="n"/>
      <c r="H446" s="56" t="n"/>
      <c r="I446" s="56" t="n"/>
      <c r="J446" s="56" t="n"/>
      <c r="K446" s="56" t="n"/>
      <c r="L446" s="56" t="n"/>
    </row>
    <row r="447" ht="22" customHeight="1">
      <c r="A447" s="55" t="n"/>
      <c r="B447" s="41">
        <f>'設定'!$I$18</f>
        <v/>
      </c>
      <c r="C447" s="56" t="n"/>
      <c r="D447" s="56" t="n"/>
      <c r="E447" s="56" t="n"/>
      <c r="F447" s="56" t="n"/>
      <c r="G447" s="56" t="n"/>
      <c r="H447" s="56" t="n"/>
      <c r="I447" s="56" t="n"/>
      <c r="J447" s="56" t="n"/>
      <c r="K447" s="56" t="n"/>
      <c r="L447" s="56" t="n"/>
    </row>
    <row r="448" ht="22" customHeight="1">
      <c r="A448" s="55" t="n"/>
      <c r="B448" s="41">
        <f>'設定'!$I$19</f>
        <v/>
      </c>
      <c r="C448" s="56" t="n"/>
      <c r="D448" s="56" t="n"/>
      <c r="E448" s="56" t="n"/>
      <c r="F448" s="56" t="n"/>
      <c r="G448" s="56" t="n"/>
      <c r="H448" s="56" t="n"/>
      <c r="I448" s="56" t="n"/>
      <c r="J448" s="56" t="n"/>
      <c r="K448" s="56" t="n"/>
      <c r="L448" s="56" t="n"/>
    </row>
    <row r="449" ht="22" customHeight="1">
      <c r="A449" s="55" t="n"/>
      <c r="B449" s="41">
        <f>'設定'!$I$20</f>
        <v/>
      </c>
      <c r="C449" s="56" t="n"/>
      <c r="D449" s="56" t="n"/>
      <c r="E449" s="56" t="n"/>
      <c r="F449" s="56" t="n"/>
      <c r="G449" s="56" t="n"/>
      <c r="H449" s="56" t="n"/>
      <c r="I449" s="56" t="n"/>
      <c r="J449" s="56" t="n"/>
      <c r="K449" s="56" t="n"/>
      <c r="L449" s="56" t="n"/>
    </row>
    <row r="450" ht="22" customHeight="1">
      <c r="A450" s="55" t="n"/>
      <c r="B450" s="41">
        <f>'設定'!$I$21</f>
        <v/>
      </c>
      <c r="C450" s="56" t="n"/>
      <c r="D450" s="56" t="n"/>
      <c r="E450" s="56" t="n"/>
      <c r="F450" s="56" t="n"/>
      <c r="G450" s="56" t="n"/>
      <c r="H450" s="56" t="n"/>
      <c r="I450" s="56" t="n"/>
      <c r="J450" s="56" t="n"/>
      <c r="K450" s="56" t="n"/>
      <c r="L450" s="56" t="n"/>
    </row>
    <row r="451" ht="22" customHeight="1">
      <c r="A451" s="55" t="n"/>
      <c r="B451" s="41">
        <f>'設定'!$I$22</f>
        <v/>
      </c>
      <c r="C451" s="56" t="n"/>
      <c r="D451" s="56" t="n"/>
      <c r="E451" s="56" t="n"/>
      <c r="F451" s="56" t="n"/>
      <c r="G451" s="56" t="n"/>
      <c r="H451" s="56" t="n"/>
      <c r="I451" s="56" t="n"/>
      <c r="J451" s="56" t="n"/>
      <c r="K451" s="56" t="n"/>
      <c r="L451" s="56" t="n"/>
    </row>
    <row r="452"/>
    <row r="453" ht="26" customHeight="1">
      <c r="B453" s="51">
        <f>IF('名簿'!B33="","（名簿 29行目：なし）",'名簿'!G33)</f>
        <v/>
      </c>
      <c r="C453" s="4" t="n"/>
      <c r="D453" s="4" t="n"/>
      <c r="E453" s="52" t="inlineStr">
        <is>
          <t>提出状況 ▶</t>
        </is>
      </c>
      <c r="F453" s="37" t="n"/>
      <c r="G453" s="29" t="n"/>
      <c r="H453" s="53" t="inlineStr">
        <is>
          <t>状況：</t>
        </is>
      </c>
      <c r="I453" s="54">
        <f>'名簿'!H33</f>
        <v/>
      </c>
      <c r="J453" s="53" t="inlineStr">
        <is>
          <t>×の数：</t>
        </is>
      </c>
      <c r="K453" s="54">
        <f>'名簿'!I33</f>
        <v/>
      </c>
      <c r="L453" s="4" t="n"/>
    </row>
    <row r="454" ht="22" customHeight="1">
      <c r="A454" s="30" t="inlineStr">
        <is>
          <t>この日全部 ▶</t>
        </is>
      </c>
      <c r="C454" s="55" t="n"/>
      <c r="D454" s="55" t="n"/>
      <c r="E454" s="55" t="n"/>
      <c r="F454" s="55" t="n"/>
      <c r="G454" s="55" t="n"/>
      <c r="H454" s="55" t="n"/>
      <c r="I454" s="55" t="n"/>
      <c r="J454" s="55" t="n"/>
      <c r="K454" s="55" t="n"/>
      <c r="L454" s="55" t="n"/>
    </row>
    <row r="455" ht="28" customHeight="1">
      <c r="A455" s="33" t="inlineStr">
        <is>
          <t>この時間
全部 ▼</t>
        </is>
      </c>
      <c r="B455" s="34" t="inlineStr"/>
      <c r="C455" s="32">
        <f>'設定'!$E$11</f>
        <v/>
      </c>
      <c r="D455" s="32">
        <f>'設定'!$E$12</f>
        <v/>
      </c>
      <c r="E455" s="32">
        <f>'設定'!$E$13</f>
        <v/>
      </c>
      <c r="F455" s="32">
        <f>'設定'!$E$14</f>
        <v/>
      </c>
      <c r="G455" s="32">
        <f>'設定'!$E$15</f>
        <v/>
      </c>
      <c r="H455" s="32">
        <f>'設定'!$E$16</f>
        <v/>
      </c>
      <c r="I455" s="32">
        <f>'設定'!$E$17</f>
        <v/>
      </c>
      <c r="J455" s="32">
        <f>'設定'!$E$18</f>
        <v/>
      </c>
      <c r="K455" s="32">
        <f>'設定'!$E$19</f>
        <v/>
      </c>
      <c r="L455" s="32">
        <f>'設定'!$E$20</f>
        <v/>
      </c>
    </row>
    <row r="456" ht="22" customHeight="1">
      <c r="A456" s="55" t="n"/>
      <c r="B456" s="41">
        <f>'設定'!$I$11</f>
        <v/>
      </c>
      <c r="C456" s="56" t="n"/>
      <c r="D456" s="56" t="n"/>
      <c r="E456" s="56" t="n"/>
      <c r="F456" s="56" t="n"/>
      <c r="G456" s="56" t="n"/>
      <c r="H456" s="56" t="n"/>
      <c r="I456" s="56" t="n"/>
      <c r="J456" s="56" t="n"/>
      <c r="K456" s="56" t="n"/>
      <c r="L456" s="56" t="n"/>
    </row>
    <row r="457" ht="22" customHeight="1">
      <c r="A457" s="55" t="n"/>
      <c r="B457" s="41">
        <f>'設定'!$I$12</f>
        <v/>
      </c>
      <c r="C457" s="56" t="n"/>
      <c r="D457" s="56" t="n"/>
      <c r="E457" s="56" t="n"/>
      <c r="F457" s="56" t="n"/>
      <c r="G457" s="56" t="n"/>
      <c r="H457" s="56" t="n"/>
      <c r="I457" s="56" t="n"/>
      <c r="J457" s="56" t="n"/>
      <c r="K457" s="56" t="n"/>
      <c r="L457" s="56" t="n"/>
    </row>
    <row r="458" ht="22" customHeight="1">
      <c r="A458" s="55" t="n"/>
      <c r="B458" s="41">
        <f>'設定'!$I$13</f>
        <v/>
      </c>
      <c r="C458" s="56" t="n"/>
      <c r="D458" s="56" t="n"/>
      <c r="E458" s="56" t="n"/>
      <c r="F458" s="56" t="n"/>
      <c r="G458" s="56" t="n"/>
      <c r="H458" s="56" t="n"/>
      <c r="I458" s="56" t="n"/>
      <c r="J458" s="56" t="n"/>
      <c r="K458" s="56" t="n"/>
      <c r="L458" s="56" t="n"/>
    </row>
    <row r="459" ht="22" customHeight="1">
      <c r="A459" s="55" t="n"/>
      <c r="B459" s="41">
        <f>'設定'!$I$14</f>
        <v/>
      </c>
      <c r="C459" s="56" t="n"/>
      <c r="D459" s="56" t="n"/>
      <c r="E459" s="56" t="n"/>
      <c r="F459" s="56" t="n"/>
      <c r="G459" s="56" t="n"/>
      <c r="H459" s="56" t="n"/>
      <c r="I459" s="56" t="n"/>
      <c r="J459" s="56" t="n"/>
      <c r="K459" s="56" t="n"/>
      <c r="L459" s="56" t="n"/>
    </row>
    <row r="460" ht="22" customHeight="1">
      <c r="A460" s="55" t="n"/>
      <c r="B460" s="41">
        <f>'設定'!$I$15</f>
        <v/>
      </c>
      <c r="C460" s="56" t="n"/>
      <c r="D460" s="56" t="n"/>
      <c r="E460" s="56" t="n"/>
      <c r="F460" s="56" t="n"/>
      <c r="G460" s="56" t="n"/>
      <c r="H460" s="56" t="n"/>
      <c r="I460" s="56" t="n"/>
      <c r="J460" s="56" t="n"/>
      <c r="K460" s="56" t="n"/>
      <c r="L460" s="56" t="n"/>
    </row>
    <row r="461" ht="22" customHeight="1">
      <c r="A461" s="55" t="n"/>
      <c r="B461" s="41">
        <f>'設定'!$I$16</f>
        <v/>
      </c>
      <c r="C461" s="56" t="n"/>
      <c r="D461" s="56" t="n"/>
      <c r="E461" s="56" t="n"/>
      <c r="F461" s="56" t="n"/>
      <c r="G461" s="56" t="n"/>
      <c r="H461" s="56" t="n"/>
      <c r="I461" s="56" t="n"/>
      <c r="J461" s="56" t="n"/>
      <c r="K461" s="56" t="n"/>
      <c r="L461" s="56" t="n"/>
    </row>
    <row r="462" ht="22" customHeight="1">
      <c r="A462" s="55" t="n"/>
      <c r="B462" s="41">
        <f>'設定'!$I$17</f>
        <v/>
      </c>
      <c r="C462" s="56" t="n"/>
      <c r="D462" s="56" t="n"/>
      <c r="E462" s="56" t="n"/>
      <c r="F462" s="56" t="n"/>
      <c r="G462" s="56" t="n"/>
      <c r="H462" s="56" t="n"/>
      <c r="I462" s="56" t="n"/>
      <c r="J462" s="56" t="n"/>
      <c r="K462" s="56" t="n"/>
      <c r="L462" s="56" t="n"/>
    </row>
    <row r="463" ht="22" customHeight="1">
      <c r="A463" s="55" t="n"/>
      <c r="B463" s="41">
        <f>'設定'!$I$18</f>
        <v/>
      </c>
      <c r="C463" s="56" t="n"/>
      <c r="D463" s="56" t="n"/>
      <c r="E463" s="56" t="n"/>
      <c r="F463" s="56" t="n"/>
      <c r="G463" s="56" t="n"/>
      <c r="H463" s="56" t="n"/>
      <c r="I463" s="56" t="n"/>
      <c r="J463" s="56" t="n"/>
      <c r="K463" s="56" t="n"/>
      <c r="L463" s="56" t="n"/>
    </row>
    <row r="464" ht="22" customHeight="1">
      <c r="A464" s="55" t="n"/>
      <c r="B464" s="41">
        <f>'設定'!$I$19</f>
        <v/>
      </c>
      <c r="C464" s="56" t="n"/>
      <c r="D464" s="56" t="n"/>
      <c r="E464" s="56" t="n"/>
      <c r="F464" s="56" t="n"/>
      <c r="G464" s="56" t="n"/>
      <c r="H464" s="56" t="n"/>
      <c r="I464" s="56" t="n"/>
      <c r="J464" s="56" t="n"/>
      <c r="K464" s="56" t="n"/>
      <c r="L464" s="56" t="n"/>
    </row>
    <row r="465" ht="22" customHeight="1">
      <c r="A465" s="55" t="n"/>
      <c r="B465" s="41">
        <f>'設定'!$I$20</f>
        <v/>
      </c>
      <c r="C465" s="56" t="n"/>
      <c r="D465" s="56" t="n"/>
      <c r="E465" s="56" t="n"/>
      <c r="F465" s="56" t="n"/>
      <c r="G465" s="56" t="n"/>
      <c r="H465" s="56" t="n"/>
      <c r="I465" s="56" t="n"/>
      <c r="J465" s="56" t="n"/>
      <c r="K465" s="56" t="n"/>
      <c r="L465" s="56" t="n"/>
    </row>
    <row r="466" ht="22" customHeight="1">
      <c r="A466" s="55" t="n"/>
      <c r="B466" s="41">
        <f>'設定'!$I$21</f>
        <v/>
      </c>
      <c r="C466" s="56" t="n"/>
      <c r="D466" s="56" t="n"/>
      <c r="E466" s="56" t="n"/>
      <c r="F466" s="56" t="n"/>
      <c r="G466" s="56" t="n"/>
      <c r="H466" s="56" t="n"/>
      <c r="I466" s="56" t="n"/>
      <c r="J466" s="56" t="n"/>
      <c r="K466" s="56" t="n"/>
      <c r="L466" s="56" t="n"/>
    </row>
    <row r="467" ht="22" customHeight="1">
      <c r="A467" s="55" t="n"/>
      <c r="B467" s="41">
        <f>'設定'!$I$22</f>
        <v/>
      </c>
      <c r="C467" s="56" t="n"/>
      <c r="D467" s="56" t="n"/>
      <c r="E467" s="56" t="n"/>
      <c r="F467" s="56" t="n"/>
      <c r="G467" s="56" t="n"/>
      <c r="H467" s="56" t="n"/>
      <c r="I467" s="56" t="n"/>
      <c r="J467" s="56" t="n"/>
      <c r="K467" s="56" t="n"/>
      <c r="L467" s="56" t="n"/>
    </row>
    <row r="468"/>
    <row r="469" ht="26" customHeight="1">
      <c r="B469" s="51">
        <f>IF('名簿'!B34="","（名簿 30行目：なし）",'名簿'!G34)</f>
        <v/>
      </c>
      <c r="C469" s="4" t="n"/>
      <c r="D469" s="4" t="n"/>
      <c r="E469" s="52" t="inlineStr">
        <is>
          <t>提出状況 ▶</t>
        </is>
      </c>
      <c r="F469" s="37" t="n"/>
      <c r="G469" s="29" t="n"/>
      <c r="H469" s="53" t="inlineStr">
        <is>
          <t>状況：</t>
        </is>
      </c>
      <c r="I469" s="54">
        <f>'名簿'!H34</f>
        <v/>
      </c>
      <c r="J469" s="53" t="inlineStr">
        <is>
          <t>×の数：</t>
        </is>
      </c>
      <c r="K469" s="54">
        <f>'名簿'!I34</f>
        <v/>
      </c>
      <c r="L469" s="4" t="n"/>
    </row>
    <row r="470" ht="22" customHeight="1">
      <c r="A470" s="30" t="inlineStr">
        <is>
          <t>この日全部 ▶</t>
        </is>
      </c>
      <c r="C470" s="55" t="n"/>
      <c r="D470" s="55" t="n"/>
      <c r="E470" s="55" t="n"/>
      <c r="F470" s="55" t="n"/>
      <c r="G470" s="55" t="n"/>
      <c r="H470" s="55" t="n"/>
      <c r="I470" s="55" t="n"/>
      <c r="J470" s="55" t="n"/>
      <c r="K470" s="55" t="n"/>
      <c r="L470" s="55" t="n"/>
    </row>
    <row r="471" ht="28" customHeight="1">
      <c r="A471" s="33" t="inlineStr">
        <is>
          <t>この時間
全部 ▼</t>
        </is>
      </c>
      <c r="B471" s="34" t="inlineStr"/>
      <c r="C471" s="32">
        <f>'設定'!$E$11</f>
        <v/>
      </c>
      <c r="D471" s="32">
        <f>'設定'!$E$12</f>
        <v/>
      </c>
      <c r="E471" s="32">
        <f>'設定'!$E$13</f>
        <v/>
      </c>
      <c r="F471" s="32">
        <f>'設定'!$E$14</f>
        <v/>
      </c>
      <c r="G471" s="32">
        <f>'設定'!$E$15</f>
        <v/>
      </c>
      <c r="H471" s="32">
        <f>'設定'!$E$16</f>
        <v/>
      </c>
      <c r="I471" s="32">
        <f>'設定'!$E$17</f>
        <v/>
      </c>
      <c r="J471" s="32">
        <f>'設定'!$E$18</f>
        <v/>
      </c>
      <c r="K471" s="32">
        <f>'設定'!$E$19</f>
        <v/>
      </c>
      <c r="L471" s="32">
        <f>'設定'!$E$20</f>
        <v/>
      </c>
    </row>
    <row r="472" ht="22" customHeight="1">
      <c r="A472" s="55" t="n"/>
      <c r="B472" s="41">
        <f>'設定'!$I$11</f>
        <v/>
      </c>
      <c r="C472" s="56" t="n"/>
      <c r="D472" s="56" t="n"/>
      <c r="E472" s="56" t="n"/>
      <c r="F472" s="56" t="n"/>
      <c r="G472" s="56" t="n"/>
      <c r="H472" s="56" t="n"/>
      <c r="I472" s="56" t="n"/>
      <c r="J472" s="56" t="n"/>
      <c r="K472" s="56" t="n"/>
      <c r="L472" s="56" t="n"/>
    </row>
    <row r="473" ht="22" customHeight="1">
      <c r="A473" s="55" t="n"/>
      <c r="B473" s="41">
        <f>'設定'!$I$12</f>
        <v/>
      </c>
      <c r="C473" s="56" t="n"/>
      <c r="D473" s="56" t="n"/>
      <c r="E473" s="56" t="n"/>
      <c r="F473" s="56" t="n"/>
      <c r="G473" s="56" t="n"/>
      <c r="H473" s="56" t="n"/>
      <c r="I473" s="56" t="n"/>
      <c r="J473" s="56" t="n"/>
      <c r="K473" s="56" t="n"/>
      <c r="L473" s="56" t="n"/>
    </row>
    <row r="474" ht="22" customHeight="1">
      <c r="A474" s="55" t="n"/>
      <c r="B474" s="41">
        <f>'設定'!$I$13</f>
        <v/>
      </c>
      <c r="C474" s="56" t="n"/>
      <c r="D474" s="56" t="n"/>
      <c r="E474" s="56" t="n"/>
      <c r="F474" s="56" t="n"/>
      <c r="G474" s="56" t="n"/>
      <c r="H474" s="56" t="n"/>
      <c r="I474" s="56" t="n"/>
      <c r="J474" s="56" t="n"/>
      <c r="K474" s="56" t="n"/>
      <c r="L474" s="56" t="n"/>
    </row>
    <row r="475" ht="22" customHeight="1">
      <c r="A475" s="55" t="n"/>
      <c r="B475" s="41">
        <f>'設定'!$I$14</f>
        <v/>
      </c>
      <c r="C475" s="56" t="n"/>
      <c r="D475" s="56" t="n"/>
      <c r="E475" s="56" t="n"/>
      <c r="F475" s="56" t="n"/>
      <c r="G475" s="56" t="n"/>
      <c r="H475" s="56" t="n"/>
      <c r="I475" s="56" t="n"/>
      <c r="J475" s="56" t="n"/>
      <c r="K475" s="56" t="n"/>
      <c r="L475" s="56" t="n"/>
    </row>
    <row r="476" ht="22" customHeight="1">
      <c r="A476" s="55" t="n"/>
      <c r="B476" s="41">
        <f>'設定'!$I$15</f>
        <v/>
      </c>
      <c r="C476" s="56" t="n"/>
      <c r="D476" s="56" t="n"/>
      <c r="E476" s="56" t="n"/>
      <c r="F476" s="56" t="n"/>
      <c r="G476" s="56" t="n"/>
      <c r="H476" s="56" t="n"/>
      <c r="I476" s="56" t="n"/>
      <c r="J476" s="56" t="n"/>
      <c r="K476" s="56" t="n"/>
      <c r="L476" s="56" t="n"/>
    </row>
    <row r="477" ht="22" customHeight="1">
      <c r="A477" s="55" t="n"/>
      <c r="B477" s="41">
        <f>'設定'!$I$16</f>
        <v/>
      </c>
      <c r="C477" s="56" t="n"/>
      <c r="D477" s="56" t="n"/>
      <c r="E477" s="56" t="n"/>
      <c r="F477" s="56" t="n"/>
      <c r="G477" s="56" t="n"/>
      <c r="H477" s="56" t="n"/>
      <c r="I477" s="56" t="n"/>
      <c r="J477" s="56" t="n"/>
      <c r="K477" s="56" t="n"/>
      <c r="L477" s="56" t="n"/>
    </row>
    <row r="478" ht="22" customHeight="1">
      <c r="A478" s="55" t="n"/>
      <c r="B478" s="41">
        <f>'設定'!$I$17</f>
        <v/>
      </c>
      <c r="C478" s="56" t="n"/>
      <c r="D478" s="56" t="n"/>
      <c r="E478" s="56" t="n"/>
      <c r="F478" s="56" t="n"/>
      <c r="G478" s="56" t="n"/>
      <c r="H478" s="56" t="n"/>
      <c r="I478" s="56" t="n"/>
      <c r="J478" s="56" t="n"/>
      <c r="K478" s="56" t="n"/>
      <c r="L478" s="56" t="n"/>
    </row>
    <row r="479" ht="22" customHeight="1">
      <c r="A479" s="55" t="n"/>
      <c r="B479" s="41">
        <f>'設定'!$I$18</f>
        <v/>
      </c>
      <c r="C479" s="56" t="n"/>
      <c r="D479" s="56" t="n"/>
      <c r="E479" s="56" t="n"/>
      <c r="F479" s="56" t="n"/>
      <c r="G479" s="56" t="n"/>
      <c r="H479" s="56" t="n"/>
      <c r="I479" s="56" t="n"/>
      <c r="J479" s="56" t="n"/>
      <c r="K479" s="56" t="n"/>
      <c r="L479" s="56" t="n"/>
    </row>
    <row r="480" ht="22" customHeight="1">
      <c r="A480" s="55" t="n"/>
      <c r="B480" s="41">
        <f>'設定'!$I$19</f>
        <v/>
      </c>
      <c r="C480" s="56" t="n"/>
      <c r="D480" s="56" t="n"/>
      <c r="E480" s="56" t="n"/>
      <c r="F480" s="56" t="n"/>
      <c r="G480" s="56" t="n"/>
      <c r="H480" s="56" t="n"/>
      <c r="I480" s="56" t="n"/>
      <c r="J480" s="56" t="n"/>
      <c r="K480" s="56" t="n"/>
      <c r="L480" s="56" t="n"/>
    </row>
    <row r="481" ht="22" customHeight="1">
      <c r="A481" s="55" t="n"/>
      <c r="B481" s="41">
        <f>'設定'!$I$20</f>
        <v/>
      </c>
      <c r="C481" s="56" t="n"/>
      <c r="D481" s="56" t="n"/>
      <c r="E481" s="56" t="n"/>
      <c r="F481" s="56" t="n"/>
      <c r="G481" s="56" t="n"/>
      <c r="H481" s="56" t="n"/>
      <c r="I481" s="56" t="n"/>
      <c r="J481" s="56" t="n"/>
      <c r="K481" s="56" t="n"/>
      <c r="L481" s="56" t="n"/>
    </row>
    <row r="482" ht="22" customHeight="1">
      <c r="A482" s="55" t="n"/>
      <c r="B482" s="41">
        <f>'設定'!$I$21</f>
        <v/>
      </c>
      <c r="C482" s="56" t="n"/>
      <c r="D482" s="56" t="n"/>
      <c r="E482" s="56" t="n"/>
      <c r="F482" s="56" t="n"/>
      <c r="G482" s="56" t="n"/>
      <c r="H482" s="56" t="n"/>
      <c r="I482" s="56" t="n"/>
      <c r="J482" s="56" t="n"/>
      <c r="K482" s="56" t="n"/>
      <c r="L482" s="56" t="n"/>
    </row>
    <row r="483" ht="22" customHeight="1">
      <c r="A483" s="55" t="n"/>
      <c r="B483" s="41">
        <f>'設定'!$I$22</f>
        <v/>
      </c>
      <c r="C483" s="56" t="n"/>
      <c r="D483" s="56" t="n"/>
      <c r="E483" s="56" t="n"/>
      <c r="F483" s="56" t="n"/>
      <c r="G483" s="56" t="n"/>
      <c r="H483" s="56" t="n"/>
      <c r="I483" s="56" t="n"/>
      <c r="J483" s="56" t="n"/>
      <c r="K483" s="56" t="n"/>
      <c r="L483" s="56" t="n"/>
    </row>
    <row r="484"/>
    <row r="485" ht="26" customHeight="1">
      <c r="B485" s="51">
        <f>IF('名簿'!B35="","（名簿 31行目：なし）",'名簿'!G35)</f>
        <v/>
      </c>
      <c r="C485" s="4" t="n"/>
      <c r="D485" s="4" t="n"/>
      <c r="E485" s="52" t="inlineStr">
        <is>
          <t>提出状況 ▶</t>
        </is>
      </c>
      <c r="F485" s="37" t="n"/>
      <c r="G485" s="29" t="n"/>
      <c r="H485" s="53" t="inlineStr">
        <is>
          <t>状況：</t>
        </is>
      </c>
      <c r="I485" s="54">
        <f>'名簿'!H35</f>
        <v/>
      </c>
      <c r="J485" s="53" t="inlineStr">
        <is>
          <t>×の数：</t>
        </is>
      </c>
      <c r="K485" s="54">
        <f>'名簿'!I35</f>
        <v/>
      </c>
      <c r="L485" s="4" t="n"/>
    </row>
    <row r="486" ht="22" customHeight="1">
      <c r="A486" s="30" t="inlineStr">
        <is>
          <t>この日全部 ▶</t>
        </is>
      </c>
      <c r="C486" s="55" t="n"/>
      <c r="D486" s="55" t="n"/>
      <c r="E486" s="55" t="n"/>
      <c r="F486" s="55" t="n"/>
      <c r="G486" s="55" t="n"/>
      <c r="H486" s="55" t="n"/>
      <c r="I486" s="55" t="n"/>
      <c r="J486" s="55" t="n"/>
      <c r="K486" s="55" t="n"/>
      <c r="L486" s="55" t="n"/>
    </row>
    <row r="487" ht="28" customHeight="1">
      <c r="A487" s="33" t="inlineStr">
        <is>
          <t>この時間
全部 ▼</t>
        </is>
      </c>
      <c r="B487" s="34" t="inlineStr"/>
      <c r="C487" s="32">
        <f>'設定'!$E$11</f>
        <v/>
      </c>
      <c r="D487" s="32">
        <f>'設定'!$E$12</f>
        <v/>
      </c>
      <c r="E487" s="32">
        <f>'設定'!$E$13</f>
        <v/>
      </c>
      <c r="F487" s="32">
        <f>'設定'!$E$14</f>
        <v/>
      </c>
      <c r="G487" s="32">
        <f>'設定'!$E$15</f>
        <v/>
      </c>
      <c r="H487" s="32">
        <f>'設定'!$E$16</f>
        <v/>
      </c>
      <c r="I487" s="32">
        <f>'設定'!$E$17</f>
        <v/>
      </c>
      <c r="J487" s="32">
        <f>'設定'!$E$18</f>
        <v/>
      </c>
      <c r="K487" s="32">
        <f>'設定'!$E$19</f>
        <v/>
      </c>
      <c r="L487" s="32">
        <f>'設定'!$E$20</f>
        <v/>
      </c>
    </row>
    <row r="488" ht="22" customHeight="1">
      <c r="A488" s="55" t="n"/>
      <c r="B488" s="41">
        <f>'設定'!$I$11</f>
        <v/>
      </c>
      <c r="C488" s="56" t="n"/>
      <c r="D488" s="56" t="n"/>
      <c r="E488" s="56" t="n"/>
      <c r="F488" s="56" t="n"/>
      <c r="G488" s="56" t="n"/>
      <c r="H488" s="56" t="n"/>
      <c r="I488" s="56" t="n"/>
      <c r="J488" s="56" t="n"/>
      <c r="K488" s="56" t="n"/>
      <c r="L488" s="56" t="n"/>
    </row>
    <row r="489" ht="22" customHeight="1">
      <c r="A489" s="55" t="n"/>
      <c r="B489" s="41">
        <f>'設定'!$I$12</f>
        <v/>
      </c>
      <c r="C489" s="56" t="n"/>
      <c r="D489" s="56" t="n"/>
      <c r="E489" s="56" t="n"/>
      <c r="F489" s="56" t="n"/>
      <c r="G489" s="56" t="n"/>
      <c r="H489" s="56" t="n"/>
      <c r="I489" s="56" t="n"/>
      <c r="J489" s="56" t="n"/>
      <c r="K489" s="56" t="n"/>
      <c r="L489" s="56" t="n"/>
    </row>
    <row r="490" ht="22" customHeight="1">
      <c r="A490" s="55" t="n"/>
      <c r="B490" s="41">
        <f>'設定'!$I$13</f>
        <v/>
      </c>
      <c r="C490" s="56" t="n"/>
      <c r="D490" s="56" t="n"/>
      <c r="E490" s="56" t="n"/>
      <c r="F490" s="56" t="n"/>
      <c r="G490" s="56" t="n"/>
      <c r="H490" s="56" t="n"/>
      <c r="I490" s="56" t="n"/>
      <c r="J490" s="56" t="n"/>
      <c r="K490" s="56" t="n"/>
      <c r="L490" s="56" t="n"/>
    </row>
    <row r="491" ht="22" customHeight="1">
      <c r="A491" s="55" t="n"/>
      <c r="B491" s="41">
        <f>'設定'!$I$14</f>
        <v/>
      </c>
      <c r="C491" s="56" t="n"/>
      <c r="D491" s="56" t="n"/>
      <c r="E491" s="56" t="n"/>
      <c r="F491" s="56" t="n"/>
      <c r="G491" s="56" t="n"/>
      <c r="H491" s="56" t="n"/>
      <c r="I491" s="56" t="n"/>
      <c r="J491" s="56" t="n"/>
      <c r="K491" s="56" t="n"/>
      <c r="L491" s="56" t="n"/>
    </row>
    <row r="492" ht="22" customHeight="1">
      <c r="A492" s="55" t="n"/>
      <c r="B492" s="41">
        <f>'設定'!$I$15</f>
        <v/>
      </c>
      <c r="C492" s="56" t="n"/>
      <c r="D492" s="56" t="n"/>
      <c r="E492" s="56" t="n"/>
      <c r="F492" s="56" t="n"/>
      <c r="G492" s="56" t="n"/>
      <c r="H492" s="56" t="n"/>
      <c r="I492" s="56" t="n"/>
      <c r="J492" s="56" t="n"/>
      <c r="K492" s="56" t="n"/>
      <c r="L492" s="56" t="n"/>
    </row>
    <row r="493" ht="22" customHeight="1">
      <c r="A493" s="55" t="n"/>
      <c r="B493" s="41">
        <f>'設定'!$I$16</f>
        <v/>
      </c>
      <c r="C493" s="56" t="n"/>
      <c r="D493" s="56" t="n"/>
      <c r="E493" s="56" t="n"/>
      <c r="F493" s="56" t="n"/>
      <c r="G493" s="56" t="n"/>
      <c r="H493" s="56" t="n"/>
      <c r="I493" s="56" t="n"/>
      <c r="J493" s="56" t="n"/>
      <c r="K493" s="56" t="n"/>
      <c r="L493" s="56" t="n"/>
    </row>
    <row r="494" ht="22" customHeight="1">
      <c r="A494" s="55" t="n"/>
      <c r="B494" s="41">
        <f>'設定'!$I$17</f>
        <v/>
      </c>
      <c r="C494" s="56" t="n"/>
      <c r="D494" s="56" t="n"/>
      <c r="E494" s="56" t="n"/>
      <c r="F494" s="56" t="n"/>
      <c r="G494" s="56" t="n"/>
      <c r="H494" s="56" t="n"/>
      <c r="I494" s="56" t="n"/>
      <c r="J494" s="56" t="n"/>
      <c r="K494" s="56" t="n"/>
      <c r="L494" s="56" t="n"/>
    </row>
    <row r="495" ht="22" customHeight="1">
      <c r="A495" s="55" t="n"/>
      <c r="B495" s="41">
        <f>'設定'!$I$18</f>
        <v/>
      </c>
      <c r="C495" s="56" t="n"/>
      <c r="D495" s="56" t="n"/>
      <c r="E495" s="56" t="n"/>
      <c r="F495" s="56" t="n"/>
      <c r="G495" s="56" t="n"/>
      <c r="H495" s="56" t="n"/>
      <c r="I495" s="56" t="n"/>
      <c r="J495" s="56" t="n"/>
      <c r="K495" s="56" t="n"/>
      <c r="L495" s="56" t="n"/>
    </row>
    <row r="496" ht="22" customHeight="1">
      <c r="A496" s="55" t="n"/>
      <c r="B496" s="41">
        <f>'設定'!$I$19</f>
        <v/>
      </c>
      <c r="C496" s="56" t="n"/>
      <c r="D496" s="56" t="n"/>
      <c r="E496" s="56" t="n"/>
      <c r="F496" s="56" t="n"/>
      <c r="G496" s="56" t="n"/>
      <c r="H496" s="56" t="n"/>
      <c r="I496" s="56" t="n"/>
      <c r="J496" s="56" t="n"/>
      <c r="K496" s="56" t="n"/>
      <c r="L496" s="56" t="n"/>
    </row>
    <row r="497" ht="22" customHeight="1">
      <c r="A497" s="55" t="n"/>
      <c r="B497" s="41">
        <f>'設定'!$I$20</f>
        <v/>
      </c>
      <c r="C497" s="56" t="n"/>
      <c r="D497" s="56" t="n"/>
      <c r="E497" s="56" t="n"/>
      <c r="F497" s="56" t="n"/>
      <c r="G497" s="56" t="n"/>
      <c r="H497" s="56" t="n"/>
      <c r="I497" s="56" t="n"/>
      <c r="J497" s="56" t="n"/>
      <c r="K497" s="56" t="n"/>
      <c r="L497" s="56" t="n"/>
    </row>
    <row r="498" ht="22" customHeight="1">
      <c r="A498" s="55" t="n"/>
      <c r="B498" s="41">
        <f>'設定'!$I$21</f>
        <v/>
      </c>
      <c r="C498" s="56" t="n"/>
      <c r="D498" s="56" t="n"/>
      <c r="E498" s="56" t="n"/>
      <c r="F498" s="56" t="n"/>
      <c r="G498" s="56" t="n"/>
      <c r="H498" s="56" t="n"/>
      <c r="I498" s="56" t="n"/>
      <c r="J498" s="56" t="n"/>
      <c r="K498" s="56" t="n"/>
      <c r="L498" s="56" t="n"/>
    </row>
    <row r="499" ht="22" customHeight="1">
      <c r="A499" s="55" t="n"/>
      <c r="B499" s="41">
        <f>'設定'!$I$22</f>
        <v/>
      </c>
      <c r="C499" s="56" t="n"/>
      <c r="D499" s="56" t="n"/>
      <c r="E499" s="56" t="n"/>
      <c r="F499" s="56" t="n"/>
      <c r="G499" s="56" t="n"/>
      <c r="H499" s="56" t="n"/>
      <c r="I499" s="56" t="n"/>
      <c r="J499" s="56" t="n"/>
      <c r="K499" s="56" t="n"/>
      <c r="L499" s="56" t="n"/>
    </row>
    <row r="500"/>
    <row r="501" ht="26" customHeight="1">
      <c r="B501" s="51">
        <f>IF('名簿'!B36="","（名簿 32行目：なし）",'名簿'!G36)</f>
        <v/>
      </c>
      <c r="C501" s="4" t="n"/>
      <c r="D501" s="4" t="n"/>
      <c r="E501" s="52" t="inlineStr">
        <is>
          <t>提出状況 ▶</t>
        </is>
      </c>
      <c r="F501" s="37" t="n"/>
      <c r="G501" s="29" t="n"/>
      <c r="H501" s="53" t="inlineStr">
        <is>
          <t>状況：</t>
        </is>
      </c>
      <c r="I501" s="54">
        <f>'名簿'!H36</f>
        <v/>
      </c>
      <c r="J501" s="53" t="inlineStr">
        <is>
          <t>×の数：</t>
        </is>
      </c>
      <c r="K501" s="54">
        <f>'名簿'!I36</f>
        <v/>
      </c>
      <c r="L501" s="4" t="n"/>
    </row>
    <row r="502" ht="22" customHeight="1">
      <c r="A502" s="30" t="inlineStr">
        <is>
          <t>この日全部 ▶</t>
        </is>
      </c>
      <c r="C502" s="55" t="n"/>
      <c r="D502" s="55" t="n"/>
      <c r="E502" s="55" t="n"/>
      <c r="F502" s="55" t="n"/>
      <c r="G502" s="55" t="n"/>
      <c r="H502" s="55" t="n"/>
      <c r="I502" s="55" t="n"/>
      <c r="J502" s="55" t="n"/>
      <c r="K502" s="55" t="n"/>
      <c r="L502" s="55" t="n"/>
    </row>
    <row r="503" ht="28" customHeight="1">
      <c r="A503" s="33" t="inlineStr">
        <is>
          <t>この時間
全部 ▼</t>
        </is>
      </c>
      <c r="B503" s="34" t="inlineStr"/>
      <c r="C503" s="32">
        <f>'設定'!$E$11</f>
        <v/>
      </c>
      <c r="D503" s="32">
        <f>'設定'!$E$12</f>
        <v/>
      </c>
      <c r="E503" s="32">
        <f>'設定'!$E$13</f>
        <v/>
      </c>
      <c r="F503" s="32">
        <f>'設定'!$E$14</f>
        <v/>
      </c>
      <c r="G503" s="32">
        <f>'設定'!$E$15</f>
        <v/>
      </c>
      <c r="H503" s="32">
        <f>'設定'!$E$16</f>
        <v/>
      </c>
      <c r="I503" s="32">
        <f>'設定'!$E$17</f>
        <v/>
      </c>
      <c r="J503" s="32">
        <f>'設定'!$E$18</f>
        <v/>
      </c>
      <c r="K503" s="32">
        <f>'設定'!$E$19</f>
        <v/>
      </c>
      <c r="L503" s="32">
        <f>'設定'!$E$20</f>
        <v/>
      </c>
    </row>
    <row r="504" ht="22" customHeight="1">
      <c r="A504" s="55" t="n"/>
      <c r="B504" s="41">
        <f>'設定'!$I$11</f>
        <v/>
      </c>
      <c r="C504" s="56" t="n"/>
      <c r="D504" s="56" t="n"/>
      <c r="E504" s="56" t="n"/>
      <c r="F504" s="56" t="n"/>
      <c r="G504" s="56" t="n"/>
      <c r="H504" s="56" t="n"/>
      <c r="I504" s="56" t="n"/>
      <c r="J504" s="56" t="n"/>
      <c r="K504" s="56" t="n"/>
      <c r="L504" s="56" t="n"/>
    </row>
    <row r="505" ht="22" customHeight="1">
      <c r="A505" s="55" t="n"/>
      <c r="B505" s="41">
        <f>'設定'!$I$12</f>
        <v/>
      </c>
      <c r="C505" s="56" t="n"/>
      <c r="D505" s="56" t="n"/>
      <c r="E505" s="56" t="n"/>
      <c r="F505" s="56" t="n"/>
      <c r="G505" s="56" t="n"/>
      <c r="H505" s="56" t="n"/>
      <c r="I505" s="56" t="n"/>
      <c r="J505" s="56" t="n"/>
      <c r="K505" s="56" t="n"/>
      <c r="L505" s="56" t="n"/>
    </row>
    <row r="506" ht="22" customHeight="1">
      <c r="A506" s="55" t="n"/>
      <c r="B506" s="41">
        <f>'設定'!$I$13</f>
        <v/>
      </c>
      <c r="C506" s="56" t="n"/>
      <c r="D506" s="56" t="n"/>
      <c r="E506" s="56" t="n"/>
      <c r="F506" s="56" t="n"/>
      <c r="G506" s="56" t="n"/>
      <c r="H506" s="56" t="n"/>
      <c r="I506" s="56" t="n"/>
      <c r="J506" s="56" t="n"/>
      <c r="K506" s="56" t="n"/>
      <c r="L506" s="56" t="n"/>
    </row>
    <row r="507" ht="22" customHeight="1">
      <c r="A507" s="55" t="n"/>
      <c r="B507" s="41">
        <f>'設定'!$I$14</f>
        <v/>
      </c>
      <c r="C507" s="56" t="n"/>
      <c r="D507" s="56" t="n"/>
      <c r="E507" s="56" t="n"/>
      <c r="F507" s="56" t="n"/>
      <c r="G507" s="56" t="n"/>
      <c r="H507" s="56" t="n"/>
      <c r="I507" s="56" t="n"/>
      <c r="J507" s="56" t="n"/>
      <c r="K507" s="56" t="n"/>
      <c r="L507" s="56" t="n"/>
    </row>
    <row r="508" ht="22" customHeight="1">
      <c r="A508" s="55" t="n"/>
      <c r="B508" s="41">
        <f>'設定'!$I$15</f>
        <v/>
      </c>
      <c r="C508" s="56" t="n"/>
      <c r="D508" s="56" t="n"/>
      <c r="E508" s="56" t="n"/>
      <c r="F508" s="56" t="n"/>
      <c r="G508" s="56" t="n"/>
      <c r="H508" s="56" t="n"/>
      <c r="I508" s="56" t="n"/>
      <c r="J508" s="56" t="n"/>
      <c r="K508" s="56" t="n"/>
      <c r="L508" s="56" t="n"/>
    </row>
    <row r="509" ht="22" customHeight="1">
      <c r="A509" s="55" t="n"/>
      <c r="B509" s="41">
        <f>'設定'!$I$16</f>
        <v/>
      </c>
      <c r="C509" s="56" t="n"/>
      <c r="D509" s="56" t="n"/>
      <c r="E509" s="56" t="n"/>
      <c r="F509" s="56" t="n"/>
      <c r="G509" s="56" t="n"/>
      <c r="H509" s="56" t="n"/>
      <c r="I509" s="56" t="n"/>
      <c r="J509" s="56" t="n"/>
      <c r="K509" s="56" t="n"/>
      <c r="L509" s="56" t="n"/>
    </row>
    <row r="510" ht="22" customHeight="1">
      <c r="A510" s="55" t="n"/>
      <c r="B510" s="41">
        <f>'設定'!$I$17</f>
        <v/>
      </c>
      <c r="C510" s="56" t="n"/>
      <c r="D510" s="56" t="n"/>
      <c r="E510" s="56" t="n"/>
      <c r="F510" s="56" t="n"/>
      <c r="G510" s="56" t="n"/>
      <c r="H510" s="56" t="n"/>
      <c r="I510" s="56" t="n"/>
      <c r="J510" s="56" t="n"/>
      <c r="K510" s="56" t="n"/>
      <c r="L510" s="56" t="n"/>
    </row>
    <row r="511" ht="22" customHeight="1">
      <c r="A511" s="55" t="n"/>
      <c r="B511" s="41">
        <f>'設定'!$I$18</f>
        <v/>
      </c>
      <c r="C511" s="56" t="n"/>
      <c r="D511" s="56" t="n"/>
      <c r="E511" s="56" t="n"/>
      <c r="F511" s="56" t="n"/>
      <c r="G511" s="56" t="n"/>
      <c r="H511" s="56" t="n"/>
      <c r="I511" s="56" t="n"/>
      <c r="J511" s="56" t="n"/>
      <c r="K511" s="56" t="n"/>
      <c r="L511" s="56" t="n"/>
    </row>
    <row r="512" ht="22" customHeight="1">
      <c r="A512" s="55" t="n"/>
      <c r="B512" s="41">
        <f>'設定'!$I$19</f>
        <v/>
      </c>
      <c r="C512" s="56" t="n"/>
      <c r="D512" s="56" t="n"/>
      <c r="E512" s="56" t="n"/>
      <c r="F512" s="56" t="n"/>
      <c r="G512" s="56" t="n"/>
      <c r="H512" s="56" t="n"/>
      <c r="I512" s="56" t="n"/>
      <c r="J512" s="56" t="n"/>
      <c r="K512" s="56" t="n"/>
      <c r="L512" s="56" t="n"/>
    </row>
    <row r="513" ht="22" customHeight="1">
      <c r="A513" s="55" t="n"/>
      <c r="B513" s="41">
        <f>'設定'!$I$20</f>
        <v/>
      </c>
      <c r="C513" s="56" t="n"/>
      <c r="D513" s="56" t="n"/>
      <c r="E513" s="56" t="n"/>
      <c r="F513" s="56" t="n"/>
      <c r="G513" s="56" t="n"/>
      <c r="H513" s="56" t="n"/>
      <c r="I513" s="56" t="n"/>
      <c r="J513" s="56" t="n"/>
      <c r="K513" s="56" t="n"/>
      <c r="L513" s="56" t="n"/>
    </row>
    <row r="514" ht="22" customHeight="1">
      <c r="A514" s="55" t="n"/>
      <c r="B514" s="41">
        <f>'設定'!$I$21</f>
        <v/>
      </c>
      <c r="C514" s="56" t="n"/>
      <c r="D514" s="56" t="n"/>
      <c r="E514" s="56" t="n"/>
      <c r="F514" s="56" t="n"/>
      <c r="G514" s="56" t="n"/>
      <c r="H514" s="56" t="n"/>
      <c r="I514" s="56" t="n"/>
      <c r="J514" s="56" t="n"/>
      <c r="K514" s="56" t="n"/>
      <c r="L514" s="56" t="n"/>
    </row>
    <row r="515" ht="22" customHeight="1">
      <c r="A515" s="55" t="n"/>
      <c r="B515" s="41">
        <f>'設定'!$I$22</f>
        <v/>
      </c>
      <c r="C515" s="56" t="n"/>
      <c r="D515" s="56" t="n"/>
      <c r="E515" s="56" t="n"/>
      <c r="F515" s="56" t="n"/>
      <c r="G515" s="56" t="n"/>
      <c r="H515" s="56" t="n"/>
      <c r="I515" s="56" t="n"/>
      <c r="J515" s="56" t="n"/>
      <c r="K515" s="56" t="n"/>
      <c r="L515" s="56" t="n"/>
    </row>
    <row r="516"/>
    <row r="517" ht="26" customHeight="1">
      <c r="B517" s="51">
        <f>IF('名簿'!B37="","（名簿 33行目：なし）",'名簿'!G37)</f>
        <v/>
      </c>
      <c r="C517" s="4" t="n"/>
      <c r="D517" s="4" t="n"/>
      <c r="E517" s="52" t="inlineStr">
        <is>
          <t>提出状況 ▶</t>
        </is>
      </c>
      <c r="F517" s="37" t="n"/>
      <c r="G517" s="29" t="n"/>
      <c r="H517" s="53" t="inlineStr">
        <is>
          <t>状況：</t>
        </is>
      </c>
      <c r="I517" s="54">
        <f>'名簿'!H37</f>
        <v/>
      </c>
      <c r="J517" s="53" t="inlineStr">
        <is>
          <t>×の数：</t>
        </is>
      </c>
      <c r="K517" s="54">
        <f>'名簿'!I37</f>
        <v/>
      </c>
      <c r="L517" s="4" t="n"/>
    </row>
    <row r="518" ht="22" customHeight="1">
      <c r="A518" s="30" t="inlineStr">
        <is>
          <t>この日全部 ▶</t>
        </is>
      </c>
      <c r="C518" s="55" t="n"/>
      <c r="D518" s="55" t="n"/>
      <c r="E518" s="55" t="n"/>
      <c r="F518" s="55" t="n"/>
      <c r="G518" s="55" t="n"/>
      <c r="H518" s="55" t="n"/>
      <c r="I518" s="55" t="n"/>
      <c r="J518" s="55" t="n"/>
      <c r="K518" s="55" t="n"/>
      <c r="L518" s="55" t="n"/>
    </row>
    <row r="519" ht="28" customHeight="1">
      <c r="A519" s="33" t="inlineStr">
        <is>
          <t>この時間
全部 ▼</t>
        </is>
      </c>
      <c r="B519" s="34" t="inlineStr"/>
      <c r="C519" s="32">
        <f>'設定'!$E$11</f>
        <v/>
      </c>
      <c r="D519" s="32">
        <f>'設定'!$E$12</f>
        <v/>
      </c>
      <c r="E519" s="32">
        <f>'設定'!$E$13</f>
        <v/>
      </c>
      <c r="F519" s="32">
        <f>'設定'!$E$14</f>
        <v/>
      </c>
      <c r="G519" s="32">
        <f>'設定'!$E$15</f>
        <v/>
      </c>
      <c r="H519" s="32">
        <f>'設定'!$E$16</f>
        <v/>
      </c>
      <c r="I519" s="32">
        <f>'設定'!$E$17</f>
        <v/>
      </c>
      <c r="J519" s="32">
        <f>'設定'!$E$18</f>
        <v/>
      </c>
      <c r="K519" s="32">
        <f>'設定'!$E$19</f>
        <v/>
      </c>
      <c r="L519" s="32">
        <f>'設定'!$E$20</f>
        <v/>
      </c>
    </row>
    <row r="520" ht="22" customHeight="1">
      <c r="A520" s="55" t="n"/>
      <c r="B520" s="41">
        <f>'設定'!$I$11</f>
        <v/>
      </c>
      <c r="C520" s="56" t="n"/>
      <c r="D520" s="56" t="n"/>
      <c r="E520" s="56" t="n"/>
      <c r="F520" s="56" t="n"/>
      <c r="G520" s="56" t="n"/>
      <c r="H520" s="56" t="n"/>
      <c r="I520" s="56" t="n"/>
      <c r="J520" s="56" t="n"/>
      <c r="K520" s="56" t="n"/>
      <c r="L520" s="56" t="n"/>
    </row>
    <row r="521" ht="22" customHeight="1">
      <c r="A521" s="55" t="n"/>
      <c r="B521" s="41">
        <f>'設定'!$I$12</f>
        <v/>
      </c>
      <c r="C521" s="56" t="n"/>
      <c r="D521" s="56" t="n"/>
      <c r="E521" s="56" t="n"/>
      <c r="F521" s="56" t="n"/>
      <c r="G521" s="56" t="n"/>
      <c r="H521" s="56" t="n"/>
      <c r="I521" s="56" t="n"/>
      <c r="J521" s="56" t="n"/>
      <c r="K521" s="56" t="n"/>
      <c r="L521" s="56" t="n"/>
    </row>
    <row r="522" ht="22" customHeight="1">
      <c r="A522" s="55" t="n"/>
      <c r="B522" s="41">
        <f>'設定'!$I$13</f>
        <v/>
      </c>
      <c r="C522" s="56" t="n"/>
      <c r="D522" s="56" t="n"/>
      <c r="E522" s="56" t="n"/>
      <c r="F522" s="56" t="n"/>
      <c r="G522" s="56" t="n"/>
      <c r="H522" s="56" t="n"/>
      <c r="I522" s="56" t="n"/>
      <c r="J522" s="56" t="n"/>
      <c r="K522" s="56" t="n"/>
      <c r="L522" s="56" t="n"/>
    </row>
    <row r="523" ht="22" customHeight="1">
      <c r="A523" s="55" t="n"/>
      <c r="B523" s="41">
        <f>'設定'!$I$14</f>
        <v/>
      </c>
      <c r="C523" s="56" t="n"/>
      <c r="D523" s="56" t="n"/>
      <c r="E523" s="56" t="n"/>
      <c r="F523" s="56" t="n"/>
      <c r="G523" s="56" t="n"/>
      <c r="H523" s="56" t="n"/>
      <c r="I523" s="56" t="n"/>
      <c r="J523" s="56" t="n"/>
      <c r="K523" s="56" t="n"/>
      <c r="L523" s="56" t="n"/>
    </row>
    <row r="524" ht="22" customHeight="1">
      <c r="A524" s="55" t="n"/>
      <c r="B524" s="41">
        <f>'設定'!$I$15</f>
        <v/>
      </c>
      <c r="C524" s="56" t="n"/>
      <c r="D524" s="56" t="n"/>
      <c r="E524" s="56" t="n"/>
      <c r="F524" s="56" t="n"/>
      <c r="G524" s="56" t="n"/>
      <c r="H524" s="56" t="n"/>
      <c r="I524" s="56" t="n"/>
      <c r="J524" s="56" t="n"/>
      <c r="K524" s="56" t="n"/>
      <c r="L524" s="56" t="n"/>
    </row>
    <row r="525" ht="22" customHeight="1">
      <c r="A525" s="55" t="n"/>
      <c r="B525" s="41">
        <f>'設定'!$I$16</f>
        <v/>
      </c>
      <c r="C525" s="56" t="n"/>
      <c r="D525" s="56" t="n"/>
      <c r="E525" s="56" t="n"/>
      <c r="F525" s="56" t="n"/>
      <c r="G525" s="56" t="n"/>
      <c r="H525" s="56" t="n"/>
      <c r="I525" s="56" t="n"/>
      <c r="J525" s="56" t="n"/>
      <c r="K525" s="56" t="n"/>
      <c r="L525" s="56" t="n"/>
    </row>
    <row r="526" ht="22" customHeight="1">
      <c r="A526" s="55" t="n"/>
      <c r="B526" s="41">
        <f>'設定'!$I$17</f>
        <v/>
      </c>
      <c r="C526" s="56" t="n"/>
      <c r="D526" s="56" t="n"/>
      <c r="E526" s="56" t="n"/>
      <c r="F526" s="56" t="n"/>
      <c r="G526" s="56" t="n"/>
      <c r="H526" s="56" t="n"/>
      <c r="I526" s="56" t="n"/>
      <c r="J526" s="56" t="n"/>
      <c r="K526" s="56" t="n"/>
      <c r="L526" s="56" t="n"/>
    </row>
    <row r="527" ht="22" customHeight="1">
      <c r="A527" s="55" t="n"/>
      <c r="B527" s="41">
        <f>'設定'!$I$18</f>
        <v/>
      </c>
      <c r="C527" s="56" t="n"/>
      <c r="D527" s="56" t="n"/>
      <c r="E527" s="56" t="n"/>
      <c r="F527" s="56" t="n"/>
      <c r="G527" s="56" t="n"/>
      <c r="H527" s="56" t="n"/>
      <c r="I527" s="56" t="n"/>
      <c r="J527" s="56" t="n"/>
      <c r="K527" s="56" t="n"/>
      <c r="L527" s="56" t="n"/>
    </row>
    <row r="528" ht="22" customHeight="1">
      <c r="A528" s="55" t="n"/>
      <c r="B528" s="41">
        <f>'設定'!$I$19</f>
        <v/>
      </c>
      <c r="C528" s="56" t="n"/>
      <c r="D528" s="56" t="n"/>
      <c r="E528" s="56" t="n"/>
      <c r="F528" s="56" t="n"/>
      <c r="G528" s="56" t="n"/>
      <c r="H528" s="56" t="n"/>
      <c r="I528" s="56" t="n"/>
      <c r="J528" s="56" t="n"/>
      <c r="K528" s="56" t="n"/>
      <c r="L528" s="56" t="n"/>
    </row>
    <row r="529" ht="22" customHeight="1">
      <c r="A529" s="55" t="n"/>
      <c r="B529" s="41">
        <f>'設定'!$I$20</f>
        <v/>
      </c>
      <c r="C529" s="56" t="n"/>
      <c r="D529" s="56" t="n"/>
      <c r="E529" s="56" t="n"/>
      <c r="F529" s="56" t="n"/>
      <c r="G529" s="56" t="n"/>
      <c r="H529" s="56" t="n"/>
      <c r="I529" s="56" t="n"/>
      <c r="J529" s="56" t="n"/>
      <c r="K529" s="56" t="n"/>
      <c r="L529" s="56" t="n"/>
    </row>
    <row r="530" ht="22" customHeight="1">
      <c r="A530" s="55" t="n"/>
      <c r="B530" s="41">
        <f>'設定'!$I$21</f>
        <v/>
      </c>
      <c r="C530" s="56" t="n"/>
      <c r="D530" s="56" t="n"/>
      <c r="E530" s="56" t="n"/>
      <c r="F530" s="56" t="n"/>
      <c r="G530" s="56" t="n"/>
      <c r="H530" s="56" t="n"/>
      <c r="I530" s="56" t="n"/>
      <c r="J530" s="56" t="n"/>
      <c r="K530" s="56" t="n"/>
      <c r="L530" s="56" t="n"/>
    </row>
    <row r="531" ht="22" customHeight="1">
      <c r="A531" s="55" t="n"/>
      <c r="B531" s="41">
        <f>'設定'!$I$22</f>
        <v/>
      </c>
      <c r="C531" s="56" t="n"/>
      <c r="D531" s="56" t="n"/>
      <c r="E531" s="56" t="n"/>
      <c r="F531" s="56" t="n"/>
      <c r="G531" s="56" t="n"/>
      <c r="H531" s="56" t="n"/>
      <c r="I531" s="56" t="n"/>
      <c r="J531" s="56" t="n"/>
      <c r="K531" s="56" t="n"/>
      <c r="L531" s="56" t="n"/>
    </row>
    <row r="532"/>
    <row r="533" ht="26" customHeight="1">
      <c r="B533" s="51">
        <f>IF('名簿'!B38="","（名簿 34行目：なし）",'名簿'!G38)</f>
        <v/>
      </c>
      <c r="C533" s="4" t="n"/>
      <c r="D533" s="4" t="n"/>
      <c r="E533" s="52" t="inlineStr">
        <is>
          <t>提出状況 ▶</t>
        </is>
      </c>
      <c r="F533" s="37" t="n"/>
      <c r="G533" s="29" t="n"/>
      <c r="H533" s="53" t="inlineStr">
        <is>
          <t>状況：</t>
        </is>
      </c>
      <c r="I533" s="54">
        <f>'名簿'!H38</f>
        <v/>
      </c>
      <c r="J533" s="53" t="inlineStr">
        <is>
          <t>×の数：</t>
        </is>
      </c>
      <c r="K533" s="54">
        <f>'名簿'!I38</f>
        <v/>
      </c>
      <c r="L533" s="4" t="n"/>
    </row>
    <row r="534" ht="22" customHeight="1">
      <c r="A534" s="30" t="inlineStr">
        <is>
          <t>この日全部 ▶</t>
        </is>
      </c>
      <c r="C534" s="55" t="n"/>
      <c r="D534" s="55" t="n"/>
      <c r="E534" s="55" t="n"/>
      <c r="F534" s="55" t="n"/>
      <c r="G534" s="55" t="n"/>
      <c r="H534" s="55" t="n"/>
      <c r="I534" s="55" t="n"/>
      <c r="J534" s="55" t="n"/>
      <c r="K534" s="55" t="n"/>
      <c r="L534" s="55" t="n"/>
    </row>
    <row r="535" ht="28" customHeight="1">
      <c r="A535" s="33" t="inlineStr">
        <is>
          <t>この時間
全部 ▼</t>
        </is>
      </c>
      <c r="B535" s="34" t="inlineStr"/>
      <c r="C535" s="32">
        <f>'設定'!$E$11</f>
        <v/>
      </c>
      <c r="D535" s="32">
        <f>'設定'!$E$12</f>
        <v/>
      </c>
      <c r="E535" s="32">
        <f>'設定'!$E$13</f>
        <v/>
      </c>
      <c r="F535" s="32">
        <f>'設定'!$E$14</f>
        <v/>
      </c>
      <c r="G535" s="32">
        <f>'設定'!$E$15</f>
        <v/>
      </c>
      <c r="H535" s="32">
        <f>'設定'!$E$16</f>
        <v/>
      </c>
      <c r="I535" s="32">
        <f>'設定'!$E$17</f>
        <v/>
      </c>
      <c r="J535" s="32">
        <f>'設定'!$E$18</f>
        <v/>
      </c>
      <c r="K535" s="32">
        <f>'設定'!$E$19</f>
        <v/>
      </c>
      <c r="L535" s="32">
        <f>'設定'!$E$20</f>
        <v/>
      </c>
    </row>
    <row r="536" ht="22" customHeight="1">
      <c r="A536" s="55" t="n"/>
      <c r="B536" s="41">
        <f>'設定'!$I$11</f>
        <v/>
      </c>
      <c r="C536" s="56" t="n"/>
      <c r="D536" s="56" t="n"/>
      <c r="E536" s="56" t="n"/>
      <c r="F536" s="56" t="n"/>
      <c r="G536" s="56" t="n"/>
      <c r="H536" s="56" t="n"/>
      <c r="I536" s="56" t="n"/>
      <c r="J536" s="56" t="n"/>
      <c r="K536" s="56" t="n"/>
      <c r="L536" s="56" t="n"/>
    </row>
    <row r="537" ht="22" customHeight="1">
      <c r="A537" s="55" t="n"/>
      <c r="B537" s="41">
        <f>'設定'!$I$12</f>
        <v/>
      </c>
      <c r="C537" s="56" t="n"/>
      <c r="D537" s="56" t="n"/>
      <c r="E537" s="56" t="n"/>
      <c r="F537" s="56" t="n"/>
      <c r="G537" s="56" t="n"/>
      <c r="H537" s="56" t="n"/>
      <c r="I537" s="56" t="n"/>
      <c r="J537" s="56" t="n"/>
      <c r="K537" s="56" t="n"/>
      <c r="L537" s="56" t="n"/>
    </row>
    <row r="538" ht="22" customHeight="1">
      <c r="A538" s="55" t="n"/>
      <c r="B538" s="41">
        <f>'設定'!$I$13</f>
        <v/>
      </c>
      <c r="C538" s="56" t="n"/>
      <c r="D538" s="56" t="n"/>
      <c r="E538" s="56" t="n"/>
      <c r="F538" s="56" t="n"/>
      <c r="G538" s="56" t="n"/>
      <c r="H538" s="56" t="n"/>
      <c r="I538" s="56" t="n"/>
      <c r="J538" s="56" t="n"/>
      <c r="K538" s="56" t="n"/>
      <c r="L538" s="56" t="n"/>
    </row>
    <row r="539" ht="22" customHeight="1">
      <c r="A539" s="55" t="n"/>
      <c r="B539" s="41">
        <f>'設定'!$I$14</f>
        <v/>
      </c>
      <c r="C539" s="56" t="n"/>
      <c r="D539" s="56" t="n"/>
      <c r="E539" s="56" t="n"/>
      <c r="F539" s="56" t="n"/>
      <c r="G539" s="56" t="n"/>
      <c r="H539" s="56" t="n"/>
      <c r="I539" s="56" t="n"/>
      <c r="J539" s="56" t="n"/>
      <c r="K539" s="56" t="n"/>
      <c r="L539" s="56" t="n"/>
    </row>
    <row r="540" ht="22" customHeight="1">
      <c r="A540" s="55" t="n"/>
      <c r="B540" s="41">
        <f>'設定'!$I$15</f>
        <v/>
      </c>
      <c r="C540" s="56" t="n"/>
      <c r="D540" s="56" t="n"/>
      <c r="E540" s="56" t="n"/>
      <c r="F540" s="56" t="n"/>
      <c r="G540" s="56" t="n"/>
      <c r="H540" s="56" t="n"/>
      <c r="I540" s="56" t="n"/>
      <c r="J540" s="56" t="n"/>
      <c r="K540" s="56" t="n"/>
      <c r="L540" s="56" t="n"/>
    </row>
    <row r="541" ht="22" customHeight="1">
      <c r="A541" s="55" t="n"/>
      <c r="B541" s="41">
        <f>'設定'!$I$16</f>
        <v/>
      </c>
      <c r="C541" s="56" t="n"/>
      <c r="D541" s="56" t="n"/>
      <c r="E541" s="56" t="n"/>
      <c r="F541" s="56" t="n"/>
      <c r="G541" s="56" t="n"/>
      <c r="H541" s="56" t="n"/>
      <c r="I541" s="56" t="n"/>
      <c r="J541" s="56" t="n"/>
      <c r="K541" s="56" t="n"/>
      <c r="L541" s="56" t="n"/>
    </row>
    <row r="542" ht="22" customHeight="1">
      <c r="A542" s="55" t="n"/>
      <c r="B542" s="41">
        <f>'設定'!$I$17</f>
        <v/>
      </c>
      <c r="C542" s="56" t="n"/>
      <c r="D542" s="56" t="n"/>
      <c r="E542" s="56" t="n"/>
      <c r="F542" s="56" t="n"/>
      <c r="G542" s="56" t="n"/>
      <c r="H542" s="56" t="n"/>
      <c r="I542" s="56" t="n"/>
      <c r="J542" s="56" t="n"/>
      <c r="K542" s="56" t="n"/>
      <c r="L542" s="56" t="n"/>
    </row>
    <row r="543" ht="22" customHeight="1">
      <c r="A543" s="55" t="n"/>
      <c r="B543" s="41">
        <f>'設定'!$I$18</f>
        <v/>
      </c>
      <c r="C543" s="56" t="n"/>
      <c r="D543" s="56" t="n"/>
      <c r="E543" s="56" t="n"/>
      <c r="F543" s="56" t="n"/>
      <c r="G543" s="56" t="n"/>
      <c r="H543" s="56" t="n"/>
      <c r="I543" s="56" t="n"/>
      <c r="J543" s="56" t="n"/>
      <c r="K543" s="56" t="n"/>
      <c r="L543" s="56" t="n"/>
    </row>
    <row r="544" ht="22" customHeight="1">
      <c r="A544" s="55" t="n"/>
      <c r="B544" s="41">
        <f>'設定'!$I$19</f>
        <v/>
      </c>
      <c r="C544" s="56" t="n"/>
      <c r="D544" s="56" t="n"/>
      <c r="E544" s="56" t="n"/>
      <c r="F544" s="56" t="n"/>
      <c r="G544" s="56" t="n"/>
      <c r="H544" s="56" t="n"/>
      <c r="I544" s="56" t="n"/>
      <c r="J544" s="56" t="n"/>
      <c r="K544" s="56" t="n"/>
      <c r="L544" s="56" t="n"/>
    </row>
    <row r="545" ht="22" customHeight="1">
      <c r="A545" s="55" t="n"/>
      <c r="B545" s="41">
        <f>'設定'!$I$20</f>
        <v/>
      </c>
      <c r="C545" s="56" t="n"/>
      <c r="D545" s="56" t="n"/>
      <c r="E545" s="56" t="n"/>
      <c r="F545" s="56" t="n"/>
      <c r="G545" s="56" t="n"/>
      <c r="H545" s="56" t="n"/>
      <c r="I545" s="56" t="n"/>
      <c r="J545" s="56" t="n"/>
      <c r="K545" s="56" t="n"/>
      <c r="L545" s="56" t="n"/>
    </row>
    <row r="546" ht="22" customHeight="1">
      <c r="A546" s="55" t="n"/>
      <c r="B546" s="41">
        <f>'設定'!$I$21</f>
        <v/>
      </c>
      <c r="C546" s="56" t="n"/>
      <c r="D546" s="56" t="n"/>
      <c r="E546" s="56" t="n"/>
      <c r="F546" s="56" t="n"/>
      <c r="G546" s="56" t="n"/>
      <c r="H546" s="56" t="n"/>
      <c r="I546" s="56" t="n"/>
      <c r="J546" s="56" t="n"/>
      <c r="K546" s="56" t="n"/>
      <c r="L546" s="56" t="n"/>
    </row>
    <row r="547" ht="22" customHeight="1">
      <c r="A547" s="55" t="n"/>
      <c r="B547" s="41">
        <f>'設定'!$I$22</f>
        <v/>
      </c>
      <c r="C547" s="56" t="n"/>
      <c r="D547" s="56" t="n"/>
      <c r="E547" s="56" t="n"/>
      <c r="F547" s="56" t="n"/>
      <c r="G547" s="56" t="n"/>
      <c r="H547" s="56" t="n"/>
      <c r="I547" s="56" t="n"/>
      <c r="J547" s="56" t="n"/>
      <c r="K547" s="56" t="n"/>
      <c r="L547" s="56" t="n"/>
    </row>
    <row r="548"/>
    <row r="549" ht="26" customHeight="1">
      <c r="B549" s="51">
        <f>IF('名簿'!B39="","（名簿 35行目：なし）",'名簿'!G39)</f>
        <v/>
      </c>
      <c r="C549" s="4" t="n"/>
      <c r="D549" s="4" t="n"/>
      <c r="E549" s="52" t="inlineStr">
        <is>
          <t>提出状況 ▶</t>
        </is>
      </c>
      <c r="F549" s="37" t="n"/>
      <c r="G549" s="29" t="n"/>
      <c r="H549" s="53" t="inlineStr">
        <is>
          <t>状況：</t>
        </is>
      </c>
      <c r="I549" s="54">
        <f>'名簿'!H39</f>
        <v/>
      </c>
      <c r="J549" s="53" t="inlineStr">
        <is>
          <t>×の数：</t>
        </is>
      </c>
      <c r="K549" s="54">
        <f>'名簿'!I39</f>
        <v/>
      </c>
      <c r="L549" s="4" t="n"/>
    </row>
    <row r="550" ht="22" customHeight="1">
      <c r="A550" s="30" t="inlineStr">
        <is>
          <t>この日全部 ▶</t>
        </is>
      </c>
      <c r="C550" s="55" t="n"/>
      <c r="D550" s="55" t="n"/>
      <c r="E550" s="55" t="n"/>
      <c r="F550" s="55" t="n"/>
      <c r="G550" s="55" t="n"/>
      <c r="H550" s="55" t="n"/>
      <c r="I550" s="55" t="n"/>
      <c r="J550" s="55" t="n"/>
      <c r="K550" s="55" t="n"/>
      <c r="L550" s="55" t="n"/>
    </row>
    <row r="551" ht="28" customHeight="1">
      <c r="A551" s="33" t="inlineStr">
        <is>
          <t>この時間
全部 ▼</t>
        </is>
      </c>
      <c r="B551" s="34" t="inlineStr"/>
      <c r="C551" s="32">
        <f>'設定'!$E$11</f>
        <v/>
      </c>
      <c r="D551" s="32">
        <f>'設定'!$E$12</f>
        <v/>
      </c>
      <c r="E551" s="32">
        <f>'設定'!$E$13</f>
        <v/>
      </c>
      <c r="F551" s="32">
        <f>'設定'!$E$14</f>
        <v/>
      </c>
      <c r="G551" s="32">
        <f>'設定'!$E$15</f>
        <v/>
      </c>
      <c r="H551" s="32">
        <f>'設定'!$E$16</f>
        <v/>
      </c>
      <c r="I551" s="32">
        <f>'設定'!$E$17</f>
        <v/>
      </c>
      <c r="J551" s="32">
        <f>'設定'!$E$18</f>
        <v/>
      </c>
      <c r="K551" s="32">
        <f>'設定'!$E$19</f>
        <v/>
      </c>
      <c r="L551" s="32">
        <f>'設定'!$E$20</f>
        <v/>
      </c>
    </row>
    <row r="552" ht="22" customHeight="1">
      <c r="A552" s="55" t="n"/>
      <c r="B552" s="41">
        <f>'設定'!$I$11</f>
        <v/>
      </c>
      <c r="C552" s="56" t="n"/>
      <c r="D552" s="56" t="n"/>
      <c r="E552" s="56" t="n"/>
      <c r="F552" s="56" t="n"/>
      <c r="G552" s="56" t="n"/>
      <c r="H552" s="56" t="n"/>
      <c r="I552" s="56" t="n"/>
      <c r="J552" s="56" t="n"/>
      <c r="K552" s="56" t="n"/>
      <c r="L552" s="56" t="n"/>
    </row>
    <row r="553" ht="22" customHeight="1">
      <c r="A553" s="55" t="n"/>
      <c r="B553" s="41">
        <f>'設定'!$I$12</f>
        <v/>
      </c>
      <c r="C553" s="56" t="n"/>
      <c r="D553" s="56" t="n"/>
      <c r="E553" s="56" t="n"/>
      <c r="F553" s="56" t="n"/>
      <c r="G553" s="56" t="n"/>
      <c r="H553" s="56" t="n"/>
      <c r="I553" s="56" t="n"/>
      <c r="J553" s="56" t="n"/>
      <c r="K553" s="56" t="n"/>
      <c r="L553" s="56" t="n"/>
    </row>
    <row r="554" ht="22" customHeight="1">
      <c r="A554" s="55" t="n"/>
      <c r="B554" s="41">
        <f>'設定'!$I$13</f>
        <v/>
      </c>
      <c r="C554" s="56" t="n"/>
      <c r="D554" s="56" t="n"/>
      <c r="E554" s="56" t="n"/>
      <c r="F554" s="56" t="n"/>
      <c r="G554" s="56" t="n"/>
      <c r="H554" s="56" t="n"/>
      <c r="I554" s="56" t="n"/>
      <c r="J554" s="56" t="n"/>
      <c r="K554" s="56" t="n"/>
      <c r="L554" s="56" t="n"/>
    </row>
    <row r="555" ht="22" customHeight="1">
      <c r="A555" s="55" t="n"/>
      <c r="B555" s="41">
        <f>'設定'!$I$14</f>
        <v/>
      </c>
      <c r="C555" s="56" t="n"/>
      <c r="D555" s="56" t="n"/>
      <c r="E555" s="56" t="n"/>
      <c r="F555" s="56" t="n"/>
      <c r="G555" s="56" t="n"/>
      <c r="H555" s="56" t="n"/>
      <c r="I555" s="56" t="n"/>
      <c r="J555" s="56" t="n"/>
      <c r="K555" s="56" t="n"/>
      <c r="L555" s="56" t="n"/>
    </row>
    <row r="556" ht="22" customHeight="1">
      <c r="A556" s="55" t="n"/>
      <c r="B556" s="41">
        <f>'設定'!$I$15</f>
        <v/>
      </c>
      <c r="C556" s="56" t="n"/>
      <c r="D556" s="56" t="n"/>
      <c r="E556" s="56" t="n"/>
      <c r="F556" s="56" t="n"/>
      <c r="G556" s="56" t="n"/>
      <c r="H556" s="56" t="n"/>
      <c r="I556" s="56" t="n"/>
      <c r="J556" s="56" t="n"/>
      <c r="K556" s="56" t="n"/>
      <c r="L556" s="56" t="n"/>
    </row>
    <row r="557" ht="22" customHeight="1">
      <c r="A557" s="55" t="n"/>
      <c r="B557" s="41">
        <f>'設定'!$I$16</f>
        <v/>
      </c>
      <c r="C557" s="56" t="n"/>
      <c r="D557" s="56" t="n"/>
      <c r="E557" s="56" t="n"/>
      <c r="F557" s="56" t="n"/>
      <c r="G557" s="56" t="n"/>
      <c r="H557" s="56" t="n"/>
      <c r="I557" s="56" t="n"/>
      <c r="J557" s="56" t="n"/>
      <c r="K557" s="56" t="n"/>
      <c r="L557" s="56" t="n"/>
    </row>
    <row r="558" ht="22" customHeight="1">
      <c r="A558" s="55" t="n"/>
      <c r="B558" s="41">
        <f>'設定'!$I$17</f>
        <v/>
      </c>
      <c r="C558" s="56" t="n"/>
      <c r="D558" s="56" t="n"/>
      <c r="E558" s="56" t="n"/>
      <c r="F558" s="56" t="n"/>
      <c r="G558" s="56" t="n"/>
      <c r="H558" s="56" t="n"/>
      <c r="I558" s="56" t="n"/>
      <c r="J558" s="56" t="n"/>
      <c r="K558" s="56" t="n"/>
      <c r="L558" s="56" t="n"/>
    </row>
    <row r="559" ht="22" customHeight="1">
      <c r="A559" s="55" t="n"/>
      <c r="B559" s="41">
        <f>'設定'!$I$18</f>
        <v/>
      </c>
      <c r="C559" s="56" t="n"/>
      <c r="D559" s="56" t="n"/>
      <c r="E559" s="56" t="n"/>
      <c r="F559" s="56" t="n"/>
      <c r="G559" s="56" t="n"/>
      <c r="H559" s="56" t="n"/>
      <c r="I559" s="56" t="n"/>
      <c r="J559" s="56" t="n"/>
      <c r="K559" s="56" t="n"/>
      <c r="L559" s="56" t="n"/>
    </row>
    <row r="560" ht="22" customHeight="1">
      <c r="A560" s="55" t="n"/>
      <c r="B560" s="41">
        <f>'設定'!$I$19</f>
        <v/>
      </c>
      <c r="C560" s="56" t="n"/>
      <c r="D560" s="56" t="n"/>
      <c r="E560" s="56" t="n"/>
      <c r="F560" s="56" t="n"/>
      <c r="G560" s="56" t="n"/>
      <c r="H560" s="56" t="n"/>
      <c r="I560" s="56" t="n"/>
      <c r="J560" s="56" t="n"/>
      <c r="K560" s="56" t="n"/>
      <c r="L560" s="56" t="n"/>
    </row>
    <row r="561" ht="22" customHeight="1">
      <c r="A561" s="55" t="n"/>
      <c r="B561" s="41">
        <f>'設定'!$I$20</f>
        <v/>
      </c>
      <c r="C561" s="56" t="n"/>
      <c r="D561" s="56" t="n"/>
      <c r="E561" s="56" t="n"/>
      <c r="F561" s="56" t="n"/>
      <c r="G561" s="56" t="n"/>
      <c r="H561" s="56" t="n"/>
      <c r="I561" s="56" t="n"/>
      <c r="J561" s="56" t="n"/>
      <c r="K561" s="56" t="n"/>
      <c r="L561" s="56" t="n"/>
    </row>
    <row r="562" ht="22" customHeight="1">
      <c r="A562" s="55" t="n"/>
      <c r="B562" s="41">
        <f>'設定'!$I$21</f>
        <v/>
      </c>
      <c r="C562" s="56" t="n"/>
      <c r="D562" s="56" t="n"/>
      <c r="E562" s="56" t="n"/>
      <c r="F562" s="56" t="n"/>
      <c r="G562" s="56" t="n"/>
      <c r="H562" s="56" t="n"/>
      <c r="I562" s="56" t="n"/>
      <c r="J562" s="56" t="n"/>
      <c r="K562" s="56" t="n"/>
      <c r="L562" s="56" t="n"/>
    </row>
    <row r="563" ht="22" customHeight="1">
      <c r="A563" s="55" t="n"/>
      <c r="B563" s="41">
        <f>'設定'!$I$22</f>
        <v/>
      </c>
      <c r="C563" s="56" t="n"/>
      <c r="D563" s="56" t="n"/>
      <c r="E563" s="56" t="n"/>
      <c r="F563" s="56" t="n"/>
      <c r="G563" s="56" t="n"/>
      <c r="H563" s="56" t="n"/>
      <c r="I563" s="56" t="n"/>
      <c r="J563" s="56" t="n"/>
      <c r="K563" s="56" t="n"/>
      <c r="L563" s="56" t="n"/>
    </row>
    <row r="564"/>
    <row r="565" ht="26" customHeight="1">
      <c r="B565" s="51">
        <f>IF('名簿'!B40="","（名簿 36行目：なし）",'名簿'!G40)</f>
        <v/>
      </c>
      <c r="C565" s="4" t="n"/>
      <c r="D565" s="4" t="n"/>
      <c r="E565" s="52" t="inlineStr">
        <is>
          <t>提出状況 ▶</t>
        </is>
      </c>
      <c r="F565" s="37" t="n"/>
      <c r="G565" s="29" t="n"/>
      <c r="H565" s="53" t="inlineStr">
        <is>
          <t>状況：</t>
        </is>
      </c>
      <c r="I565" s="54">
        <f>'名簿'!H40</f>
        <v/>
      </c>
      <c r="J565" s="53" t="inlineStr">
        <is>
          <t>×の数：</t>
        </is>
      </c>
      <c r="K565" s="54">
        <f>'名簿'!I40</f>
        <v/>
      </c>
      <c r="L565" s="4" t="n"/>
    </row>
    <row r="566" ht="22" customHeight="1">
      <c r="A566" s="30" t="inlineStr">
        <is>
          <t>この日全部 ▶</t>
        </is>
      </c>
      <c r="C566" s="55" t="n"/>
      <c r="D566" s="55" t="n"/>
      <c r="E566" s="55" t="n"/>
      <c r="F566" s="55" t="n"/>
      <c r="G566" s="55" t="n"/>
      <c r="H566" s="55" t="n"/>
      <c r="I566" s="55" t="n"/>
      <c r="J566" s="55" t="n"/>
      <c r="K566" s="55" t="n"/>
      <c r="L566" s="55" t="n"/>
    </row>
    <row r="567" ht="28" customHeight="1">
      <c r="A567" s="33" t="inlineStr">
        <is>
          <t>この時間
全部 ▼</t>
        </is>
      </c>
      <c r="B567" s="34" t="inlineStr"/>
      <c r="C567" s="32">
        <f>'設定'!$E$11</f>
        <v/>
      </c>
      <c r="D567" s="32">
        <f>'設定'!$E$12</f>
        <v/>
      </c>
      <c r="E567" s="32">
        <f>'設定'!$E$13</f>
        <v/>
      </c>
      <c r="F567" s="32">
        <f>'設定'!$E$14</f>
        <v/>
      </c>
      <c r="G567" s="32">
        <f>'設定'!$E$15</f>
        <v/>
      </c>
      <c r="H567" s="32">
        <f>'設定'!$E$16</f>
        <v/>
      </c>
      <c r="I567" s="32">
        <f>'設定'!$E$17</f>
        <v/>
      </c>
      <c r="J567" s="32">
        <f>'設定'!$E$18</f>
        <v/>
      </c>
      <c r="K567" s="32">
        <f>'設定'!$E$19</f>
        <v/>
      </c>
      <c r="L567" s="32">
        <f>'設定'!$E$20</f>
        <v/>
      </c>
    </row>
    <row r="568" ht="22" customHeight="1">
      <c r="A568" s="55" t="n"/>
      <c r="B568" s="41">
        <f>'設定'!$I$11</f>
        <v/>
      </c>
      <c r="C568" s="56" t="n"/>
      <c r="D568" s="56" t="n"/>
      <c r="E568" s="56" t="n"/>
      <c r="F568" s="56" t="n"/>
      <c r="G568" s="56" t="n"/>
      <c r="H568" s="56" t="n"/>
      <c r="I568" s="56" t="n"/>
      <c r="J568" s="56" t="n"/>
      <c r="K568" s="56" t="n"/>
      <c r="L568" s="56" t="n"/>
    </row>
    <row r="569" ht="22" customHeight="1">
      <c r="A569" s="55" t="n"/>
      <c r="B569" s="41">
        <f>'設定'!$I$12</f>
        <v/>
      </c>
      <c r="C569" s="56" t="n"/>
      <c r="D569" s="56" t="n"/>
      <c r="E569" s="56" t="n"/>
      <c r="F569" s="56" t="n"/>
      <c r="G569" s="56" t="n"/>
      <c r="H569" s="56" t="n"/>
      <c r="I569" s="56" t="n"/>
      <c r="J569" s="56" t="n"/>
      <c r="K569" s="56" t="n"/>
      <c r="L569" s="56" t="n"/>
    </row>
    <row r="570" ht="22" customHeight="1">
      <c r="A570" s="55" t="n"/>
      <c r="B570" s="41">
        <f>'設定'!$I$13</f>
        <v/>
      </c>
      <c r="C570" s="56" t="n"/>
      <c r="D570" s="56" t="n"/>
      <c r="E570" s="56" t="n"/>
      <c r="F570" s="56" t="n"/>
      <c r="G570" s="56" t="n"/>
      <c r="H570" s="56" t="n"/>
      <c r="I570" s="56" t="n"/>
      <c r="J570" s="56" t="n"/>
      <c r="K570" s="56" t="n"/>
      <c r="L570" s="56" t="n"/>
    </row>
    <row r="571" ht="22" customHeight="1">
      <c r="A571" s="55" t="n"/>
      <c r="B571" s="41">
        <f>'設定'!$I$14</f>
        <v/>
      </c>
      <c r="C571" s="56" t="n"/>
      <c r="D571" s="56" t="n"/>
      <c r="E571" s="56" t="n"/>
      <c r="F571" s="56" t="n"/>
      <c r="G571" s="56" t="n"/>
      <c r="H571" s="56" t="n"/>
      <c r="I571" s="56" t="n"/>
      <c r="J571" s="56" t="n"/>
      <c r="K571" s="56" t="n"/>
      <c r="L571" s="56" t="n"/>
    </row>
    <row r="572" ht="22" customHeight="1">
      <c r="A572" s="55" t="n"/>
      <c r="B572" s="41">
        <f>'設定'!$I$15</f>
        <v/>
      </c>
      <c r="C572" s="56" t="n"/>
      <c r="D572" s="56" t="n"/>
      <c r="E572" s="56" t="n"/>
      <c r="F572" s="56" t="n"/>
      <c r="G572" s="56" t="n"/>
      <c r="H572" s="56" t="n"/>
      <c r="I572" s="56" t="n"/>
      <c r="J572" s="56" t="n"/>
      <c r="K572" s="56" t="n"/>
      <c r="L572" s="56" t="n"/>
    </row>
    <row r="573" ht="22" customHeight="1">
      <c r="A573" s="55" t="n"/>
      <c r="B573" s="41">
        <f>'設定'!$I$16</f>
        <v/>
      </c>
      <c r="C573" s="56" t="n"/>
      <c r="D573" s="56" t="n"/>
      <c r="E573" s="56" t="n"/>
      <c r="F573" s="56" t="n"/>
      <c r="G573" s="56" t="n"/>
      <c r="H573" s="56" t="n"/>
      <c r="I573" s="56" t="n"/>
      <c r="J573" s="56" t="n"/>
      <c r="K573" s="56" t="n"/>
      <c r="L573" s="56" t="n"/>
    </row>
    <row r="574" ht="22" customHeight="1">
      <c r="A574" s="55" t="n"/>
      <c r="B574" s="41">
        <f>'設定'!$I$17</f>
        <v/>
      </c>
      <c r="C574" s="56" t="n"/>
      <c r="D574" s="56" t="n"/>
      <c r="E574" s="56" t="n"/>
      <c r="F574" s="56" t="n"/>
      <c r="G574" s="56" t="n"/>
      <c r="H574" s="56" t="n"/>
      <c r="I574" s="56" t="n"/>
      <c r="J574" s="56" t="n"/>
      <c r="K574" s="56" t="n"/>
      <c r="L574" s="56" t="n"/>
    </row>
    <row r="575" ht="22" customHeight="1">
      <c r="A575" s="55" t="n"/>
      <c r="B575" s="41">
        <f>'設定'!$I$18</f>
        <v/>
      </c>
      <c r="C575" s="56" t="n"/>
      <c r="D575" s="56" t="n"/>
      <c r="E575" s="56" t="n"/>
      <c r="F575" s="56" t="n"/>
      <c r="G575" s="56" t="n"/>
      <c r="H575" s="56" t="n"/>
      <c r="I575" s="56" t="n"/>
      <c r="J575" s="56" t="n"/>
      <c r="K575" s="56" t="n"/>
      <c r="L575" s="56" t="n"/>
    </row>
    <row r="576" ht="22" customHeight="1">
      <c r="A576" s="55" t="n"/>
      <c r="B576" s="41">
        <f>'設定'!$I$19</f>
        <v/>
      </c>
      <c r="C576" s="56" t="n"/>
      <c r="D576" s="56" t="n"/>
      <c r="E576" s="56" t="n"/>
      <c r="F576" s="56" t="n"/>
      <c r="G576" s="56" t="n"/>
      <c r="H576" s="56" t="n"/>
      <c r="I576" s="56" t="n"/>
      <c r="J576" s="56" t="n"/>
      <c r="K576" s="56" t="n"/>
      <c r="L576" s="56" t="n"/>
    </row>
    <row r="577" ht="22" customHeight="1">
      <c r="A577" s="55" t="n"/>
      <c r="B577" s="41">
        <f>'設定'!$I$20</f>
        <v/>
      </c>
      <c r="C577" s="56" t="n"/>
      <c r="D577" s="56" t="n"/>
      <c r="E577" s="56" t="n"/>
      <c r="F577" s="56" t="n"/>
      <c r="G577" s="56" t="n"/>
      <c r="H577" s="56" t="n"/>
      <c r="I577" s="56" t="n"/>
      <c r="J577" s="56" t="n"/>
      <c r="K577" s="56" t="n"/>
      <c r="L577" s="56" t="n"/>
    </row>
    <row r="578" ht="22" customHeight="1">
      <c r="A578" s="55" t="n"/>
      <c r="B578" s="41">
        <f>'設定'!$I$21</f>
        <v/>
      </c>
      <c r="C578" s="56" t="n"/>
      <c r="D578" s="56" t="n"/>
      <c r="E578" s="56" t="n"/>
      <c r="F578" s="56" t="n"/>
      <c r="G578" s="56" t="n"/>
      <c r="H578" s="56" t="n"/>
      <c r="I578" s="56" t="n"/>
      <c r="J578" s="56" t="n"/>
      <c r="K578" s="56" t="n"/>
      <c r="L578" s="56" t="n"/>
    </row>
    <row r="579" ht="22" customHeight="1">
      <c r="A579" s="55" t="n"/>
      <c r="B579" s="41">
        <f>'設定'!$I$22</f>
        <v/>
      </c>
      <c r="C579" s="56" t="n"/>
      <c r="D579" s="56" t="n"/>
      <c r="E579" s="56" t="n"/>
      <c r="F579" s="56" t="n"/>
      <c r="G579" s="56" t="n"/>
      <c r="H579" s="56" t="n"/>
      <c r="I579" s="56" t="n"/>
      <c r="J579" s="56" t="n"/>
      <c r="K579" s="56" t="n"/>
      <c r="L579" s="56" t="n"/>
    </row>
    <row r="580"/>
    <row r="581" ht="26" customHeight="1">
      <c r="B581" s="51">
        <f>IF('名簿'!B41="","（名簿 37行目：なし）",'名簿'!G41)</f>
        <v/>
      </c>
      <c r="C581" s="4" t="n"/>
      <c r="D581" s="4" t="n"/>
      <c r="E581" s="52" t="inlineStr">
        <is>
          <t>提出状況 ▶</t>
        </is>
      </c>
      <c r="F581" s="37" t="n"/>
      <c r="G581" s="29" t="n"/>
      <c r="H581" s="53" t="inlineStr">
        <is>
          <t>状況：</t>
        </is>
      </c>
      <c r="I581" s="54">
        <f>'名簿'!H41</f>
        <v/>
      </c>
      <c r="J581" s="53" t="inlineStr">
        <is>
          <t>×の数：</t>
        </is>
      </c>
      <c r="K581" s="54">
        <f>'名簿'!I41</f>
        <v/>
      </c>
      <c r="L581" s="4" t="n"/>
    </row>
    <row r="582" ht="22" customHeight="1">
      <c r="A582" s="30" t="inlineStr">
        <is>
          <t>この日全部 ▶</t>
        </is>
      </c>
      <c r="C582" s="55" t="n"/>
      <c r="D582" s="55" t="n"/>
      <c r="E582" s="55" t="n"/>
      <c r="F582" s="55" t="n"/>
      <c r="G582" s="55" t="n"/>
      <c r="H582" s="55" t="n"/>
      <c r="I582" s="55" t="n"/>
      <c r="J582" s="55" t="n"/>
      <c r="K582" s="55" t="n"/>
      <c r="L582" s="55" t="n"/>
    </row>
    <row r="583" ht="28" customHeight="1">
      <c r="A583" s="33" t="inlineStr">
        <is>
          <t>この時間
全部 ▼</t>
        </is>
      </c>
      <c r="B583" s="34" t="inlineStr"/>
      <c r="C583" s="32">
        <f>'設定'!$E$11</f>
        <v/>
      </c>
      <c r="D583" s="32">
        <f>'設定'!$E$12</f>
        <v/>
      </c>
      <c r="E583" s="32">
        <f>'設定'!$E$13</f>
        <v/>
      </c>
      <c r="F583" s="32">
        <f>'設定'!$E$14</f>
        <v/>
      </c>
      <c r="G583" s="32">
        <f>'設定'!$E$15</f>
        <v/>
      </c>
      <c r="H583" s="32">
        <f>'設定'!$E$16</f>
        <v/>
      </c>
      <c r="I583" s="32">
        <f>'設定'!$E$17</f>
        <v/>
      </c>
      <c r="J583" s="32">
        <f>'設定'!$E$18</f>
        <v/>
      </c>
      <c r="K583" s="32">
        <f>'設定'!$E$19</f>
        <v/>
      </c>
      <c r="L583" s="32">
        <f>'設定'!$E$20</f>
        <v/>
      </c>
    </row>
    <row r="584" ht="22" customHeight="1">
      <c r="A584" s="55" t="n"/>
      <c r="B584" s="41">
        <f>'設定'!$I$11</f>
        <v/>
      </c>
      <c r="C584" s="56" t="n"/>
      <c r="D584" s="56" t="n"/>
      <c r="E584" s="56" t="n"/>
      <c r="F584" s="56" t="n"/>
      <c r="G584" s="56" t="n"/>
      <c r="H584" s="56" t="n"/>
      <c r="I584" s="56" t="n"/>
      <c r="J584" s="56" t="n"/>
      <c r="K584" s="56" t="n"/>
      <c r="L584" s="56" t="n"/>
    </row>
    <row r="585" ht="22" customHeight="1">
      <c r="A585" s="55" t="n"/>
      <c r="B585" s="41">
        <f>'設定'!$I$12</f>
        <v/>
      </c>
      <c r="C585" s="56" t="n"/>
      <c r="D585" s="56" t="n"/>
      <c r="E585" s="56" t="n"/>
      <c r="F585" s="56" t="n"/>
      <c r="G585" s="56" t="n"/>
      <c r="H585" s="56" t="n"/>
      <c r="I585" s="56" t="n"/>
      <c r="J585" s="56" t="n"/>
      <c r="K585" s="56" t="n"/>
      <c r="L585" s="56" t="n"/>
    </row>
    <row r="586" ht="22" customHeight="1">
      <c r="A586" s="55" t="n"/>
      <c r="B586" s="41">
        <f>'設定'!$I$13</f>
        <v/>
      </c>
      <c r="C586" s="56" t="n"/>
      <c r="D586" s="56" t="n"/>
      <c r="E586" s="56" t="n"/>
      <c r="F586" s="56" t="n"/>
      <c r="G586" s="56" t="n"/>
      <c r="H586" s="56" t="n"/>
      <c r="I586" s="56" t="n"/>
      <c r="J586" s="56" t="n"/>
      <c r="K586" s="56" t="n"/>
      <c r="L586" s="56" t="n"/>
    </row>
    <row r="587" ht="22" customHeight="1">
      <c r="A587" s="55" t="n"/>
      <c r="B587" s="41">
        <f>'設定'!$I$14</f>
        <v/>
      </c>
      <c r="C587" s="56" t="n"/>
      <c r="D587" s="56" t="n"/>
      <c r="E587" s="56" t="n"/>
      <c r="F587" s="56" t="n"/>
      <c r="G587" s="56" t="n"/>
      <c r="H587" s="56" t="n"/>
      <c r="I587" s="56" t="n"/>
      <c r="J587" s="56" t="n"/>
      <c r="K587" s="56" t="n"/>
      <c r="L587" s="56" t="n"/>
    </row>
    <row r="588" ht="22" customHeight="1">
      <c r="A588" s="55" t="n"/>
      <c r="B588" s="41">
        <f>'設定'!$I$15</f>
        <v/>
      </c>
      <c r="C588" s="56" t="n"/>
      <c r="D588" s="56" t="n"/>
      <c r="E588" s="56" t="n"/>
      <c r="F588" s="56" t="n"/>
      <c r="G588" s="56" t="n"/>
      <c r="H588" s="56" t="n"/>
      <c r="I588" s="56" t="n"/>
      <c r="J588" s="56" t="n"/>
      <c r="K588" s="56" t="n"/>
      <c r="L588" s="56" t="n"/>
    </row>
    <row r="589" ht="22" customHeight="1">
      <c r="A589" s="55" t="n"/>
      <c r="B589" s="41">
        <f>'設定'!$I$16</f>
        <v/>
      </c>
      <c r="C589" s="56" t="n"/>
      <c r="D589" s="56" t="n"/>
      <c r="E589" s="56" t="n"/>
      <c r="F589" s="56" t="n"/>
      <c r="G589" s="56" t="n"/>
      <c r="H589" s="56" t="n"/>
      <c r="I589" s="56" t="n"/>
      <c r="J589" s="56" t="n"/>
      <c r="K589" s="56" t="n"/>
      <c r="L589" s="56" t="n"/>
    </row>
    <row r="590" ht="22" customHeight="1">
      <c r="A590" s="55" t="n"/>
      <c r="B590" s="41">
        <f>'設定'!$I$17</f>
        <v/>
      </c>
      <c r="C590" s="56" t="n"/>
      <c r="D590" s="56" t="n"/>
      <c r="E590" s="56" t="n"/>
      <c r="F590" s="56" t="n"/>
      <c r="G590" s="56" t="n"/>
      <c r="H590" s="56" t="n"/>
      <c r="I590" s="56" t="n"/>
      <c r="J590" s="56" t="n"/>
      <c r="K590" s="56" t="n"/>
      <c r="L590" s="56" t="n"/>
    </row>
    <row r="591" ht="22" customHeight="1">
      <c r="A591" s="55" t="n"/>
      <c r="B591" s="41">
        <f>'設定'!$I$18</f>
        <v/>
      </c>
      <c r="C591" s="56" t="n"/>
      <c r="D591" s="56" t="n"/>
      <c r="E591" s="56" t="n"/>
      <c r="F591" s="56" t="n"/>
      <c r="G591" s="56" t="n"/>
      <c r="H591" s="56" t="n"/>
      <c r="I591" s="56" t="n"/>
      <c r="J591" s="56" t="n"/>
      <c r="K591" s="56" t="n"/>
      <c r="L591" s="56" t="n"/>
    </row>
    <row r="592" ht="22" customHeight="1">
      <c r="A592" s="55" t="n"/>
      <c r="B592" s="41">
        <f>'設定'!$I$19</f>
        <v/>
      </c>
      <c r="C592" s="56" t="n"/>
      <c r="D592" s="56" t="n"/>
      <c r="E592" s="56" t="n"/>
      <c r="F592" s="56" t="n"/>
      <c r="G592" s="56" t="n"/>
      <c r="H592" s="56" t="n"/>
      <c r="I592" s="56" t="n"/>
      <c r="J592" s="56" t="n"/>
      <c r="K592" s="56" t="n"/>
      <c r="L592" s="56" t="n"/>
    </row>
    <row r="593" ht="22" customHeight="1">
      <c r="A593" s="55" t="n"/>
      <c r="B593" s="41">
        <f>'設定'!$I$20</f>
        <v/>
      </c>
      <c r="C593" s="56" t="n"/>
      <c r="D593" s="56" t="n"/>
      <c r="E593" s="56" t="n"/>
      <c r="F593" s="56" t="n"/>
      <c r="G593" s="56" t="n"/>
      <c r="H593" s="56" t="n"/>
      <c r="I593" s="56" t="n"/>
      <c r="J593" s="56" t="n"/>
      <c r="K593" s="56" t="n"/>
      <c r="L593" s="56" t="n"/>
    </row>
    <row r="594" ht="22" customHeight="1">
      <c r="A594" s="55" t="n"/>
      <c r="B594" s="41">
        <f>'設定'!$I$21</f>
        <v/>
      </c>
      <c r="C594" s="56" t="n"/>
      <c r="D594" s="56" t="n"/>
      <c r="E594" s="56" t="n"/>
      <c r="F594" s="56" t="n"/>
      <c r="G594" s="56" t="n"/>
      <c r="H594" s="56" t="n"/>
      <c r="I594" s="56" t="n"/>
      <c r="J594" s="56" t="n"/>
      <c r="K594" s="56" t="n"/>
      <c r="L594" s="56" t="n"/>
    </row>
    <row r="595" ht="22" customHeight="1">
      <c r="A595" s="55" t="n"/>
      <c r="B595" s="41">
        <f>'設定'!$I$22</f>
        <v/>
      </c>
      <c r="C595" s="56" t="n"/>
      <c r="D595" s="56" t="n"/>
      <c r="E595" s="56" t="n"/>
      <c r="F595" s="56" t="n"/>
      <c r="G595" s="56" t="n"/>
      <c r="H595" s="56" t="n"/>
      <c r="I595" s="56" t="n"/>
      <c r="J595" s="56" t="n"/>
      <c r="K595" s="56" t="n"/>
      <c r="L595" s="56" t="n"/>
    </row>
    <row r="596"/>
    <row r="597" ht="26" customHeight="1">
      <c r="B597" s="51">
        <f>IF('名簿'!B42="","（名簿 38行目：なし）",'名簿'!G42)</f>
        <v/>
      </c>
      <c r="C597" s="4" t="n"/>
      <c r="D597" s="4" t="n"/>
      <c r="E597" s="52" t="inlineStr">
        <is>
          <t>提出状況 ▶</t>
        </is>
      </c>
      <c r="F597" s="37" t="n"/>
      <c r="G597" s="29" t="n"/>
      <c r="H597" s="53" t="inlineStr">
        <is>
          <t>状況：</t>
        </is>
      </c>
      <c r="I597" s="54">
        <f>'名簿'!H42</f>
        <v/>
      </c>
      <c r="J597" s="53" t="inlineStr">
        <is>
          <t>×の数：</t>
        </is>
      </c>
      <c r="K597" s="54">
        <f>'名簿'!I42</f>
        <v/>
      </c>
      <c r="L597" s="4" t="n"/>
    </row>
    <row r="598" ht="22" customHeight="1">
      <c r="A598" s="30" t="inlineStr">
        <is>
          <t>この日全部 ▶</t>
        </is>
      </c>
      <c r="C598" s="55" t="n"/>
      <c r="D598" s="55" t="n"/>
      <c r="E598" s="55" t="n"/>
      <c r="F598" s="55" t="n"/>
      <c r="G598" s="55" t="n"/>
      <c r="H598" s="55" t="n"/>
      <c r="I598" s="55" t="n"/>
      <c r="J598" s="55" t="n"/>
      <c r="K598" s="55" t="n"/>
      <c r="L598" s="55" t="n"/>
    </row>
    <row r="599" ht="28" customHeight="1">
      <c r="A599" s="33" t="inlineStr">
        <is>
          <t>この時間
全部 ▼</t>
        </is>
      </c>
      <c r="B599" s="34" t="inlineStr"/>
      <c r="C599" s="32">
        <f>'設定'!$E$11</f>
        <v/>
      </c>
      <c r="D599" s="32">
        <f>'設定'!$E$12</f>
        <v/>
      </c>
      <c r="E599" s="32">
        <f>'設定'!$E$13</f>
        <v/>
      </c>
      <c r="F599" s="32">
        <f>'設定'!$E$14</f>
        <v/>
      </c>
      <c r="G599" s="32">
        <f>'設定'!$E$15</f>
        <v/>
      </c>
      <c r="H599" s="32">
        <f>'設定'!$E$16</f>
        <v/>
      </c>
      <c r="I599" s="32">
        <f>'設定'!$E$17</f>
        <v/>
      </c>
      <c r="J599" s="32">
        <f>'設定'!$E$18</f>
        <v/>
      </c>
      <c r="K599" s="32">
        <f>'設定'!$E$19</f>
        <v/>
      </c>
      <c r="L599" s="32">
        <f>'設定'!$E$20</f>
        <v/>
      </c>
    </row>
    <row r="600" ht="22" customHeight="1">
      <c r="A600" s="55" t="n"/>
      <c r="B600" s="41">
        <f>'設定'!$I$11</f>
        <v/>
      </c>
      <c r="C600" s="56" t="n"/>
      <c r="D600" s="56" t="n"/>
      <c r="E600" s="56" t="n"/>
      <c r="F600" s="56" t="n"/>
      <c r="G600" s="56" t="n"/>
      <c r="H600" s="56" t="n"/>
      <c r="I600" s="56" t="n"/>
      <c r="J600" s="56" t="n"/>
      <c r="K600" s="56" t="n"/>
      <c r="L600" s="56" t="n"/>
    </row>
    <row r="601" ht="22" customHeight="1">
      <c r="A601" s="55" t="n"/>
      <c r="B601" s="41">
        <f>'設定'!$I$12</f>
        <v/>
      </c>
      <c r="C601" s="56" t="n"/>
      <c r="D601" s="56" t="n"/>
      <c r="E601" s="56" t="n"/>
      <c r="F601" s="56" t="n"/>
      <c r="G601" s="56" t="n"/>
      <c r="H601" s="56" t="n"/>
      <c r="I601" s="56" t="n"/>
      <c r="J601" s="56" t="n"/>
      <c r="K601" s="56" t="n"/>
      <c r="L601" s="56" t="n"/>
    </row>
    <row r="602" ht="22" customHeight="1">
      <c r="A602" s="55" t="n"/>
      <c r="B602" s="41">
        <f>'設定'!$I$13</f>
        <v/>
      </c>
      <c r="C602" s="56" t="n"/>
      <c r="D602" s="56" t="n"/>
      <c r="E602" s="56" t="n"/>
      <c r="F602" s="56" t="n"/>
      <c r="G602" s="56" t="n"/>
      <c r="H602" s="56" t="n"/>
      <c r="I602" s="56" t="n"/>
      <c r="J602" s="56" t="n"/>
      <c r="K602" s="56" t="n"/>
      <c r="L602" s="56" t="n"/>
    </row>
    <row r="603" ht="22" customHeight="1">
      <c r="A603" s="55" t="n"/>
      <c r="B603" s="41">
        <f>'設定'!$I$14</f>
        <v/>
      </c>
      <c r="C603" s="56" t="n"/>
      <c r="D603" s="56" t="n"/>
      <c r="E603" s="56" t="n"/>
      <c r="F603" s="56" t="n"/>
      <c r="G603" s="56" t="n"/>
      <c r="H603" s="56" t="n"/>
      <c r="I603" s="56" t="n"/>
      <c r="J603" s="56" t="n"/>
      <c r="K603" s="56" t="n"/>
      <c r="L603" s="56" t="n"/>
    </row>
    <row r="604" ht="22" customHeight="1">
      <c r="A604" s="55" t="n"/>
      <c r="B604" s="41">
        <f>'設定'!$I$15</f>
        <v/>
      </c>
      <c r="C604" s="56" t="n"/>
      <c r="D604" s="56" t="n"/>
      <c r="E604" s="56" t="n"/>
      <c r="F604" s="56" t="n"/>
      <c r="G604" s="56" t="n"/>
      <c r="H604" s="56" t="n"/>
      <c r="I604" s="56" t="n"/>
      <c r="J604" s="56" t="n"/>
      <c r="K604" s="56" t="n"/>
      <c r="L604" s="56" t="n"/>
    </row>
    <row r="605" ht="22" customHeight="1">
      <c r="A605" s="55" t="n"/>
      <c r="B605" s="41">
        <f>'設定'!$I$16</f>
        <v/>
      </c>
      <c r="C605" s="56" t="n"/>
      <c r="D605" s="56" t="n"/>
      <c r="E605" s="56" t="n"/>
      <c r="F605" s="56" t="n"/>
      <c r="G605" s="56" t="n"/>
      <c r="H605" s="56" t="n"/>
      <c r="I605" s="56" t="n"/>
      <c r="J605" s="56" t="n"/>
      <c r="K605" s="56" t="n"/>
      <c r="L605" s="56" t="n"/>
    </row>
    <row r="606" ht="22" customHeight="1">
      <c r="A606" s="55" t="n"/>
      <c r="B606" s="41">
        <f>'設定'!$I$17</f>
        <v/>
      </c>
      <c r="C606" s="56" t="n"/>
      <c r="D606" s="56" t="n"/>
      <c r="E606" s="56" t="n"/>
      <c r="F606" s="56" t="n"/>
      <c r="G606" s="56" t="n"/>
      <c r="H606" s="56" t="n"/>
      <c r="I606" s="56" t="n"/>
      <c r="J606" s="56" t="n"/>
      <c r="K606" s="56" t="n"/>
      <c r="L606" s="56" t="n"/>
    </row>
    <row r="607" ht="22" customHeight="1">
      <c r="A607" s="55" t="n"/>
      <c r="B607" s="41">
        <f>'設定'!$I$18</f>
        <v/>
      </c>
      <c r="C607" s="56" t="n"/>
      <c r="D607" s="56" t="n"/>
      <c r="E607" s="56" t="n"/>
      <c r="F607" s="56" t="n"/>
      <c r="G607" s="56" t="n"/>
      <c r="H607" s="56" t="n"/>
      <c r="I607" s="56" t="n"/>
      <c r="J607" s="56" t="n"/>
      <c r="K607" s="56" t="n"/>
      <c r="L607" s="56" t="n"/>
    </row>
    <row r="608" ht="22" customHeight="1">
      <c r="A608" s="55" t="n"/>
      <c r="B608" s="41">
        <f>'設定'!$I$19</f>
        <v/>
      </c>
      <c r="C608" s="56" t="n"/>
      <c r="D608" s="56" t="n"/>
      <c r="E608" s="56" t="n"/>
      <c r="F608" s="56" t="n"/>
      <c r="G608" s="56" t="n"/>
      <c r="H608" s="56" t="n"/>
      <c r="I608" s="56" t="n"/>
      <c r="J608" s="56" t="n"/>
      <c r="K608" s="56" t="n"/>
      <c r="L608" s="56" t="n"/>
    </row>
    <row r="609" ht="22" customHeight="1">
      <c r="A609" s="55" t="n"/>
      <c r="B609" s="41">
        <f>'設定'!$I$20</f>
        <v/>
      </c>
      <c r="C609" s="56" t="n"/>
      <c r="D609" s="56" t="n"/>
      <c r="E609" s="56" t="n"/>
      <c r="F609" s="56" t="n"/>
      <c r="G609" s="56" t="n"/>
      <c r="H609" s="56" t="n"/>
      <c r="I609" s="56" t="n"/>
      <c r="J609" s="56" t="n"/>
      <c r="K609" s="56" t="n"/>
      <c r="L609" s="56" t="n"/>
    </row>
    <row r="610" ht="22" customHeight="1">
      <c r="A610" s="55" t="n"/>
      <c r="B610" s="41">
        <f>'設定'!$I$21</f>
        <v/>
      </c>
      <c r="C610" s="56" t="n"/>
      <c r="D610" s="56" t="n"/>
      <c r="E610" s="56" t="n"/>
      <c r="F610" s="56" t="n"/>
      <c r="G610" s="56" t="n"/>
      <c r="H610" s="56" t="n"/>
      <c r="I610" s="56" t="n"/>
      <c r="J610" s="56" t="n"/>
      <c r="K610" s="56" t="n"/>
      <c r="L610" s="56" t="n"/>
    </row>
    <row r="611" ht="22" customHeight="1">
      <c r="A611" s="55" t="n"/>
      <c r="B611" s="41">
        <f>'設定'!$I$22</f>
        <v/>
      </c>
      <c r="C611" s="56" t="n"/>
      <c r="D611" s="56" t="n"/>
      <c r="E611" s="56" t="n"/>
      <c r="F611" s="56" t="n"/>
      <c r="G611" s="56" t="n"/>
      <c r="H611" s="56" t="n"/>
      <c r="I611" s="56" t="n"/>
      <c r="J611" s="56" t="n"/>
      <c r="K611" s="56" t="n"/>
      <c r="L611" s="56" t="n"/>
    </row>
    <row r="612"/>
    <row r="613" ht="26" customHeight="1">
      <c r="B613" s="51">
        <f>IF('名簿'!B43="","（名簿 39行目：なし）",'名簿'!G43)</f>
        <v/>
      </c>
      <c r="C613" s="4" t="n"/>
      <c r="D613" s="4" t="n"/>
      <c r="E613" s="52" t="inlineStr">
        <is>
          <t>提出状況 ▶</t>
        </is>
      </c>
      <c r="F613" s="37" t="n"/>
      <c r="G613" s="29" t="n"/>
      <c r="H613" s="53" t="inlineStr">
        <is>
          <t>状況：</t>
        </is>
      </c>
      <c r="I613" s="54">
        <f>'名簿'!H43</f>
        <v/>
      </c>
      <c r="J613" s="53" t="inlineStr">
        <is>
          <t>×の数：</t>
        </is>
      </c>
      <c r="K613" s="54">
        <f>'名簿'!I43</f>
        <v/>
      </c>
      <c r="L613" s="4" t="n"/>
    </row>
    <row r="614" ht="22" customHeight="1">
      <c r="A614" s="30" t="inlineStr">
        <is>
          <t>この日全部 ▶</t>
        </is>
      </c>
      <c r="C614" s="55" t="n"/>
      <c r="D614" s="55" t="n"/>
      <c r="E614" s="55" t="n"/>
      <c r="F614" s="55" t="n"/>
      <c r="G614" s="55" t="n"/>
      <c r="H614" s="55" t="n"/>
      <c r="I614" s="55" t="n"/>
      <c r="J614" s="55" t="n"/>
      <c r="K614" s="55" t="n"/>
      <c r="L614" s="55" t="n"/>
    </row>
    <row r="615" ht="28" customHeight="1">
      <c r="A615" s="33" t="inlineStr">
        <is>
          <t>この時間
全部 ▼</t>
        </is>
      </c>
      <c r="B615" s="34" t="inlineStr"/>
      <c r="C615" s="32">
        <f>'設定'!$E$11</f>
        <v/>
      </c>
      <c r="D615" s="32">
        <f>'設定'!$E$12</f>
        <v/>
      </c>
      <c r="E615" s="32">
        <f>'設定'!$E$13</f>
        <v/>
      </c>
      <c r="F615" s="32">
        <f>'設定'!$E$14</f>
        <v/>
      </c>
      <c r="G615" s="32">
        <f>'設定'!$E$15</f>
        <v/>
      </c>
      <c r="H615" s="32">
        <f>'設定'!$E$16</f>
        <v/>
      </c>
      <c r="I615" s="32">
        <f>'設定'!$E$17</f>
        <v/>
      </c>
      <c r="J615" s="32">
        <f>'設定'!$E$18</f>
        <v/>
      </c>
      <c r="K615" s="32">
        <f>'設定'!$E$19</f>
        <v/>
      </c>
      <c r="L615" s="32">
        <f>'設定'!$E$20</f>
        <v/>
      </c>
    </row>
    <row r="616" ht="22" customHeight="1">
      <c r="A616" s="55" t="n"/>
      <c r="B616" s="41">
        <f>'設定'!$I$11</f>
        <v/>
      </c>
      <c r="C616" s="56" t="n"/>
      <c r="D616" s="56" t="n"/>
      <c r="E616" s="56" t="n"/>
      <c r="F616" s="56" t="n"/>
      <c r="G616" s="56" t="n"/>
      <c r="H616" s="56" t="n"/>
      <c r="I616" s="56" t="n"/>
      <c r="J616" s="56" t="n"/>
      <c r="K616" s="56" t="n"/>
      <c r="L616" s="56" t="n"/>
    </row>
    <row r="617" ht="22" customHeight="1">
      <c r="A617" s="55" t="n"/>
      <c r="B617" s="41">
        <f>'設定'!$I$12</f>
        <v/>
      </c>
      <c r="C617" s="56" t="n"/>
      <c r="D617" s="56" t="n"/>
      <c r="E617" s="56" t="n"/>
      <c r="F617" s="56" t="n"/>
      <c r="G617" s="56" t="n"/>
      <c r="H617" s="56" t="n"/>
      <c r="I617" s="56" t="n"/>
      <c r="J617" s="56" t="n"/>
      <c r="K617" s="56" t="n"/>
      <c r="L617" s="56" t="n"/>
    </row>
    <row r="618" ht="22" customHeight="1">
      <c r="A618" s="55" t="n"/>
      <c r="B618" s="41">
        <f>'設定'!$I$13</f>
        <v/>
      </c>
      <c r="C618" s="56" t="n"/>
      <c r="D618" s="56" t="n"/>
      <c r="E618" s="56" t="n"/>
      <c r="F618" s="56" t="n"/>
      <c r="G618" s="56" t="n"/>
      <c r="H618" s="56" t="n"/>
      <c r="I618" s="56" t="n"/>
      <c r="J618" s="56" t="n"/>
      <c r="K618" s="56" t="n"/>
      <c r="L618" s="56" t="n"/>
    </row>
    <row r="619" ht="22" customHeight="1">
      <c r="A619" s="55" t="n"/>
      <c r="B619" s="41">
        <f>'設定'!$I$14</f>
        <v/>
      </c>
      <c r="C619" s="56" t="n"/>
      <c r="D619" s="56" t="n"/>
      <c r="E619" s="56" t="n"/>
      <c r="F619" s="56" t="n"/>
      <c r="G619" s="56" t="n"/>
      <c r="H619" s="56" t="n"/>
      <c r="I619" s="56" t="n"/>
      <c r="J619" s="56" t="n"/>
      <c r="K619" s="56" t="n"/>
      <c r="L619" s="56" t="n"/>
    </row>
    <row r="620" ht="22" customHeight="1">
      <c r="A620" s="55" t="n"/>
      <c r="B620" s="41">
        <f>'設定'!$I$15</f>
        <v/>
      </c>
      <c r="C620" s="56" t="n"/>
      <c r="D620" s="56" t="n"/>
      <c r="E620" s="56" t="n"/>
      <c r="F620" s="56" t="n"/>
      <c r="G620" s="56" t="n"/>
      <c r="H620" s="56" t="n"/>
      <c r="I620" s="56" t="n"/>
      <c r="J620" s="56" t="n"/>
      <c r="K620" s="56" t="n"/>
      <c r="L620" s="56" t="n"/>
    </row>
    <row r="621" ht="22" customHeight="1">
      <c r="A621" s="55" t="n"/>
      <c r="B621" s="41">
        <f>'設定'!$I$16</f>
        <v/>
      </c>
      <c r="C621" s="56" t="n"/>
      <c r="D621" s="56" t="n"/>
      <c r="E621" s="56" t="n"/>
      <c r="F621" s="56" t="n"/>
      <c r="G621" s="56" t="n"/>
      <c r="H621" s="56" t="n"/>
      <c r="I621" s="56" t="n"/>
      <c r="J621" s="56" t="n"/>
      <c r="K621" s="56" t="n"/>
      <c r="L621" s="56" t="n"/>
    </row>
    <row r="622" ht="22" customHeight="1">
      <c r="A622" s="55" t="n"/>
      <c r="B622" s="41">
        <f>'設定'!$I$17</f>
        <v/>
      </c>
      <c r="C622" s="56" t="n"/>
      <c r="D622" s="56" t="n"/>
      <c r="E622" s="56" t="n"/>
      <c r="F622" s="56" t="n"/>
      <c r="G622" s="56" t="n"/>
      <c r="H622" s="56" t="n"/>
      <c r="I622" s="56" t="n"/>
      <c r="J622" s="56" t="n"/>
      <c r="K622" s="56" t="n"/>
      <c r="L622" s="56" t="n"/>
    </row>
    <row r="623" ht="22" customHeight="1">
      <c r="A623" s="55" t="n"/>
      <c r="B623" s="41">
        <f>'設定'!$I$18</f>
        <v/>
      </c>
      <c r="C623" s="56" t="n"/>
      <c r="D623" s="56" t="n"/>
      <c r="E623" s="56" t="n"/>
      <c r="F623" s="56" t="n"/>
      <c r="G623" s="56" t="n"/>
      <c r="H623" s="56" t="n"/>
      <c r="I623" s="56" t="n"/>
      <c r="J623" s="56" t="n"/>
      <c r="K623" s="56" t="n"/>
      <c r="L623" s="56" t="n"/>
    </row>
    <row r="624" ht="22" customHeight="1">
      <c r="A624" s="55" t="n"/>
      <c r="B624" s="41">
        <f>'設定'!$I$19</f>
        <v/>
      </c>
      <c r="C624" s="56" t="n"/>
      <c r="D624" s="56" t="n"/>
      <c r="E624" s="56" t="n"/>
      <c r="F624" s="56" t="n"/>
      <c r="G624" s="56" t="n"/>
      <c r="H624" s="56" t="n"/>
      <c r="I624" s="56" t="n"/>
      <c r="J624" s="56" t="n"/>
      <c r="K624" s="56" t="n"/>
      <c r="L624" s="56" t="n"/>
    </row>
    <row r="625" ht="22" customHeight="1">
      <c r="A625" s="55" t="n"/>
      <c r="B625" s="41">
        <f>'設定'!$I$20</f>
        <v/>
      </c>
      <c r="C625" s="56" t="n"/>
      <c r="D625" s="56" t="n"/>
      <c r="E625" s="56" t="n"/>
      <c r="F625" s="56" t="n"/>
      <c r="G625" s="56" t="n"/>
      <c r="H625" s="56" t="n"/>
      <c r="I625" s="56" t="n"/>
      <c r="J625" s="56" t="n"/>
      <c r="K625" s="56" t="n"/>
      <c r="L625" s="56" t="n"/>
    </row>
    <row r="626" ht="22" customHeight="1">
      <c r="A626" s="55" t="n"/>
      <c r="B626" s="41">
        <f>'設定'!$I$21</f>
        <v/>
      </c>
      <c r="C626" s="56" t="n"/>
      <c r="D626" s="56" t="n"/>
      <c r="E626" s="56" t="n"/>
      <c r="F626" s="56" t="n"/>
      <c r="G626" s="56" t="n"/>
      <c r="H626" s="56" t="n"/>
      <c r="I626" s="56" t="n"/>
      <c r="J626" s="56" t="n"/>
      <c r="K626" s="56" t="n"/>
      <c r="L626" s="56" t="n"/>
    </row>
    <row r="627" ht="22" customHeight="1">
      <c r="A627" s="55" t="n"/>
      <c r="B627" s="41">
        <f>'設定'!$I$22</f>
        <v/>
      </c>
      <c r="C627" s="56" t="n"/>
      <c r="D627" s="56" t="n"/>
      <c r="E627" s="56" t="n"/>
      <c r="F627" s="56" t="n"/>
      <c r="G627" s="56" t="n"/>
      <c r="H627" s="56" t="n"/>
      <c r="I627" s="56" t="n"/>
      <c r="J627" s="56" t="n"/>
      <c r="K627" s="56" t="n"/>
      <c r="L627" s="56" t="n"/>
    </row>
    <row r="628"/>
    <row r="629" ht="26" customHeight="1">
      <c r="B629" s="51">
        <f>IF('名簿'!B44="","（名簿 40行目：なし）",'名簿'!G44)</f>
        <v/>
      </c>
      <c r="C629" s="4" t="n"/>
      <c r="D629" s="4" t="n"/>
      <c r="E629" s="52" t="inlineStr">
        <is>
          <t>提出状況 ▶</t>
        </is>
      </c>
      <c r="F629" s="37" t="n"/>
      <c r="G629" s="29" t="n"/>
      <c r="H629" s="53" t="inlineStr">
        <is>
          <t>状況：</t>
        </is>
      </c>
      <c r="I629" s="54">
        <f>'名簿'!H44</f>
        <v/>
      </c>
      <c r="J629" s="53" t="inlineStr">
        <is>
          <t>×の数：</t>
        </is>
      </c>
      <c r="K629" s="54">
        <f>'名簿'!I44</f>
        <v/>
      </c>
      <c r="L629" s="4" t="n"/>
    </row>
    <row r="630" ht="22" customHeight="1">
      <c r="A630" s="30" t="inlineStr">
        <is>
          <t>この日全部 ▶</t>
        </is>
      </c>
      <c r="C630" s="55" t="n"/>
      <c r="D630" s="55" t="n"/>
      <c r="E630" s="55" t="n"/>
      <c r="F630" s="55" t="n"/>
      <c r="G630" s="55" t="n"/>
      <c r="H630" s="55" t="n"/>
      <c r="I630" s="55" t="n"/>
      <c r="J630" s="55" t="n"/>
      <c r="K630" s="55" t="n"/>
      <c r="L630" s="55" t="n"/>
    </row>
    <row r="631" ht="28" customHeight="1">
      <c r="A631" s="33" t="inlineStr">
        <is>
          <t>この時間
全部 ▼</t>
        </is>
      </c>
      <c r="B631" s="34" t="inlineStr"/>
      <c r="C631" s="32">
        <f>'設定'!$E$11</f>
        <v/>
      </c>
      <c r="D631" s="32">
        <f>'設定'!$E$12</f>
        <v/>
      </c>
      <c r="E631" s="32">
        <f>'設定'!$E$13</f>
        <v/>
      </c>
      <c r="F631" s="32">
        <f>'設定'!$E$14</f>
        <v/>
      </c>
      <c r="G631" s="32">
        <f>'設定'!$E$15</f>
        <v/>
      </c>
      <c r="H631" s="32">
        <f>'設定'!$E$16</f>
        <v/>
      </c>
      <c r="I631" s="32">
        <f>'設定'!$E$17</f>
        <v/>
      </c>
      <c r="J631" s="32">
        <f>'設定'!$E$18</f>
        <v/>
      </c>
      <c r="K631" s="32">
        <f>'設定'!$E$19</f>
        <v/>
      </c>
      <c r="L631" s="32">
        <f>'設定'!$E$20</f>
        <v/>
      </c>
    </row>
    <row r="632" ht="22" customHeight="1">
      <c r="A632" s="55" t="n"/>
      <c r="B632" s="41">
        <f>'設定'!$I$11</f>
        <v/>
      </c>
      <c r="C632" s="56" t="n"/>
      <c r="D632" s="56" t="n"/>
      <c r="E632" s="56" t="n"/>
      <c r="F632" s="56" t="n"/>
      <c r="G632" s="56" t="n"/>
      <c r="H632" s="56" t="n"/>
      <c r="I632" s="56" t="n"/>
      <c r="J632" s="56" t="n"/>
      <c r="K632" s="56" t="n"/>
      <c r="L632" s="56" t="n"/>
    </row>
    <row r="633" ht="22" customHeight="1">
      <c r="A633" s="55" t="n"/>
      <c r="B633" s="41">
        <f>'設定'!$I$12</f>
        <v/>
      </c>
      <c r="C633" s="56" t="n"/>
      <c r="D633" s="56" t="n"/>
      <c r="E633" s="56" t="n"/>
      <c r="F633" s="56" t="n"/>
      <c r="G633" s="56" t="n"/>
      <c r="H633" s="56" t="n"/>
      <c r="I633" s="56" t="n"/>
      <c r="J633" s="56" t="n"/>
      <c r="K633" s="56" t="n"/>
      <c r="L633" s="56" t="n"/>
    </row>
    <row r="634" ht="22" customHeight="1">
      <c r="A634" s="55" t="n"/>
      <c r="B634" s="41">
        <f>'設定'!$I$13</f>
        <v/>
      </c>
      <c r="C634" s="56" t="n"/>
      <c r="D634" s="56" t="n"/>
      <c r="E634" s="56" t="n"/>
      <c r="F634" s="56" t="n"/>
      <c r="G634" s="56" t="n"/>
      <c r="H634" s="56" t="n"/>
      <c r="I634" s="56" t="n"/>
      <c r="J634" s="56" t="n"/>
      <c r="K634" s="56" t="n"/>
      <c r="L634" s="56" t="n"/>
    </row>
    <row r="635" ht="22" customHeight="1">
      <c r="A635" s="55" t="n"/>
      <c r="B635" s="41">
        <f>'設定'!$I$14</f>
        <v/>
      </c>
      <c r="C635" s="56" t="n"/>
      <c r="D635" s="56" t="n"/>
      <c r="E635" s="56" t="n"/>
      <c r="F635" s="56" t="n"/>
      <c r="G635" s="56" t="n"/>
      <c r="H635" s="56" t="n"/>
      <c r="I635" s="56" t="n"/>
      <c r="J635" s="56" t="n"/>
      <c r="K635" s="56" t="n"/>
      <c r="L635" s="56" t="n"/>
    </row>
    <row r="636" ht="22" customHeight="1">
      <c r="A636" s="55" t="n"/>
      <c r="B636" s="41">
        <f>'設定'!$I$15</f>
        <v/>
      </c>
      <c r="C636" s="56" t="n"/>
      <c r="D636" s="56" t="n"/>
      <c r="E636" s="56" t="n"/>
      <c r="F636" s="56" t="n"/>
      <c r="G636" s="56" t="n"/>
      <c r="H636" s="56" t="n"/>
      <c r="I636" s="56" t="n"/>
      <c r="J636" s="56" t="n"/>
      <c r="K636" s="56" t="n"/>
      <c r="L636" s="56" t="n"/>
    </row>
    <row r="637" ht="22" customHeight="1">
      <c r="A637" s="55" t="n"/>
      <c r="B637" s="41">
        <f>'設定'!$I$16</f>
        <v/>
      </c>
      <c r="C637" s="56" t="n"/>
      <c r="D637" s="56" t="n"/>
      <c r="E637" s="56" t="n"/>
      <c r="F637" s="56" t="n"/>
      <c r="G637" s="56" t="n"/>
      <c r="H637" s="56" t="n"/>
      <c r="I637" s="56" t="n"/>
      <c r="J637" s="56" t="n"/>
      <c r="K637" s="56" t="n"/>
      <c r="L637" s="56" t="n"/>
    </row>
    <row r="638" ht="22" customHeight="1">
      <c r="A638" s="55" t="n"/>
      <c r="B638" s="41">
        <f>'設定'!$I$17</f>
        <v/>
      </c>
      <c r="C638" s="56" t="n"/>
      <c r="D638" s="56" t="n"/>
      <c r="E638" s="56" t="n"/>
      <c r="F638" s="56" t="n"/>
      <c r="G638" s="56" t="n"/>
      <c r="H638" s="56" t="n"/>
      <c r="I638" s="56" t="n"/>
      <c r="J638" s="56" t="n"/>
      <c r="K638" s="56" t="n"/>
      <c r="L638" s="56" t="n"/>
    </row>
    <row r="639" ht="22" customHeight="1">
      <c r="A639" s="55" t="n"/>
      <c r="B639" s="41">
        <f>'設定'!$I$18</f>
        <v/>
      </c>
      <c r="C639" s="56" t="n"/>
      <c r="D639" s="56" t="n"/>
      <c r="E639" s="56" t="n"/>
      <c r="F639" s="56" t="n"/>
      <c r="G639" s="56" t="n"/>
      <c r="H639" s="56" t="n"/>
      <c r="I639" s="56" t="n"/>
      <c r="J639" s="56" t="n"/>
      <c r="K639" s="56" t="n"/>
      <c r="L639" s="56" t="n"/>
    </row>
    <row r="640" ht="22" customHeight="1">
      <c r="A640" s="55" t="n"/>
      <c r="B640" s="41">
        <f>'設定'!$I$19</f>
        <v/>
      </c>
      <c r="C640" s="56" t="n"/>
      <c r="D640" s="56" t="n"/>
      <c r="E640" s="56" t="n"/>
      <c r="F640" s="56" t="n"/>
      <c r="G640" s="56" t="n"/>
      <c r="H640" s="56" t="n"/>
      <c r="I640" s="56" t="n"/>
      <c r="J640" s="56" t="n"/>
      <c r="K640" s="56" t="n"/>
      <c r="L640" s="56" t="n"/>
    </row>
    <row r="641" ht="22" customHeight="1">
      <c r="A641" s="55" t="n"/>
      <c r="B641" s="41">
        <f>'設定'!$I$20</f>
        <v/>
      </c>
      <c r="C641" s="56" t="n"/>
      <c r="D641" s="56" t="n"/>
      <c r="E641" s="56" t="n"/>
      <c r="F641" s="56" t="n"/>
      <c r="G641" s="56" t="n"/>
      <c r="H641" s="56" t="n"/>
      <c r="I641" s="56" t="n"/>
      <c r="J641" s="56" t="n"/>
      <c r="K641" s="56" t="n"/>
      <c r="L641" s="56" t="n"/>
    </row>
    <row r="642" ht="22" customHeight="1">
      <c r="A642" s="55" t="n"/>
      <c r="B642" s="41">
        <f>'設定'!$I$21</f>
        <v/>
      </c>
      <c r="C642" s="56" t="n"/>
      <c r="D642" s="56" t="n"/>
      <c r="E642" s="56" t="n"/>
      <c r="F642" s="56" t="n"/>
      <c r="G642" s="56" t="n"/>
      <c r="H642" s="56" t="n"/>
      <c r="I642" s="56" t="n"/>
      <c r="J642" s="56" t="n"/>
      <c r="K642" s="56" t="n"/>
      <c r="L642" s="56" t="n"/>
    </row>
    <row r="643" ht="22" customHeight="1">
      <c r="A643" s="55" t="n"/>
      <c r="B643" s="41">
        <f>'設定'!$I$22</f>
        <v/>
      </c>
      <c r="C643" s="56" t="n"/>
      <c r="D643" s="56" t="n"/>
      <c r="E643" s="56" t="n"/>
      <c r="F643" s="56" t="n"/>
      <c r="G643" s="56" t="n"/>
      <c r="H643" s="56" t="n"/>
      <c r="I643" s="56" t="n"/>
      <c r="J643" s="56" t="n"/>
      <c r="K643" s="56" t="n"/>
      <c r="L643" s="56" t="n"/>
    </row>
    <row r="644"/>
    <row r="645" ht="26" customHeight="1">
      <c r="B645" s="51">
        <f>IF('名簿'!B45="","（名簿 41行目：なし）",'名簿'!G45)</f>
        <v/>
      </c>
      <c r="C645" s="4" t="n"/>
      <c r="D645" s="4" t="n"/>
      <c r="E645" s="52" t="inlineStr">
        <is>
          <t>提出状況 ▶</t>
        </is>
      </c>
      <c r="F645" s="37" t="n"/>
      <c r="G645" s="29" t="n"/>
      <c r="H645" s="53" t="inlineStr">
        <is>
          <t>状況：</t>
        </is>
      </c>
      <c r="I645" s="54">
        <f>'名簿'!H45</f>
        <v/>
      </c>
      <c r="J645" s="53" t="inlineStr">
        <is>
          <t>×の数：</t>
        </is>
      </c>
      <c r="K645" s="54">
        <f>'名簿'!I45</f>
        <v/>
      </c>
      <c r="L645" s="4" t="n"/>
    </row>
    <row r="646" ht="22" customHeight="1">
      <c r="A646" s="30" t="inlineStr">
        <is>
          <t>この日全部 ▶</t>
        </is>
      </c>
      <c r="C646" s="55" t="n"/>
      <c r="D646" s="55" t="n"/>
      <c r="E646" s="55" t="n"/>
      <c r="F646" s="55" t="n"/>
      <c r="G646" s="55" t="n"/>
      <c r="H646" s="55" t="n"/>
      <c r="I646" s="55" t="n"/>
      <c r="J646" s="55" t="n"/>
      <c r="K646" s="55" t="n"/>
      <c r="L646" s="55" t="n"/>
    </row>
    <row r="647" ht="28" customHeight="1">
      <c r="A647" s="33" t="inlineStr">
        <is>
          <t>この時間
全部 ▼</t>
        </is>
      </c>
      <c r="B647" s="34" t="inlineStr"/>
      <c r="C647" s="32">
        <f>'設定'!$E$11</f>
        <v/>
      </c>
      <c r="D647" s="32">
        <f>'設定'!$E$12</f>
        <v/>
      </c>
      <c r="E647" s="32">
        <f>'設定'!$E$13</f>
        <v/>
      </c>
      <c r="F647" s="32">
        <f>'設定'!$E$14</f>
        <v/>
      </c>
      <c r="G647" s="32">
        <f>'設定'!$E$15</f>
        <v/>
      </c>
      <c r="H647" s="32">
        <f>'設定'!$E$16</f>
        <v/>
      </c>
      <c r="I647" s="32">
        <f>'設定'!$E$17</f>
        <v/>
      </c>
      <c r="J647" s="32">
        <f>'設定'!$E$18</f>
        <v/>
      </c>
      <c r="K647" s="32">
        <f>'設定'!$E$19</f>
        <v/>
      </c>
      <c r="L647" s="32">
        <f>'設定'!$E$20</f>
        <v/>
      </c>
    </row>
    <row r="648" ht="22" customHeight="1">
      <c r="A648" s="55" t="n"/>
      <c r="B648" s="41">
        <f>'設定'!$I$11</f>
        <v/>
      </c>
      <c r="C648" s="56" t="n"/>
      <c r="D648" s="56" t="n"/>
      <c r="E648" s="56" t="n"/>
      <c r="F648" s="56" t="n"/>
      <c r="G648" s="56" t="n"/>
      <c r="H648" s="56" t="n"/>
      <c r="I648" s="56" t="n"/>
      <c r="J648" s="56" t="n"/>
      <c r="K648" s="56" t="n"/>
      <c r="L648" s="56" t="n"/>
    </row>
    <row r="649" ht="22" customHeight="1">
      <c r="A649" s="55" t="n"/>
      <c r="B649" s="41">
        <f>'設定'!$I$12</f>
        <v/>
      </c>
      <c r="C649" s="56" t="n"/>
      <c r="D649" s="56" t="n"/>
      <c r="E649" s="56" t="n"/>
      <c r="F649" s="56" t="n"/>
      <c r="G649" s="56" t="n"/>
      <c r="H649" s="56" t="n"/>
      <c r="I649" s="56" t="n"/>
      <c r="J649" s="56" t="n"/>
      <c r="K649" s="56" t="n"/>
      <c r="L649" s="56" t="n"/>
    </row>
    <row r="650" ht="22" customHeight="1">
      <c r="A650" s="55" t="n"/>
      <c r="B650" s="41">
        <f>'設定'!$I$13</f>
        <v/>
      </c>
      <c r="C650" s="56" t="n"/>
      <c r="D650" s="56" t="n"/>
      <c r="E650" s="56" t="n"/>
      <c r="F650" s="56" t="n"/>
      <c r="G650" s="56" t="n"/>
      <c r="H650" s="56" t="n"/>
      <c r="I650" s="56" t="n"/>
      <c r="J650" s="56" t="n"/>
      <c r="K650" s="56" t="n"/>
      <c r="L650" s="56" t="n"/>
    </row>
    <row r="651" ht="22" customHeight="1">
      <c r="A651" s="55" t="n"/>
      <c r="B651" s="41">
        <f>'設定'!$I$14</f>
        <v/>
      </c>
      <c r="C651" s="56" t="n"/>
      <c r="D651" s="56" t="n"/>
      <c r="E651" s="56" t="n"/>
      <c r="F651" s="56" t="n"/>
      <c r="G651" s="56" t="n"/>
      <c r="H651" s="56" t="n"/>
      <c r="I651" s="56" t="n"/>
      <c r="J651" s="56" t="n"/>
      <c r="K651" s="56" t="n"/>
      <c r="L651" s="56" t="n"/>
    </row>
    <row r="652" ht="22" customHeight="1">
      <c r="A652" s="55" t="n"/>
      <c r="B652" s="41">
        <f>'設定'!$I$15</f>
        <v/>
      </c>
      <c r="C652" s="56" t="n"/>
      <c r="D652" s="56" t="n"/>
      <c r="E652" s="56" t="n"/>
      <c r="F652" s="56" t="n"/>
      <c r="G652" s="56" t="n"/>
      <c r="H652" s="56" t="n"/>
      <c r="I652" s="56" t="n"/>
      <c r="J652" s="56" t="n"/>
      <c r="K652" s="56" t="n"/>
      <c r="L652" s="56" t="n"/>
    </row>
    <row r="653" ht="22" customHeight="1">
      <c r="A653" s="55" t="n"/>
      <c r="B653" s="41">
        <f>'設定'!$I$16</f>
        <v/>
      </c>
      <c r="C653" s="56" t="n"/>
      <c r="D653" s="56" t="n"/>
      <c r="E653" s="56" t="n"/>
      <c r="F653" s="56" t="n"/>
      <c r="G653" s="56" t="n"/>
      <c r="H653" s="56" t="n"/>
      <c r="I653" s="56" t="n"/>
      <c r="J653" s="56" t="n"/>
      <c r="K653" s="56" t="n"/>
      <c r="L653" s="56" t="n"/>
    </row>
    <row r="654" ht="22" customHeight="1">
      <c r="A654" s="55" t="n"/>
      <c r="B654" s="41">
        <f>'設定'!$I$17</f>
        <v/>
      </c>
      <c r="C654" s="56" t="n"/>
      <c r="D654" s="56" t="n"/>
      <c r="E654" s="56" t="n"/>
      <c r="F654" s="56" t="n"/>
      <c r="G654" s="56" t="n"/>
      <c r="H654" s="56" t="n"/>
      <c r="I654" s="56" t="n"/>
      <c r="J654" s="56" t="n"/>
      <c r="K654" s="56" t="n"/>
      <c r="L654" s="56" t="n"/>
    </row>
    <row r="655" ht="22" customHeight="1">
      <c r="A655" s="55" t="n"/>
      <c r="B655" s="41">
        <f>'設定'!$I$18</f>
        <v/>
      </c>
      <c r="C655" s="56" t="n"/>
      <c r="D655" s="56" t="n"/>
      <c r="E655" s="56" t="n"/>
      <c r="F655" s="56" t="n"/>
      <c r="G655" s="56" t="n"/>
      <c r="H655" s="56" t="n"/>
      <c r="I655" s="56" t="n"/>
      <c r="J655" s="56" t="n"/>
      <c r="K655" s="56" t="n"/>
      <c r="L655" s="56" t="n"/>
    </row>
    <row r="656" ht="22" customHeight="1">
      <c r="A656" s="55" t="n"/>
      <c r="B656" s="41">
        <f>'設定'!$I$19</f>
        <v/>
      </c>
      <c r="C656" s="56" t="n"/>
      <c r="D656" s="56" t="n"/>
      <c r="E656" s="56" t="n"/>
      <c r="F656" s="56" t="n"/>
      <c r="G656" s="56" t="n"/>
      <c r="H656" s="56" t="n"/>
      <c r="I656" s="56" t="n"/>
      <c r="J656" s="56" t="n"/>
      <c r="K656" s="56" t="n"/>
      <c r="L656" s="56" t="n"/>
    </row>
    <row r="657" ht="22" customHeight="1">
      <c r="A657" s="55" t="n"/>
      <c r="B657" s="41">
        <f>'設定'!$I$20</f>
        <v/>
      </c>
      <c r="C657" s="56" t="n"/>
      <c r="D657" s="56" t="n"/>
      <c r="E657" s="56" t="n"/>
      <c r="F657" s="56" t="n"/>
      <c r="G657" s="56" t="n"/>
      <c r="H657" s="56" t="n"/>
      <c r="I657" s="56" t="n"/>
      <c r="J657" s="56" t="n"/>
      <c r="K657" s="56" t="n"/>
      <c r="L657" s="56" t="n"/>
    </row>
    <row r="658" ht="22" customHeight="1">
      <c r="A658" s="55" t="n"/>
      <c r="B658" s="41">
        <f>'設定'!$I$21</f>
        <v/>
      </c>
      <c r="C658" s="56" t="n"/>
      <c r="D658" s="56" t="n"/>
      <c r="E658" s="56" t="n"/>
      <c r="F658" s="56" t="n"/>
      <c r="G658" s="56" t="n"/>
      <c r="H658" s="56" t="n"/>
      <c r="I658" s="56" t="n"/>
      <c r="J658" s="56" t="n"/>
      <c r="K658" s="56" t="n"/>
      <c r="L658" s="56" t="n"/>
    </row>
    <row r="659" ht="22" customHeight="1">
      <c r="A659" s="55" t="n"/>
      <c r="B659" s="41">
        <f>'設定'!$I$22</f>
        <v/>
      </c>
      <c r="C659" s="56" t="n"/>
      <c r="D659" s="56" t="n"/>
      <c r="E659" s="56" t="n"/>
      <c r="F659" s="56" t="n"/>
      <c r="G659" s="56" t="n"/>
      <c r="H659" s="56" t="n"/>
      <c r="I659" s="56" t="n"/>
      <c r="J659" s="56" t="n"/>
      <c r="K659" s="56" t="n"/>
      <c r="L659" s="56" t="n"/>
    </row>
    <row r="660"/>
    <row r="661" ht="26" customHeight="1">
      <c r="B661" s="51">
        <f>IF('名簿'!B46="","（名簿 42行目：なし）",'名簿'!G46)</f>
        <v/>
      </c>
      <c r="C661" s="4" t="n"/>
      <c r="D661" s="4" t="n"/>
      <c r="E661" s="52" t="inlineStr">
        <is>
          <t>提出状況 ▶</t>
        </is>
      </c>
      <c r="F661" s="37" t="n"/>
      <c r="G661" s="29" t="n"/>
      <c r="H661" s="53" t="inlineStr">
        <is>
          <t>状況：</t>
        </is>
      </c>
      <c r="I661" s="54">
        <f>'名簿'!H46</f>
        <v/>
      </c>
      <c r="J661" s="53" t="inlineStr">
        <is>
          <t>×の数：</t>
        </is>
      </c>
      <c r="K661" s="54">
        <f>'名簿'!I46</f>
        <v/>
      </c>
      <c r="L661" s="4" t="n"/>
    </row>
    <row r="662" ht="22" customHeight="1">
      <c r="A662" s="30" t="inlineStr">
        <is>
          <t>この日全部 ▶</t>
        </is>
      </c>
      <c r="C662" s="55" t="n"/>
      <c r="D662" s="55" t="n"/>
      <c r="E662" s="55" t="n"/>
      <c r="F662" s="55" t="n"/>
      <c r="G662" s="55" t="n"/>
      <c r="H662" s="55" t="n"/>
      <c r="I662" s="55" t="n"/>
      <c r="J662" s="55" t="n"/>
      <c r="K662" s="55" t="n"/>
      <c r="L662" s="55" t="n"/>
    </row>
    <row r="663" ht="28" customHeight="1">
      <c r="A663" s="33" t="inlineStr">
        <is>
          <t>この時間
全部 ▼</t>
        </is>
      </c>
      <c r="B663" s="34" t="inlineStr"/>
      <c r="C663" s="32">
        <f>'設定'!$E$11</f>
        <v/>
      </c>
      <c r="D663" s="32">
        <f>'設定'!$E$12</f>
        <v/>
      </c>
      <c r="E663" s="32">
        <f>'設定'!$E$13</f>
        <v/>
      </c>
      <c r="F663" s="32">
        <f>'設定'!$E$14</f>
        <v/>
      </c>
      <c r="G663" s="32">
        <f>'設定'!$E$15</f>
        <v/>
      </c>
      <c r="H663" s="32">
        <f>'設定'!$E$16</f>
        <v/>
      </c>
      <c r="I663" s="32">
        <f>'設定'!$E$17</f>
        <v/>
      </c>
      <c r="J663" s="32">
        <f>'設定'!$E$18</f>
        <v/>
      </c>
      <c r="K663" s="32">
        <f>'設定'!$E$19</f>
        <v/>
      </c>
      <c r="L663" s="32">
        <f>'設定'!$E$20</f>
        <v/>
      </c>
    </row>
    <row r="664" ht="22" customHeight="1">
      <c r="A664" s="55" t="n"/>
      <c r="B664" s="41">
        <f>'設定'!$I$11</f>
        <v/>
      </c>
      <c r="C664" s="56" t="n"/>
      <c r="D664" s="56" t="n"/>
      <c r="E664" s="56" t="n"/>
      <c r="F664" s="56" t="n"/>
      <c r="G664" s="56" t="n"/>
      <c r="H664" s="56" t="n"/>
      <c r="I664" s="56" t="n"/>
      <c r="J664" s="56" t="n"/>
      <c r="K664" s="56" t="n"/>
      <c r="L664" s="56" t="n"/>
    </row>
    <row r="665" ht="22" customHeight="1">
      <c r="A665" s="55" t="n"/>
      <c r="B665" s="41">
        <f>'設定'!$I$12</f>
        <v/>
      </c>
      <c r="C665" s="56" t="n"/>
      <c r="D665" s="56" t="n"/>
      <c r="E665" s="56" t="n"/>
      <c r="F665" s="56" t="n"/>
      <c r="G665" s="56" t="n"/>
      <c r="H665" s="56" t="n"/>
      <c r="I665" s="56" t="n"/>
      <c r="J665" s="56" t="n"/>
      <c r="K665" s="56" t="n"/>
      <c r="L665" s="56" t="n"/>
    </row>
    <row r="666" ht="22" customHeight="1">
      <c r="A666" s="55" t="n"/>
      <c r="B666" s="41">
        <f>'設定'!$I$13</f>
        <v/>
      </c>
      <c r="C666" s="56" t="n"/>
      <c r="D666" s="56" t="n"/>
      <c r="E666" s="56" t="n"/>
      <c r="F666" s="56" t="n"/>
      <c r="G666" s="56" t="n"/>
      <c r="H666" s="56" t="n"/>
      <c r="I666" s="56" t="n"/>
      <c r="J666" s="56" t="n"/>
      <c r="K666" s="56" t="n"/>
      <c r="L666" s="56" t="n"/>
    </row>
    <row r="667" ht="22" customHeight="1">
      <c r="A667" s="55" t="n"/>
      <c r="B667" s="41">
        <f>'設定'!$I$14</f>
        <v/>
      </c>
      <c r="C667" s="56" t="n"/>
      <c r="D667" s="56" t="n"/>
      <c r="E667" s="56" t="n"/>
      <c r="F667" s="56" t="n"/>
      <c r="G667" s="56" t="n"/>
      <c r="H667" s="56" t="n"/>
      <c r="I667" s="56" t="n"/>
      <c r="J667" s="56" t="n"/>
      <c r="K667" s="56" t="n"/>
      <c r="L667" s="56" t="n"/>
    </row>
    <row r="668" ht="22" customHeight="1">
      <c r="A668" s="55" t="n"/>
      <c r="B668" s="41">
        <f>'設定'!$I$15</f>
        <v/>
      </c>
      <c r="C668" s="56" t="n"/>
      <c r="D668" s="56" t="n"/>
      <c r="E668" s="56" t="n"/>
      <c r="F668" s="56" t="n"/>
      <c r="G668" s="56" t="n"/>
      <c r="H668" s="56" t="n"/>
      <c r="I668" s="56" t="n"/>
      <c r="J668" s="56" t="n"/>
      <c r="K668" s="56" t="n"/>
      <c r="L668" s="56" t="n"/>
    </row>
    <row r="669" ht="22" customHeight="1">
      <c r="A669" s="55" t="n"/>
      <c r="B669" s="41">
        <f>'設定'!$I$16</f>
        <v/>
      </c>
      <c r="C669" s="56" t="n"/>
      <c r="D669" s="56" t="n"/>
      <c r="E669" s="56" t="n"/>
      <c r="F669" s="56" t="n"/>
      <c r="G669" s="56" t="n"/>
      <c r="H669" s="56" t="n"/>
      <c r="I669" s="56" t="n"/>
      <c r="J669" s="56" t="n"/>
      <c r="K669" s="56" t="n"/>
      <c r="L669" s="56" t="n"/>
    </row>
    <row r="670" ht="22" customHeight="1">
      <c r="A670" s="55" t="n"/>
      <c r="B670" s="41">
        <f>'設定'!$I$17</f>
        <v/>
      </c>
      <c r="C670" s="56" t="n"/>
      <c r="D670" s="56" t="n"/>
      <c r="E670" s="56" t="n"/>
      <c r="F670" s="56" t="n"/>
      <c r="G670" s="56" t="n"/>
      <c r="H670" s="56" t="n"/>
      <c r="I670" s="56" t="n"/>
      <c r="J670" s="56" t="n"/>
      <c r="K670" s="56" t="n"/>
      <c r="L670" s="56" t="n"/>
    </row>
    <row r="671" ht="22" customHeight="1">
      <c r="A671" s="55" t="n"/>
      <c r="B671" s="41">
        <f>'設定'!$I$18</f>
        <v/>
      </c>
      <c r="C671" s="56" t="n"/>
      <c r="D671" s="56" t="n"/>
      <c r="E671" s="56" t="n"/>
      <c r="F671" s="56" t="n"/>
      <c r="G671" s="56" t="n"/>
      <c r="H671" s="56" t="n"/>
      <c r="I671" s="56" t="n"/>
      <c r="J671" s="56" t="n"/>
      <c r="K671" s="56" t="n"/>
      <c r="L671" s="56" t="n"/>
    </row>
    <row r="672" ht="22" customHeight="1">
      <c r="A672" s="55" t="n"/>
      <c r="B672" s="41">
        <f>'設定'!$I$19</f>
        <v/>
      </c>
      <c r="C672" s="56" t="n"/>
      <c r="D672" s="56" t="n"/>
      <c r="E672" s="56" t="n"/>
      <c r="F672" s="56" t="n"/>
      <c r="G672" s="56" t="n"/>
      <c r="H672" s="56" t="n"/>
      <c r="I672" s="56" t="n"/>
      <c r="J672" s="56" t="n"/>
      <c r="K672" s="56" t="n"/>
      <c r="L672" s="56" t="n"/>
    </row>
    <row r="673" ht="22" customHeight="1">
      <c r="A673" s="55" t="n"/>
      <c r="B673" s="41">
        <f>'設定'!$I$20</f>
        <v/>
      </c>
      <c r="C673" s="56" t="n"/>
      <c r="D673" s="56" t="n"/>
      <c r="E673" s="56" t="n"/>
      <c r="F673" s="56" t="n"/>
      <c r="G673" s="56" t="n"/>
      <c r="H673" s="56" t="n"/>
      <c r="I673" s="56" t="n"/>
      <c r="J673" s="56" t="n"/>
      <c r="K673" s="56" t="n"/>
      <c r="L673" s="56" t="n"/>
    </row>
    <row r="674" ht="22" customHeight="1">
      <c r="A674" s="55" t="n"/>
      <c r="B674" s="41">
        <f>'設定'!$I$21</f>
        <v/>
      </c>
      <c r="C674" s="56" t="n"/>
      <c r="D674" s="56" t="n"/>
      <c r="E674" s="56" t="n"/>
      <c r="F674" s="56" t="n"/>
      <c r="G674" s="56" t="n"/>
      <c r="H674" s="56" t="n"/>
      <c r="I674" s="56" t="n"/>
      <c r="J674" s="56" t="n"/>
      <c r="K674" s="56" t="n"/>
      <c r="L674" s="56" t="n"/>
    </row>
    <row r="675" ht="22" customHeight="1">
      <c r="A675" s="55" t="n"/>
      <c r="B675" s="41">
        <f>'設定'!$I$22</f>
        <v/>
      </c>
      <c r="C675" s="56" t="n"/>
      <c r="D675" s="56" t="n"/>
      <c r="E675" s="56" t="n"/>
      <c r="F675" s="56" t="n"/>
      <c r="G675" s="56" t="n"/>
      <c r="H675" s="56" t="n"/>
      <c r="I675" s="56" t="n"/>
      <c r="J675" s="56" t="n"/>
      <c r="K675" s="56" t="n"/>
      <c r="L675" s="56" t="n"/>
    </row>
    <row r="676"/>
    <row r="677" ht="26" customHeight="1">
      <c r="B677" s="51">
        <f>IF('名簿'!B47="","（名簿 43行目：なし）",'名簿'!G47)</f>
        <v/>
      </c>
      <c r="C677" s="4" t="n"/>
      <c r="D677" s="4" t="n"/>
      <c r="E677" s="52" t="inlineStr">
        <is>
          <t>提出状況 ▶</t>
        </is>
      </c>
      <c r="F677" s="37" t="n"/>
      <c r="G677" s="29" t="n"/>
      <c r="H677" s="53" t="inlineStr">
        <is>
          <t>状況：</t>
        </is>
      </c>
      <c r="I677" s="54">
        <f>'名簿'!H47</f>
        <v/>
      </c>
      <c r="J677" s="53" t="inlineStr">
        <is>
          <t>×の数：</t>
        </is>
      </c>
      <c r="K677" s="54">
        <f>'名簿'!I47</f>
        <v/>
      </c>
      <c r="L677" s="4" t="n"/>
    </row>
    <row r="678" ht="22" customHeight="1">
      <c r="A678" s="30" t="inlineStr">
        <is>
          <t>この日全部 ▶</t>
        </is>
      </c>
      <c r="C678" s="55" t="n"/>
      <c r="D678" s="55" t="n"/>
      <c r="E678" s="55" t="n"/>
      <c r="F678" s="55" t="n"/>
      <c r="G678" s="55" t="n"/>
      <c r="H678" s="55" t="n"/>
      <c r="I678" s="55" t="n"/>
      <c r="J678" s="55" t="n"/>
      <c r="K678" s="55" t="n"/>
      <c r="L678" s="55" t="n"/>
    </row>
    <row r="679" ht="28" customHeight="1">
      <c r="A679" s="33" t="inlineStr">
        <is>
          <t>この時間
全部 ▼</t>
        </is>
      </c>
      <c r="B679" s="34" t="inlineStr"/>
      <c r="C679" s="32">
        <f>'設定'!$E$11</f>
        <v/>
      </c>
      <c r="D679" s="32">
        <f>'設定'!$E$12</f>
        <v/>
      </c>
      <c r="E679" s="32">
        <f>'設定'!$E$13</f>
        <v/>
      </c>
      <c r="F679" s="32">
        <f>'設定'!$E$14</f>
        <v/>
      </c>
      <c r="G679" s="32">
        <f>'設定'!$E$15</f>
        <v/>
      </c>
      <c r="H679" s="32">
        <f>'設定'!$E$16</f>
        <v/>
      </c>
      <c r="I679" s="32">
        <f>'設定'!$E$17</f>
        <v/>
      </c>
      <c r="J679" s="32">
        <f>'設定'!$E$18</f>
        <v/>
      </c>
      <c r="K679" s="32">
        <f>'設定'!$E$19</f>
        <v/>
      </c>
      <c r="L679" s="32">
        <f>'設定'!$E$20</f>
        <v/>
      </c>
    </row>
    <row r="680" ht="22" customHeight="1">
      <c r="A680" s="55" t="n"/>
      <c r="B680" s="41">
        <f>'設定'!$I$11</f>
        <v/>
      </c>
      <c r="C680" s="56" t="n"/>
      <c r="D680" s="56" t="n"/>
      <c r="E680" s="56" t="n"/>
      <c r="F680" s="56" t="n"/>
      <c r="G680" s="56" t="n"/>
      <c r="H680" s="56" t="n"/>
      <c r="I680" s="56" t="n"/>
      <c r="J680" s="56" t="n"/>
      <c r="K680" s="56" t="n"/>
      <c r="L680" s="56" t="n"/>
    </row>
    <row r="681" ht="22" customHeight="1">
      <c r="A681" s="55" t="n"/>
      <c r="B681" s="41">
        <f>'設定'!$I$12</f>
        <v/>
      </c>
      <c r="C681" s="56" t="n"/>
      <c r="D681" s="56" t="n"/>
      <c r="E681" s="56" t="n"/>
      <c r="F681" s="56" t="n"/>
      <c r="G681" s="56" t="n"/>
      <c r="H681" s="56" t="n"/>
      <c r="I681" s="56" t="n"/>
      <c r="J681" s="56" t="n"/>
      <c r="K681" s="56" t="n"/>
      <c r="L681" s="56" t="n"/>
    </row>
    <row r="682" ht="22" customHeight="1">
      <c r="A682" s="55" t="n"/>
      <c r="B682" s="41">
        <f>'設定'!$I$13</f>
        <v/>
      </c>
      <c r="C682" s="56" t="n"/>
      <c r="D682" s="56" t="n"/>
      <c r="E682" s="56" t="n"/>
      <c r="F682" s="56" t="n"/>
      <c r="G682" s="56" t="n"/>
      <c r="H682" s="56" t="n"/>
      <c r="I682" s="56" t="n"/>
      <c r="J682" s="56" t="n"/>
      <c r="K682" s="56" t="n"/>
      <c r="L682" s="56" t="n"/>
    </row>
    <row r="683" ht="22" customHeight="1">
      <c r="A683" s="55" t="n"/>
      <c r="B683" s="41">
        <f>'設定'!$I$14</f>
        <v/>
      </c>
      <c r="C683" s="56" t="n"/>
      <c r="D683" s="56" t="n"/>
      <c r="E683" s="56" t="n"/>
      <c r="F683" s="56" t="n"/>
      <c r="G683" s="56" t="n"/>
      <c r="H683" s="56" t="n"/>
      <c r="I683" s="56" t="n"/>
      <c r="J683" s="56" t="n"/>
      <c r="K683" s="56" t="n"/>
      <c r="L683" s="56" t="n"/>
    </row>
    <row r="684" ht="22" customHeight="1">
      <c r="A684" s="55" t="n"/>
      <c r="B684" s="41">
        <f>'設定'!$I$15</f>
        <v/>
      </c>
      <c r="C684" s="56" t="n"/>
      <c r="D684" s="56" t="n"/>
      <c r="E684" s="56" t="n"/>
      <c r="F684" s="56" t="n"/>
      <c r="G684" s="56" t="n"/>
      <c r="H684" s="56" t="n"/>
      <c r="I684" s="56" t="n"/>
      <c r="J684" s="56" t="n"/>
      <c r="K684" s="56" t="n"/>
      <c r="L684" s="56" t="n"/>
    </row>
    <row r="685" ht="22" customHeight="1">
      <c r="A685" s="55" t="n"/>
      <c r="B685" s="41">
        <f>'設定'!$I$16</f>
        <v/>
      </c>
      <c r="C685" s="56" t="n"/>
      <c r="D685" s="56" t="n"/>
      <c r="E685" s="56" t="n"/>
      <c r="F685" s="56" t="n"/>
      <c r="G685" s="56" t="n"/>
      <c r="H685" s="56" t="n"/>
      <c r="I685" s="56" t="n"/>
      <c r="J685" s="56" t="n"/>
      <c r="K685" s="56" t="n"/>
      <c r="L685" s="56" t="n"/>
    </row>
    <row r="686" ht="22" customHeight="1">
      <c r="A686" s="55" t="n"/>
      <c r="B686" s="41">
        <f>'設定'!$I$17</f>
        <v/>
      </c>
      <c r="C686" s="56" t="n"/>
      <c r="D686" s="56" t="n"/>
      <c r="E686" s="56" t="n"/>
      <c r="F686" s="56" t="n"/>
      <c r="G686" s="56" t="n"/>
      <c r="H686" s="56" t="n"/>
      <c r="I686" s="56" t="n"/>
      <c r="J686" s="56" t="n"/>
      <c r="K686" s="56" t="n"/>
      <c r="L686" s="56" t="n"/>
    </row>
    <row r="687" ht="22" customHeight="1">
      <c r="A687" s="55" t="n"/>
      <c r="B687" s="41">
        <f>'設定'!$I$18</f>
        <v/>
      </c>
      <c r="C687" s="56" t="n"/>
      <c r="D687" s="56" t="n"/>
      <c r="E687" s="56" t="n"/>
      <c r="F687" s="56" t="n"/>
      <c r="G687" s="56" t="n"/>
      <c r="H687" s="56" t="n"/>
      <c r="I687" s="56" t="n"/>
      <c r="J687" s="56" t="n"/>
      <c r="K687" s="56" t="n"/>
      <c r="L687" s="56" t="n"/>
    </row>
    <row r="688" ht="22" customHeight="1">
      <c r="A688" s="55" t="n"/>
      <c r="B688" s="41">
        <f>'設定'!$I$19</f>
        <v/>
      </c>
      <c r="C688" s="56" t="n"/>
      <c r="D688" s="56" t="n"/>
      <c r="E688" s="56" t="n"/>
      <c r="F688" s="56" t="n"/>
      <c r="G688" s="56" t="n"/>
      <c r="H688" s="56" t="n"/>
      <c r="I688" s="56" t="n"/>
      <c r="J688" s="56" t="n"/>
      <c r="K688" s="56" t="n"/>
      <c r="L688" s="56" t="n"/>
    </row>
    <row r="689" ht="22" customHeight="1">
      <c r="A689" s="55" t="n"/>
      <c r="B689" s="41">
        <f>'設定'!$I$20</f>
        <v/>
      </c>
      <c r="C689" s="56" t="n"/>
      <c r="D689" s="56" t="n"/>
      <c r="E689" s="56" t="n"/>
      <c r="F689" s="56" t="n"/>
      <c r="G689" s="56" t="n"/>
      <c r="H689" s="56" t="n"/>
      <c r="I689" s="56" t="n"/>
      <c r="J689" s="56" t="n"/>
      <c r="K689" s="56" t="n"/>
      <c r="L689" s="56" t="n"/>
    </row>
    <row r="690" ht="22" customHeight="1">
      <c r="A690" s="55" t="n"/>
      <c r="B690" s="41">
        <f>'設定'!$I$21</f>
        <v/>
      </c>
      <c r="C690" s="56" t="n"/>
      <c r="D690" s="56" t="n"/>
      <c r="E690" s="56" t="n"/>
      <c r="F690" s="56" t="n"/>
      <c r="G690" s="56" t="n"/>
      <c r="H690" s="56" t="n"/>
      <c r="I690" s="56" t="n"/>
      <c r="J690" s="56" t="n"/>
      <c r="K690" s="56" t="n"/>
      <c r="L690" s="56" t="n"/>
    </row>
    <row r="691" ht="22" customHeight="1">
      <c r="A691" s="55" t="n"/>
      <c r="B691" s="41">
        <f>'設定'!$I$22</f>
        <v/>
      </c>
      <c r="C691" s="56" t="n"/>
      <c r="D691" s="56" t="n"/>
      <c r="E691" s="56" t="n"/>
      <c r="F691" s="56" t="n"/>
      <c r="G691" s="56" t="n"/>
      <c r="H691" s="56" t="n"/>
      <c r="I691" s="56" t="n"/>
      <c r="J691" s="56" t="n"/>
      <c r="K691" s="56" t="n"/>
      <c r="L691" s="56" t="n"/>
    </row>
    <row r="692"/>
    <row r="693" ht="26" customHeight="1">
      <c r="B693" s="51">
        <f>IF('名簿'!B48="","（名簿 44行目：なし）",'名簿'!G48)</f>
        <v/>
      </c>
      <c r="C693" s="4" t="n"/>
      <c r="D693" s="4" t="n"/>
      <c r="E693" s="52" t="inlineStr">
        <is>
          <t>提出状況 ▶</t>
        </is>
      </c>
      <c r="F693" s="37" t="n"/>
      <c r="G693" s="29" t="n"/>
      <c r="H693" s="53" t="inlineStr">
        <is>
          <t>状況：</t>
        </is>
      </c>
      <c r="I693" s="54">
        <f>'名簿'!H48</f>
        <v/>
      </c>
      <c r="J693" s="53" t="inlineStr">
        <is>
          <t>×の数：</t>
        </is>
      </c>
      <c r="K693" s="54">
        <f>'名簿'!I48</f>
        <v/>
      </c>
      <c r="L693" s="4" t="n"/>
    </row>
    <row r="694" ht="22" customHeight="1">
      <c r="A694" s="30" t="inlineStr">
        <is>
          <t>この日全部 ▶</t>
        </is>
      </c>
      <c r="C694" s="55" t="n"/>
      <c r="D694" s="55" t="n"/>
      <c r="E694" s="55" t="n"/>
      <c r="F694" s="55" t="n"/>
      <c r="G694" s="55" t="n"/>
      <c r="H694" s="55" t="n"/>
      <c r="I694" s="55" t="n"/>
      <c r="J694" s="55" t="n"/>
      <c r="K694" s="55" t="n"/>
      <c r="L694" s="55" t="n"/>
    </row>
    <row r="695" ht="28" customHeight="1">
      <c r="A695" s="33" t="inlineStr">
        <is>
          <t>この時間
全部 ▼</t>
        </is>
      </c>
      <c r="B695" s="34" t="inlineStr"/>
      <c r="C695" s="32">
        <f>'設定'!$E$11</f>
        <v/>
      </c>
      <c r="D695" s="32">
        <f>'設定'!$E$12</f>
        <v/>
      </c>
      <c r="E695" s="32">
        <f>'設定'!$E$13</f>
        <v/>
      </c>
      <c r="F695" s="32">
        <f>'設定'!$E$14</f>
        <v/>
      </c>
      <c r="G695" s="32">
        <f>'設定'!$E$15</f>
        <v/>
      </c>
      <c r="H695" s="32">
        <f>'設定'!$E$16</f>
        <v/>
      </c>
      <c r="I695" s="32">
        <f>'設定'!$E$17</f>
        <v/>
      </c>
      <c r="J695" s="32">
        <f>'設定'!$E$18</f>
        <v/>
      </c>
      <c r="K695" s="32">
        <f>'設定'!$E$19</f>
        <v/>
      </c>
      <c r="L695" s="32">
        <f>'設定'!$E$20</f>
        <v/>
      </c>
    </row>
    <row r="696" ht="22" customHeight="1">
      <c r="A696" s="55" t="n"/>
      <c r="B696" s="41">
        <f>'設定'!$I$11</f>
        <v/>
      </c>
      <c r="C696" s="56" t="n"/>
      <c r="D696" s="56" t="n"/>
      <c r="E696" s="56" t="n"/>
      <c r="F696" s="56" t="n"/>
      <c r="G696" s="56" t="n"/>
      <c r="H696" s="56" t="n"/>
      <c r="I696" s="56" t="n"/>
      <c r="J696" s="56" t="n"/>
      <c r="K696" s="56" t="n"/>
      <c r="L696" s="56" t="n"/>
    </row>
    <row r="697" ht="22" customHeight="1">
      <c r="A697" s="55" t="n"/>
      <c r="B697" s="41">
        <f>'設定'!$I$12</f>
        <v/>
      </c>
      <c r="C697" s="56" t="n"/>
      <c r="D697" s="56" t="n"/>
      <c r="E697" s="56" t="n"/>
      <c r="F697" s="56" t="n"/>
      <c r="G697" s="56" t="n"/>
      <c r="H697" s="56" t="n"/>
      <c r="I697" s="56" t="n"/>
      <c r="J697" s="56" t="n"/>
      <c r="K697" s="56" t="n"/>
      <c r="L697" s="56" t="n"/>
    </row>
    <row r="698" ht="22" customHeight="1">
      <c r="A698" s="55" t="n"/>
      <c r="B698" s="41">
        <f>'設定'!$I$13</f>
        <v/>
      </c>
      <c r="C698" s="56" t="n"/>
      <c r="D698" s="56" t="n"/>
      <c r="E698" s="56" t="n"/>
      <c r="F698" s="56" t="n"/>
      <c r="G698" s="56" t="n"/>
      <c r="H698" s="56" t="n"/>
      <c r="I698" s="56" t="n"/>
      <c r="J698" s="56" t="n"/>
      <c r="K698" s="56" t="n"/>
      <c r="L698" s="56" t="n"/>
    </row>
    <row r="699" ht="22" customHeight="1">
      <c r="A699" s="55" t="n"/>
      <c r="B699" s="41">
        <f>'設定'!$I$14</f>
        <v/>
      </c>
      <c r="C699" s="56" t="n"/>
      <c r="D699" s="56" t="n"/>
      <c r="E699" s="56" t="n"/>
      <c r="F699" s="56" t="n"/>
      <c r="G699" s="56" t="n"/>
      <c r="H699" s="56" t="n"/>
      <c r="I699" s="56" t="n"/>
      <c r="J699" s="56" t="n"/>
      <c r="K699" s="56" t="n"/>
      <c r="L699" s="56" t="n"/>
    </row>
    <row r="700" ht="22" customHeight="1">
      <c r="A700" s="55" t="n"/>
      <c r="B700" s="41">
        <f>'設定'!$I$15</f>
        <v/>
      </c>
      <c r="C700" s="56" t="n"/>
      <c r="D700" s="56" t="n"/>
      <c r="E700" s="56" t="n"/>
      <c r="F700" s="56" t="n"/>
      <c r="G700" s="56" t="n"/>
      <c r="H700" s="56" t="n"/>
      <c r="I700" s="56" t="n"/>
      <c r="J700" s="56" t="n"/>
      <c r="K700" s="56" t="n"/>
      <c r="L700" s="56" t="n"/>
    </row>
    <row r="701" ht="22" customHeight="1">
      <c r="A701" s="55" t="n"/>
      <c r="B701" s="41">
        <f>'設定'!$I$16</f>
        <v/>
      </c>
      <c r="C701" s="56" t="n"/>
      <c r="D701" s="56" t="n"/>
      <c r="E701" s="56" t="n"/>
      <c r="F701" s="56" t="n"/>
      <c r="G701" s="56" t="n"/>
      <c r="H701" s="56" t="n"/>
      <c r="I701" s="56" t="n"/>
      <c r="J701" s="56" t="n"/>
      <c r="K701" s="56" t="n"/>
      <c r="L701" s="56" t="n"/>
    </row>
    <row r="702" ht="22" customHeight="1">
      <c r="A702" s="55" t="n"/>
      <c r="B702" s="41">
        <f>'設定'!$I$17</f>
        <v/>
      </c>
      <c r="C702" s="56" t="n"/>
      <c r="D702" s="56" t="n"/>
      <c r="E702" s="56" t="n"/>
      <c r="F702" s="56" t="n"/>
      <c r="G702" s="56" t="n"/>
      <c r="H702" s="56" t="n"/>
      <c r="I702" s="56" t="n"/>
      <c r="J702" s="56" t="n"/>
      <c r="K702" s="56" t="n"/>
      <c r="L702" s="56" t="n"/>
    </row>
    <row r="703" ht="22" customHeight="1">
      <c r="A703" s="55" t="n"/>
      <c r="B703" s="41">
        <f>'設定'!$I$18</f>
        <v/>
      </c>
      <c r="C703" s="56" t="n"/>
      <c r="D703" s="56" t="n"/>
      <c r="E703" s="56" t="n"/>
      <c r="F703" s="56" t="n"/>
      <c r="G703" s="56" t="n"/>
      <c r="H703" s="56" t="n"/>
      <c r="I703" s="56" t="n"/>
      <c r="J703" s="56" t="n"/>
      <c r="K703" s="56" t="n"/>
      <c r="L703" s="56" t="n"/>
    </row>
    <row r="704" ht="22" customHeight="1">
      <c r="A704" s="55" t="n"/>
      <c r="B704" s="41">
        <f>'設定'!$I$19</f>
        <v/>
      </c>
      <c r="C704" s="56" t="n"/>
      <c r="D704" s="56" t="n"/>
      <c r="E704" s="56" t="n"/>
      <c r="F704" s="56" t="n"/>
      <c r="G704" s="56" t="n"/>
      <c r="H704" s="56" t="n"/>
      <c r="I704" s="56" t="n"/>
      <c r="J704" s="56" t="n"/>
      <c r="K704" s="56" t="n"/>
      <c r="L704" s="56" t="n"/>
    </row>
    <row r="705" ht="22" customHeight="1">
      <c r="A705" s="55" t="n"/>
      <c r="B705" s="41">
        <f>'設定'!$I$20</f>
        <v/>
      </c>
      <c r="C705" s="56" t="n"/>
      <c r="D705" s="56" t="n"/>
      <c r="E705" s="56" t="n"/>
      <c r="F705" s="56" t="n"/>
      <c r="G705" s="56" t="n"/>
      <c r="H705" s="56" t="n"/>
      <c r="I705" s="56" t="n"/>
      <c r="J705" s="56" t="n"/>
      <c r="K705" s="56" t="n"/>
      <c r="L705" s="56" t="n"/>
    </row>
    <row r="706" ht="22" customHeight="1">
      <c r="A706" s="55" t="n"/>
      <c r="B706" s="41">
        <f>'設定'!$I$21</f>
        <v/>
      </c>
      <c r="C706" s="56" t="n"/>
      <c r="D706" s="56" t="n"/>
      <c r="E706" s="56" t="n"/>
      <c r="F706" s="56" t="n"/>
      <c r="G706" s="56" t="n"/>
      <c r="H706" s="56" t="n"/>
      <c r="I706" s="56" t="n"/>
      <c r="J706" s="56" t="n"/>
      <c r="K706" s="56" t="n"/>
      <c r="L706" s="56" t="n"/>
    </row>
    <row r="707" ht="22" customHeight="1">
      <c r="A707" s="55" t="n"/>
      <c r="B707" s="41">
        <f>'設定'!$I$22</f>
        <v/>
      </c>
      <c r="C707" s="56" t="n"/>
      <c r="D707" s="56" t="n"/>
      <c r="E707" s="56" t="n"/>
      <c r="F707" s="56" t="n"/>
      <c r="G707" s="56" t="n"/>
      <c r="H707" s="56" t="n"/>
      <c r="I707" s="56" t="n"/>
      <c r="J707" s="56" t="n"/>
      <c r="K707" s="56" t="n"/>
      <c r="L707" s="56" t="n"/>
    </row>
    <row r="708"/>
    <row r="709" ht="26" customHeight="1">
      <c r="B709" s="51">
        <f>IF('名簿'!B49="","（名簿 45行目：なし）",'名簿'!G49)</f>
        <v/>
      </c>
      <c r="C709" s="4" t="n"/>
      <c r="D709" s="4" t="n"/>
      <c r="E709" s="52" t="inlineStr">
        <is>
          <t>提出状況 ▶</t>
        </is>
      </c>
      <c r="F709" s="37" t="n"/>
      <c r="G709" s="29" t="n"/>
      <c r="H709" s="53" t="inlineStr">
        <is>
          <t>状況：</t>
        </is>
      </c>
      <c r="I709" s="54">
        <f>'名簿'!H49</f>
        <v/>
      </c>
      <c r="J709" s="53" t="inlineStr">
        <is>
          <t>×の数：</t>
        </is>
      </c>
      <c r="K709" s="54">
        <f>'名簿'!I49</f>
        <v/>
      </c>
      <c r="L709" s="4" t="n"/>
    </row>
    <row r="710" ht="22" customHeight="1">
      <c r="A710" s="30" t="inlineStr">
        <is>
          <t>この日全部 ▶</t>
        </is>
      </c>
      <c r="C710" s="55" t="n"/>
      <c r="D710" s="55" t="n"/>
      <c r="E710" s="55" t="n"/>
      <c r="F710" s="55" t="n"/>
      <c r="G710" s="55" t="n"/>
      <c r="H710" s="55" t="n"/>
      <c r="I710" s="55" t="n"/>
      <c r="J710" s="55" t="n"/>
      <c r="K710" s="55" t="n"/>
      <c r="L710" s="55" t="n"/>
    </row>
    <row r="711" ht="28" customHeight="1">
      <c r="A711" s="33" t="inlineStr">
        <is>
          <t>この時間
全部 ▼</t>
        </is>
      </c>
      <c r="B711" s="34" t="inlineStr"/>
      <c r="C711" s="32">
        <f>'設定'!$E$11</f>
        <v/>
      </c>
      <c r="D711" s="32">
        <f>'設定'!$E$12</f>
        <v/>
      </c>
      <c r="E711" s="32">
        <f>'設定'!$E$13</f>
        <v/>
      </c>
      <c r="F711" s="32">
        <f>'設定'!$E$14</f>
        <v/>
      </c>
      <c r="G711" s="32">
        <f>'設定'!$E$15</f>
        <v/>
      </c>
      <c r="H711" s="32">
        <f>'設定'!$E$16</f>
        <v/>
      </c>
      <c r="I711" s="32">
        <f>'設定'!$E$17</f>
        <v/>
      </c>
      <c r="J711" s="32">
        <f>'設定'!$E$18</f>
        <v/>
      </c>
      <c r="K711" s="32">
        <f>'設定'!$E$19</f>
        <v/>
      </c>
      <c r="L711" s="32">
        <f>'設定'!$E$20</f>
        <v/>
      </c>
    </row>
    <row r="712" ht="22" customHeight="1">
      <c r="A712" s="55" t="n"/>
      <c r="B712" s="41">
        <f>'設定'!$I$11</f>
        <v/>
      </c>
      <c r="C712" s="56" t="n"/>
      <c r="D712" s="56" t="n"/>
      <c r="E712" s="56" t="n"/>
      <c r="F712" s="56" t="n"/>
      <c r="G712" s="56" t="n"/>
      <c r="H712" s="56" t="n"/>
      <c r="I712" s="56" t="n"/>
      <c r="J712" s="56" t="n"/>
      <c r="K712" s="56" t="n"/>
      <c r="L712" s="56" t="n"/>
    </row>
    <row r="713" ht="22" customHeight="1">
      <c r="A713" s="55" t="n"/>
      <c r="B713" s="41">
        <f>'設定'!$I$12</f>
        <v/>
      </c>
      <c r="C713" s="56" t="n"/>
      <c r="D713" s="56" t="n"/>
      <c r="E713" s="56" t="n"/>
      <c r="F713" s="56" t="n"/>
      <c r="G713" s="56" t="n"/>
      <c r="H713" s="56" t="n"/>
      <c r="I713" s="56" t="n"/>
      <c r="J713" s="56" t="n"/>
      <c r="K713" s="56" t="n"/>
      <c r="L713" s="56" t="n"/>
    </row>
    <row r="714" ht="22" customHeight="1">
      <c r="A714" s="55" t="n"/>
      <c r="B714" s="41">
        <f>'設定'!$I$13</f>
        <v/>
      </c>
      <c r="C714" s="56" t="n"/>
      <c r="D714" s="56" t="n"/>
      <c r="E714" s="56" t="n"/>
      <c r="F714" s="56" t="n"/>
      <c r="G714" s="56" t="n"/>
      <c r="H714" s="56" t="n"/>
      <c r="I714" s="56" t="n"/>
      <c r="J714" s="56" t="n"/>
      <c r="K714" s="56" t="n"/>
      <c r="L714" s="56" t="n"/>
    </row>
    <row r="715" ht="22" customHeight="1">
      <c r="A715" s="55" t="n"/>
      <c r="B715" s="41">
        <f>'設定'!$I$14</f>
        <v/>
      </c>
      <c r="C715" s="56" t="n"/>
      <c r="D715" s="56" t="n"/>
      <c r="E715" s="56" t="n"/>
      <c r="F715" s="56" t="n"/>
      <c r="G715" s="56" t="n"/>
      <c r="H715" s="56" t="n"/>
      <c r="I715" s="56" t="n"/>
      <c r="J715" s="56" t="n"/>
      <c r="K715" s="56" t="n"/>
      <c r="L715" s="56" t="n"/>
    </row>
    <row r="716" ht="22" customHeight="1">
      <c r="A716" s="55" t="n"/>
      <c r="B716" s="41">
        <f>'設定'!$I$15</f>
        <v/>
      </c>
      <c r="C716" s="56" t="n"/>
      <c r="D716" s="56" t="n"/>
      <c r="E716" s="56" t="n"/>
      <c r="F716" s="56" t="n"/>
      <c r="G716" s="56" t="n"/>
      <c r="H716" s="56" t="n"/>
      <c r="I716" s="56" t="n"/>
      <c r="J716" s="56" t="n"/>
      <c r="K716" s="56" t="n"/>
      <c r="L716" s="56" t="n"/>
    </row>
    <row r="717" ht="22" customHeight="1">
      <c r="A717" s="55" t="n"/>
      <c r="B717" s="41">
        <f>'設定'!$I$16</f>
        <v/>
      </c>
      <c r="C717" s="56" t="n"/>
      <c r="D717" s="56" t="n"/>
      <c r="E717" s="56" t="n"/>
      <c r="F717" s="56" t="n"/>
      <c r="G717" s="56" t="n"/>
      <c r="H717" s="56" t="n"/>
      <c r="I717" s="56" t="n"/>
      <c r="J717" s="56" t="n"/>
      <c r="K717" s="56" t="n"/>
      <c r="L717" s="56" t="n"/>
    </row>
    <row r="718" ht="22" customHeight="1">
      <c r="A718" s="55" t="n"/>
      <c r="B718" s="41">
        <f>'設定'!$I$17</f>
        <v/>
      </c>
      <c r="C718" s="56" t="n"/>
      <c r="D718" s="56" t="n"/>
      <c r="E718" s="56" t="n"/>
      <c r="F718" s="56" t="n"/>
      <c r="G718" s="56" t="n"/>
      <c r="H718" s="56" t="n"/>
      <c r="I718" s="56" t="n"/>
      <c r="J718" s="56" t="n"/>
      <c r="K718" s="56" t="n"/>
      <c r="L718" s="56" t="n"/>
    </row>
    <row r="719" ht="22" customHeight="1">
      <c r="A719" s="55" t="n"/>
      <c r="B719" s="41">
        <f>'設定'!$I$18</f>
        <v/>
      </c>
      <c r="C719" s="56" t="n"/>
      <c r="D719" s="56" t="n"/>
      <c r="E719" s="56" t="n"/>
      <c r="F719" s="56" t="n"/>
      <c r="G719" s="56" t="n"/>
      <c r="H719" s="56" t="n"/>
      <c r="I719" s="56" t="n"/>
      <c r="J719" s="56" t="n"/>
      <c r="K719" s="56" t="n"/>
      <c r="L719" s="56" t="n"/>
    </row>
    <row r="720" ht="22" customHeight="1">
      <c r="A720" s="55" t="n"/>
      <c r="B720" s="41">
        <f>'設定'!$I$19</f>
        <v/>
      </c>
      <c r="C720" s="56" t="n"/>
      <c r="D720" s="56" t="n"/>
      <c r="E720" s="56" t="n"/>
      <c r="F720" s="56" t="n"/>
      <c r="G720" s="56" t="n"/>
      <c r="H720" s="56" t="n"/>
      <c r="I720" s="56" t="n"/>
      <c r="J720" s="56" t="n"/>
      <c r="K720" s="56" t="n"/>
      <c r="L720" s="56" t="n"/>
    </row>
    <row r="721" ht="22" customHeight="1">
      <c r="A721" s="55" t="n"/>
      <c r="B721" s="41">
        <f>'設定'!$I$20</f>
        <v/>
      </c>
      <c r="C721" s="56" t="n"/>
      <c r="D721" s="56" t="n"/>
      <c r="E721" s="56" t="n"/>
      <c r="F721" s="56" t="n"/>
      <c r="G721" s="56" t="n"/>
      <c r="H721" s="56" t="n"/>
      <c r="I721" s="56" t="n"/>
      <c r="J721" s="56" t="n"/>
      <c r="K721" s="56" t="n"/>
      <c r="L721" s="56" t="n"/>
    </row>
    <row r="722" ht="22" customHeight="1">
      <c r="A722" s="55" t="n"/>
      <c r="B722" s="41">
        <f>'設定'!$I$21</f>
        <v/>
      </c>
      <c r="C722" s="56" t="n"/>
      <c r="D722" s="56" t="n"/>
      <c r="E722" s="56" t="n"/>
      <c r="F722" s="56" t="n"/>
      <c r="G722" s="56" t="n"/>
      <c r="H722" s="56" t="n"/>
      <c r="I722" s="56" t="n"/>
      <c r="J722" s="56" t="n"/>
      <c r="K722" s="56" t="n"/>
      <c r="L722" s="56" t="n"/>
    </row>
    <row r="723" ht="22" customHeight="1">
      <c r="A723" s="55" t="n"/>
      <c r="B723" s="41">
        <f>'設定'!$I$22</f>
        <v/>
      </c>
      <c r="C723" s="56" t="n"/>
      <c r="D723" s="56" t="n"/>
      <c r="E723" s="56" t="n"/>
      <c r="F723" s="56" t="n"/>
      <c r="G723" s="56" t="n"/>
      <c r="H723" s="56" t="n"/>
      <c r="I723" s="56" t="n"/>
      <c r="J723" s="56" t="n"/>
      <c r="K723" s="56" t="n"/>
      <c r="L723" s="56" t="n"/>
    </row>
  </sheetData>
  <mergeCells count="90">
    <mergeCell ref="A534:B534"/>
    <mergeCell ref="A710:B710"/>
    <mergeCell ref="F485:G485"/>
    <mergeCell ref="A70:B70"/>
    <mergeCell ref="A486:B486"/>
    <mergeCell ref="A582:B582"/>
    <mergeCell ref="A54:B54"/>
    <mergeCell ref="F133:G133"/>
    <mergeCell ref="F213:G213"/>
    <mergeCell ref="A438:B438"/>
    <mergeCell ref="A214:B214"/>
    <mergeCell ref="A390:B390"/>
    <mergeCell ref="A294:B294"/>
    <mergeCell ref="F373:G373"/>
    <mergeCell ref="A374:B374"/>
    <mergeCell ref="A278:B278"/>
    <mergeCell ref="F597:G597"/>
    <mergeCell ref="F357:G357"/>
    <mergeCell ref="A22:B22"/>
    <mergeCell ref="A262:B262"/>
    <mergeCell ref="F341:G341"/>
    <mergeCell ref="F565:G565"/>
    <mergeCell ref="F293:G293"/>
    <mergeCell ref="F421:G421"/>
    <mergeCell ref="A230:B230"/>
    <mergeCell ref="F549:G549"/>
    <mergeCell ref="F405:G405"/>
    <mergeCell ref="F437:G437"/>
    <mergeCell ref="F517:G517"/>
    <mergeCell ref="A182:B182"/>
    <mergeCell ref="F501:G501"/>
    <mergeCell ref="F277:G277"/>
    <mergeCell ref="A694:B694"/>
    <mergeCell ref="A678:B678"/>
    <mergeCell ref="F5:G5"/>
    <mergeCell ref="F85:G85"/>
    <mergeCell ref="A566:B566"/>
    <mergeCell ref="F645:G645"/>
    <mergeCell ref="A630:B630"/>
    <mergeCell ref="F709:G709"/>
    <mergeCell ref="A342:B342"/>
    <mergeCell ref="A102:B102"/>
    <mergeCell ref="F677:G677"/>
    <mergeCell ref="A310:B310"/>
    <mergeCell ref="A166:B166"/>
    <mergeCell ref="F309:G309"/>
    <mergeCell ref="F21:G21"/>
    <mergeCell ref="F581:G581"/>
    <mergeCell ref="A246:B246"/>
    <mergeCell ref="F325:G325"/>
    <mergeCell ref="A326:B326"/>
    <mergeCell ref="F101:G101"/>
    <mergeCell ref="F181:G181"/>
    <mergeCell ref="F389:G389"/>
    <mergeCell ref="A406:B406"/>
    <mergeCell ref="F165:G165"/>
    <mergeCell ref="F149:G149"/>
    <mergeCell ref="A470:B470"/>
    <mergeCell ref="F229:G229"/>
    <mergeCell ref="F661:G661"/>
    <mergeCell ref="A38:B38"/>
    <mergeCell ref="F261:G261"/>
    <mergeCell ref="F117:G117"/>
    <mergeCell ref="A454:B454"/>
    <mergeCell ref="F245:G245"/>
    <mergeCell ref="A518:B518"/>
    <mergeCell ref="F69:G69"/>
    <mergeCell ref="A502:B502"/>
    <mergeCell ref="A358:B358"/>
    <mergeCell ref="A614:B614"/>
    <mergeCell ref="A6:B6"/>
    <mergeCell ref="A422:B422"/>
    <mergeCell ref="F469:G469"/>
    <mergeCell ref="F453:G453"/>
    <mergeCell ref="F629:G629"/>
    <mergeCell ref="F533:G533"/>
    <mergeCell ref="A118:B118"/>
    <mergeCell ref="A198:B198"/>
    <mergeCell ref="F693:G693"/>
    <mergeCell ref="A86:B86"/>
    <mergeCell ref="A598:B598"/>
    <mergeCell ref="A150:B150"/>
    <mergeCell ref="F613:G613"/>
    <mergeCell ref="A662:B662"/>
    <mergeCell ref="F37:G37"/>
    <mergeCell ref="A134:B134"/>
    <mergeCell ref="A646:B646"/>
    <mergeCell ref="A550:B550"/>
    <mergeCell ref="F197:G197"/>
    <mergeCell ref="F53:G53"/>
  </mergeCells>
  <conditionalFormatting sqref="C8:L19 C24:L35 C40:L51 C56:L67 C72:L83 C88:L99 C104:L115 C120:L131 C136:L147 C152:L163 C168:L179 C184:L195 C200:L211 C216:L227 C232:L243 C248:L259 C264:L275 C280:L291 C296:L307 C312:L323 C328:L339 C344:L355 C360:L371 C376:L387 C392:L403 C408:L419 C424:L435 C440:L451 C456:L467 C472:L483 C488:L499 C504:L515 C520:L531 C536:L547 C552:L563 C568:L579 C584:L595 C600:L611 C616:L627 C632:L643 C648:L659 C664:L675 C680:L691 C696:L707 C712:L723">
    <cfRule type="expression" priority="1" dxfId="2" stopIfTrue="1">
      <formula>INDEX('計算A'!$D$4:$DS$4,(COLUMN(C8)-3)*12+MOD(ROW(C8)-5,16)-2)=0</formula>
    </cfRule>
    <cfRule type="expression" priority="2" dxfId="3">
      <formula>OR(C8&lt;&gt;"",$A8&lt;&gt;"",INDEX($A$1:$L$800,ROW(C8)-MOD(ROW(C8)-5,16)+1,COLUMN(C8))&lt;&gt;"")</formula>
    </cfRule>
  </conditionalFormatting>
  <conditionalFormatting sqref="C7:L7 C23:L23 C39:L39 C55:L55 C71:L71 C87:L87 C103:L103 C119:L119 C135:L135 C151:L151 C167:L167 C183:L183 C199:L199 C215:L215 C231:L231 C247:L247 C263:L263 C279:L279 C295:L295 C311:L311 C327:L327 C343:L343 C359:L359 C375:L375 C391:L391 C407:L407 C423:L423 C439:L439 C455:L455 C471:L471 C487:L487 C503:L503 C519:L519 C535:L535 C551:L551 C567:L567 C583:L583 C599:L599 C615:L615 C631:L631 C647:L647 C663:L663 C679:L679 C695:L695 C711:L711">
    <cfRule type="expression" priority="3" dxfId="4">
      <formula>C7=""</formula>
    </cfRule>
  </conditionalFormatting>
  <dataValidations count="2">
    <dataValidation sqref="F5 F21 F37 F53 F69 F85 F101 F117 F133 F149 F165 F181 F197 F213 F229 F245 F261 F277 F293 F309 F325 F341 F357 F373 F389 F405 F421 F437 F453 F469 F485 F501 F517 F533 F549 F565 F581 F597 F613 F629 F645 F661 F677 F693 F709" showDropDown="0" showInputMessage="0" showErrorMessage="0" allowBlank="1" type="list">
      <formula1>"×なし（どこでもOK）,未提出"</formula1>
    </dataValidation>
    <dataValidation sqref="A8:A19 A24:A35 A40:A51 A56:A67 A72:A83 A88:A99 A104:A115 A120:A131 A136:A147 A152:A163 A168:A179 A184:A195 A200:A211 A216:A227 A232:A243 A248:A259 A264:A275 A280:A291 A296:A307 A312:A323 A328:A339 A344:A355 A360:A371 A376:A387 A392:A403 A408:A419 A424:A435 A440:A451 A456:A467 A472:A483 A488:A499 A504:A515 A520:A531 A536:A547 A552:A563 A568:A579 A584:A595 A600:A611 A616:A627 A632:A643 A648:A659 A664:A675 A680:A691 A696:A707 A712:A723 C6:L6 C22:L22 C38:L38 C54:L54 C70:L70 C86:L86 C102:L102 C118:L118 C134:L134 C150:L150 C166:L166 C182:L182 C198:L198 C214:L214 C230:L230 C246:L246 C262:L262 C278:L278 C294:L294 C310:L310 C326:L326 C342:L342 C358:L358 C374:L374 C390:L390 C406:L406 C422:L422 C438:L438 C454:L454 C470:L470 C486:L486 C502:L502 C518:L518 C534:L534 C550:L550 C566:L566 C582:L582 C598:L598 C614:L614 C630:L630 C646:L646 C662:L662 C678:L678 C694:L694 C710:L710"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17"/>
  <sheetViews>
    <sheetView showGridLines="0" showRowColHeader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49"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HYPERLINK("#'割り当て'!A1","⑤ 割り当て")</f>
        <v/>
      </c>
      <c r="L1" s="2" t="n"/>
      <c r="M1" s="2" t="n"/>
      <c r="N1" s="2" t="n"/>
      <c r="O1" s="2" t="n"/>
    </row>
    <row r="2" ht="24" customHeight="1">
      <c r="A2" s="4" t="n"/>
      <c r="B2" s="50" t="inlineStr">
        <is>
          <t>入れられる枠が少ない家庭から順に、自動で割り当てた案です。緑が新しく入った人。よければ表をコピーし（名前ボックスで「自動案の表」を選ぶと全体を選べます）、「割り当て」の表の左上に［値の貼り付け］をします。</t>
        </is>
      </c>
      <c r="C2" s="4" t="n"/>
      <c r="D2" s="4" t="n"/>
      <c r="E2" s="4" t="n"/>
      <c r="F2" s="4" t="n"/>
      <c r="G2" s="4" t="n"/>
      <c r="H2" s="4" t="n"/>
      <c r="I2" s="4" t="n"/>
      <c r="J2" s="4" t="n"/>
      <c r="K2" s="4" t="n"/>
      <c r="L2" s="4" t="n"/>
      <c r="M2" s="4" t="n"/>
      <c r="N2" s="4" t="n"/>
      <c r="O2" s="4" t="n"/>
    </row>
    <row r="3" ht="24" customHeight="1">
      <c r="C3" s="57" t="inlineStr">
        <is>
          <t>新しく入った人</t>
        </is>
      </c>
      <c r="D3" s="58" t="inlineStr">
        <is>
          <t>後ろを空ける枠</t>
        </is>
      </c>
      <c r="E3" s="59" t="inlineStr">
        <is>
          <t>空けたい日・休憩</t>
        </is>
      </c>
    </row>
    <row r="4"/>
    <row r="5">
      <c r="B5" s="34" t="inlineStr"/>
      <c r="C5" s="32">
        <f>'設定'!$E$11</f>
        <v/>
      </c>
      <c r="D5" s="32">
        <f>'設定'!$E$12</f>
        <v/>
      </c>
      <c r="E5" s="32">
        <f>'設定'!$E$13</f>
        <v/>
      </c>
      <c r="F5" s="32">
        <f>'設定'!$E$14</f>
        <v/>
      </c>
      <c r="G5" s="32">
        <f>'設定'!$E$15</f>
        <v/>
      </c>
      <c r="H5" s="32">
        <f>'設定'!$E$16</f>
        <v/>
      </c>
      <c r="I5" s="32">
        <f>'設定'!$E$17</f>
        <v/>
      </c>
      <c r="J5" s="32">
        <f>'設定'!$E$18</f>
        <v/>
      </c>
      <c r="K5" s="32">
        <f>'設定'!$E$19</f>
        <v/>
      </c>
      <c r="L5" s="32">
        <f>'設定'!$E$20</f>
        <v/>
      </c>
      <c r="N5" s="60" t="inlineStr">
        <is>
          <t>割り当て済み（割り当てシート）</t>
        </is>
      </c>
      <c r="O5" s="61">
        <f>SUMPRODUCT(('割り当て'!$C$6:$L$17&lt;&gt;"")*1)&amp;" 人"</f>
        <v/>
      </c>
    </row>
    <row r="6" ht="30" customHeight="1">
      <c r="B6" s="41">
        <f>'設定'!$I$11</f>
        <v/>
      </c>
      <c r="C6" s="36">
        <f>IF('計算A'!D$4=0,"",IF('割り当て'!C6&lt;&gt;"",'割り当て'!C6,IFERROR(INDEX('名簿'!$G$5:$G$49,INDEX('計算B'!$B$3:$B$47,MATCH(1,'計算B'!$C$3:$C$47,0))),"")))</f>
        <v/>
      </c>
      <c r="D6" s="36">
        <f>IF('計算A'!P$4=0,"",IF('割り当て'!D6&lt;&gt;"",'割り当て'!D6,IFERROR(INDEX('名簿'!$G$5:$G$49,INDEX('計算B'!$B$3:$B$47,MATCH(13,'計算B'!$C$3:$C$47,0))),"")))</f>
        <v/>
      </c>
      <c r="E6" s="36">
        <f>IF('計算A'!AB$4=0,"",IF('割り当て'!E6&lt;&gt;"",'割り当て'!E6,IFERROR(INDEX('名簿'!$G$5:$G$49,INDEX('計算B'!$B$3:$B$47,MATCH(25,'計算B'!$C$3:$C$47,0))),"")))</f>
        <v/>
      </c>
      <c r="F6" s="36">
        <f>IF('計算A'!AN$4=0,"",IF('割り当て'!F6&lt;&gt;"",'割り当て'!F6,IFERROR(INDEX('名簿'!$G$5:$G$49,INDEX('計算B'!$B$3:$B$47,MATCH(37,'計算B'!$C$3:$C$47,0))),"")))</f>
        <v/>
      </c>
      <c r="G6" s="36">
        <f>IF('計算A'!AZ$4=0,"",IF('割り当て'!G6&lt;&gt;"",'割り当て'!G6,IFERROR(INDEX('名簿'!$G$5:$G$49,INDEX('計算B'!$B$3:$B$47,MATCH(49,'計算B'!$C$3:$C$47,0))),"")))</f>
        <v/>
      </c>
      <c r="H6" s="36">
        <f>IF('計算A'!BL$4=0,"",IF('割り当て'!H6&lt;&gt;"",'割り当て'!H6,IFERROR(INDEX('名簿'!$G$5:$G$49,INDEX('計算B'!$B$3:$B$47,MATCH(61,'計算B'!$C$3:$C$47,0))),"")))</f>
        <v/>
      </c>
      <c r="I6" s="36">
        <f>IF('計算A'!BX$4=0,"",IF('割り当て'!I6&lt;&gt;"",'割り当て'!I6,IFERROR(INDEX('名簿'!$G$5:$G$49,INDEX('計算B'!$B$3:$B$47,MATCH(73,'計算B'!$C$3:$C$47,0))),"")))</f>
        <v/>
      </c>
      <c r="J6" s="36">
        <f>IF('計算A'!CJ$4=0,"",IF('割り当て'!J6&lt;&gt;"",'割り当て'!J6,IFERROR(INDEX('名簿'!$G$5:$G$49,INDEX('計算B'!$B$3:$B$47,MATCH(85,'計算B'!$C$3:$C$47,0))),"")))</f>
        <v/>
      </c>
      <c r="K6" s="36">
        <f>IF('計算A'!CV$4=0,"",IF('割り当て'!K6&lt;&gt;"",'割り当て'!K6,IFERROR(INDEX('名簿'!$G$5:$G$49,INDEX('計算B'!$B$3:$B$47,MATCH(97,'計算B'!$C$3:$C$47,0))),"")))</f>
        <v/>
      </c>
      <c r="L6" s="36">
        <f>IF('計算A'!DH$4=0,"",IF('割り当て'!L6&lt;&gt;"",'割り当て'!L6,IFERROR(INDEX('名簿'!$G$5:$G$49,INDEX('計算B'!$B$3:$B$47,MATCH(109,'計算B'!$C$3:$C$47,0))),"")))</f>
        <v/>
      </c>
      <c r="N6" s="60" t="inlineStr">
        <is>
          <t>自動で新しく入った</t>
        </is>
      </c>
      <c r="O6" s="61">
        <f>SUMPRODUCT(('計算B'!$B$3:$B$47&gt;0)*('計算B'!$C$3:$C$47&gt;0))&amp;" 人"</f>
        <v/>
      </c>
    </row>
    <row r="7" ht="30" customHeight="1">
      <c r="B7" s="41">
        <f>'設定'!$I$12</f>
        <v/>
      </c>
      <c r="C7" s="36">
        <f>IF('計算A'!E$4=0,"",IF('割り当て'!C7&lt;&gt;"",'割り当て'!C7,IFERROR(INDEX('名簿'!$G$5:$G$49,INDEX('計算B'!$B$3:$B$47,MATCH(2,'計算B'!$C$3:$C$47,0))),"")))</f>
        <v/>
      </c>
      <c r="D7" s="36">
        <f>IF('計算A'!Q$4=0,"",IF('割り当て'!D7&lt;&gt;"",'割り当て'!D7,IFERROR(INDEX('名簿'!$G$5:$G$49,INDEX('計算B'!$B$3:$B$47,MATCH(14,'計算B'!$C$3:$C$47,0))),"")))</f>
        <v/>
      </c>
      <c r="E7" s="36">
        <f>IF('計算A'!AC$4=0,"",IF('割り当て'!E7&lt;&gt;"",'割り当て'!E7,IFERROR(INDEX('名簿'!$G$5:$G$49,INDEX('計算B'!$B$3:$B$47,MATCH(26,'計算B'!$C$3:$C$47,0))),"")))</f>
        <v/>
      </c>
      <c r="F7" s="36">
        <f>IF('計算A'!AO$4=0,"",IF('割り当て'!F7&lt;&gt;"",'割り当て'!F7,IFERROR(INDEX('名簿'!$G$5:$G$49,INDEX('計算B'!$B$3:$B$47,MATCH(38,'計算B'!$C$3:$C$47,0))),"")))</f>
        <v/>
      </c>
      <c r="G7" s="36">
        <f>IF('計算A'!BA$4=0,"",IF('割り当て'!G7&lt;&gt;"",'割り当て'!G7,IFERROR(INDEX('名簿'!$G$5:$G$49,INDEX('計算B'!$B$3:$B$47,MATCH(50,'計算B'!$C$3:$C$47,0))),"")))</f>
        <v/>
      </c>
      <c r="H7" s="36">
        <f>IF('計算A'!BM$4=0,"",IF('割り当て'!H7&lt;&gt;"",'割り当て'!H7,IFERROR(INDEX('名簿'!$G$5:$G$49,INDEX('計算B'!$B$3:$B$47,MATCH(62,'計算B'!$C$3:$C$47,0))),"")))</f>
        <v/>
      </c>
      <c r="I7" s="36">
        <f>IF('計算A'!BY$4=0,"",IF('割り当て'!I7&lt;&gt;"",'割り当て'!I7,IFERROR(INDEX('名簿'!$G$5:$G$49,INDEX('計算B'!$B$3:$B$47,MATCH(74,'計算B'!$C$3:$C$47,0))),"")))</f>
        <v/>
      </c>
      <c r="J7" s="36">
        <f>IF('計算A'!CK$4=0,"",IF('割り当て'!J7&lt;&gt;"",'割り当て'!J7,IFERROR(INDEX('名簿'!$G$5:$G$49,INDEX('計算B'!$B$3:$B$47,MATCH(86,'計算B'!$C$3:$C$47,0))),"")))</f>
        <v/>
      </c>
      <c r="K7" s="36">
        <f>IF('計算A'!CW$4=0,"",IF('割り当て'!K7&lt;&gt;"",'割り当て'!K7,IFERROR(INDEX('名簿'!$G$5:$G$49,INDEX('計算B'!$B$3:$B$47,MATCH(98,'計算B'!$C$3:$C$47,0))),"")))</f>
        <v/>
      </c>
      <c r="L7" s="36">
        <f>IF('計算A'!DI$4=0,"",IF('割り当て'!L7&lt;&gt;"",'割り当て'!L7,IFERROR(INDEX('名簿'!$G$5:$G$49,INDEX('計算B'!$B$3:$B$47,MATCH(110,'計算B'!$C$3:$C$47,0))),"")))</f>
        <v/>
      </c>
    </row>
    <row r="8" ht="30" customHeight="1">
      <c r="B8" s="41">
        <f>'設定'!$I$13</f>
        <v/>
      </c>
      <c r="C8" s="36">
        <f>IF('計算A'!F$4=0,"",IF('割り当て'!C8&lt;&gt;"",'割り当て'!C8,IFERROR(INDEX('名簿'!$G$5:$G$49,INDEX('計算B'!$B$3:$B$47,MATCH(3,'計算B'!$C$3:$C$47,0))),"")))</f>
        <v/>
      </c>
      <c r="D8" s="36">
        <f>IF('計算A'!R$4=0,"",IF('割り当て'!D8&lt;&gt;"",'割り当て'!D8,IFERROR(INDEX('名簿'!$G$5:$G$49,INDEX('計算B'!$B$3:$B$47,MATCH(15,'計算B'!$C$3:$C$47,0))),"")))</f>
        <v/>
      </c>
      <c r="E8" s="36">
        <f>IF('計算A'!AD$4=0,"",IF('割り当て'!E8&lt;&gt;"",'割り当て'!E8,IFERROR(INDEX('名簿'!$G$5:$G$49,INDEX('計算B'!$B$3:$B$47,MATCH(27,'計算B'!$C$3:$C$47,0))),"")))</f>
        <v/>
      </c>
      <c r="F8" s="36">
        <f>IF('計算A'!AP$4=0,"",IF('割り当て'!F8&lt;&gt;"",'割り当て'!F8,IFERROR(INDEX('名簿'!$G$5:$G$49,INDEX('計算B'!$B$3:$B$47,MATCH(39,'計算B'!$C$3:$C$47,0))),"")))</f>
        <v/>
      </c>
      <c r="G8" s="36">
        <f>IF('計算A'!BB$4=0,"",IF('割り当て'!G8&lt;&gt;"",'割り当て'!G8,IFERROR(INDEX('名簿'!$G$5:$G$49,INDEX('計算B'!$B$3:$B$47,MATCH(51,'計算B'!$C$3:$C$47,0))),"")))</f>
        <v/>
      </c>
      <c r="H8" s="36">
        <f>IF('計算A'!BN$4=0,"",IF('割り当て'!H8&lt;&gt;"",'割り当て'!H8,IFERROR(INDEX('名簿'!$G$5:$G$49,INDEX('計算B'!$B$3:$B$47,MATCH(63,'計算B'!$C$3:$C$47,0))),"")))</f>
        <v/>
      </c>
      <c r="I8" s="36">
        <f>IF('計算A'!BZ$4=0,"",IF('割り当て'!I8&lt;&gt;"",'割り当て'!I8,IFERROR(INDEX('名簿'!$G$5:$G$49,INDEX('計算B'!$B$3:$B$47,MATCH(75,'計算B'!$C$3:$C$47,0))),"")))</f>
        <v/>
      </c>
      <c r="J8" s="36">
        <f>IF('計算A'!CL$4=0,"",IF('割り当て'!J8&lt;&gt;"",'割り当て'!J8,IFERROR(INDEX('名簿'!$G$5:$G$49,INDEX('計算B'!$B$3:$B$47,MATCH(87,'計算B'!$C$3:$C$47,0))),"")))</f>
        <v/>
      </c>
      <c r="K8" s="36">
        <f>IF('計算A'!CX$4=0,"",IF('割り当て'!K8&lt;&gt;"",'割り当て'!K8,IFERROR(INDEX('名簿'!$G$5:$G$49,INDEX('計算B'!$B$3:$B$47,MATCH(99,'計算B'!$C$3:$C$47,0))),"")))</f>
        <v/>
      </c>
      <c r="L8" s="36">
        <f>IF('計算A'!DJ$4=0,"",IF('割り当て'!L8&lt;&gt;"",'割り当て'!L8,IFERROR(INDEX('名簿'!$G$5:$G$49,INDEX('計算B'!$B$3:$B$47,MATCH(111,'計算B'!$C$3:$C$47,0))),"")))</f>
        <v/>
      </c>
      <c r="N8" s="62" t="inlineStr">
        <is>
          <t>入る枠がない（×・必ず空けたい）</t>
        </is>
      </c>
      <c r="O8" s="63">
        <f t="array" ref="O8">_xlfn.TEXTJOIN("、",TRUE,IF('計算A'!$DV$10:$DV$54=1,'計算A'!$B$10:$B$54,""))</f>
        <v/>
      </c>
    </row>
    <row r="9" ht="30" customHeight="1">
      <c r="B9" s="41">
        <f>'設定'!$I$14</f>
        <v/>
      </c>
      <c r="C9" s="36">
        <f>IF('計算A'!G$4=0,"",IF('割り当て'!C9&lt;&gt;"",'割り当て'!C9,IFERROR(INDEX('名簿'!$G$5:$G$49,INDEX('計算B'!$B$3:$B$47,MATCH(4,'計算B'!$C$3:$C$47,0))),"")))</f>
        <v/>
      </c>
      <c r="D9" s="36">
        <f>IF('計算A'!S$4=0,"",IF('割り当て'!D9&lt;&gt;"",'割り当て'!D9,IFERROR(INDEX('名簿'!$G$5:$G$49,INDEX('計算B'!$B$3:$B$47,MATCH(16,'計算B'!$C$3:$C$47,0))),"")))</f>
        <v/>
      </c>
      <c r="E9" s="36">
        <f>IF('計算A'!AE$4=0,"",IF('割り当て'!E9&lt;&gt;"",'割り当て'!E9,IFERROR(INDEX('名簿'!$G$5:$G$49,INDEX('計算B'!$B$3:$B$47,MATCH(28,'計算B'!$C$3:$C$47,0))),"")))</f>
        <v/>
      </c>
      <c r="F9" s="36">
        <f>IF('計算A'!AQ$4=0,"",IF('割り当て'!F9&lt;&gt;"",'割り当て'!F9,IFERROR(INDEX('名簿'!$G$5:$G$49,INDEX('計算B'!$B$3:$B$47,MATCH(40,'計算B'!$C$3:$C$47,0))),"")))</f>
        <v/>
      </c>
      <c r="G9" s="36">
        <f>IF('計算A'!BC$4=0,"",IF('割り当て'!G9&lt;&gt;"",'割り当て'!G9,IFERROR(INDEX('名簿'!$G$5:$G$49,INDEX('計算B'!$B$3:$B$47,MATCH(52,'計算B'!$C$3:$C$47,0))),"")))</f>
        <v/>
      </c>
      <c r="H9" s="36">
        <f>IF('計算A'!BO$4=0,"",IF('割り当て'!H9&lt;&gt;"",'割り当て'!H9,IFERROR(INDEX('名簿'!$G$5:$G$49,INDEX('計算B'!$B$3:$B$47,MATCH(64,'計算B'!$C$3:$C$47,0))),"")))</f>
        <v/>
      </c>
      <c r="I9" s="36">
        <f>IF('計算A'!CA$4=0,"",IF('割り当て'!I9&lt;&gt;"",'割り当て'!I9,IFERROR(INDEX('名簿'!$G$5:$G$49,INDEX('計算B'!$B$3:$B$47,MATCH(76,'計算B'!$C$3:$C$47,0))),"")))</f>
        <v/>
      </c>
      <c r="J9" s="36">
        <f>IF('計算A'!CM$4=0,"",IF('割り当て'!J9&lt;&gt;"",'割り当て'!J9,IFERROR(INDEX('名簿'!$G$5:$G$49,INDEX('計算B'!$B$3:$B$47,MATCH(88,'計算B'!$C$3:$C$47,0))),"")))</f>
        <v/>
      </c>
      <c r="K9" s="36">
        <f>IF('計算A'!CY$4=0,"",IF('割り当て'!K9&lt;&gt;"",'割り当て'!K9,IFERROR(INDEX('名簿'!$G$5:$G$49,INDEX('計算B'!$B$3:$B$47,MATCH(100,'計算B'!$C$3:$C$47,0))),"")))</f>
        <v/>
      </c>
      <c r="L9" s="36">
        <f>IF('計算A'!DK$4=0,"",IF('割り当て'!L9&lt;&gt;"",'割り当て'!L9,IFERROR(INDEX('名簿'!$G$5:$G$49,INDEX('計算B'!$B$3:$B$47,MATCH(112,'計算B'!$C$3:$C$47,0))),"")))</f>
        <v/>
      </c>
    </row>
    <row r="10" ht="30" customHeight="1">
      <c r="B10" s="41">
        <f>'設定'!$I$15</f>
        <v/>
      </c>
      <c r="C10" s="36">
        <f>IF('計算A'!H$4=0,"",IF('割り当て'!C10&lt;&gt;"",'割り当て'!C10,IFERROR(INDEX('名簿'!$G$5:$G$49,INDEX('計算B'!$B$3:$B$47,MATCH(5,'計算B'!$C$3:$C$47,0))),"")))</f>
        <v/>
      </c>
      <c r="D10" s="36">
        <f>IF('計算A'!T$4=0,"",IF('割り当て'!D10&lt;&gt;"",'割り当て'!D10,IFERROR(INDEX('名簿'!$G$5:$G$49,INDEX('計算B'!$B$3:$B$47,MATCH(17,'計算B'!$C$3:$C$47,0))),"")))</f>
        <v/>
      </c>
      <c r="E10" s="36">
        <f>IF('計算A'!AF$4=0,"",IF('割り当て'!E10&lt;&gt;"",'割り当て'!E10,IFERROR(INDEX('名簿'!$G$5:$G$49,INDEX('計算B'!$B$3:$B$47,MATCH(29,'計算B'!$C$3:$C$47,0))),"")))</f>
        <v/>
      </c>
      <c r="F10" s="36">
        <f>IF('計算A'!AR$4=0,"",IF('割り当て'!F10&lt;&gt;"",'割り当て'!F10,IFERROR(INDEX('名簿'!$G$5:$G$49,INDEX('計算B'!$B$3:$B$47,MATCH(41,'計算B'!$C$3:$C$47,0))),"")))</f>
        <v/>
      </c>
      <c r="G10" s="36">
        <f>IF('計算A'!BD$4=0,"",IF('割り当て'!G10&lt;&gt;"",'割り当て'!G10,IFERROR(INDEX('名簿'!$G$5:$G$49,INDEX('計算B'!$B$3:$B$47,MATCH(53,'計算B'!$C$3:$C$47,0))),"")))</f>
        <v/>
      </c>
      <c r="H10" s="36">
        <f>IF('計算A'!BP$4=0,"",IF('割り当て'!H10&lt;&gt;"",'割り当て'!H10,IFERROR(INDEX('名簿'!$G$5:$G$49,INDEX('計算B'!$B$3:$B$47,MATCH(65,'計算B'!$C$3:$C$47,0))),"")))</f>
        <v/>
      </c>
      <c r="I10" s="36">
        <f>IF('計算A'!CB$4=0,"",IF('割り当て'!I10&lt;&gt;"",'割り当て'!I10,IFERROR(INDEX('名簿'!$G$5:$G$49,INDEX('計算B'!$B$3:$B$47,MATCH(77,'計算B'!$C$3:$C$47,0))),"")))</f>
        <v/>
      </c>
      <c r="J10" s="36">
        <f>IF('計算A'!CN$4=0,"",IF('割り当て'!J10&lt;&gt;"",'割り当て'!J10,IFERROR(INDEX('名簿'!$G$5:$G$49,INDEX('計算B'!$B$3:$B$47,MATCH(89,'計算B'!$C$3:$C$47,0))),"")))</f>
        <v/>
      </c>
      <c r="K10" s="36">
        <f>IF('計算A'!CZ$4=0,"",IF('割り当て'!K10&lt;&gt;"",'割り当て'!K10,IFERROR(INDEX('名簿'!$G$5:$G$49,INDEX('計算B'!$B$3:$B$47,MATCH(101,'計算B'!$C$3:$C$47,0))),"")))</f>
        <v/>
      </c>
      <c r="L10" s="36">
        <f>IF('計算A'!DL$4=0,"",IF('割り当て'!L10&lt;&gt;"",'割り当て'!L10,IFERROR(INDEX('名簿'!$G$5:$G$49,INDEX('計算B'!$B$3:$B$47,MATCH(113,'計算B'!$C$3:$C$47,0))),"")))</f>
        <v/>
      </c>
      <c r="N10" s="64" t="inlineStr">
        <is>
          <t>未入力・未提出で外した</t>
        </is>
      </c>
      <c r="O10" s="65">
        <f t="array" ref="O10">_xlfn.TEXTJOIN("、",TRUE,IF((('名簿'!$H$5:$H$49="未入力")+('名簿'!$H$5:$H$49="未提出"))*('計算A'!$DY$10:$DY$54=0),'名簿'!$G$5:$G$49,""))</f>
        <v/>
      </c>
    </row>
    <row r="11" ht="30" customHeight="1">
      <c r="B11" s="41">
        <f>'設定'!$I$16</f>
        <v/>
      </c>
      <c r="C11" s="36">
        <f>IF('計算A'!I$4=0,"",IF('割り当て'!C11&lt;&gt;"",'割り当て'!C11,IFERROR(INDEX('名簿'!$G$5:$G$49,INDEX('計算B'!$B$3:$B$47,MATCH(6,'計算B'!$C$3:$C$47,0))),"")))</f>
        <v/>
      </c>
      <c r="D11" s="36">
        <f>IF('計算A'!U$4=0,"",IF('割り当て'!D11&lt;&gt;"",'割り当て'!D11,IFERROR(INDEX('名簿'!$G$5:$G$49,INDEX('計算B'!$B$3:$B$47,MATCH(18,'計算B'!$C$3:$C$47,0))),"")))</f>
        <v/>
      </c>
      <c r="E11" s="36">
        <f>IF('計算A'!AG$4=0,"",IF('割り当て'!E11&lt;&gt;"",'割り当て'!E11,IFERROR(INDEX('名簿'!$G$5:$G$49,INDEX('計算B'!$B$3:$B$47,MATCH(30,'計算B'!$C$3:$C$47,0))),"")))</f>
        <v/>
      </c>
      <c r="F11" s="36">
        <f>IF('計算A'!AS$4=0,"",IF('割り当て'!F11&lt;&gt;"",'割り当て'!F11,IFERROR(INDEX('名簿'!$G$5:$G$49,INDEX('計算B'!$B$3:$B$47,MATCH(42,'計算B'!$C$3:$C$47,0))),"")))</f>
        <v/>
      </c>
      <c r="G11" s="36">
        <f>IF('計算A'!BE$4=0,"",IF('割り当て'!G11&lt;&gt;"",'割り当て'!G11,IFERROR(INDEX('名簿'!$G$5:$G$49,INDEX('計算B'!$B$3:$B$47,MATCH(54,'計算B'!$C$3:$C$47,0))),"")))</f>
        <v/>
      </c>
      <c r="H11" s="36">
        <f>IF('計算A'!BQ$4=0,"",IF('割り当て'!H11&lt;&gt;"",'割り当て'!H11,IFERROR(INDEX('名簿'!$G$5:$G$49,INDEX('計算B'!$B$3:$B$47,MATCH(66,'計算B'!$C$3:$C$47,0))),"")))</f>
        <v/>
      </c>
      <c r="I11" s="36">
        <f>IF('計算A'!CC$4=0,"",IF('割り当て'!I11&lt;&gt;"",'割り当て'!I11,IFERROR(INDEX('名簿'!$G$5:$G$49,INDEX('計算B'!$B$3:$B$47,MATCH(78,'計算B'!$C$3:$C$47,0))),"")))</f>
        <v/>
      </c>
      <c r="J11" s="36">
        <f>IF('計算A'!CO$4=0,"",IF('割り当て'!J11&lt;&gt;"",'割り当て'!J11,IFERROR(INDEX('名簿'!$G$5:$G$49,INDEX('計算B'!$B$3:$B$47,MATCH(90,'計算B'!$C$3:$C$47,0))),"")))</f>
        <v/>
      </c>
      <c r="K11" s="36">
        <f>IF('計算A'!DA$4=0,"",IF('割り当て'!K11&lt;&gt;"",'割り当て'!K11,IFERROR(INDEX('名簿'!$G$5:$G$49,INDEX('計算B'!$B$3:$B$47,MATCH(102,'計算B'!$C$3:$C$47,0))),"")))</f>
        <v/>
      </c>
      <c r="L11" s="36">
        <f>IF('計算A'!DM$4=0,"",IF('割り当て'!L11&lt;&gt;"",'割り当て'!L11,IFERROR(INDEX('名簿'!$G$5:$G$49,INDEX('計算B'!$B$3:$B$47,MATCH(114,'計算B'!$C$3:$C$47,0))),"")))</f>
        <v/>
      </c>
    </row>
    <row r="12" ht="30" customHeight="1">
      <c r="B12" s="41">
        <f>'設定'!$I$17</f>
        <v/>
      </c>
      <c r="C12" s="36">
        <f>IF('計算A'!J$4=0,"",IF('割り当て'!C12&lt;&gt;"",'割り当て'!C12,IFERROR(INDEX('名簿'!$G$5:$G$49,INDEX('計算B'!$B$3:$B$47,MATCH(7,'計算B'!$C$3:$C$47,0))),"")))</f>
        <v/>
      </c>
      <c r="D12" s="36">
        <f>IF('計算A'!V$4=0,"",IF('割り当て'!D12&lt;&gt;"",'割り当て'!D12,IFERROR(INDEX('名簿'!$G$5:$G$49,INDEX('計算B'!$B$3:$B$47,MATCH(19,'計算B'!$C$3:$C$47,0))),"")))</f>
        <v/>
      </c>
      <c r="E12" s="36">
        <f>IF('計算A'!AH$4=0,"",IF('割り当て'!E12&lt;&gt;"",'割り当て'!E12,IFERROR(INDEX('名簿'!$G$5:$G$49,INDEX('計算B'!$B$3:$B$47,MATCH(31,'計算B'!$C$3:$C$47,0))),"")))</f>
        <v/>
      </c>
      <c r="F12" s="36">
        <f>IF('計算A'!AT$4=0,"",IF('割り当て'!F12&lt;&gt;"",'割り当て'!F12,IFERROR(INDEX('名簿'!$G$5:$G$49,INDEX('計算B'!$B$3:$B$47,MATCH(43,'計算B'!$C$3:$C$47,0))),"")))</f>
        <v/>
      </c>
      <c r="G12" s="36">
        <f>IF('計算A'!BF$4=0,"",IF('割り当て'!G12&lt;&gt;"",'割り当て'!G12,IFERROR(INDEX('名簿'!$G$5:$G$49,INDEX('計算B'!$B$3:$B$47,MATCH(55,'計算B'!$C$3:$C$47,0))),"")))</f>
        <v/>
      </c>
      <c r="H12" s="36">
        <f>IF('計算A'!BR$4=0,"",IF('割り当て'!H12&lt;&gt;"",'割り当て'!H12,IFERROR(INDEX('名簿'!$G$5:$G$49,INDEX('計算B'!$B$3:$B$47,MATCH(67,'計算B'!$C$3:$C$47,0))),"")))</f>
        <v/>
      </c>
      <c r="I12" s="36">
        <f>IF('計算A'!CD$4=0,"",IF('割り当て'!I12&lt;&gt;"",'割り当て'!I12,IFERROR(INDEX('名簿'!$G$5:$G$49,INDEX('計算B'!$B$3:$B$47,MATCH(79,'計算B'!$C$3:$C$47,0))),"")))</f>
        <v/>
      </c>
      <c r="J12" s="36">
        <f>IF('計算A'!CP$4=0,"",IF('割り当て'!J12&lt;&gt;"",'割り当て'!J12,IFERROR(INDEX('名簿'!$G$5:$G$49,INDEX('計算B'!$B$3:$B$47,MATCH(91,'計算B'!$C$3:$C$47,0))),"")))</f>
        <v/>
      </c>
      <c r="K12" s="36">
        <f>IF('計算A'!DB$4=0,"",IF('割り当て'!K12&lt;&gt;"",'割り当て'!K12,IFERROR(INDEX('名簿'!$G$5:$G$49,INDEX('計算B'!$B$3:$B$47,MATCH(103,'計算B'!$C$3:$C$47,0))),"")))</f>
        <v/>
      </c>
      <c r="L12" s="36">
        <f>IF('計算A'!DN$4=0,"",IF('割り当て'!L12&lt;&gt;"",'割り当て'!L12,IFERROR(INDEX('名簿'!$G$5:$G$49,INDEX('計算B'!$B$3:$B$47,MATCH(115,'計算B'!$C$3:$C$47,0))),"")))</f>
        <v/>
      </c>
      <c r="N12" s="60" t="inlineStr">
        <is>
          <t>空けたい枠を使った</t>
        </is>
      </c>
      <c r="O12" s="61">
        <f>SUM('計算B'!$D$3:$D$47)&amp;" 枠"</f>
        <v/>
      </c>
    </row>
    <row r="13" ht="30" customHeight="1">
      <c r="B13" s="41">
        <f>'設定'!$I$18</f>
        <v/>
      </c>
      <c r="C13" s="36">
        <f>IF('計算A'!K$4=0,"",IF('割り当て'!C13&lt;&gt;"",'割り当て'!C13,IFERROR(INDEX('名簿'!$G$5:$G$49,INDEX('計算B'!$B$3:$B$47,MATCH(8,'計算B'!$C$3:$C$47,0))),"")))</f>
        <v/>
      </c>
      <c r="D13" s="36">
        <f>IF('計算A'!W$4=0,"",IF('割り当て'!D13&lt;&gt;"",'割り当て'!D13,IFERROR(INDEX('名簿'!$G$5:$G$49,INDEX('計算B'!$B$3:$B$47,MATCH(20,'計算B'!$C$3:$C$47,0))),"")))</f>
        <v/>
      </c>
      <c r="E13" s="36">
        <f>IF('計算A'!AI$4=0,"",IF('割り当て'!E13&lt;&gt;"",'割り当て'!E13,IFERROR(INDEX('名簿'!$G$5:$G$49,INDEX('計算B'!$B$3:$B$47,MATCH(32,'計算B'!$C$3:$C$47,0))),"")))</f>
        <v/>
      </c>
      <c r="F13" s="36">
        <f>IF('計算A'!AU$4=0,"",IF('割り当て'!F13&lt;&gt;"",'割り当て'!F13,IFERROR(INDEX('名簿'!$G$5:$G$49,INDEX('計算B'!$B$3:$B$47,MATCH(44,'計算B'!$C$3:$C$47,0))),"")))</f>
        <v/>
      </c>
      <c r="G13" s="36">
        <f>IF('計算A'!BG$4=0,"",IF('割り当て'!G13&lt;&gt;"",'割り当て'!G13,IFERROR(INDEX('名簿'!$G$5:$G$49,INDEX('計算B'!$B$3:$B$47,MATCH(56,'計算B'!$C$3:$C$47,0))),"")))</f>
        <v/>
      </c>
      <c r="H13" s="36">
        <f>IF('計算A'!BS$4=0,"",IF('割り当て'!H13&lt;&gt;"",'割り当て'!H13,IFERROR(INDEX('名簿'!$G$5:$G$49,INDEX('計算B'!$B$3:$B$47,MATCH(68,'計算B'!$C$3:$C$47,0))),"")))</f>
        <v/>
      </c>
      <c r="I13" s="36">
        <f>IF('計算A'!CE$4=0,"",IF('割り当て'!I13&lt;&gt;"",'割り当て'!I13,IFERROR(INDEX('名簿'!$G$5:$G$49,INDEX('計算B'!$B$3:$B$47,MATCH(80,'計算B'!$C$3:$C$47,0))),"")))</f>
        <v/>
      </c>
      <c r="J13" s="36">
        <f>IF('計算A'!CQ$4=0,"",IF('割り当て'!J13&lt;&gt;"",'割り当て'!J13,IFERROR(INDEX('名簿'!$G$5:$G$49,INDEX('計算B'!$B$3:$B$47,MATCH(92,'計算B'!$C$3:$C$47,0))),"")))</f>
        <v/>
      </c>
      <c r="K13" s="36">
        <f>IF('計算A'!DC$4=0,"",IF('割り当て'!K13&lt;&gt;"",'割り当て'!K13,IFERROR(INDEX('名簿'!$G$5:$G$49,INDEX('計算B'!$B$3:$B$47,MATCH(104,'計算B'!$C$3:$C$47,0))),"")))</f>
        <v/>
      </c>
      <c r="L13" s="36">
        <f>IF('計算A'!DO$4=0,"",IF('割り当て'!L13&lt;&gt;"",'割り当て'!L13,IFERROR(INDEX('名簿'!$G$5:$G$49,INDEX('計算B'!$B$3:$B$47,MATCH(116,'計算B'!$C$3:$C$47,0))),"")))</f>
        <v/>
      </c>
    </row>
    <row r="14" ht="30" customHeight="1">
      <c r="B14" s="41">
        <f>'設定'!$I$19</f>
        <v/>
      </c>
      <c r="C14" s="36">
        <f>IF('計算A'!L$4=0,"",IF('割り当て'!C14&lt;&gt;"",'割り当て'!C14,IFERROR(INDEX('名簿'!$G$5:$G$49,INDEX('計算B'!$B$3:$B$47,MATCH(9,'計算B'!$C$3:$C$47,0))),"")))</f>
        <v/>
      </c>
      <c r="D14" s="36">
        <f>IF('計算A'!X$4=0,"",IF('割り当て'!D14&lt;&gt;"",'割り当て'!D14,IFERROR(INDEX('名簿'!$G$5:$G$49,INDEX('計算B'!$B$3:$B$47,MATCH(21,'計算B'!$C$3:$C$47,0))),"")))</f>
        <v/>
      </c>
      <c r="E14" s="36">
        <f>IF('計算A'!AJ$4=0,"",IF('割り当て'!E14&lt;&gt;"",'割り当て'!E14,IFERROR(INDEX('名簿'!$G$5:$G$49,INDEX('計算B'!$B$3:$B$47,MATCH(33,'計算B'!$C$3:$C$47,0))),"")))</f>
        <v/>
      </c>
      <c r="F14" s="36">
        <f>IF('計算A'!AV$4=0,"",IF('割り当て'!F14&lt;&gt;"",'割り当て'!F14,IFERROR(INDEX('名簿'!$G$5:$G$49,INDEX('計算B'!$B$3:$B$47,MATCH(45,'計算B'!$C$3:$C$47,0))),"")))</f>
        <v/>
      </c>
      <c r="G14" s="36">
        <f>IF('計算A'!BH$4=0,"",IF('割り当て'!G14&lt;&gt;"",'割り当て'!G14,IFERROR(INDEX('名簿'!$G$5:$G$49,INDEX('計算B'!$B$3:$B$47,MATCH(57,'計算B'!$C$3:$C$47,0))),"")))</f>
        <v/>
      </c>
      <c r="H14" s="36">
        <f>IF('計算A'!BT$4=0,"",IF('割り当て'!H14&lt;&gt;"",'割り当て'!H14,IFERROR(INDEX('名簿'!$G$5:$G$49,INDEX('計算B'!$B$3:$B$47,MATCH(69,'計算B'!$C$3:$C$47,0))),"")))</f>
        <v/>
      </c>
      <c r="I14" s="36">
        <f>IF('計算A'!CF$4=0,"",IF('割り当て'!I14&lt;&gt;"",'割り当て'!I14,IFERROR(INDEX('名簿'!$G$5:$G$49,INDEX('計算B'!$B$3:$B$47,MATCH(81,'計算B'!$C$3:$C$47,0))),"")))</f>
        <v/>
      </c>
      <c r="J14" s="36">
        <f>IF('計算A'!CR$4=0,"",IF('割り当て'!J14&lt;&gt;"",'割り当て'!J14,IFERROR(INDEX('名簿'!$G$5:$G$49,INDEX('計算B'!$B$3:$B$47,MATCH(93,'計算B'!$C$3:$C$47,0))),"")))</f>
        <v/>
      </c>
      <c r="K14" s="36">
        <f>IF('計算A'!DD$4=0,"",IF('割り当て'!K14&lt;&gt;"",'割り当て'!K14,IFERROR(INDEX('名簿'!$G$5:$G$49,INDEX('計算B'!$B$3:$B$47,MATCH(105,'計算B'!$C$3:$C$47,0))),"")))</f>
        <v/>
      </c>
      <c r="L14" s="36">
        <f>IF('計算A'!DP$4=0,"",IF('割り当て'!L14&lt;&gt;"",'割り当て'!L14,IFERROR(INDEX('名簿'!$G$5:$G$49,INDEX('計算B'!$B$3:$B$47,MATCH(117,'計算B'!$C$3:$C$47,0))),"")))</f>
        <v/>
      </c>
    </row>
    <row r="15" ht="30" customHeight="1">
      <c r="B15" s="41">
        <f>'設定'!$I$20</f>
        <v/>
      </c>
      <c r="C15" s="36">
        <f>IF('計算A'!M$4=0,"",IF('割り当て'!C15&lt;&gt;"",'割り当て'!C15,IFERROR(INDEX('名簿'!$G$5:$G$49,INDEX('計算B'!$B$3:$B$47,MATCH(10,'計算B'!$C$3:$C$47,0))),"")))</f>
        <v/>
      </c>
      <c r="D15" s="36">
        <f>IF('計算A'!Y$4=0,"",IF('割り当て'!D15&lt;&gt;"",'割り当て'!D15,IFERROR(INDEX('名簿'!$G$5:$G$49,INDEX('計算B'!$B$3:$B$47,MATCH(22,'計算B'!$C$3:$C$47,0))),"")))</f>
        <v/>
      </c>
      <c r="E15" s="36">
        <f>IF('計算A'!AK$4=0,"",IF('割り当て'!E15&lt;&gt;"",'割り当て'!E15,IFERROR(INDEX('名簿'!$G$5:$G$49,INDEX('計算B'!$B$3:$B$47,MATCH(34,'計算B'!$C$3:$C$47,0))),"")))</f>
        <v/>
      </c>
      <c r="F15" s="36">
        <f>IF('計算A'!AW$4=0,"",IF('割り当て'!F15&lt;&gt;"",'割り当て'!F15,IFERROR(INDEX('名簿'!$G$5:$G$49,INDEX('計算B'!$B$3:$B$47,MATCH(46,'計算B'!$C$3:$C$47,0))),"")))</f>
        <v/>
      </c>
      <c r="G15" s="36">
        <f>IF('計算A'!BI$4=0,"",IF('割り当て'!G15&lt;&gt;"",'割り当て'!G15,IFERROR(INDEX('名簿'!$G$5:$G$49,INDEX('計算B'!$B$3:$B$47,MATCH(58,'計算B'!$C$3:$C$47,0))),"")))</f>
        <v/>
      </c>
      <c r="H15" s="36">
        <f>IF('計算A'!BU$4=0,"",IF('割り当て'!H15&lt;&gt;"",'割り当て'!H15,IFERROR(INDEX('名簿'!$G$5:$G$49,INDEX('計算B'!$B$3:$B$47,MATCH(70,'計算B'!$C$3:$C$47,0))),"")))</f>
        <v/>
      </c>
      <c r="I15" s="36">
        <f>IF('計算A'!CG$4=0,"",IF('割り当て'!I15&lt;&gt;"",'割り当て'!I15,IFERROR(INDEX('名簿'!$G$5:$G$49,INDEX('計算B'!$B$3:$B$47,MATCH(82,'計算B'!$C$3:$C$47,0))),"")))</f>
        <v/>
      </c>
      <c r="J15" s="36">
        <f>IF('計算A'!CS$4=0,"",IF('割り当て'!J15&lt;&gt;"",'割り当て'!J15,IFERROR(INDEX('名簿'!$G$5:$G$49,INDEX('計算B'!$B$3:$B$47,MATCH(94,'計算B'!$C$3:$C$47,0))),"")))</f>
        <v/>
      </c>
      <c r="K15" s="36">
        <f>IF('計算A'!DE$4=0,"",IF('割り当て'!K15&lt;&gt;"",'割り当て'!K15,IFERROR(INDEX('名簿'!$G$5:$G$49,INDEX('計算B'!$B$3:$B$47,MATCH(106,'計算B'!$C$3:$C$47,0))),"")))</f>
        <v/>
      </c>
      <c r="L15" s="36">
        <f>IF('計算A'!DQ$4=0,"",IF('割り当て'!L15&lt;&gt;"",'割り当て'!L15,IFERROR(INDEX('名簿'!$G$5:$G$49,INDEX('計算B'!$B$3:$B$47,MATCH(118,'計算B'!$C$3:$C$47,0))),"")))</f>
        <v/>
      </c>
    </row>
    <row r="16" ht="30" customHeight="1">
      <c r="B16" s="41">
        <f>'設定'!$I$21</f>
        <v/>
      </c>
      <c r="C16" s="36">
        <f>IF('計算A'!N$4=0,"",IF('割り当て'!C16&lt;&gt;"",'割り当て'!C16,IFERROR(INDEX('名簿'!$G$5:$G$49,INDEX('計算B'!$B$3:$B$47,MATCH(11,'計算B'!$C$3:$C$47,0))),"")))</f>
        <v/>
      </c>
      <c r="D16" s="36">
        <f>IF('計算A'!Z$4=0,"",IF('割り当て'!D16&lt;&gt;"",'割り当て'!D16,IFERROR(INDEX('名簿'!$G$5:$G$49,INDEX('計算B'!$B$3:$B$47,MATCH(23,'計算B'!$C$3:$C$47,0))),"")))</f>
        <v/>
      </c>
      <c r="E16" s="36">
        <f>IF('計算A'!AL$4=0,"",IF('割り当て'!E16&lt;&gt;"",'割り当て'!E16,IFERROR(INDEX('名簿'!$G$5:$G$49,INDEX('計算B'!$B$3:$B$47,MATCH(35,'計算B'!$C$3:$C$47,0))),"")))</f>
        <v/>
      </c>
      <c r="F16" s="36">
        <f>IF('計算A'!AX$4=0,"",IF('割り当て'!F16&lt;&gt;"",'割り当て'!F16,IFERROR(INDEX('名簿'!$G$5:$G$49,INDEX('計算B'!$B$3:$B$47,MATCH(47,'計算B'!$C$3:$C$47,0))),"")))</f>
        <v/>
      </c>
      <c r="G16" s="36">
        <f>IF('計算A'!BJ$4=0,"",IF('割り当て'!G16&lt;&gt;"",'割り当て'!G16,IFERROR(INDEX('名簿'!$G$5:$G$49,INDEX('計算B'!$B$3:$B$47,MATCH(59,'計算B'!$C$3:$C$47,0))),"")))</f>
        <v/>
      </c>
      <c r="H16" s="36">
        <f>IF('計算A'!BV$4=0,"",IF('割り当て'!H16&lt;&gt;"",'割り当て'!H16,IFERROR(INDEX('名簿'!$G$5:$G$49,INDEX('計算B'!$B$3:$B$47,MATCH(71,'計算B'!$C$3:$C$47,0))),"")))</f>
        <v/>
      </c>
      <c r="I16" s="36">
        <f>IF('計算A'!CH$4=0,"",IF('割り当て'!I16&lt;&gt;"",'割り当て'!I16,IFERROR(INDEX('名簿'!$G$5:$G$49,INDEX('計算B'!$B$3:$B$47,MATCH(83,'計算B'!$C$3:$C$47,0))),"")))</f>
        <v/>
      </c>
      <c r="J16" s="36">
        <f>IF('計算A'!CT$4=0,"",IF('割り当て'!J16&lt;&gt;"",'割り当て'!J16,IFERROR(INDEX('名簿'!$G$5:$G$49,INDEX('計算B'!$B$3:$B$47,MATCH(95,'計算B'!$C$3:$C$47,0))),"")))</f>
        <v/>
      </c>
      <c r="K16" s="36">
        <f>IF('計算A'!DF$4=0,"",IF('割り当て'!K16&lt;&gt;"",'割り当て'!K16,IFERROR(INDEX('名簿'!$G$5:$G$49,INDEX('計算B'!$B$3:$B$47,MATCH(107,'計算B'!$C$3:$C$47,0))),"")))</f>
        <v/>
      </c>
      <c r="L16" s="36">
        <f>IF('計算A'!DR$4=0,"",IF('割り当て'!L16&lt;&gt;"",'割り当て'!L16,IFERROR(INDEX('名簿'!$G$5:$G$49,INDEX('計算B'!$B$3:$B$47,MATCH(119,'計算B'!$C$3:$C$47,0))),"")))</f>
        <v/>
      </c>
    </row>
    <row r="17" ht="30" customHeight="1">
      <c r="B17" s="41">
        <f>'設定'!$I$22</f>
        <v/>
      </c>
      <c r="C17" s="36">
        <f>IF('計算A'!O$4=0,"",IF('割り当て'!C17&lt;&gt;"",'割り当て'!C17,IFERROR(INDEX('名簿'!$G$5:$G$49,INDEX('計算B'!$B$3:$B$47,MATCH(12,'計算B'!$C$3:$C$47,0))),"")))</f>
        <v/>
      </c>
      <c r="D17" s="36">
        <f>IF('計算A'!AA$4=0,"",IF('割り当て'!D17&lt;&gt;"",'割り当て'!D17,IFERROR(INDEX('名簿'!$G$5:$G$49,INDEX('計算B'!$B$3:$B$47,MATCH(24,'計算B'!$C$3:$C$47,0))),"")))</f>
        <v/>
      </c>
      <c r="E17" s="36">
        <f>IF('計算A'!AM$4=0,"",IF('割り当て'!E17&lt;&gt;"",'割り当て'!E17,IFERROR(INDEX('名簿'!$G$5:$G$49,INDEX('計算B'!$B$3:$B$47,MATCH(36,'計算B'!$C$3:$C$47,0))),"")))</f>
        <v/>
      </c>
      <c r="F17" s="36">
        <f>IF('計算A'!AY$4=0,"",IF('割り当て'!F17&lt;&gt;"",'割り当て'!F17,IFERROR(INDEX('名簿'!$G$5:$G$49,INDEX('計算B'!$B$3:$B$47,MATCH(48,'計算B'!$C$3:$C$47,0))),"")))</f>
        <v/>
      </c>
      <c r="G17" s="36">
        <f>IF('計算A'!BK$4=0,"",IF('割り当て'!G17&lt;&gt;"",'割り当て'!G17,IFERROR(INDEX('名簿'!$G$5:$G$49,INDEX('計算B'!$B$3:$B$47,MATCH(60,'計算B'!$C$3:$C$47,0))),"")))</f>
        <v/>
      </c>
      <c r="H17" s="36">
        <f>IF('計算A'!BW$4=0,"",IF('割り当て'!H17&lt;&gt;"",'割り当て'!H17,IFERROR(INDEX('名簿'!$G$5:$G$49,INDEX('計算B'!$B$3:$B$47,MATCH(72,'計算B'!$C$3:$C$47,0))),"")))</f>
        <v/>
      </c>
      <c r="I17" s="36">
        <f>IF('計算A'!CI$4=0,"",IF('割り当て'!I17&lt;&gt;"",'割り当て'!I17,IFERROR(INDEX('名簿'!$G$5:$G$49,INDEX('計算B'!$B$3:$B$47,MATCH(84,'計算B'!$C$3:$C$47,0))),"")))</f>
        <v/>
      </c>
      <c r="J17" s="36">
        <f>IF('計算A'!CU$4=0,"",IF('割り当て'!J17&lt;&gt;"",'割り当て'!J17,IFERROR(INDEX('名簿'!$G$5:$G$49,INDEX('計算B'!$B$3:$B$47,MATCH(96,'計算B'!$C$3:$C$47,0))),"")))</f>
        <v/>
      </c>
      <c r="K17" s="36">
        <f>IF('計算A'!DG$4=0,"",IF('割り当て'!K17&lt;&gt;"",'割り当て'!K17,IFERROR(INDEX('名簿'!$G$5:$G$49,INDEX('計算B'!$B$3:$B$47,MATCH(108,'計算B'!$C$3:$C$47,0))),"")))</f>
        <v/>
      </c>
      <c r="L17" s="36">
        <f>IF('計算A'!DS$4=0,"",IF('割り当て'!L17&lt;&gt;"",'割り当て'!L17,IFERROR(INDEX('名簿'!$G$5:$G$49,INDEX('計算B'!$B$3:$B$47,MATCH(120,'計算B'!$C$3:$C$47,0))),"")))</f>
        <v/>
      </c>
    </row>
  </sheetData>
  <mergeCells count="2">
    <mergeCell ref="O8:O9"/>
    <mergeCell ref="O10:O11"/>
  </mergeCells>
  <conditionalFormatting sqref="C6:L17">
    <cfRule type="expression" priority="1" dxfId="2" stopIfTrue="1">
      <formula>AND(C6="",INDEX('計算A'!$D$4:$DS$4,(COLUMN(C6)-3)*12+ROW(C6)-5)=0)</formula>
    </cfRule>
    <cfRule type="expression" priority="2" dxfId="8">
      <formula>AND(C6&lt;&gt;"",'割り当て'!C6="")</formula>
    </cfRule>
    <cfRule type="expression" priority="3" dxfId="9" stopIfTrue="1">
      <formula>AND(C6="",INDEX('計算A'!$D$107:$DS$107,(COLUMN(C6)-3)*12+ROW(C6)-5)+INDEX('計算A'!$D$108:$DS$108,(COLUMN(C6)-3)*12+ROW(C6)-5)&gt;0)</formula>
    </cfRule>
    <cfRule type="expression" priority="4" dxfId="10">
      <formula>AND(C6="",INDEX('計算A'!$D$5:$DS$5,(COLUMN(C6)-3)*12+ROW(C6)-5)=1)</formula>
    </cfRule>
  </conditionalFormatting>
  <conditionalFormatting sqref="C5:L5">
    <cfRule type="expression" priority="5" dxfId="4">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33"/>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49" t="inlineStr">
        <is>
          <t>割り当て</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HYPERLINK("#'割り当て'!A1","⑤ 割り当て")</f>
        <v/>
      </c>
      <c r="L1" s="2" t="n"/>
      <c r="M1" s="2" t="n"/>
      <c r="N1" s="2" t="n"/>
      <c r="O1" s="2" t="n"/>
    </row>
    <row r="2" ht="24" customHeight="1">
      <c r="A2" s="4" t="n"/>
      <c r="B2" s="50" t="inlineStr">
        <is>
          <t>各枠のプルダウンで児童を選びます。右の「児童を選ぶ」で選んだ児童の入れられる枠に色がつきます。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66" t="inlineStr">
        <is>
          <t>選んだ児童</t>
        </is>
      </c>
      <c r="D3" s="67" t="inlineStr">
        <is>
          <t>入れられる</t>
        </is>
      </c>
      <c r="E3" s="68" t="inlineStr">
        <is>
          <t>入れられる（他の人あり）</t>
        </is>
      </c>
      <c r="F3" s="69" t="inlineStr">
        <is>
          <t>×の枠</t>
        </is>
      </c>
      <c r="G3" s="70" t="inlineStr">
        <is>
          <t>×の枠に入れた！</t>
        </is>
      </c>
      <c r="H3" s="71" t="inlineStr">
        <is>
          <t>2か所に入っている</t>
        </is>
      </c>
      <c r="I3" s="72" t="inlineStr">
        <is>
          <t>空けるはずの枠に人がいる</t>
        </is>
      </c>
      <c r="J3" s="58" t="inlineStr">
        <is>
          <t>後ろを空ける枠</t>
        </is>
      </c>
    </row>
    <row r="4">
      <c r="N4" s="61" t="inlineStr">
        <is>
          <t>児童を選ぶ ▼</t>
        </is>
      </c>
    </row>
    <row r="5">
      <c r="B5" s="34" t="inlineStr"/>
      <c r="C5" s="32">
        <f>'設定'!$E$11</f>
        <v/>
      </c>
      <c r="D5" s="32">
        <f>'設定'!$E$12</f>
        <v/>
      </c>
      <c r="E5" s="32">
        <f>'設定'!$E$13</f>
        <v/>
      </c>
      <c r="F5" s="32">
        <f>'設定'!$E$14</f>
        <v/>
      </c>
      <c r="G5" s="32">
        <f>'設定'!$E$15</f>
        <v/>
      </c>
      <c r="H5" s="32">
        <f>'設定'!$E$16</f>
        <v/>
      </c>
      <c r="I5" s="32">
        <f>'設定'!$E$17</f>
        <v/>
      </c>
      <c r="J5" s="32">
        <f>'設定'!$E$18</f>
        <v/>
      </c>
      <c r="K5" s="32">
        <f>'設定'!$E$19</f>
        <v/>
      </c>
      <c r="L5" s="32">
        <f>'設定'!$E$20</f>
        <v/>
      </c>
      <c r="N5" s="73" t="n"/>
      <c r="O5" s="29" t="n"/>
    </row>
    <row r="6" ht="30" customHeight="1">
      <c r="B6" s="41">
        <f>'設定'!$I$11</f>
        <v/>
      </c>
      <c r="C6" s="36" t="n"/>
      <c r="D6" s="36" t="n"/>
      <c r="E6" s="36" t="n"/>
      <c r="F6" s="36" t="n"/>
      <c r="G6" s="36" t="n"/>
      <c r="H6" s="36" t="n"/>
      <c r="I6" s="36" t="n"/>
      <c r="J6" s="36" t="n"/>
      <c r="K6" s="36" t="n"/>
      <c r="L6" s="36" t="n"/>
    </row>
    <row r="7" ht="30" customHeight="1">
      <c r="B7" s="41">
        <f>'設定'!$I$12</f>
        <v/>
      </c>
      <c r="C7" s="36" t="n"/>
      <c r="D7" s="36" t="n"/>
      <c r="E7" s="36" t="n"/>
      <c r="F7" s="36" t="n"/>
      <c r="G7" s="36" t="n"/>
      <c r="H7" s="36" t="n"/>
      <c r="I7" s="36" t="n"/>
      <c r="J7" s="36" t="n"/>
      <c r="K7" s="36" t="n"/>
      <c r="L7" s="36" t="n"/>
      <c r="N7" s="60" t="inlineStr">
        <is>
          <t>状況</t>
        </is>
      </c>
      <c r="O7" s="74">
        <f>IF('計算A'!$B$8=0,"",INDEX('名簿'!$H$5:$H$49,'計算A'!$B$8))</f>
        <v/>
      </c>
    </row>
    <row r="8" ht="30" customHeight="1">
      <c r="B8" s="41">
        <f>'設定'!$I$13</f>
        <v/>
      </c>
      <c r="C8" s="36" t="n"/>
      <c r="D8" s="36" t="n"/>
      <c r="E8" s="36" t="n"/>
      <c r="F8" s="36" t="n"/>
      <c r="G8" s="36" t="n"/>
      <c r="H8" s="36" t="n"/>
      <c r="I8" s="36" t="n"/>
      <c r="J8" s="36" t="n"/>
      <c r="K8" s="36" t="n"/>
      <c r="L8" s="36" t="n"/>
      <c r="N8" s="60" t="inlineStr">
        <is>
          <t>×の数</t>
        </is>
      </c>
      <c r="O8" s="74">
        <f>IF('計算A'!$B$8=0,"",INDEX('名簿'!$I$5:$I$49,'計算A'!$B$8))</f>
        <v/>
      </c>
    </row>
    <row r="9" ht="30" customHeight="1">
      <c r="B9" s="41">
        <f>'設定'!$I$14</f>
        <v/>
      </c>
      <c r="C9" s="36" t="n"/>
      <c r="D9" s="36" t="n"/>
      <c r="E9" s="36" t="n"/>
      <c r="F9" s="36" t="n"/>
      <c r="G9" s="36" t="n"/>
      <c r="H9" s="36" t="n"/>
      <c r="I9" s="36" t="n"/>
      <c r="J9" s="36" t="n"/>
      <c r="K9" s="36" t="n"/>
      <c r="L9" s="36" t="n"/>
      <c r="N9" s="60" t="inlineStr">
        <is>
          <t>今の枠</t>
        </is>
      </c>
      <c r="O9" s="74">
        <f>IF('計算A'!$B$8=0,"",INDEX('名簿'!$L$5:$L$49,'計算A'!$B$8)&amp;" "&amp;INDEX('名簿'!$M$5:$M$49,'計算A'!$B$8))</f>
        <v/>
      </c>
    </row>
    <row r="10" ht="30" customHeight="1">
      <c r="B10" s="41">
        <f>'設定'!$I$15</f>
        <v/>
      </c>
      <c r="C10" s="36" t="n"/>
      <c r="D10" s="36" t="n"/>
      <c r="E10" s="36" t="n"/>
      <c r="F10" s="36" t="n"/>
      <c r="G10" s="36" t="n"/>
      <c r="H10" s="36" t="n"/>
      <c r="I10" s="36" t="n"/>
      <c r="J10" s="36" t="n"/>
      <c r="K10" s="36" t="n"/>
      <c r="L10" s="36" t="n"/>
      <c r="N10" s="60" t="inlineStr">
        <is>
          <t>兄弟</t>
        </is>
      </c>
      <c r="O10" s="74">
        <f>IF('計算A'!$B$8=0,"",IF(INDEX('名簿'!$C$5:$C$49,'計算A'!$B$8)="","",INDEX('名簿'!$C$5:$C$49,'計算A'!$B$8)&amp;" "&amp;INDEX('名簿'!$D$5:$D$49,'計算A'!$B$8)))</f>
        <v/>
      </c>
    </row>
    <row r="11" ht="30" customHeight="1">
      <c r="B11" s="41">
        <f>'設定'!$I$16</f>
        <v/>
      </c>
      <c r="C11" s="36" t="n"/>
      <c r="D11" s="36" t="n"/>
      <c r="E11" s="36" t="n"/>
      <c r="F11" s="36" t="n"/>
      <c r="G11" s="36" t="n"/>
      <c r="H11" s="36" t="n"/>
      <c r="I11" s="36" t="n"/>
      <c r="J11" s="36" t="n"/>
      <c r="K11" s="36" t="n"/>
      <c r="L11" s="36" t="n"/>
      <c r="N11" s="60" t="inlineStr">
        <is>
          <t>入れられる空き枠</t>
        </is>
      </c>
      <c r="O11" s="65">
        <f t="array" ref="O11">IFERROR(IF('計算A'!$B$8=0,"",_xlfn.TEXTJOIN("、",TRUE,IF((INDEX('計算A'!$D$60:$DS$104,'計算A'!$B$8,0)=1)*('計算A'!$D$7:$DS$7=0),'計算A'!$D$8:$DS$8,""))),"")</f>
        <v/>
      </c>
    </row>
    <row r="12" ht="30" customHeight="1">
      <c r="B12" s="41">
        <f>'設定'!$I$17</f>
        <v/>
      </c>
      <c r="C12" s="36" t="n"/>
      <c r="D12" s="36" t="n"/>
      <c r="E12" s="36" t="n"/>
      <c r="F12" s="36" t="n"/>
      <c r="G12" s="36" t="n"/>
      <c r="H12" s="36" t="n"/>
      <c r="I12" s="36" t="n"/>
      <c r="J12" s="36" t="n"/>
      <c r="K12" s="36" t="n"/>
      <c r="L12" s="36" t="n"/>
    </row>
    <row r="13" ht="30" customHeight="1">
      <c r="B13" s="41">
        <f>'設定'!$I$18</f>
        <v/>
      </c>
      <c r="C13" s="36" t="n"/>
      <c r="D13" s="36" t="n"/>
      <c r="E13" s="36" t="n"/>
      <c r="F13" s="36" t="n"/>
      <c r="G13" s="36" t="n"/>
      <c r="H13" s="36" t="n"/>
      <c r="I13" s="36" t="n"/>
      <c r="J13" s="36" t="n"/>
      <c r="K13" s="36" t="n"/>
      <c r="L13" s="36" t="n"/>
    </row>
    <row r="14" ht="30" customHeight="1">
      <c r="B14" s="41">
        <f>'設定'!$I$19</f>
        <v/>
      </c>
      <c r="C14" s="36" t="n"/>
      <c r="D14" s="36" t="n"/>
      <c r="E14" s="36" t="n"/>
      <c r="F14" s="36" t="n"/>
      <c r="G14" s="36" t="n"/>
      <c r="H14" s="36" t="n"/>
      <c r="I14" s="36" t="n"/>
      <c r="J14" s="36" t="n"/>
      <c r="K14" s="36" t="n"/>
      <c r="L14" s="36" t="n"/>
    </row>
    <row r="15" ht="30" customHeight="1">
      <c r="B15" s="41">
        <f>'設定'!$I$20</f>
        <v/>
      </c>
      <c r="C15" s="36" t="n"/>
      <c r="D15" s="36" t="n"/>
      <c r="E15" s="36" t="n"/>
      <c r="F15" s="36" t="n"/>
      <c r="G15" s="36" t="n"/>
      <c r="H15" s="36" t="n"/>
      <c r="I15" s="36" t="n"/>
      <c r="J15" s="36" t="n"/>
      <c r="K15" s="36" t="n"/>
      <c r="L15" s="36" t="n"/>
    </row>
    <row r="16" ht="30" customHeight="1">
      <c r="B16" s="41">
        <f>'設定'!$I$21</f>
        <v/>
      </c>
      <c r="C16" s="36" t="n"/>
      <c r="D16" s="36" t="n"/>
      <c r="E16" s="36" t="n"/>
      <c r="F16" s="36" t="n"/>
      <c r="G16" s="36" t="n"/>
      <c r="H16" s="36" t="n"/>
      <c r="I16" s="36" t="n"/>
      <c r="J16" s="36" t="n"/>
      <c r="K16" s="36" t="n"/>
      <c r="L16" s="36" t="n"/>
    </row>
    <row r="17" ht="30" customHeight="1">
      <c r="B17" s="41">
        <f>'設定'!$I$22</f>
        <v/>
      </c>
      <c r="C17" s="36" t="n"/>
      <c r="D17" s="36" t="n"/>
      <c r="E17" s="36" t="n"/>
      <c r="F17" s="36" t="n"/>
      <c r="G17" s="36" t="n"/>
      <c r="H17" s="36" t="n"/>
      <c r="I17" s="36" t="n"/>
      <c r="J17" s="36" t="n"/>
      <c r="K17" s="36" t="n"/>
      <c r="L17" s="36" t="n"/>
    </row>
    <row r="18"/>
    <row r="19">
      <c r="B19" s="75" t="inlineStr">
        <is>
          <t>候補（その枠に入れられる、まだ決まっていない児童）</t>
        </is>
      </c>
    </row>
    <row r="20">
      <c r="B20" s="43" t="inlineStr">
        <is>
          <t>未入力・未提出の家庭は含みません。0人の枠は赤、1人の枠はオレンジです。</t>
        </is>
      </c>
    </row>
    <row r="21">
      <c r="B21" s="34" t="inlineStr"/>
      <c r="C21" s="32">
        <f>'設定'!$E$11</f>
        <v/>
      </c>
      <c r="D21" s="32">
        <f>'設定'!$E$12</f>
        <v/>
      </c>
      <c r="E21" s="32">
        <f>'設定'!$E$13</f>
        <v/>
      </c>
      <c r="F21" s="32">
        <f>'設定'!$E$14</f>
        <v/>
      </c>
      <c r="G21" s="32">
        <f>'設定'!$E$15</f>
        <v/>
      </c>
      <c r="H21" s="32">
        <f>'設定'!$E$16</f>
        <v/>
      </c>
      <c r="I21" s="32">
        <f>'設定'!$E$17</f>
        <v/>
      </c>
      <c r="J21" s="32">
        <f>'設定'!$E$18</f>
        <v/>
      </c>
      <c r="K21" s="32">
        <f>'設定'!$E$19</f>
        <v/>
      </c>
      <c r="L21" s="32">
        <f>'設定'!$E$20</f>
        <v/>
      </c>
    </row>
    <row r="22" ht="48" customHeight="1">
      <c r="B22" s="41">
        <f>'設定'!$I$11</f>
        <v/>
      </c>
      <c r="C22" s="76">
        <f t="array" ref="C22">IF('計算A'!D$4=0,"",IF(C6&lt;&gt;"","（決定）",IF('計算A'!D$108=1,"（空ける）",SUMPRODUCT(('計算A'!D$60:D$104=1)*('計算A'!$C$10:$C$54=1))&amp;"人："&amp;_xlfn.TEXTJOIN("、",TRUE,IF(('計算A'!D$60:D$104=1)*('計算A'!$C$10:$C$54=1),'計算A'!$B$10:$B$54,"")))))</f>
        <v/>
      </c>
      <c r="D22" s="76">
        <f t="array" ref="D22">IF('計算A'!P$4=0,"",IF(D6&lt;&gt;"","（決定）",IF('計算A'!P$108=1,"（空ける）",SUMPRODUCT(('計算A'!P$60:P$104=1)*('計算A'!$C$10:$C$54=1))&amp;"人："&amp;_xlfn.TEXTJOIN("、",TRUE,IF(('計算A'!P$60:P$104=1)*('計算A'!$C$10:$C$54=1),'計算A'!$B$10:$B$54,"")))))</f>
        <v/>
      </c>
      <c r="E22" s="76">
        <f t="array" ref="E22">IF('計算A'!AB$4=0,"",IF(E6&lt;&gt;"","（決定）",IF('計算A'!AB$108=1,"（空ける）",SUMPRODUCT(('計算A'!AB$60:AB$104=1)*('計算A'!$C$10:$C$54=1))&amp;"人："&amp;_xlfn.TEXTJOIN("、",TRUE,IF(('計算A'!AB$60:AB$104=1)*('計算A'!$C$10:$C$54=1),'計算A'!$B$10:$B$54,"")))))</f>
        <v/>
      </c>
      <c r="F22" s="76">
        <f t="array" ref="F22">IF('計算A'!AN$4=0,"",IF(F6&lt;&gt;"","（決定）",IF('計算A'!AN$108=1,"（空ける）",SUMPRODUCT(('計算A'!AN$60:AN$104=1)*('計算A'!$C$10:$C$54=1))&amp;"人："&amp;_xlfn.TEXTJOIN("、",TRUE,IF(('計算A'!AN$60:AN$104=1)*('計算A'!$C$10:$C$54=1),'計算A'!$B$10:$B$54,"")))))</f>
        <v/>
      </c>
      <c r="G22" s="76">
        <f t="array" ref="G22">IF('計算A'!AZ$4=0,"",IF(G6&lt;&gt;"","（決定）",IF('計算A'!AZ$108=1,"（空ける）",SUMPRODUCT(('計算A'!AZ$60:AZ$104=1)*('計算A'!$C$10:$C$54=1))&amp;"人："&amp;_xlfn.TEXTJOIN("、",TRUE,IF(('計算A'!AZ$60:AZ$104=1)*('計算A'!$C$10:$C$54=1),'計算A'!$B$10:$B$54,"")))))</f>
        <v/>
      </c>
      <c r="H22" s="76">
        <f t="array" ref="H22">IF('計算A'!BL$4=0,"",IF(H6&lt;&gt;"","（決定）",IF('計算A'!BL$108=1,"（空ける）",SUMPRODUCT(('計算A'!BL$60:BL$104=1)*('計算A'!$C$10:$C$54=1))&amp;"人："&amp;_xlfn.TEXTJOIN("、",TRUE,IF(('計算A'!BL$60:BL$104=1)*('計算A'!$C$10:$C$54=1),'計算A'!$B$10:$B$54,"")))))</f>
        <v/>
      </c>
      <c r="I22" s="76">
        <f t="array" ref="I22">IF('計算A'!BX$4=0,"",IF(I6&lt;&gt;"","（決定）",IF('計算A'!BX$108=1,"（空ける）",SUMPRODUCT(('計算A'!BX$60:BX$104=1)*('計算A'!$C$10:$C$54=1))&amp;"人："&amp;_xlfn.TEXTJOIN("、",TRUE,IF(('計算A'!BX$60:BX$104=1)*('計算A'!$C$10:$C$54=1),'計算A'!$B$10:$B$54,"")))))</f>
        <v/>
      </c>
      <c r="J22" s="76">
        <f t="array" ref="J22">IF('計算A'!CJ$4=0,"",IF(J6&lt;&gt;"","（決定）",IF('計算A'!CJ$108=1,"（空ける）",SUMPRODUCT(('計算A'!CJ$60:CJ$104=1)*('計算A'!$C$10:$C$54=1))&amp;"人："&amp;_xlfn.TEXTJOIN("、",TRUE,IF(('計算A'!CJ$60:CJ$104=1)*('計算A'!$C$10:$C$54=1),'計算A'!$B$10:$B$54,"")))))</f>
        <v/>
      </c>
      <c r="K22" s="76">
        <f t="array" ref="K22">IF('計算A'!CV$4=0,"",IF(K6&lt;&gt;"","（決定）",IF('計算A'!CV$108=1,"（空ける）",SUMPRODUCT(('計算A'!CV$60:CV$104=1)*('計算A'!$C$10:$C$54=1))&amp;"人："&amp;_xlfn.TEXTJOIN("、",TRUE,IF(('計算A'!CV$60:CV$104=1)*('計算A'!$C$10:$C$54=1),'計算A'!$B$10:$B$54,"")))))</f>
        <v/>
      </c>
      <c r="L22" s="76">
        <f t="array" ref="L22">IF('計算A'!DH$4=0,"",IF(L6&lt;&gt;"","（決定）",IF('計算A'!DH$108=1,"（空ける）",SUMPRODUCT(('計算A'!DH$60:DH$104=1)*('計算A'!$C$10:$C$54=1))&amp;"人："&amp;_xlfn.TEXTJOIN("、",TRUE,IF(('計算A'!DH$60:DH$104=1)*('計算A'!$C$10:$C$54=1),'計算A'!$B$10:$B$54,"")))))</f>
        <v/>
      </c>
    </row>
    <row r="23" ht="48" customHeight="1">
      <c r="B23" s="41">
        <f>'設定'!$I$12</f>
        <v/>
      </c>
      <c r="C23" s="76">
        <f t="array" ref="C23">IF('計算A'!E$4=0,"",IF(C7&lt;&gt;"","（決定）",IF('計算A'!E$108=1,"（空ける）",SUMPRODUCT(('計算A'!E$60:E$104=1)*('計算A'!$C$10:$C$54=1))&amp;"人："&amp;_xlfn.TEXTJOIN("、",TRUE,IF(('計算A'!E$60:E$104=1)*('計算A'!$C$10:$C$54=1),'計算A'!$B$10:$B$54,"")))))</f>
        <v/>
      </c>
      <c r="D23" s="76">
        <f t="array" ref="D23">IF('計算A'!Q$4=0,"",IF(D7&lt;&gt;"","（決定）",IF('計算A'!Q$108=1,"（空ける）",SUMPRODUCT(('計算A'!Q$60:Q$104=1)*('計算A'!$C$10:$C$54=1))&amp;"人："&amp;_xlfn.TEXTJOIN("、",TRUE,IF(('計算A'!Q$60:Q$104=1)*('計算A'!$C$10:$C$54=1),'計算A'!$B$10:$B$54,"")))))</f>
        <v/>
      </c>
      <c r="E23" s="76">
        <f t="array" ref="E23">IF('計算A'!AC$4=0,"",IF(E7&lt;&gt;"","（決定）",IF('計算A'!AC$108=1,"（空ける）",SUMPRODUCT(('計算A'!AC$60:AC$104=1)*('計算A'!$C$10:$C$54=1))&amp;"人："&amp;_xlfn.TEXTJOIN("、",TRUE,IF(('計算A'!AC$60:AC$104=1)*('計算A'!$C$10:$C$54=1),'計算A'!$B$10:$B$54,"")))))</f>
        <v/>
      </c>
      <c r="F23" s="76">
        <f t="array" ref="F23">IF('計算A'!AO$4=0,"",IF(F7&lt;&gt;"","（決定）",IF('計算A'!AO$108=1,"（空ける）",SUMPRODUCT(('計算A'!AO$60:AO$104=1)*('計算A'!$C$10:$C$54=1))&amp;"人："&amp;_xlfn.TEXTJOIN("、",TRUE,IF(('計算A'!AO$60:AO$104=1)*('計算A'!$C$10:$C$54=1),'計算A'!$B$10:$B$54,"")))))</f>
        <v/>
      </c>
      <c r="G23" s="76">
        <f t="array" ref="G23">IF('計算A'!BA$4=0,"",IF(G7&lt;&gt;"","（決定）",IF('計算A'!BA$108=1,"（空ける）",SUMPRODUCT(('計算A'!BA$60:BA$104=1)*('計算A'!$C$10:$C$54=1))&amp;"人："&amp;_xlfn.TEXTJOIN("、",TRUE,IF(('計算A'!BA$60:BA$104=1)*('計算A'!$C$10:$C$54=1),'計算A'!$B$10:$B$54,"")))))</f>
        <v/>
      </c>
      <c r="H23" s="76">
        <f t="array" ref="H23">IF('計算A'!BM$4=0,"",IF(H7&lt;&gt;"","（決定）",IF('計算A'!BM$108=1,"（空ける）",SUMPRODUCT(('計算A'!BM$60:BM$104=1)*('計算A'!$C$10:$C$54=1))&amp;"人："&amp;_xlfn.TEXTJOIN("、",TRUE,IF(('計算A'!BM$60:BM$104=1)*('計算A'!$C$10:$C$54=1),'計算A'!$B$10:$B$54,"")))))</f>
        <v/>
      </c>
      <c r="I23" s="76">
        <f t="array" ref="I23">IF('計算A'!BY$4=0,"",IF(I7&lt;&gt;"","（決定）",IF('計算A'!BY$108=1,"（空ける）",SUMPRODUCT(('計算A'!BY$60:BY$104=1)*('計算A'!$C$10:$C$54=1))&amp;"人："&amp;_xlfn.TEXTJOIN("、",TRUE,IF(('計算A'!BY$60:BY$104=1)*('計算A'!$C$10:$C$54=1),'計算A'!$B$10:$B$54,"")))))</f>
        <v/>
      </c>
      <c r="J23" s="76">
        <f t="array" ref="J23">IF('計算A'!CK$4=0,"",IF(J7&lt;&gt;"","（決定）",IF('計算A'!CK$108=1,"（空ける）",SUMPRODUCT(('計算A'!CK$60:CK$104=1)*('計算A'!$C$10:$C$54=1))&amp;"人："&amp;_xlfn.TEXTJOIN("、",TRUE,IF(('計算A'!CK$60:CK$104=1)*('計算A'!$C$10:$C$54=1),'計算A'!$B$10:$B$54,"")))))</f>
        <v/>
      </c>
      <c r="K23" s="76">
        <f t="array" ref="K23">IF('計算A'!CW$4=0,"",IF(K7&lt;&gt;"","（決定）",IF('計算A'!CW$108=1,"（空ける）",SUMPRODUCT(('計算A'!CW$60:CW$104=1)*('計算A'!$C$10:$C$54=1))&amp;"人："&amp;_xlfn.TEXTJOIN("、",TRUE,IF(('計算A'!CW$60:CW$104=1)*('計算A'!$C$10:$C$54=1),'計算A'!$B$10:$B$54,"")))))</f>
        <v/>
      </c>
      <c r="L23" s="76">
        <f t="array" ref="L23">IF('計算A'!DI$4=0,"",IF(L7&lt;&gt;"","（決定）",IF('計算A'!DI$108=1,"（空ける）",SUMPRODUCT(('計算A'!DI$60:DI$104=1)*('計算A'!$C$10:$C$54=1))&amp;"人："&amp;_xlfn.TEXTJOIN("、",TRUE,IF(('計算A'!DI$60:DI$104=1)*('計算A'!$C$10:$C$54=1),'計算A'!$B$10:$B$54,"")))))</f>
        <v/>
      </c>
    </row>
    <row r="24" ht="48" customHeight="1">
      <c r="B24" s="41">
        <f>'設定'!$I$13</f>
        <v/>
      </c>
      <c r="C24" s="76">
        <f t="array" ref="C24">IF('計算A'!F$4=0,"",IF(C8&lt;&gt;"","（決定）",IF('計算A'!F$108=1,"（空ける）",SUMPRODUCT(('計算A'!F$60:F$104=1)*('計算A'!$C$10:$C$54=1))&amp;"人："&amp;_xlfn.TEXTJOIN("、",TRUE,IF(('計算A'!F$60:F$104=1)*('計算A'!$C$10:$C$54=1),'計算A'!$B$10:$B$54,"")))))</f>
        <v/>
      </c>
      <c r="D24" s="76">
        <f t="array" ref="D24">IF('計算A'!R$4=0,"",IF(D8&lt;&gt;"","（決定）",IF('計算A'!R$108=1,"（空ける）",SUMPRODUCT(('計算A'!R$60:R$104=1)*('計算A'!$C$10:$C$54=1))&amp;"人："&amp;_xlfn.TEXTJOIN("、",TRUE,IF(('計算A'!R$60:R$104=1)*('計算A'!$C$10:$C$54=1),'計算A'!$B$10:$B$54,"")))))</f>
        <v/>
      </c>
      <c r="E24" s="76">
        <f t="array" ref="E24">IF('計算A'!AD$4=0,"",IF(E8&lt;&gt;"","（決定）",IF('計算A'!AD$108=1,"（空ける）",SUMPRODUCT(('計算A'!AD$60:AD$104=1)*('計算A'!$C$10:$C$54=1))&amp;"人："&amp;_xlfn.TEXTJOIN("、",TRUE,IF(('計算A'!AD$60:AD$104=1)*('計算A'!$C$10:$C$54=1),'計算A'!$B$10:$B$54,"")))))</f>
        <v/>
      </c>
      <c r="F24" s="76">
        <f t="array" ref="F24">IF('計算A'!AP$4=0,"",IF(F8&lt;&gt;"","（決定）",IF('計算A'!AP$108=1,"（空ける）",SUMPRODUCT(('計算A'!AP$60:AP$104=1)*('計算A'!$C$10:$C$54=1))&amp;"人："&amp;_xlfn.TEXTJOIN("、",TRUE,IF(('計算A'!AP$60:AP$104=1)*('計算A'!$C$10:$C$54=1),'計算A'!$B$10:$B$54,"")))))</f>
        <v/>
      </c>
      <c r="G24" s="76">
        <f t="array" ref="G24">IF('計算A'!BB$4=0,"",IF(G8&lt;&gt;"","（決定）",IF('計算A'!BB$108=1,"（空ける）",SUMPRODUCT(('計算A'!BB$60:BB$104=1)*('計算A'!$C$10:$C$54=1))&amp;"人："&amp;_xlfn.TEXTJOIN("、",TRUE,IF(('計算A'!BB$60:BB$104=1)*('計算A'!$C$10:$C$54=1),'計算A'!$B$10:$B$54,"")))))</f>
        <v/>
      </c>
      <c r="H24" s="76">
        <f t="array" ref="H24">IF('計算A'!BN$4=0,"",IF(H8&lt;&gt;"","（決定）",IF('計算A'!BN$108=1,"（空ける）",SUMPRODUCT(('計算A'!BN$60:BN$104=1)*('計算A'!$C$10:$C$54=1))&amp;"人："&amp;_xlfn.TEXTJOIN("、",TRUE,IF(('計算A'!BN$60:BN$104=1)*('計算A'!$C$10:$C$54=1),'計算A'!$B$10:$B$54,"")))))</f>
        <v/>
      </c>
      <c r="I24" s="76">
        <f t="array" ref="I24">IF('計算A'!BZ$4=0,"",IF(I8&lt;&gt;"","（決定）",IF('計算A'!BZ$108=1,"（空ける）",SUMPRODUCT(('計算A'!BZ$60:BZ$104=1)*('計算A'!$C$10:$C$54=1))&amp;"人："&amp;_xlfn.TEXTJOIN("、",TRUE,IF(('計算A'!BZ$60:BZ$104=1)*('計算A'!$C$10:$C$54=1),'計算A'!$B$10:$B$54,"")))))</f>
        <v/>
      </c>
      <c r="J24" s="76">
        <f t="array" ref="J24">IF('計算A'!CL$4=0,"",IF(J8&lt;&gt;"","（決定）",IF('計算A'!CL$108=1,"（空ける）",SUMPRODUCT(('計算A'!CL$60:CL$104=1)*('計算A'!$C$10:$C$54=1))&amp;"人："&amp;_xlfn.TEXTJOIN("、",TRUE,IF(('計算A'!CL$60:CL$104=1)*('計算A'!$C$10:$C$54=1),'計算A'!$B$10:$B$54,"")))))</f>
        <v/>
      </c>
      <c r="K24" s="76">
        <f t="array" ref="K24">IF('計算A'!CX$4=0,"",IF(K8&lt;&gt;"","（決定）",IF('計算A'!CX$108=1,"（空ける）",SUMPRODUCT(('計算A'!CX$60:CX$104=1)*('計算A'!$C$10:$C$54=1))&amp;"人："&amp;_xlfn.TEXTJOIN("、",TRUE,IF(('計算A'!CX$60:CX$104=1)*('計算A'!$C$10:$C$54=1),'計算A'!$B$10:$B$54,"")))))</f>
        <v/>
      </c>
      <c r="L24" s="76">
        <f t="array" ref="L24">IF('計算A'!DJ$4=0,"",IF(L8&lt;&gt;"","（決定）",IF('計算A'!DJ$108=1,"（空ける）",SUMPRODUCT(('計算A'!DJ$60:DJ$104=1)*('計算A'!$C$10:$C$54=1))&amp;"人："&amp;_xlfn.TEXTJOIN("、",TRUE,IF(('計算A'!DJ$60:DJ$104=1)*('計算A'!$C$10:$C$54=1),'計算A'!$B$10:$B$54,"")))))</f>
        <v/>
      </c>
    </row>
    <row r="25" ht="48" customHeight="1">
      <c r="B25" s="41">
        <f>'設定'!$I$14</f>
        <v/>
      </c>
      <c r="C25" s="76">
        <f t="array" ref="C25">IF('計算A'!G$4=0,"",IF(C9&lt;&gt;"","（決定）",IF('計算A'!G$108=1,"（空ける）",SUMPRODUCT(('計算A'!G$60:G$104=1)*('計算A'!$C$10:$C$54=1))&amp;"人："&amp;_xlfn.TEXTJOIN("、",TRUE,IF(('計算A'!G$60:G$104=1)*('計算A'!$C$10:$C$54=1),'計算A'!$B$10:$B$54,"")))))</f>
        <v/>
      </c>
      <c r="D25" s="76">
        <f t="array" ref="D25">IF('計算A'!S$4=0,"",IF(D9&lt;&gt;"","（決定）",IF('計算A'!S$108=1,"（空ける）",SUMPRODUCT(('計算A'!S$60:S$104=1)*('計算A'!$C$10:$C$54=1))&amp;"人："&amp;_xlfn.TEXTJOIN("、",TRUE,IF(('計算A'!S$60:S$104=1)*('計算A'!$C$10:$C$54=1),'計算A'!$B$10:$B$54,"")))))</f>
        <v/>
      </c>
      <c r="E25" s="76">
        <f t="array" ref="E25">IF('計算A'!AE$4=0,"",IF(E9&lt;&gt;"","（決定）",IF('計算A'!AE$108=1,"（空ける）",SUMPRODUCT(('計算A'!AE$60:AE$104=1)*('計算A'!$C$10:$C$54=1))&amp;"人："&amp;_xlfn.TEXTJOIN("、",TRUE,IF(('計算A'!AE$60:AE$104=1)*('計算A'!$C$10:$C$54=1),'計算A'!$B$10:$B$54,"")))))</f>
        <v/>
      </c>
      <c r="F25" s="76">
        <f t="array" ref="F25">IF('計算A'!AQ$4=0,"",IF(F9&lt;&gt;"","（決定）",IF('計算A'!AQ$108=1,"（空ける）",SUMPRODUCT(('計算A'!AQ$60:AQ$104=1)*('計算A'!$C$10:$C$54=1))&amp;"人："&amp;_xlfn.TEXTJOIN("、",TRUE,IF(('計算A'!AQ$60:AQ$104=1)*('計算A'!$C$10:$C$54=1),'計算A'!$B$10:$B$54,"")))))</f>
        <v/>
      </c>
      <c r="G25" s="76">
        <f t="array" ref="G25">IF('計算A'!BC$4=0,"",IF(G9&lt;&gt;"","（決定）",IF('計算A'!BC$108=1,"（空ける）",SUMPRODUCT(('計算A'!BC$60:BC$104=1)*('計算A'!$C$10:$C$54=1))&amp;"人："&amp;_xlfn.TEXTJOIN("、",TRUE,IF(('計算A'!BC$60:BC$104=1)*('計算A'!$C$10:$C$54=1),'計算A'!$B$10:$B$54,"")))))</f>
        <v/>
      </c>
      <c r="H25" s="76">
        <f t="array" ref="H25">IF('計算A'!BO$4=0,"",IF(H9&lt;&gt;"","（決定）",IF('計算A'!BO$108=1,"（空ける）",SUMPRODUCT(('計算A'!BO$60:BO$104=1)*('計算A'!$C$10:$C$54=1))&amp;"人："&amp;_xlfn.TEXTJOIN("、",TRUE,IF(('計算A'!BO$60:BO$104=1)*('計算A'!$C$10:$C$54=1),'計算A'!$B$10:$B$54,"")))))</f>
        <v/>
      </c>
      <c r="I25" s="76">
        <f t="array" ref="I25">IF('計算A'!CA$4=0,"",IF(I9&lt;&gt;"","（決定）",IF('計算A'!CA$108=1,"（空ける）",SUMPRODUCT(('計算A'!CA$60:CA$104=1)*('計算A'!$C$10:$C$54=1))&amp;"人："&amp;_xlfn.TEXTJOIN("、",TRUE,IF(('計算A'!CA$60:CA$104=1)*('計算A'!$C$10:$C$54=1),'計算A'!$B$10:$B$54,"")))))</f>
        <v/>
      </c>
      <c r="J25" s="76">
        <f t="array" ref="J25">IF('計算A'!CM$4=0,"",IF(J9&lt;&gt;"","（決定）",IF('計算A'!CM$108=1,"（空ける）",SUMPRODUCT(('計算A'!CM$60:CM$104=1)*('計算A'!$C$10:$C$54=1))&amp;"人："&amp;_xlfn.TEXTJOIN("、",TRUE,IF(('計算A'!CM$60:CM$104=1)*('計算A'!$C$10:$C$54=1),'計算A'!$B$10:$B$54,"")))))</f>
        <v/>
      </c>
      <c r="K25" s="76">
        <f t="array" ref="K25">IF('計算A'!CY$4=0,"",IF(K9&lt;&gt;"","（決定）",IF('計算A'!CY$108=1,"（空ける）",SUMPRODUCT(('計算A'!CY$60:CY$104=1)*('計算A'!$C$10:$C$54=1))&amp;"人："&amp;_xlfn.TEXTJOIN("、",TRUE,IF(('計算A'!CY$60:CY$104=1)*('計算A'!$C$10:$C$54=1),'計算A'!$B$10:$B$54,"")))))</f>
        <v/>
      </c>
      <c r="L25" s="76">
        <f t="array" ref="L25">IF('計算A'!DK$4=0,"",IF(L9&lt;&gt;"","（決定）",IF('計算A'!DK$108=1,"（空ける）",SUMPRODUCT(('計算A'!DK$60:DK$104=1)*('計算A'!$C$10:$C$54=1))&amp;"人："&amp;_xlfn.TEXTJOIN("、",TRUE,IF(('計算A'!DK$60:DK$104=1)*('計算A'!$C$10:$C$54=1),'計算A'!$B$10:$B$54,"")))))</f>
        <v/>
      </c>
    </row>
    <row r="26" ht="48" customHeight="1">
      <c r="B26" s="41">
        <f>'設定'!$I$15</f>
        <v/>
      </c>
      <c r="C26" s="76">
        <f t="array" ref="C26">IF('計算A'!H$4=0,"",IF(C10&lt;&gt;"","（決定）",IF('計算A'!H$108=1,"（空ける）",SUMPRODUCT(('計算A'!H$60:H$104=1)*('計算A'!$C$10:$C$54=1))&amp;"人："&amp;_xlfn.TEXTJOIN("、",TRUE,IF(('計算A'!H$60:H$104=1)*('計算A'!$C$10:$C$54=1),'計算A'!$B$10:$B$54,"")))))</f>
        <v/>
      </c>
      <c r="D26" s="76">
        <f t="array" ref="D26">IF('計算A'!T$4=0,"",IF(D10&lt;&gt;"","（決定）",IF('計算A'!T$108=1,"（空ける）",SUMPRODUCT(('計算A'!T$60:T$104=1)*('計算A'!$C$10:$C$54=1))&amp;"人："&amp;_xlfn.TEXTJOIN("、",TRUE,IF(('計算A'!T$60:T$104=1)*('計算A'!$C$10:$C$54=1),'計算A'!$B$10:$B$54,"")))))</f>
        <v/>
      </c>
      <c r="E26" s="76">
        <f t="array" ref="E26">IF('計算A'!AF$4=0,"",IF(E10&lt;&gt;"","（決定）",IF('計算A'!AF$108=1,"（空ける）",SUMPRODUCT(('計算A'!AF$60:AF$104=1)*('計算A'!$C$10:$C$54=1))&amp;"人："&amp;_xlfn.TEXTJOIN("、",TRUE,IF(('計算A'!AF$60:AF$104=1)*('計算A'!$C$10:$C$54=1),'計算A'!$B$10:$B$54,"")))))</f>
        <v/>
      </c>
      <c r="F26" s="76">
        <f t="array" ref="F26">IF('計算A'!AR$4=0,"",IF(F10&lt;&gt;"","（決定）",IF('計算A'!AR$108=1,"（空ける）",SUMPRODUCT(('計算A'!AR$60:AR$104=1)*('計算A'!$C$10:$C$54=1))&amp;"人："&amp;_xlfn.TEXTJOIN("、",TRUE,IF(('計算A'!AR$60:AR$104=1)*('計算A'!$C$10:$C$54=1),'計算A'!$B$10:$B$54,"")))))</f>
        <v/>
      </c>
      <c r="G26" s="76">
        <f t="array" ref="G26">IF('計算A'!BD$4=0,"",IF(G10&lt;&gt;"","（決定）",IF('計算A'!BD$108=1,"（空ける）",SUMPRODUCT(('計算A'!BD$60:BD$104=1)*('計算A'!$C$10:$C$54=1))&amp;"人："&amp;_xlfn.TEXTJOIN("、",TRUE,IF(('計算A'!BD$60:BD$104=1)*('計算A'!$C$10:$C$54=1),'計算A'!$B$10:$B$54,"")))))</f>
        <v/>
      </c>
      <c r="H26" s="76">
        <f t="array" ref="H26">IF('計算A'!BP$4=0,"",IF(H10&lt;&gt;"","（決定）",IF('計算A'!BP$108=1,"（空ける）",SUMPRODUCT(('計算A'!BP$60:BP$104=1)*('計算A'!$C$10:$C$54=1))&amp;"人："&amp;_xlfn.TEXTJOIN("、",TRUE,IF(('計算A'!BP$60:BP$104=1)*('計算A'!$C$10:$C$54=1),'計算A'!$B$10:$B$54,"")))))</f>
        <v/>
      </c>
      <c r="I26" s="76">
        <f t="array" ref="I26">IF('計算A'!CB$4=0,"",IF(I10&lt;&gt;"","（決定）",IF('計算A'!CB$108=1,"（空ける）",SUMPRODUCT(('計算A'!CB$60:CB$104=1)*('計算A'!$C$10:$C$54=1))&amp;"人："&amp;_xlfn.TEXTJOIN("、",TRUE,IF(('計算A'!CB$60:CB$104=1)*('計算A'!$C$10:$C$54=1),'計算A'!$B$10:$B$54,"")))))</f>
        <v/>
      </c>
      <c r="J26" s="76">
        <f t="array" ref="J26">IF('計算A'!CN$4=0,"",IF(J10&lt;&gt;"","（決定）",IF('計算A'!CN$108=1,"（空ける）",SUMPRODUCT(('計算A'!CN$60:CN$104=1)*('計算A'!$C$10:$C$54=1))&amp;"人："&amp;_xlfn.TEXTJOIN("、",TRUE,IF(('計算A'!CN$60:CN$104=1)*('計算A'!$C$10:$C$54=1),'計算A'!$B$10:$B$54,"")))))</f>
        <v/>
      </c>
      <c r="K26" s="76">
        <f t="array" ref="K26">IF('計算A'!CZ$4=0,"",IF(K10&lt;&gt;"","（決定）",IF('計算A'!CZ$108=1,"（空ける）",SUMPRODUCT(('計算A'!CZ$60:CZ$104=1)*('計算A'!$C$10:$C$54=1))&amp;"人："&amp;_xlfn.TEXTJOIN("、",TRUE,IF(('計算A'!CZ$60:CZ$104=1)*('計算A'!$C$10:$C$54=1),'計算A'!$B$10:$B$54,"")))))</f>
        <v/>
      </c>
      <c r="L26" s="76">
        <f t="array" ref="L26">IF('計算A'!DL$4=0,"",IF(L10&lt;&gt;"","（決定）",IF('計算A'!DL$108=1,"（空ける）",SUMPRODUCT(('計算A'!DL$60:DL$104=1)*('計算A'!$C$10:$C$54=1))&amp;"人："&amp;_xlfn.TEXTJOIN("、",TRUE,IF(('計算A'!DL$60:DL$104=1)*('計算A'!$C$10:$C$54=1),'計算A'!$B$10:$B$54,"")))))</f>
        <v/>
      </c>
    </row>
    <row r="27" ht="48" customHeight="1">
      <c r="B27" s="41">
        <f>'設定'!$I$16</f>
        <v/>
      </c>
      <c r="C27" s="76">
        <f t="array" ref="C27">IF('計算A'!I$4=0,"",IF(C11&lt;&gt;"","（決定）",IF('計算A'!I$108=1,"（空ける）",SUMPRODUCT(('計算A'!I$60:I$104=1)*('計算A'!$C$10:$C$54=1))&amp;"人："&amp;_xlfn.TEXTJOIN("、",TRUE,IF(('計算A'!I$60:I$104=1)*('計算A'!$C$10:$C$54=1),'計算A'!$B$10:$B$54,"")))))</f>
        <v/>
      </c>
      <c r="D27" s="76">
        <f t="array" ref="D27">IF('計算A'!U$4=0,"",IF(D11&lt;&gt;"","（決定）",IF('計算A'!U$108=1,"（空ける）",SUMPRODUCT(('計算A'!U$60:U$104=1)*('計算A'!$C$10:$C$54=1))&amp;"人："&amp;_xlfn.TEXTJOIN("、",TRUE,IF(('計算A'!U$60:U$104=1)*('計算A'!$C$10:$C$54=1),'計算A'!$B$10:$B$54,"")))))</f>
        <v/>
      </c>
      <c r="E27" s="76">
        <f t="array" ref="E27">IF('計算A'!AG$4=0,"",IF(E11&lt;&gt;"","（決定）",IF('計算A'!AG$108=1,"（空ける）",SUMPRODUCT(('計算A'!AG$60:AG$104=1)*('計算A'!$C$10:$C$54=1))&amp;"人："&amp;_xlfn.TEXTJOIN("、",TRUE,IF(('計算A'!AG$60:AG$104=1)*('計算A'!$C$10:$C$54=1),'計算A'!$B$10:$B$54,"")))))</f>
        <v/>
      </c>
      <c r="F27" s="76">
        <f t="array" ref="F27">IF('計算A'!AS$4=0,"",IF(F11&lt;&gt;"","（決定）",IF('計算A'!AS$108=1,"（空ける）",SUMPRODUCT(('計算A'!AS$60:AS$104=1)*('計算A'!$C$10:$C$54=1))&amp;"人："&amp;_xlfn.TEXTJOIN("、",TRUE,IF(('計算A'!AS$60:AS$104=1)*('計算A'!$C$10:$C$54=1),'計算A'!$B$10:$B$54,"")))))</f>
        <v/>
      </c>
      <c r="G27" s="76">
        <f t="array" ref="G27">IF('計算A'!BE$4=0,"",IF(G11&lt;&gt;"","（決定）",IF('計算A'!BE$108=1,"（空ける）",SUMPRODUCT(('計算A'!BE$60:BE$104=1)*('計算A'!$C$10:$C$54=1))&amp;"人："&amp;_xlfn.TEXTJOIN("、",TRUE,IF(('計算A'!BE$60:BE$104=1)*('計算A'!$C$10:$C$54=1),'計算A'!$B$10:$B$54,"")))))</f>
        <v/>
      </c>
      <c r="H27" s="76">
        <f t="array" ref="H27">IF('計算A'!BQ$4=0,"",IF(H11&lt;&gt;"","（決定）",IF('計算A'!BQ$108=1,"（空ける）",SUMPRODUCT(('計算A'!BQ$60:BQ$104=1)*('計算A'!$C$10:$C$54=1))&amp;"人："&amp;_xlfn.TEXTJOIN("、",TRUE,IF(('計算A'!BQ$60:BQ$104=1)*('計算A'!$C$10:$C$54=1),'計算A'!$B$10:$B$54,"")))))</f>
        <v/>
      </c>
      <c r="I27" s="76">
        <f t="array" ref="I27">IF('計算A'!CC$4=0,"",IF(I11&lt;&gt;"","（決定）",IF('計算A'!CC$108=1,"（空ける）",SUMPRODUCT(('計算A'!CC$60:CC$104=1)*('計算A'!$C$10:$C$54=1))&amp;"人："&amp;_xlfn.TEXTJOIN("、",TRUE,IF(('計算A'!CC$60:CC$104=1)*('計算A'!$C$10:$C$54=1),'計算A'!$B$10:$B$54,"")))))</f>
        <v/>
      </c>
      <c r="J27" s="76">
        <f t="array" ref="J27">IF('計算A'!CO$4=0,"",IF(J11&lt;&gt;"","（決定）",IF('計算A'!CO$108=1,"（空ける）",SUMPRODUCT(('計算A'!CO$60:CO$104=1)*('計算A'!$C$10:$C$54=1))&amp;"人："&amp;_xlfn.TEXTJOIN("、",TRUE,IF(('計算A'!CO$60:CO$104=1)*('計算A'!$C$10:$C$54=1),'計算A'!$B$10:$B$54,"")))))</f>
        <v/>
      </c>
      <c r="K27" s="76">
        <f t="array" ref="K27">IF('計算A'!DA$4=0,"",IF(K11&lt;&gt;"","（決定）",IF('計算A'!DA$108=1,"（空ける）",SUMPRODUCT(('計算A'!DA$60:DA$104=1)*('計算A'!$C$10:$C$54=1))&amp;"人："&amp;_xlfn.TEXTJOIN("、",TRUE,IF(('計算A'!DA$60:DA$104=1)*('計算A'!$C$10:$C$54=1),'計算A'!$B$10:$B$54,"")))))</f>
        <v/>
      </c>
      <c r="L27" s="76">
        <f t="array" ref="L27">IF('計算A'!DM$4=0,"",IF(L11&lt;&gt;"","（決定）",IF('計算A'!DM$108=1,"（空ける）",SUMPRODUCT(('計算A'!DM$60:DM$104=1)*('計算A'!$C$10:$C$54=1))&amp;"人："&amp;_xlfn.TEXTJOIN("、",TRUE,IF(('計算A'!DM$60:DM$104=1)*('計算A'!$C$10:$C$54=1),'計算A'!$B$10:$B$54,"")))))</f>
        <v/>
      </c>
    </row>
    <row r="28" ht="48" customHeight="1">
      <c r="B28" s="41">
        <f>'設定'!$I$17</f>
        <v/>
      </c>
      <c r="C28" s="76">
        <f t="array" ref="C28">IF('計算A'!J$4=0,"",IF(C12&lt;&gt;"","（決定）",IF('計算A'!J$108=1,"（空ける）",SUMPRODUCT(('計算A'!J$60:J$104=1)*('計算A'!$C$10:$C$54=1))&amp;"人："&amp;_xlfn.TEXTJOIN("、",TRUE,IF(('計算A'!J$60:J$104=1)*('計算A'!$C$10:$C$54=1),'計算A'!$B$10:$B$54,"")))))</f>
        <v/>
      </c>
      <c r="D28" s="76">
        <f t="array" ref="D28">IF('計算A'!V$4=0,"",IF(D12&lt;&gt;"","（決定）",IF('計算A'!V$108=1,"（空ける）",SUMPRODUCT(('計算A'!V$60:V$104=1)*('計算A'!$C$10:$C$54=1))&amp;"人："&amp;_xlfn.TEXTJOIN("、",TRUE,IF(('計算A'!V$60:V$104=1)*('計算A'!$C$10:$C$54=1),'計算A'!$B$10:$B$54,"")))))</f>
        <v/>
      </c>
      <c r="E28" s="76">
        <f t="array" ref="E28">IF('計算A'!AH$4=0,"",IF(E12&lt;&gt;"","（決定）",IF('計算A'!AH$108=1,"（空ける）",SUMPRODUCT(('計算A'!AH$60:AH$104=1)*('計算A'!$C$10:$C$54=1))&amp;"人："&amp;_xlfn.TEXTJOIN("、",TRUE,IF(('計算A'!AH$60:AH$104=1)*('計算A'!$C$10:$C$54=1),'計算A'!$B$10:$B$54,"")))))</f>
        <v/>
      </c>
      <c r="F28" s="76">
        <f t="array" ref="F28">IF('計算A'!AT$4=0,"",IF(F12&lt;&gt;"","（決定）",IF('計算A'!AT$108=1,"（空ける）",SUMPRODUCT(('計算A'!AT$60:AT$104=1)*('計算A'!$C$10:$C$54=1))&amp;"人："&amp;_xlfn.TEXTJOIN("、",TRUE,IF(('計算A'!AT$60:AT$104=1)*('計算A'!$C$10:$C$54=1),'計算A'!$B$10:$B$54,"")))))</f>
        <v/>
      </c>
      <c r="G28" s="76">
        <f t="array" ref="G28">IF('計算A'!BF$4=0,"",IF(G12&lt;&gt;"","（決定）",IF('計算A'!BF$108=1,"（空ける）",SUMPRODUCT(('計算A'!BF$60:BF$104=1)*('計算A'!$C$10:$C$54=1))&amp;"人："&amp;_xlfn.TEXTJOIN("、",TRUE,IF(('計算A'!BF$60:BF$104=1)*('計算A'!$C$10:$C$54=1),'計算A'!$B$10:$B$54,"")))))</f>
        <v/>
      </c>
      <c r="H28" s="76">
        <f t="array" ref="H28">IF('計算A'!BR$4=0,"",IF(H12&lt;&gt;"","（決定）",IF('計算A'!BR$108=1,"（空ける）",SUMPRODUCT(('計算A'!BR$60:BR$104=1)*('計算A'!$C$10:$C$54=1))&amp;"人："&amp;_xlfn.TEXTJOIN("、",TRUE,IF(('計算A'!BR$60:BR$104=1)*('計算A'!$C$10:$C$54=1),'計算A'!$B$10:$B$54,"")))))</f>
        <v/>
      </c>
      <c r="I28" s="76">
        <f t="array" ref="I28">IF('計算A'!CD$4=0,"",IF(I12&lt;&gt;"","（決定）",IF('計算A'!CD$108=1,"（空ける）",SUMPRODUCT(('計算A'!CD$60:CD$104=1)*('計算A'!$C$10:$C$54=1))&amp;"人："&amp;_xlfn.TEXTJOIN("、",TRUE,IF(('計算A'!CD$60:CD$104=1)*('計算A'!$C$10:$C$54=1),'計算A'!$B$10:$B$54,"")))))</f>
        <v/>
      </c>
      <c r="J28" s="76">
        <f t="array" ref="J28">IF('計算A'!CP$4=0,"",IF(J12&lt;&gt;"","（決定）",IF('計算A'!CP$108=1,"（空ける）",SUMPRODUCT(('計算A'!CP$60:CP$104=1)*('計算A'!$C$10:$C$54=1))&amp;"人："&amp;_xlfn.TEXTJOIN("、",TRUE,IF(('計算A'!CP$60:CP$104=1)*('計算A'!$C$10:$C$54=1),'計算A'!$B$10:$B$54,"")))))</f>
        <v/>
      </c>
      <c r="K28" s="76">
        <f t="array" ref="K28">IF('計算A'!DB$4=0,"",IF(K12&lt;&gt;"","（決定）",IF('計算A'!DB$108=1,"（空ける）",SUMPRODUCT(('計算A'!DB$60:DB$104=1)*('計算A'!$C$10:$C$54=1))&amp;"人："&amp;_xlfn.TEXTJOIN("、",TRUE,IF(('計算A'!DB$60:DB$104=1)*('計算A'!$C$10:$C$54=1),'計算A'!$B$10:$B$54,"")))))</f>
        <v/>
      </c>
      <c r="L28" s="76">
        <f t="array" ref="L28">IF('計算A'!DN$4=0,"",IF(L12&lt;&gt;"","（決定）",IF('計算A'!DN$108=1,"（空ける）",SUMPRODUCT(('計算A'!DN$60:DN$104=1)*('計算A'!$C$10:$C$54=1))&amp;"人："&amp;_xlfn.TEXTJOIN("、",TRUE,IF(('計算A'!DN$60:DN$104=1)*('計算A'!$C$10:$C$54=1),'計算A'!$B$10:$B$54,"")))))</f>
        <v/>
      </c>
    </row>
    <row r="29" ht="48" customHeight="1">
      <c r="B29" s="41">
        <f>'設定'!$I$18</f>
        <v/>
      </c>
      <c r="C29" s="76">
        <f t="array" ref="C29">IF('計算A'!K$4=0,"",IF(C13&lt;&gt;"","（決定）",IF('計算A'!K$108=1,"（空ける）",SUMPRODUCT(('計算A'!K$60:K$104=1)*('計算A'!$C$10:$C$54=1))&amp;"人："&amp;_xlfn.TEXTJOIN("、",TRUE,IF(('計算A'!K$60:K$104=1)*('計算A'!$C$10:$C$54=1),'計算A'!$B$10:$B$54,"")))))</f>
        <v/>
      </c>
      <c r="D29" s="76">
        <f t="array" ref="D29">IF('計算A'!W$4=0,"",IF(D13&lt;&gt;"","（決定）",IF('計算A'!W$108=1,"（空ける）",SUMPRODUCT(('計算A'!W$60:W$104=1)*('計算A'!$C$10:$C$54=1))&amp;"人："&amp;_xlfn.TEXTJOIN("、",TRUE,IF(('計算A'!W$60:W$104=1)*('計算A'!$C$10:$C$54=1),'計算A'!$B$10:$B$54,"")))))</f>
        <v/>
      </c>
      <c r="E29" s="76">
        <f t="array" ref="E29">IF('計算A'!AI$4=0,"",IF(E13&lt;&gt;"","（決定）",IF('計算A'!AI$108=1,"（空ける）",SUMPRODUCT(('計算A'!AI$60:AI$104=1)*('計算A'!$C$10:$C$54=1))&amp;"人："&amp;_xlfn.TEXTJOIN("、",TRUE,IF(('計算A'!AI$60:AI$104=1)*('計算A'!$C$10:$C$54=1),'計算A'!$B$10:$B$54,"")))))</f>
        <v/>
      </c>
      <c r="F29" s="76">
        <f t="array" ref="F29">IF('計算A'!AU$4=0,"",IF(F13&lt;&gt;"","（決定）",IF('計算A'!AU$108=1,"（空ける）",SUMPRODUCT(('計算A'!AU$60:AU$104=1)*('計算A'!$C$10:$C$54=1))&amp;"人："&amp;_xlfn.TEXTJOIN("、",TRUE,IF(('計算A'!AU$60:AU$104=1)*('計算A'!$C$10:$C$54=1),'計算A'!$B$10:$B$54,"")))))</f>
        <v/>
      </c>
      <c r="G29" s="76">
        <f t="array" ref="G29">IF('計算A'!BG$4=0,"",IF(G13&lt;&gt;"","（決定）",IF('計算A'!BG$108=1,"（空ける）",SUMPRODUCT(('計算A'!BG$60:BG$104=1)*('計算A'!$C$10:$C$54=1))&amp;"人："&amp;_xlfn.TEXTJOIN("、",TRUE,IF(('計算A'!BG$60:BG$104=1)*('計算A'!$C$10:$C$54=1),'計算A'!$B$10:$B$54,"")))))</f>
        <v/>
      </c>
      <c r="H29" s="76">
        <f t="array" ref="H29">IF('計算A'!BS$4=0,"",IF(H13&lt;&gt;"","（決定）",IF('計算A'!BS$108=1,"（空ける）",SUMPRODUCT(('計算A'!BS$60:BS$104=1)*('計算A'!$C$10:$C$54=1))&amp;"人："&amp;_xlfn.TEXTJOIN("、",TRUE,IF(('計算A'!BS$60:BS$104=1)*('計算A'!$C$10:$C$54=1),'計算A'!$B$10:$B$54,"")))))</f>
        <v/>
      </c>
      <c r="I29" s="76">
        <f t="array" ref="I29">IF('計算A'!CE$4=0,"",IF(I13&lt;&gt;"","（決定）",IF('計算A'!CE$108=1,"（空ける）",SUMPRODUCT(('計算A'!CE$60:CE$104=1)*('計算A'!$C$10:$C$54=1))&amp;"人："&amp;_xlfn.TEXTJOIN("、",TRUE,IF(('計算A'!CE$60:CE$104=1)*('計算A'!$C$10:$C$54=1),'計算A'!$B$10:$B$54,"")))))</f>
        <v/>
      </c>
      <c r="J29" s="76">
        <f t="array" ref="J29">IF('計算A'!CQ$4=0,"",IF(J13&lt;&gt;"","（決定）",IF('計算A'!CQ$108=1,"（空ける）",SUMPRODUCT(('計算A'!CQ$60:CQ$104=1)*('計算A'!$C$10:$C$54=1))&amp;"人："&amp;_xlfn.TEXTJOIN("、",TRUE,IF(('計算A'!CQ$60:CQ$104=1)*('計算A'!$C$10:$C$54=1),'計算A'!$B$10:$B$54,"")))))</f>
        <v/>
      </c>
      <c r="K29" s="76">
        <f t="array" ref="K29">IF('計算A'!DC$4=0,"",IF(K13&lt;&gt;"","（決定）",IF('計算A'!DC$108=1,"（空ける）",SUMPRODUCT(('計算A'!DC$60:DC$104=1)*('計算A'!$C$10:$C$54=1))&amp;"人："&amp;_xlfn.TEXTJOIN("、",TRUE,IF(('計算A'!DC$60:DC$104=1)*('計算A'!$C$10:$C$54=1),'計算A'!$B$10:$B$54,"")))))</f>
        <v/>
      </c>
      <c r="L29" s="76">
        <f t="array" ref="L29">IF('計算A'!DO$4=0,"",IF(L13&lt;&gt;"","（決定）",IF('計算A'!DO$108=1,"（空ける）",SUMPRODUCT(('計算A'!DO$60:DO$104=1)*('計算A'!$C$10:$C$54=1))&amp;"人："&amp;_xlfn.TEXTJOIN("、",TRUE,IF(('計算A'!DO$60:DO$104=1)*('計算A'!$C$10:$C$54=1),'計算A'!$B$10:$B$54,"")))))</f>
        <v/>
      </c>
    </row>
    <row r="30" ht="48" customHeight="1">
      <c r="B30" s="41">
        <f>'設定'!$I$19</f>
        <v/>
      </c>
      <c r="C30" s="76">
        <f t="array" ref="C30">IF('計算A'!L$4=0,"",IF(C14&lt;&gt;"","（決定）",IF('計算A'!L$108=1,"（空ける）",SUMPRODUCT(('計算A'!L$60:L$104=1)*('計算A'!$C$10:$C$54=1))&amp;"人："&amp;_xlfn.TEXTJOIN("、",TRUE,IF(('計算A'!L$60:L$104=1)*('計算A'!$C$10:$C$54=1),'計算A'!$B$10:$B$54,"")))))</f>
        <v/>
      </c>
      <c r="D30" s="76">
        <f t="array" ref="D30">IF('計算A'!X$4=0,"",IF(D14&lt;&gt;"","（決定）",IF('計算A'!X$108=1,"（空ける）",SUMPRODUCT(('計算A'!X$60:X$104=1)*('計算A'!$C$10:$C$54=1))&amp;"人："&amp;_xlfn.TEXTJOIN("、",TRUE,IF(('計算A'!X$60:X$104=1)*('計算A'!$C$10:$C$54=1),'計算A'!$B$10:$B$54,"")))))</f>
        <v/>
      </c>
      <c r="E30" s="76">
        <f t="array" ref="E30">IF('計算A'!AJ$4=0,"",IF(E14&lt;&gt;"","（決定）",IF('計算A'!AJ$108=1,"（空ける）",SUMPRODUCT(('計算A'!AJ$60:AJ$104=1)*('計算A'!$C$10:$C$54=1))&amp;"人："&amp;_xlfn.TEXTJOIN("、",TRUE,IF(('計算A'!AJ$60:AJ$104=1)*('計算A'!$C$10:$C$54=1),'計算A'!$B$10:$B$54,"")))))</f>
        <v/>
      </c>
      <c r="F30" s="76">
        <f t="array" ref="F30">IF('計算A'!AV$4=0,"",IF(F14&lt;&gt;"","（決定）",IF('計算A'!AV$108=1,"（空ける）",SUMPRODUCT(('計算A'!AV$60:AV$104=1)*('計算A'!$C$10:$C$54=1))&amp;"人："&amp;_xlfn.TEXTJOIN("、",TRUE,IF(('計算A'!AV$60:AV$104=1)*('計算A'!$C$10:$C$54=1),'計算A'!$B$10:$B$54,"")))))</f>
        <v/>
      </c>
      <c r="G30" s="76">
        <f t="array" ref="G30">IF('計算A'!BH$4=0,"",IF(G14&lt;&gt;"","（決定）",IF('計算A'!BH$108=1,"（空ける）",SUMPRODUCT(('計算A'!BH$60:BH$104=1)*('計算A'!$C$10:$C$54=1))&amp;"人："&amp;_xlfn.TEXTJOIN("、",TRUE,IF(('計算A'!BH$60:BH$104=1)*('計算A'!$C$10:$C$54=1),'計算A'!$B$10:$B$54,"")))))</f>
        <v/>
      </c>
      <c r="H30" s="76">
        <f t="array" ref="H30">IF('計算A'!BT$4=0,"",IF(H14&lt;&gt;"","（決定）",IF('計算A'!BT$108=1,"（空ける）",SUMPRODUCT(('計算A'!BT$60:BT$104=1)*('計算A'!$C$10:$C$54=1))&amp;"人："&amp;_xlfn.TEXTJOIN("、",TRUE,IF(('計算A'!BT$60:BT$104=1)*('計算A'!$C$10:$C$54=1),'計算A'!$B$10:$B$54,"")))))</f>
        <v/>
      </c>
      <c r="I30" s="76">
        <f t="array" ref="I30">IF('計算A'!CF$4=0,"",IF(I14&lt;&gt;"","（決定）",IF('計算A'!CF$108=1,"（空ける）",SUMPRODUCT(('計算A'!CF$60:CF$104=1)*('計算A'!$C$10:$C$54=1))&amp;"人："&amp;_xlfn.TEXTJOIN("、",TRUE,IF(('計算A'!CF$60:CF$104=1)*('計算A'!$C$10:$C$54=1),'計算A'!$B$10:$B$54,"")))))</f>
        <v/>
      </c>
      <c r="J30" s="76">
        <f t="array" ref="J30">IF('計算A'!CR$4=0,"",IF(J14&lt;&gt;"","（決定）",IF('計算A'!CR$108=1,"（空ける）",SUMPRODUCT(('計算A'!CR$60:CR$104=1)*('計算A'!$C$10:$C$54=1))&amp;"人："&amp;_xlfn.TEXTJOIN("、",TRUE,IF(('計算A'!CR$60:CR$104=1)*('計算A'!$C$10:$C$54=1),'計算A'!$B$10:$B$54,"")))))</f>
        <v/>
      </c>
      <c r="K30" s="76">
        <f t="array" ref="K30">IF('計算A'!DD$4=0,"",IF(K14&lt;&gt;"","（決定）",IF('計算A'!DD$108=1,"（空ける）",SUMPRODUCT(('計算A'!DD$60:DD$104=1)*('計算A'!$C$10:$C$54=1))&amp;"人："&amp;_xlfn.TEXTJOIN("、",TRUE,IF(('計算A'!DD$60:DD$104=1)*('計算A'!$C$10:$C$54=1),'計算A'!$B$10:$B$54,"")))))</f>
        <v/>
      </c>
      <c r="L30" s="76">
        <f t="array" ref="L30">IF('計算A'!DP$4=0,"",IF(L14&lt;&gt;"","（決定）",IF('計算A'!DP$108=1,"（空ける）",SUMPRODUCT(('計算A'!DP$60:DP$104=1)*('計算A'!$C$10:$C$54=1))&amp;"人："&amp;_xlfn.TEXTJOIN("、",TRUE,IF(('計算A'!DP$60:DP$104=1)*('計算A'!$C$10:$C$54=1),'計算A'!$B$10:$B$54,"")))))</f>
        <v/>
      </c>
    </row>
    <row r="31" ht="48" customHeight="1">
      <c r="B31" s="41">
        <f>'設定'!$I$20</f>
        <v/>
      </c>
      <c r="C31" s="76">
        <f t="array" ref="C31">IF('計算A'!M$4=0,"",IF(C15&lt;&gt;"","（決定）",IF('計算A'!M$108=1,"（空ける）",SUMPRODUCT(('計算A'!M$60:M$104=1)*('計算A'!$C$10:$C$54=1))&amp;"人："&amp;_xlfn.TEXTJOIN("、",TRUE,IF(('計算A'!M$60:M$104=1)*('計算A'!$C$10:$C$54=1),'計算A'!$B$10:$B$54,"")))))</f>
        <v/>
      </c>
      <c r="D31" s="76">
        <f t="array" ref="D31">IF('計算A'!Y$4=0,"",IF(D15&lt;&gt;"","（決定）",IF('計算A'!Y$108=1,"（空ける）",SUMPRODUCT(('計算A'!Y$60:Y$104=1)*('計算A'!$C$10:$C$54=1))&amp;"人："&amp;_xlfn.TEXTJOIN("、",TRUE,IF(('計算A'!Y$60:Y$104=1)*('計算A'!$C$10:$C$54=1),'計算A'!$B$10:$B$54,"")))))</f>
        <v/>
      </c>
      <c r="E31" s="76">
        <f t="array" ref="E31">IF('計算A'!AK$4=0,"",IF(E15&lt;&gt;"","（決定）",IF('計算A'!AK$108=1,"（空ける）",SUMPRODUCT(('計算A'!AK$60:AK$104=1)*('計算A'!$C$10:$C$54=1))&amp;"人："&amp;_xlfn.TEXTJOIN("、",TRUE,IF(('計算A'!AK$60:AK$104=1)*('計算A'!$C$10:$C$54=1),'計算A'!$B$10:$B$54,"")))))</f>
        <v/>
      </c>
      <c r="F31" s="76">
        <f t="array" ref="F31">IF('計算A'!AW$4=0,"",IF(F15&lt;&gt;"","（決定）",IF('計算A'!AW$108=1,"（空ける）",SUMPRODUCT(('計算A'!AW$60:AW$104=1)*('計算A'!$C$10:$C$54=1))&amp;"人："&amp;_xlfn.TEXTJOIN("、",TRUE,IF(('計算A'!AW$60:AW$104=1)*('計算A'!$C$10:$C$54=1),'計算A'!$B$10:$B$54,"")))))</f>
        <v/>
      </c>
      <c r="G31" s="76">
        <f t="array" ref="G31">IF('計算A'!BI$4=0,"",IF(G15&lt;&gt;"","（決定）",IF('計算A'!BI$108=1,"（空ける）",SUMPRODUCT(('計算A'!BI$60:BI$104=1)*('計算A'!$C$10:$C$54=1))&amp;"人："&amp;_xlfn.TEXTJOIN("、",TRUE,IF(('計算A'!BI$60:BI$104=1)*('計算A'!$C$10:$C$54=1),'計算A'!$B$10:$B$54,"")))))</f>
        <v/>
      </c>
      <c r="H31" s="76">
        <f t="array" ref="H31">IF('計算A'!BU$4=0,"",IF(H15&lt;&gt;"","（決定）",IF('計算A'!BU$108=1,"（空ける）",SUMPRODUCT(('計算A'!BU$60:BU$104=1)*('計算A'!$C$10:$C$54=1))&amp;"人："&amp;_xlfn.TEXTJOIN("、",TRUE,IF(('計算A'!BU$60:BU$104=1)*('計算A'!$C$10:$C$54=1),'計算A'!$B$10:$B$54,"")))))</f>
        <v/>
      </c>
      <c r="I31" s="76">
        <f t="array" ref="I31">IF('計算A'!CG$4=0,"",IF(I15&lt;&gt;"","（決定）",IF('計算A'!CG$108=1,"（空ける）",SUMPRODUCT(('計算A'!CG$60:CG$104=1)*('計算A'!$C$10:$C$54=1))&amp;"人："&amp;_xlfn.TEXTJOIN("、",TRUE,IF(('計算A'!CG$60:CG$104=1)*('計算A'!$C$10:$C$54=1),'計算A'!$B$10:$B$54,"")))))</f>
        <v/>
      </c>
      <c r="J31" s="76">
        <f t="array" ref="J31">IF('計算A'!CS$4=0,"",IF(J15&lt;&gt;"","（決定）",IF('計算A'!CS$108=1,"（空ける）",SUMPRODUCT(('計算A'!CS$60:CS$104=1)*('計算A'!$C$10:$C$54=1))&amp;"人："&amp;_xlfn.TEXTJOIN("、",TRUE,IF(('計算A'!CS$60:CS$104=1)*('計算A'!$C$10:$C$54=1),'計算A'!$B$10:$B$54,"")))))</f>
        <v/>
      </c>
      <c r="K31" s="76">
        <f t="array" ref="K31">IF('計算A'!DE$4=0,"",IF(K15&lt;&gt;"","（決定）",IF('計算A'!DE$108=1,"（空ける）",SUMPRODUCT(('計算A'!DE$60:DE$104=1)*('計算A'!$C$10:$C$54=1))&amp;"人："&amp;_xlfn.TEXTJOIN("、",TRUE,IF(('計算A'!DE$60:DE$104=1)*('計算A'!$C$10:$C$54=1),'計算A'!$B$10:$B$54,"")))))</f>
        <v/>
      </c>
      <c r="L31" s="76">
        <f t="array" ref="L31">IF('計算A'!DQ$4=0,"",IF(L15&lt;&gt;"","（決定）",IF('計算A'!DQ$108=1,"（空ける）",SUMPRODUCT(('計算A'!DQ$60:DQ$104=1)*('計算A'!$C$10:$C$54=1))&amp;"人："&amp;_xlfn.TEXTJOIN("、",TRUE,IF(('計算A'!DQ$60:DQ$104=1)*('計算A'!$C$10:$C$54=1),'計算A'!$B$10:$B$54,"")))))</f>
        <v/>
      </c>
    </row>
    <row r="32" ht="48" customHeight="1">
      <c r="B32" s="41">
        <f>'設定'!$I$21</f>
        <v/>
      </c>
      <c r="C32" s="76">
        <f t="array" ref="C32">IF('計算A'!N$4=0,"",IF(C16&lt;&gt;"","（決定）",IF('計算A'!N$108=1,"（空ける）",SUMPRODUCT(('計算A'!N$60:N$104=1)*('計算A'!$C$10:$C$54=1))&amp;"人："&amp;_xlfn.TEXTJOIN("、",TRUE,IF(('計算A'!N$60:N$104=1)*('計算A'!$C$10:$C$54=1),'計算A'!$B$10:$B$54,"")))))</f>
        <v/>
      </c>
      <c r="D32" s="76">
        <f t="array" ref="D32">IF('計算A'!Z$4=0,"",IF(D16&lt;&gt;"","（決定）",IF('計算A'!Z$108=1,"（空ける）",SUMPRODUCT(('計算A'!Z$60:Z$104=1)*('計算A'!$C$10:$C$54=1))&amp;"人："&amp;_xlfn.TEXTJOIN("、",TRUE,IF(('計算A'!Z$60:Z$104=1)*('計算A'!$C$10:$C$54=1),'計算A'!$B$10:$B$54,"")))))</f>
        <v/>
      </c>
      <c r="E32" s="76">
        <f t="array" ref="E32">IF('計算A'!AL$4=0,"",IF(E16&lt;&gt;"","（決定）",IF('計算A'!AL$108=1,"（空ける）",SUMPRODUCT(('計算A'!AL$60:AL$104=1)*('計算A'!$C$10:$C$54=1))&amp;"人："&amp;_xlfn.TEXTJOIN("、",TRUE,IF(('計算A'!AL$60:AL$104=1)*('計算A'!$C$10:$C$54=1),'計算A'!$B$10:$B$54,"")))))</f>
        <v/>
      </c>
      <c r="F32" s="76">
        <f t="array" ref="F32">IF('計算A'!AX$4=0,"",IF(F16&lt;&gt;"","（決定）",IF('計算A'!AX$108=1,"（空ける）",SUMPRODUCT(('計算A'!AX$60:AX$104=1)*('計算A'!$C$10:$C$54=1))&amp;"人："&amp;_xlfn.TEXTJOIN("、",TRUE,IF(('計算A'!AX$60:AX$104=1)*('計算A'!$C$10:$C$54=1),'計算A'!$B$10:$B$54,"")))))</f>
        <v/>
      </c>
      <c r="G32" s="76">
        <f t="array" ref="G32">IF('計算A'!BJ$4=0,"",IF(G16&lt;&gt;"","（決定）",IF('計算A'!BJ$108=1,"（空ける）",SUMPRODUCT(('計算A'!BJ$60:BJ$104=1)*('計算A'!$C$10:$C$54=1))&amp;"人："&amp;_xlfn.TEXTJOIN("、",TRUE,IF(('計算A'!BJ$60:BJ$104=1)*('計算A'!$C$10:$C$54=1),'計算A'!$B$10:$B$54,"")))))</f>
        <v/>
      </c>
      <c r="H32" s="76">
        <f t="array" ref="H32">IF('計算A'!BV$4=0,"",IF(H16&lt;&gt;"","（決定）",IF('計算A'!BV$108=1,"（空ける）",SUMPRODUCT(('計算A'!BV$60:BV$104=1)*('計算A'!$C$10:$C$54=1))&amp;"人："&amp;_xlfn.TEXTJOIN("、",TRUE,IF(('計算A'!BV$60:BV$104=1)*('計算A'!$C$10:$C$54=1),'計算A'!$B$10:$B$54,"")))))</f>
        <v/>
      </c>
      <c r="I32" s="76">
        <f t="array" ref="I32">IF('計算A'!CH$4=0,"",IF(I16&lt;&gt;"","（決定）",IF('計算A'!CH$108=1,"（空ける）",SUMPRODUCT(('計算A'!CH$60:CH$104=1)*('計算A'!$C$10:$C$54=1))&amp;"人："&amp;_xlfn.TEXTJOIN("、",TRUE,IF(('計算A'!CH$60:CH$104=1)*('計算A'!$C$10:$C$54=1),'計算A'!$B$10:$B$54,"")))))</f>
        <v/>
      </c>
      <c r="J32" s="76">
        <f t="array" ref="J32">IF('計算A'!CT$4=0,"",IF(J16&lt;&gt;"","（決定）",IF('計算A'!CT$108=1,"（空ける）",SUMPRODUCT(('計算A'!CT$60:CT$104=1)*('計算A'!$C$10:$C$54=1))&amp;"人："&amp;_xlfn.TEXTJOIN("、",TRUE,IF(('計算A'!CT$60:CT$104=1)*('計算A'!$C$10:$C$54=1),'計算A'!$B$10:$B$54,"")))))</f>
        <v/>
      </c>
      <c r="K32" s="76">
        <f t="array" ref="K32">IF('計算A'!DF$4=0,"",IF(K16&lt;&gt;"","（決定）",IF('計算A'!DF$108=1,"（空ける）",SUMPRODUCT(('計算A'!DF$60:DF$104=1)*('計算A'!$C$10:$C$54=1))&amp;"人："&amp;_xlfn.TEXTJOIN("、",TRUE,IF(('計算A'!DF$60:DF$104=1)*('計算A'!$C$10:$C$54=1),'計算A'!$B$10:$B$54,"")))))</f>
        <v/>
      </c>
      <c r="L32" s="76">
        <f t="array" ref="L32">IF('計算A'!DR$4=0,"",IF(L16&lt;&gt;"","（決定）",IF('計算A'!DR$108=1,"（空ける）",SUMPRODUCT(('計算A'!DR$60:DR$104=1)*('計算A'!$C$10:$C$54=1))&amp;"人："&amp;_xlfn.TEXTJOIN("、",TRUE,IF(('計算A'!DR$60:DR$104=1)*('計算A'!$C$10:$C$54=1),'計算A'!$B$10:$B$54,"")))))</f>
        <v/>
      </c>
    </row>
    <row r="33" ht="48" customHeight="1">
      <c r="B33" s="41">
        <f>'設定'!$I$22</f>
        <v/>
      </c>
      <c r="C33" s="76">
        <f t="array" ref="C33">IF('計算A'!O$4=0,"",IF(C17&lt;&gt;"","（決定）",IF('計算A'!O$108=1,"（空ける）",SUMPRODUCT(('計算A'!O$60:O$104=1)*('計算A'!$C$10:$C$54=1))&amp;"人："&amp;_xlfn.TEXTJOIN("、",TRUE,IF(('計算A'!O$60:O$104=1)*('計算A'!$C$10:$C$54=1),'計算A'!$B$10:$B$54,"")))))</f>
        <v/>
      </c>
      <c r="D33" s="76">
        <f t="array" ref="D33">IF('計算A'!AA$4=0,"",IF(D17&lt;&gt;"","（決定）",IF('計算A'!AA$108=1,"（空ける）",SUMPRODUCT(('計算A'!AA$60:AA$104=1)*('計算A'!$C$10:$C$54=1))&amp;"人："&amp;_xlfn.TEXTJOIN("、",TRUE,IF(('計算A'!AA$60:AA$104=1)*('計算A'!$C$10:$C$54=1),'計算A'!$B$10:$B$54,"")))))</f>
        <v/>
      </c>
      <c r="E33" s="76">
        <f t="array" ref="E33">IF('計算A'!AM$4=0,"",IF(E17&lt;&gt;"","（決定）",IF('計算A'!AM$108=1,"（空ける）",SUMPRODUCT(('計算A'!AM$60:AM$104=1)*('計算A'!$C$10:$C$54=1))&amp;"人："&amp;_xlfn.TEXTJOIN("、",TRUE,IF(('計算A'!AM$60:AM$104=1)*('計算A'!$C$10:$C$54=1),'計算A'!$B$10:$B$54,"")))))</f>
        <v/>
      </c>
      <c r="F33" s="76">
        <f t="array" ref="F33">IF('計算A'!AY$4=0,"",IF(F17&lt;&gt;"","（決定）",IF('計算A'!AY$108=1,"（空ける）",SUMPRODUCT(('計算A'!AY$60:AY$104=1)*('計算A'!$C$10:$C$54=1))&amp;"人："&amp;_xlfn.TEXTJOIN("、",TRUE,IF(('計算A'!AY$60:AY$104=1)*('計算A'!$C$10:$C$54=1),'計算A'!$B$10:$B$54,"")))))</f>
        <v/>
      </c>
      <c r="G33" s="76">
        <f t="array" ref="G33">IF('計算A'!BK$4=0,"",IF(G17&lt;&gt;"","（決定）",IF('計算A'!BK$108=1,"（空ける）",SUMPRODUCT(('計算A'!BK$60:BK$104=1)*('計算A'!$C$10:$C$54=1))&amp;"人："&amp;_xlfn.TEXTJOIN("、",TRUE,IF(('計算A'!BK$60:BK$104=1)*('計算A'!$C$10:$C$54=1),'計算A'!$B$10:$B$54,"")))))</f>
        <v/>
      </c>
      <c r="H33" s="76">
        <f t="array" ref="H33">IF('計算A'!BW$4=0,"",IF(H17&lt;&gt;"","（決定）",IF('計算A'!BW$108=1,"（空ける）",SUMPRODUCT(('計算A'!BW$60:BW$104=1)*('計算A'!$C$10:$C$54=1))&amp;"人："&amp;_xlfn.TEXTJOIN("、",TRUE,IF(('計算A'!BW$60:BW$104=1)*('計算A'!$C$10:$C$54=1),'計算A'!$B$10:$B$54,"")))))</f>
        <v/>
      </c>
      <c r="I33" s="76">
        <f t="array" ref="I33">IF('計算A'!CI$4=0,"",IF(I17&lt;&gt;"","（決定）",IF('計算A'!CI$108=1,"（空ける）",SUMPRODUCT(('計算A'!CI$60:CI$104=1)*('計算A'!$C$10:$C$54=1))&amp;"人："&amp;_xlfn.TEXTJOIN("、",TRUE,IF(('計算A'!CI$60:CI$104=1)*('計算A'!$C$10:$C$54=1),'計算A'!$B$10:$B$54,"")))))</f>
        <v/>
      </c>
      <c r="J33" s="76">
        <f t="array" ref="J33">IF('計算A'!CU$4=0,"",IF(J17&lt;&gt;"","（決定）",IF('計算A'!CU$108=1,"（空ける）",SUMPRODUCT(('計算A'!CU$60:CU$104=1)*('計算A'!$C$10:$C$54=1))&amp;"人："&amp;_xlfn.TEXTJOIN("、",TRUE,IF(('計算A'!CU$60:CU$104=1)*('計算A'!$C$10:$C$54=1),'計算A'!$B$10:$B$54,"")))))</f>
        <v/>
      </c>
      <c r="K33" s="76">
        <f t="array" ref="K33">IF('計算A'!DG$4=0,"",IF(K17&lt;&gt;"","（決定）",IF('計算A'!DG$108=1,"（空ける）",SUMPRODUCT(('計算A'!DG$60:DG$104=1)*('計算A'!$C$10:$C$54=1))&amp;"人："&amp;_xlfn.TEXTJOIN("、",TRUE,IF(('計算A'!DG$60:DG$104=1)*('計算A'!$C$10:$C$54=1),'計算A'!$B$10:$B$54,"")))))</f>
        <v/>
      </c>
      <c r="L33" s="76">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2" stopIfTrue="1">
      <formula>AND(C6="",INDEX('計算A'!$D$4:$DS$4,(COLUMN(C6)-3)*12+ROW(C6)-5)=0)</formula>
    </cfRule>
    <cfRule type="expression" priority="2" dxfId="11" stopIfTrue="1">
      <formula>AND(C6&lt;&gt;"",INDEX('計算A'!$D$4:$DS$4,(COLUMN(C6)-3)*12+ROW(C6)-5)=0)</formula>
    </cfRule>
    <cfRule type="expression" priority="3" dxfId="11" stopIfTrue="1">
      <formula>AND(C6&lt;&gt;"",IFERROR(INDEX('計算A'!$D$10:$DS$54,MATCH(C6,'計算A'!$B$10:$B$54,0),(COLUMN(C6)-3)*12+ROW(C6)-5)=1,FALSE))</formula>
    </cfRule>
    <cfRule type="expression" priority="4" dxfId="12" stopIfTrue="1">
      <formula>AND(C6&lt;&gt;"",COUNTIF($C$6:$L$17,C6)&gt;1)</formula>
    </cfRule>
    <cfRule type="expression" priority="5" dxfId="13" stopIfTrue="1">
      <formula>AND(C6&lt;&gt;"",INDEX('計算A'!$D$108:$DS$108,(COLUMN(C6)-3)*12+ROW(C6)-5)=1)</formula>
    </cfRule>
    <cfRule type="expression" priority="6" dxfId="9" stopIfTrue="1">
      <formula>AND(C6="",INDEX('計算A'!$D$108:$DS$108,(COLUMN(C6)-3)*12+ROW(C6)-5)=1)</formula>
    </cfRule>
    <cfRule type="expression" priority="7" dxfId="14" stopIfTrue="1">
      <formula>AND(C6&lt;&gt;"",C6=$N$5)</formula>
    </cfRule>
    <cfRule type="expression" priority="8" dxfId="3" stopIfTrue="1">
      <formula>IF('計算A'!$B$8&gt;0,INDEX('計算A'!$D$10:$DS$54,'計算A'!$B$8,(COLUMN(C6)-3)*12+ROW(C6)-5)=1,FALSE)</formula>
    </cfRule>
    <cfRule type="expression" priority="9" dxfId="15" stopIfTrue="1">
      <formula>IF('計算A'!$B$8&gt;0,AND(C6="",INDEX('計算A'!$D$60:$DS$104,'計算A'!$B$8,(COLUMN(C6)-3)*12+ROW(C6)-5)=1),FALSE)</formula>
    </cfRule>
    <cfRule type="expression" priority="10" dxfId="7" stopIfTrue="1">
      <formula>IF('計算A'!$B$8&gt;0,AND(C6&lt;&gt;"",INDEX('計算A'!$D$60:$DS$104,'計算A'!$B$8,(COLUMN(C6)-3)*12+ROW(C6)-5)=1),FALSE)</formula>
    </cfRule>
    <cfRule type="expression" priority="11" dxfId="10" stopIfTrue="1">
      <formula>AND(C6="",INDEX('計算A'!$D$5:$DS$5,(COLUMN(C6)-3)*12+ROW(C6)-5)=1)</formula>
    </cfRule>
  </conditionalFormatting>
  <conditionalFormatting sqref="C22:L33">
    <cfRule type="expression" priority="12" dxfId="2" stopIfTrue="1">
      <formula>INDEX('計算A'!$D$4:$DS$4,(COLUMN(C22)-3)*12+ROW(C22)-21)=0</formula>
    </cfRule>
    <cfRule type="expression" priority="13" dxfId="16" stopIfTrue="1">
      <formula>LEFT(C22,2)="0人"</formula>
    </cfRule>
    <cfRule type="expression" priority="14" dxfId="17">
      <formula>LEFT(C22,2)="1人"</formula>
    </cfRule>
  </conditionalFormatting>
  <conditionalFormatting sqref="C5:L5">
    <cfRule type="expression" priority="15" dxfId="4">
      <formula>C5=""</formula>
    </cfRule>
  </conditionalFormatting>
  <conditionalFormatting sqref="C21:L21">
    <cfRule type="expression" priority="16" dxfId="4">
      <formula>C21=""</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62" t="inlineStr">
        <is>
          <t>計算用（さわらないでください）</t>
        </is>
      </c>
      <c r="C1" s="77"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77"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77"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77" t="inlineStr">
        <is>
          <t>使える</t>
        </is>
      </c>
      <c r="D4">
        <f>IF(AND(INDEX('設定'!$B$11:$B$20,D2)&lt;&gt;"",D3&lt;='設定'!$B$6,INDEX('設定'!$M$9:$V$9,D2)="",INDEX('設定'!$K$11:$K$22,D3)="",INDEX('設定'!$M$11:$V$22,D3,D2)=""),1,0)</f>
        <v/>
      </c>
      <c r="E4">
        <f>IF(AND(INDEX('設定'!$B$11:$B$20,E2)&lt;&gt;"",E3&lt;='設定'!$B$6,INDEX('設定'!$M$9:$V$9,E2)="",INDEX('設定'!$K$11:$K$22,E3)="",INDEX('設定'!$M$11:$V$22,E3,E2)=""),1,0)</f>
        <v/>
      </c>
      <c r="F4">
        <f>IF(AND(INDEX('設定'!$B$11:$B$20,F2)&lt;&gt;"",F3&lt;='設定'!$B$6,INDEX('設定'!$M$9:$V$9,F2)="",INDEX('設定'!$K$11:$K$22,F3)="",INDEX('設定'!$M$11:$V$22,F3,F2)=""),1,0)</f>
        <v/>
      </c>
      <c r="G4">
        <f>IF(AND(INDEX('設定'!$B$11:$B$20,G2)&lt;&gt;"",G3&lt;='設定'!$B$6,INDEX('設定'!$M$9:$V$9,G2)="",INDEX('設定'!$K$11:$K$22,G3)="",INDEX('設定'!$M$11:$V$22,G3,G2)=""),1,0)</f>
        <v/>
      </c>
      <c r="H4">
        <f>IF(AND(INDEX('設定'!$B$11:$B$20,H2)&lt;&gt;"",H3&lt;='設定'!$B$6,INDEX('設定'!$M$9:$V$9,H2)="",INDEX('設定'!$K$11:$K$22,H3)="",INDEX('設定'!$M$11:$V$22,H3,H2)=""),1,0)</f>
        <v/>
      </c>
      <c r="I4">
        <f>IF(AND(INDEX('設定'!$B$11:$B$20,I2)&lt;&gt;"",I3&lt;='設定'!$B$6,INDEX('設定'!$M$9:$V$9,I2)="",INDEX('設定'!$K$11:$K$22,I3)="",INDEX('設定'!$M$11:$V$22,I3,I2)=""),1,0)</f>
        <v/>
      </c>
      <c r="J4">
        <f>IF(AND(INDEX('設定'!$B$11:$B$20,J2)&lt;&gt;"",J3&lt;='設定'!$B$6,INDEX('設定'!$M$9:$V$9,J2)="",INDEX('設定'!$K$11:$K$22,J3)="",INDEX('設定'!$M$11:$V$22,J3,J2)=""),1,0)</f>
        <v/>
      </c>
      <c r="K4">
        <f>IF(AND(INDEX('設定'!$B$11:$B$20,K2)&lt;&gt;"",K3&lt;='設定'!$B$6,INDEX('設定'!$M$9:$V$9,K2)="",INDEX('設定'!$K$11:$K$22,K3)="",INDEX('設定'!$M$11:$V$22,K3,K2)=""),1,0)</f>
        <v/>
      </c>
      <c r="L4">
        <f>IF(AND(INDEX('設定'!$B$11:$B$20,L2)&lt;&gt;"",L3&lt;='設定'!$B$6,INDEX('設定'!$M$9:$V$9,L2)="",INDEX('設定'!$K$11:$K$22,L3)="",INDEX('設定'!$M$11:$V$22,L3,L2)=""),1,0)</f>
        <v/>
      </c>
      <c r="M4">
        <f>IF(AND(INDEX('設定'!$B$11:$B$20,M2)&lt;&gt;"",M3&lt;='設定'!$B$6,INDEX('設定'!$M$9:$V$9,M2)="",INDEX('設定'!$K$11:$K$22,M3)="",INDEX('設定'!$M$11:$V$22,M3,M2)=""),1,0)</f>
        <v/>
      </c>
      <c r="N4">
        <f>IF(AND(INDEX('設定'!$B$11:$B$20,N2)&lt;&gt;"",N3&lt;='設定'!$B$6,INDEX('設定'!$M$9:$V$9,N2)="",INDEX('設定'!$K$11:$K$22,N3)="",INDEX('設定'!$M$11:$V$22,N3,N2)=""),1,0)</f>
        <v/>
      </c>
      <c r="O4">
        <f>IF(AND(INDEX('設定'!$B$11:$B$20,O2)&lt;&gt;"",O3&lt;='設定'!$B$6,INDEX('設定'!$M$9:$V$9,O2)="",INDEX('設定'!$K$11:$K$22,O3)="",INDEX('設定'!$M$11:$V$22,O3,O2)=""),1,0)</f>
        <v/>
      </c>
      <c r="P4">
        <f>IF(AND(INDEX('設定'!$B$11:$B$20,P2)&lt;&gt;"",P3&lt;='設定'!$B$6,INDEX('設定'!$M$9:$V$9,P2)="",INDEX('設定'!$K$11:$K$22,P3)="",INDEX('設定'!$M$11:$V$22,P3,P2)=""),1,0)</f>
        <v/>
      </c>
      <c r="Q4">
        <f>IF(AND(INDEX('設定'!$B$11:$B$20,Q2)&lt;&gt;"",Q3&lt;='設定'!$B$6,INDEX('設定'!$M$9:$V$9,Q2)="",INDEX('設定'!$K$11:$K$22,Q3)="",INDEX('設定'!$M$11:$V$22,Q3,Q2)=""),1,0)</f>
        <v/>
      </c>
      <c r="R4">
        <f>IF(AND(INDEX('設定'!$B$11:$B$20,R2)&lt;&gt;"",R3&lt;='設定'!$B$6,INDEX('設定'!$M$9:$V$9,R2)="",INDEX('設定'!$K$11:$K$22,R3)="",INDEX('設定'!$M$11:$V$22,R3,R2)=""),1,0)</f>
        <v/>
      </c>
      <c r="S4">
        <f>IF(AND(INDEX('設定'!$B$11:$B$20,S2)&lt;&gt;"",S3&lt;='設定'!$B$6,INDEX('設定'!$M$9:$V$9,S2)="",INDEX('設定'!$K$11:$K$22,S3)="",INDEX('設定'!$M$11:$V$22,S3,S2)=""),1,0)</f>
        <v/>
      </c>
      <c r="T4">
        <f>IF(AND(INDEX('設定'!$B$11:$B$20,T2)&lt;&gt;"",T3&lt;='設定'!$B$6,INDEX('設定'!$M$9:$V$9,T2)="",INDEX('設定'!$K$11:$K$22,T3)="",INDEX('設定'!$M$11:$V$22,T3,T2)=""),1,0)</f>
        <v/>
      </c>
      <c r="U4">
        <f>IF(AND(INDEX('設定'!$B$11:$B$20,U2)&lt;&gt;"",U3&lt;='設定'!$B$6,INDEX('設定'!$M$9:$V$9,U2)="",INDEX('設定'!$K$11:$K$22,U3)="",INDEX('設定'!$M$11:$V$22,U3,U2)=""),1,0)</f>
        <v/>
      </c>
      <c r="V4">
        <f>IF(AND(INDEX('設定'!$B$11:$B$20,V2)&lt;&gt;"",V3&lt;='設定'!$B$6,INDEX('設定'!$M$9:$V$9,V2)="",INDEX('設定'!$K$11:$K$22,V3)="",INDEX('設定'!$M$11:$V$22,V3,V2)=""),1,0)</f>
        <v/>
      </c>
      <c r="W4">
        <f>IF(AND(INDEX('設定'!$B$11:$B$20,W2)&lt;&gt;"",W3&lt;='設定'!$B$6,INDEX('設定'!$M$9:$V$9,W2)="",INDEX('設定'!$K$11:$K$22,W3)="",INDEX('設定'!$M$11:$V$22,W3,W2)=""),1,0)</f>
        <v/>
      </c>
      <c r="X4">
        <f>IF(AND(INDEX('設定'!$B$11:$B$20,X2)&lt;&gt;"",X3&lt;='設定'!$B$6,INDEX('設定'!$M$9:$V$9,X2)="",INDEX('設定'!$K$11:$K$22,X3)="",INDEX('設定'!$M$11:$V$22,X3,X2)=""),1,0)</f>
        <v/>
      </c>
      <c r="Y4">
        <f>IF(AND(INDEX('設定'!$B$11:$B$20,Y2)&lt;&gt;"",Y3&lt;='設定'!$B$6,INDEX('設定'!$M$9:$V$9,Y2)="",INDEX('設定'!$K$11:$K$22,Y3)="",INDEX('設定'!$M$11:$V$22,Y3,Y2)=""),1,0)</f>
        <v/>
      </c>
      <c r="Z4">
        <f>IF(AND(INDEX('設定'!$B$11:$B$20,Z2)&lt;&gt;"",Z3&lt;='設定'!$B$6,INDEX('設定'!$M$9:$V$9,Z2)="",INDEX('設定'!$K$11:$K$22,Z3)="",INDEX('設定'!$M$11:$V$22,Z3,Z2)=""),1,0)</f>
        <v/>
      </c>
      <c r="AA4">
        <f>IF(AND(INDEX('設定'!$B$11:$B$20,AA2)&lt;&gt;"",AA3&lt;='設定'!$B$6,INDEX('設定'!$M$9:$V$9,AA2)="",INDEX('設定'!$K$11:$K$22,AA3)="",INDEX('設定'!$M$11:$V$22,AA3,AA2)=""),1,0)</f>
        <v/>
      </c>
      <c r="AB4">
        <f>IF(AND(INDEX('設定'!$B$11:$B$20,AB2)&lt;&gt;"",AB3&lt;='設定'!$B$6,INDEX('設定'!$M$9:$V$9,AB2)="",INDEX('設定'!$K$11:$K$22,AB3)="",INDEX('設定'!$M$11:$V$22,AB3,AB2)=""),1,0)</f>
        <v/>
      </c>
      <c r="AC4">
        <f>IF(AND(INDEX('設定'!$B$11:$B$20,AC2)&lt;&gt;"",AC3&lt;='設定'!$B$6,INDEX('設定'!$M$9:$V$9,AC2)="",INDEX('設定'!$K$11:$K$22,AC3)="",INDEX('設定'!$M$11:$V$22,AC3,AC2)=""),1,0)</f>
        <v/>
      </c>
      <c r="AD4">
        <f>IF(AND(INDEX('設定'!$B$11:$B$20,AD2)&lt;&gt;"",AD3&lt;='設定'!$B$6,INDEX('設定'!$M$9:$V$9,AD2)="",INDEX('設定'!$K$11:$K$22,AD3)="",INDEX('設定'!$M$11:$V$22,AD3,AD2)=""),1,0)</f>
        <v/>
      </c>
      <c r="AE4">
        <f>IF(AND(INDEX('設定'!$B$11:$B$20,AE2)&lt;&gt;"",AE3&lt;='設定'!$B$6,INDEX('設定'!$M$9:$V$9,AE2)="",INDEX('設定'!$K$11:$K$22,AE3)="",INDEX('設定'!$M$11:$V$22,AE3,AE2)=""),1,0)</f>
        <v/>
      </c>
      <c r="AF4">
        <f>IF(AND(INDEX('設定'!$B$11:$B$20,AF2)&lt;&gt;"",AF3&lt;='設定'!$B$6,INDEX('設定'!$M$9:$V$9,AF2)="",INDEX('設定'!$K$11:$K$22,AF3)="",INDEX('設定'!$M$11:$V$22,AF3,AF2)=""),1,0)</f>
        <v/>
      </c>
      <c r="AG4">
        <f>IF(AND(INDEX('設定'!$B$11:$B$20,AG2)&lt;&gt;"",AG3&lt;='設定'!$B$6,INDEX('設定'!$M$9:$V$9,AG2)="",INDEX('設定'!$K$11:$K$22,AG3)="",INDEX('設定'!$M$11:$V$22,AG3,AG2)=""),1,0)</f>
        <v/>
      </c>
      <c r="AH4">
        <f>IF(AND(INDEX('設定'!$B$11:$B$20,AH2)&lt;&gt;"",AH3&lt;='設定'!$B$6,INDEX('設定'!$M$9:$V$9,AH2)="",INDEX('設定'!$K$11:$K$22,AH3)="",INDEX('設定'!$M$11:$V$22,AH3,AH2)=""),1,0)</f>
        <v/>
      </c>
      <c r="AI4">
        <f>IF(AND(INDEX('設定'!$B$11:$B$20,AI2)&lt;&gt;"",AI3&lt;='設定'!$B$6,INDEX('設定'!$M$9:$V$9,AI2)="",INDEX('設定'!$K$11:$K$22,AI3)="",INDEX('設定'!$M$11:$V$22,AI3,AI2)=""),1,0)</f>
        <v/>
      </c>
      <c r="AJ4">
        <f>IF(AND(INDEX('設定'!$B$11:$B$20,AJ2)&lt;&gt;"",AJ3&lt;='設定'!$B$6,INDEX('設定'!$M$9:$V$9,AJ2)="",INDEX('設定'!$K$11:$K$22,AJ3)="",INDEX('設定'!$M$11:$V$22,AJ3,AJ2)=""),1,0)</f>
        <v/>
      </c>
      <c r="AK4">
        <f>IF(AND(INDEX('設定'!$B$11:$B$20,AK2)&lt;&gt;"",AK3&lt;='設定'!$B$6,INDEX('設定'!$M$9:$V$9,AK2)="",INDEX('設定'!$K$11:$K$22,AK3)="",INDEX('設定'!$M$11:$V$22,AK3,AK2)=""),1,0)</f>
        <v/>
      </c>
      <c r="AL4">
        <f>IF(AND(INDEX('設定'!$B$11:$B$20,AL2)&lt;&gt;"",AL3&lt;='設定'!$B$6,INDEX('設定'!$M$9:$V$9,AL2)="",INDEX('設定'!$K$11:$K$22,AL3)="",INDEX('設定'!$M$11:$V$22,AL3,AL2)=""),1,0)</f>
        <v/>
      </c>
      <c r="AM4">
        <f>IF(AND(INDEX('設定'!$B$11:$B$20,AM2)&lt;&gt;"",AM3&lt;='設定'!$B$6,INDEX('設定'!$M$9:$V$9,AM2)="",INDEX('設定'!$K$11:$K$22,AM3)="",INDEX('設定'!$M$11:$V$22,AM3,AM2)=""),1,0)</f>
        <v/>
      </c>
      <c r="AN4">
        <f>IF(AND(INDEX('設定'!$B$11:$B$20,AN2)&lt;&gt;"",AN3&lt;='設定'!$B$6,INDEX('設定'!$M$9:$V$9,AN2)="",INDEX('設定'!$K$11:$K$22,AN3)="",INDEX('設定'!$M$11:$V$22,AN3,AN2)=""),1,0)</f>
        <v/>
      </c>
      <c r="AO4">
        <f>IF(AND(INDEX('設定'!$B$11:$B$20,AO2)&lt;&gt;"",AO3&lt;='設定'!$B$6,INDEX('設定'!$M$9:$V$9,AO2)="",INDEX('設定'!$K$11:$K$22,AO3)="",INDEX('設定'!$M$11:$V$22,AO3,AO2)=""),1,0)</f>
        <v/>
      </c>
      <c r="AP4">
        <f>IF(AND(INDEX('設定'!$B$11:$B$20,AP2)&lt;&gt;"",AP3&lt;='設定'!$B$6,INDEX('設定'!$M$9:$V$9,AP2)="",INDEX('設定'!$K$11:$K$22,AP3)="",INDEX('設定'!$M$11:$V$22,AP3,AP2)=""),1,0)</f>
        <v/>
      </c>
      <c r="AQ4">
        <f>IF(AND(INDEX('設定'!$B$11:$B$20,AQ2)&lt;&gt;"",AQ3&lt;='設定'!$B$6,INDEX('設定'!$M$9:$V$9,AQ2)="",INDEX('設定'!$K$11:$K$22,AQ3)="",INDEX('設定'!$M$11:$V$22,AQ3,AQ2)=""),1,0)</f>
        <v/>
      </c>
      <c r="AR4">
        <f>IF(AND(INDEX('設定'!$B$11:$B$20,AR2)&lt;&gt;"",AR3&lt;='設定'!$B$6,INDEX('設定'!$M$9:$V$9,AR2)="",INDEX('設定'!$K$11:$K$22,AR3)="",INDEX('設定'!$M$11:$V$22,AR3,AR2)=""),1,0)</f>
        <v/>
      </c>
      <c r="AS4">
        <f>IF(AND(INDEX('設定'!$B$11:$B$20,AS2)&lt;&gt;"",AS3&lt;='設定'!$B$6,INDEX('設定'!$M$9:$V$9,AS2)="",INDEX('設定'!$K$11:$K$22,AS3)="",INDEX('設定'!$M$11:$V$22,AS3,AS2)=""),1,0)</f>
        <v/>
      </c>
      <c r="AT4">
        <f>IF(AND(INDEX('設定'!$B$11:$B$20,AT2)&lt;&gt;"",AT3&lt;='設定'!$B$6,INDEX('設定'!$M$9:$V$9,AT2)="",INDEX('設定'!$K$11:$K$22,AT3)="",INDEX('設定'!$M$11:$V$22,AT3,AT2)=""),1,0)</f>
        <v/>
      </c>
      <c r="AU4">
        <f>IF(AND(INDEX('設定'!$B$11:$B$20,AU2)&lt;&gt;"",AU3&lt;='設定'!$B$6,INDEX('設定'!$M$9:$V$9,AU2)="",INDEX('設定'!$K$11:$K$22,AU3)="",INDEX('設定'!$M$11:$V$22,AU3,AU2)=""),1,0)</f>
        <v/>
      </c>
      <c r="AV4">
        <f>IF(AND(INDEX('設定'!$B$11:$B$20,AV2)&lt;&gt;"",AV3&lt;='設定'!$B$6,INDEX('設定'!$M$9:$V$9,AV2)="",INDEX('設定'!$K$11:$K$22,AV3)="",INDEX('設定'!$M$11:$V$22,AV3,AV2)=""),1,0)</f>
        <v/>
      </c>
      <c r="AW4">
        <f>IF(AND(INDEX('設定'!$B$11:$B$20,AW2)&lt;&gt;"",AW3&lt;='設定'!$B$6,INDEX('設定'!$M$9:$V$9,AW2)="",INDEX('設定'!$K$11:$K$22,AW3)="",INDEX('設定'!$M$11:$V$22,AW3,AW2)=""),1,0)</f>
        <v/>
      </c>
      <c r="AX4">
        <f>IF(AND(INDEX('設定'!$B$11:$B$20,AX2)&lt;&gt;"",AX3&lt;='設定'!$B$6,INDEX('設定'!$M$9:$V$9,AX2)="",INDEX('設定'!$K$11:$K$22,AX3)="",INDEX('設定'!$M$11:$V$22,AX3,AX2)=""),1,0)</f>
        <v/>
      </c>
      <c r="AY4">
        <f>IF(AND(INDEX('設定'!$B$11:$B$20,AY2)&lt;&gt;"",AY3&lt;='設定'!$B$6,INDEX('設定'!$M$9:$V$9,AY2)="",INDEX('設定'!$K$11:$K$22,AY3)="",INDEX('設定'!$M$11:$V$22,AY3,AY2)=""),1,0)</f>
        <v/>
      </c>
      <c r="AZ4">
        <f>IF(AND(INDEX('設定'!$B$11:$B$20,AZ2)&lt;&gt;"",AZ3&lt;='設定'!$B$6,INDEX('設定'!$M$9:$V$9,AZ2)="",INDEX('設定'!$K$11:$K$22,AZ3)="",INDEX('設定'!$M$11:$V$22,AZ3,AZ2)=""),1,0)</f>
        <v/>
      </c>
      <c r="BA4">
        <f>IF(AND(INDEX('設定'!$B$11:$B$20,BA2)&lt;&gt;"",BA3&lt;='設定'!$B$6,INDEX('設定'!$M$9:$V$9,BA2)="",INDEX('設定'!$K$11:$K$22,BA3)="",INDEX('設定'!$M$11:$V$22,BA3,BA2)=""),1,0)</f>
        <v/>
      </c>
      <c r="BB4">
        <f>IF(AND(INDEX('設定'!$B$11:$B$20,BB2)&lt;&gt;"",BB3&lt;='設定'!$B$6,INDEX('設定'!$M$9:$V$9,BB2)="",INDEX('設定'!$K$11:$K$22,BB3)="",INDEX('設定'!$M$11:$V$22,BB3,BB2)=""),1,0)</f>
        <v/>
      </c>
      <c r="BC4">
        <f>IF(AND(INDEX('設定'!$B$11:$B$20,BC2)&lt;&gt;"",BC3&lt;='設定'!$B$6,INDEX('設定'!$M$9:$V$9,BC2)="",INDEX('設定'!$K$11:$K$22,BC3)="",INDEX('設定'!$M$11:$V$22,BC3,BC2)=""),1,0)</f>
        <v/>
      </c>
      <c r="BD4">
        <f>IF(AND(INDEX('設定'!$B$11:$B$20,BD2)&lt;&gt;"",BD3&lt;='設定'!$B$6,INDEX('設定'!$M$9:$V$9,BD2)="",INDEX('設定'!$K$11:$K$22,BD3)="",INDEX('設定'!$M$11:$V$22,BD3,BD2)=""),1,0)</f>
        <v/>
      </c>
      <c r="BE4">
        <f>IF(AND(INDEX('設定'!$B$11:$B$20,BE2)&lt;&gt;"",BE3&lt;='設定'!$B$6,INDEX('設定'!$M$9:$V$9,BE2)="",INDEX('設定'!$K$11:$K$22,BE3)="",INDEX('設定'!$M$11:$V$22,BE3,BE2)=""),1,0)</f>
        <v/>
      </c>
      <c r="BF4">
        <f>IF(AND(INDEX('設定'!$B$11:$B$20,BF2)&lt;&gt;"",BF3&lt;='設定'!$B$6,INDEX('設定'!$M$9:$V$9,BF2)="",INDEX('設定'!$K$11:$K$22,BF3)="",INDEX('設定'!$M$11:$V$22,BF3,BF2)=""),1,0)</f>
        <v/>
      </c>
      <c r="BG4">
        <f>IF(AND(INDEX('設定'!$B$11:$B$20,BG2)&lt;&gt;"",BG3&lt;='設定'!$B$6,INDEX('設定'!$M$9:$V$9,BG2)="",INDEX('設定'!$K$11:$K$22,BG3)="",INDEX('設定'!$M$11:$V$22,BG3,BG2)=""),1,0)</f>
        <v/>
      </c>
      <c r="BH4">
        <f>IF(AND(INDEX('設定'!$B$11:$B$20,BH2)&lt;&gt;"",BH3&lt;='設定'!$B$6,INDEX('設定'!$M$9:$V$9,BH2)="",INDEX('設定'!$K$11:$K$22,BH3)="",INDEX('設定'!$M$11:$V$22,BH3,BH2)=""),1,0)</f>
        <v/>
      </c>
      <c r="BI4">
        <f>IF(AND(INDEX('設定'!$B$11:$B$20,BI2)&lt;&gt;"",BI3&lt;='設定'!$B$6,INDEX('設定'!$M$9:$V$9,BI2)="",INDEX('設定'!$K$11:$K$22,BI3)="",INDEX('設定'!$M$11:$V$22,BI3,BI2)=""),1,0)</f>
        <v/>
      </c>
      <c r="BJ4">
        <f>IF(AND(INDEX('設定'!$B$11:$B$20,BJ2)&lt;&gt;"",BJ3&lt;='設定'!$B$6,INDEX('設定'!$M$9:$V$9,BJ2)="",INDEX('設定'!$K$11:$K$22,BJ3)="",INDEX('設定'!$M$11:$V$22,BJ3,BJ2)=""),1,0)</f>
        <v/>
      </c>
      <c r="BK4">
        <f>IF(AND(INDEX('設定'!$B$11:$B$20,BK2)&lt;&gt;"",BK3&lt;='設定'!$B$6,INDEX('設定'!$M$9:$V$9,BK2)="",INDEX('設定'!$K$11:$K$22,BK3)="",INDEX('設定'!$M$11:$V$22,BK3,BK2)=""),1,0)</f>
        <v/>
      </c>
      <c r="BL4">
        <f>IF(AND(INDEX('設定'!$B$11:$B$20,BL2)&lt;&gt;"",BL3&lt;='設定'!$B$6,INDEX('設定'!$M$9:$V$9,BL2)="",INDEX('設定'!$K$11:$K$22,BL3)="",INDEX('設定'!$M$11:$V$22,BL3,BL2)=""),1,0)</f>
        <v/>
      </c>
      <c r="BM4">
        <f>IF(AND(INDEX('設定'!$B$11:$B$20,BM2)&lt;&gt;"",BM3&lt;='設定'!$B$6,INDEX('設定'!$M$9:$V$9,BM2)="",INDEX('設定'!$K$11:$K$22,BM3)="",INDEX('設定'!$M$11:$V$22,BM3,BM2)=""),1,0)</f>
        <v/>
      </c>
      <c r="BN4">
        <f>IF(AND(INDEX('設定'!$B$11:$B$20,BN2)&lt;&gt;"",BN3&lt;='設定'!$B$6,INDEX('設定'!$M$9:$V$9,BN2)="",INDEX('設定'!$K$11:$K$22,BN3)="",INDEX('設定'!$M$11:$V$22,BN3,BN2)=""),1,0)</f>
        <v/>
      </c>
      <c r="BO4">
        <f>IF(AND(INDEX('設定'!$B$11:$B$20,BO2)&lt;&gt;"",BO3&lt;='設定'!$B$6,INDEX('設定'!$M$9:$V$9,BO2)="",INDEX('設定'!$K$11:$K$22,BO3)="",INDEX('設定'!$M$11:$V$22,BO3,BO2)=""),1,0)</f>
        <v/>
      </c>
      <c r="BP4">
        <f>IF(AND(INDEX('設定'!$B$11:$B$20,BP2)&lt;&gt;"",BP3&lt;='設定'!$B$6,INDEX('設定'!$M$9:$V$9,BP2)="",INDEX('設定'!$K$11:$K$22,BP3)="",INDEX('設定'!$M$11:$V$22,BP3,BP2)=""),1,0)</f>
        <v/>
      </c>
      <c r="BQ4">
        <f>IF(AND(INDEX('設定'!$B$11:$B$20,BQ2)&lt;&gt;"",BQ3&lt;='設定'!$B$6,INDEX('設定'!$M$9:$V$9,BQ2)="",INDEX('設定'!$K$11:$K$22,BQ3)="",INDEX('設定'!$M$11:$V$22,BQ3,BQ2)=""),1,0)</f>
        <v/>
      </c>
      <c r="BR4">
        <f>IF(AND(INDEX('設定'!$B$11:$B$20,BR2)&lt;&gt;"",BR3&lt;='設定'!$B$6,INDEX('設定'!$M$9:$V$9,BR2)="",INDEX('設定'!$K$11:$K$22,BR3)="",INDEX('設定'!$M$11:$V$22,BR3,BR2)=""),1,0)</f>
        <v/>
      </c>
      <c r="BS4">
        <f>IF(AND(INDEX('設定'!$B$11:$B$20,BS2)&lt;&gt;"",BS3&lt;='設定'!$B$6,INDEX('設定'!$M$9:$V$9,BS2)="",INDEX('設定'!$K$11:$K$22,BS3)="",INDEX('設定'!$M$11:$V$22,BS3,BS2)=""),1,0)</f>
        <v/>
      </c>
      <c r="BT4">
        <f>IF(AND(INDEX('設定'!$B$11:$B$20,BT2)&lt;&gt;"",BT3&lt;='設定'!$B$6,INDEX('設定'!$M$9:$V$9,BT2)="",INDEX('設定'!$K$11:$K$22,BT3)="",INDEX('設定'!$M$11:$V$22,BT3,BT2)=""),1,0)</f>
        <v/>
      </c>
      <c r="BU4">
        <f>IF(AND(INDEX('設定'!$B$11:$B$20,BU2)&lt;&gt;"",BU3&lt;='設定'!$B$6,INDEX('設定'!$M$9:$V$9,BU2)="",INDEX('設定'!$K$11:$K$22,BU3)="",INDEX('設定'!$M$11:$V$22,BU3,BU2)=""),1,0)</f>
        <v/>
      </c>
      <c r="BV4">
        <f>IF(AND(INDEX('設定'!$B$11:$B$20,BV2)&lt;&gt;"",BV3&lt;='設定'!$B$6,INDEX('設定'!$M$9:$V$9,BV2)="",INDEX('設定'!$K$11:$K$22,BV3)="",INDEX('設定'!$M$11:$V$22,BV3,BV2)=""),1,0)</f>
        <v/>
      </c>
      <c r="BW4">
        <f>IF(AND(INDEX('設定'!$B$11:$B$20,BW2)&lt;&gt;"",BW3&lt;='設定'!$B$6,INDEX('設定'!$M$9:$V$9,BW2)="",INDEX('設定'!$K$11:$K$22,BW3)="",INDEX('設定'!$M$11:$V$22,BW3,BW2)=""),1,0)</f>
        <v/>
      </c>
      <c r="BX4">
        <f>IF(AND(INDEX('設定'!$B$11:$B$20,BX2)&lt;&gt;"",BX3&lt;='設定'!$B$6,INDEX('設定'!$M$9:$V$9,BX2)="",INDEX('設定'!$K$11:$K$22,BX3)="",INDEX('設定'!$M$11:$V$22,BX3,BX2)=""),1,0)</f>
        <v/>
      </c>
      <c r="BY4">
        <f>IF(AND(INDEX('設定'!$B$11:$B$20,BY2)&lt;&gt;"",BY3&lt;='設定'!$B$6,INDEX('設定'!$M$9:$V$9,BY2)="",INDEX('設定'!$K$11:$K$22,BY3)="",INDEX('設定'!$M$11:$V$22,BY3,BY2)=""),1,0)</f>
        <v/>
      </c>
      <c r="BZ4">
        <f>IF(AND(INDEX('設定'!$B$11:$B$20,BZ2)&lt;&gt;"",BZ3&lt;='設定'!$B$6,INDEX('設定'!$M$9:$V$9,BZ2)="",INDEX('設定'!$K$11:$K$22,BZ3)="",INDEX('設定'!$M$11:$V$22,BZ3,BZ2)=""),1,0)</f>
        <v/>
      </c>
      <c r="CA4">
        <f>IF(AND(INDEX('設定'!$B$11:$B$20,CA2)&lt;&gt;"",CA3&lt;='設定'!$B$6,INDEX('設定'!$M$9:$V$9,CA2)="",INDEX('設定'!$K$11:$K$22,CA3)="",INDEX('設定'!$M$11:$V$22,CA3,CA2)=""),1,0)</f>
        <v/>
      </c>
      <c r="CB4">
        <f>IF(AND(INDEX('設定'!$B$11:$B$20,CB2)&lt;&gt;"",CB3&lt;='設定'!$B$6,INDEX('設定'!$M$9:$V$9,CB2)="",INDEX('設定'!$K$11:$K$22,CB3)="",INDEX('設定'!$M$11:$V$22,CB3,CB2)=""),1,0)</f>
        <v/>
      </c>
      <c r="CC4">
        <f>IF(AND(INDEX('設定'!$B$11:$B$20,CC2)&lt;&gt;"",CC3&lt;='設定'!$B$6,INDEX('設定'!$M$9:$V$9,CC2)="",INDEX('設定'!$K$11:$K$22,CC3)="",INDEX('設定'!$M$11:$V$22,CC3,CC2)=""),1,0)</f>
        <v/>
      </c>
      <c r="CD4">
        <f>IF(AND(INDEX('設定'!$B$11:$B$20,CD2)&lt;&gt;"",CD3&lt;='設定'!$B$6,INDEX('設定'!$M$9:$V$9,CD2)="",INDEX('設定'!$K$11:$K$22,CD3)="",INDEX('設定'!$M$11:$V$22,CD3,CD2)=""),1,0)</f>
        <v/>
      </c>
      <c r="CE4">
        <f>IF(AND(INDEX('設定'!$B$11:$B$20,CE2)&lt;&gt;"",CE3&lt;='設定'!$B$6,INDEX('設定'!$M$9:$V$9,CE2)="",INDEX('設定'!$K$11:$K$22,CE3)="",INDEX('設定'!$M$11:$V$22,CE3,CE2)=""),1,0)</f>
        <v/>
      </c>
      <c r="CF4">
        <f>IF(AND(INDEX('設定'!$B$11:$B$20,CF2)&lt;&gt;"",CF3&lt;='設定'!$B$6,INDEX('設定'!$M$9:$V$9,CF2)="",INDEX('設定'!$K$11:$K$22,CF3)="",INDEX('設定'!$M$11:$V$22,CF3,CF2)=""),1,0)</f>
        <v/>
      </c>
      <c r="CG4">
        <f>IF(AND(INDEX('設定'!$B$11:$B$20,CG2)&lt;&gt;"",CG3&lt;='設定'!$B$6,INDEX('設定'!$M$9:$V$9,CG2)="",INDEX('設定'!$K$11:$K$22,CG3)="",INDEX('設定'!$M$11:$V$22,CG3,CG2)=""),1,0)</f>
        <v/>
      </c>
      <c r="CH4">
        <f>IF(AND(INDEX('設定'!$B$11:$B$20,CH2)&lt;&gt;"",CH3&lt;='設定'!$B$6,INDEX('設定'!$M$9:$V$9,CH2)="",INDEX('設定'!$K$11:$K$22,CH3)="",INDEX('設定'!$M$11:$V$22,CH3,CH2)=""),1,0)</f>
        <v/>
      </c>
      <c r="CI4">
        <f>IF(AND(INDEX('設定'!$B$11:$B$20,CI2)&lt;&gt;"",CI3&lt;='設定'!$B$6,INDEX('設定'!$M$9:$V$9,CI2)="",INDEX('設定'!$K$11:$K$22,CI3)="",INDEX('設定'!$M$11:$V$22,CI3,CI2)=""),1,0)</f>
        <v/>
      </c>
      <c r="CJ4">
        <f>IF(AND(INDEX('設定'!$B$11:$B$20,CJ2)&lt;&gt;"",CJ3&lt;='設定'!$B$6,INDEX('設定'!$M$9:$V$9,CJ2)="",INDEX('設定'!$K$11:$K$22,CJ3)="",INDEX('設定'!$M$11:$V$22,CJ3,CJ2)=""),1,0)</f>
        <v/>
      </c>
      <c r="CK4">
        <f>IF(AND(INDEX('設定'!$B$11:$B$20,CK2)&lt;&gt;"",CK3&lt;='設定'!$B$6,INDEX('設定'!$M$9:$V$9,CK2)="",INDEX('設定'!$K$11:$K$22,CK3)="",INDEX('設定'!$M$11:$V$22,CK3,CK2)=""),1,0)</f>
        <v/>
      </c>
      <c r="CL4">
        <f>IF(AND(INDEX('設定'!$B$11:$B$20,CL2)&lt;&gt;"",CL3&lt;='設定'!$B$6,INDEX('設定'!$M$9:$V$9,CL2)="",INDEX('設定'!$K$11:$K$22,CL3)="",INDEX('設定'!$M$11:$V$22,CL3,CL2)=""),1,0)</f>
        <v/>
      </c>
      <c r="CM4">
        <f>IF(AND(INDEX('設定'!$B$11:$B$20,CM2)&lt;&gt;"",CM3&lt;='設定'!$B$6,INDEX('設定'!$M$9:$V$9,CM2)="",INDEX('設定'!$K$11:$K$22,CM3)="",INDEX('設定'!$M$11:$V$22,CM3,CM2)=""),1,0)</f>
        <v/>
      </c>
      <c r="CN4">
        <f>IF(AND(INDEX('設定'!$B$11:$B$20,CN2)&lt;&gt;"",CN3&lt;='設定'!$B$6,INDEX('設定'!$M$9:$V$9,CN2)="",INDEX('設定'!$K$11:$K$22,CN3)="",INDEX('設定'!$M$11:$V$22,CN3,CN2)=""),1,0)</f>
        <v/>
      </c>
      <c r="CO4">
        <f>IF(AND(INDEX('設定'!$B$11:$B$20,CO2)&lt;&gt;"",CO3&lt;='設定'!$B$6,INDEX('設定'!$M$9:$V$9,CO2)="",INDEX('設定'!$K$11:$K$22,CO3)="",INDEX('設定'!$M$11:$V$22,CO3,CO2)=""),1,0)</f>
        <v/>
      </c>
      <c r="CP4">
        <f>IF(AND(INDEX('設定'!$B$11:$B$20,CP2)&lt;&gt;"",CP3&lt;='設定'!$B$6,INDEX('設定'!$M$9:$V$9,CP2)="",INDEX('設定'!$K$11:$K$22,CP3)="",INDEX('設定'!$M$11:$V$22,CP3,CP2)=""),1,0)</f>
        <v/>
      </c>
      <c r="CQ4">
        <f>IF(AND(INDEX('設定'!$B$11:$B$20,CQ2)&lt;&gt;"",CQ3&lt;='設定'!$B$6,INDEX('設定'!$M$9:$V$9,CQ2)="",INDEX('設定'!$K$11:$K$22,CQ3)="",INDEX('設定'!$M$11:$V$22,CQ3,CQ2)=""),1,0)</f>
        <v/>
      </c>
      <c r="CR4">
        <f>IF(AND(INDEX('設定'!$B$11:$B$20,CR2)&lt;&gt;"",CR3&lt;='設定'!$B$6,INDEX('設定'!$M$9:$V$9,CR2)="",INDEX('設定'!$K$11:$K$22,CR3)="",INDEX('設定'!$M$11:$V$22,CR3,CR2)=""),1,0)</f>
        <v/>
      </c>
      <c r="CS4">
        <f>IF(AND(INDEX('設定'!$B$11:$B$20,CS2)&lt;&gt;"",CS3&lt;='設定'!$B$6,INDEX('設定'!$M$9:$V$9,CS2)="",INDEX('設定'!$K$11:$K$22,CS3)="",INDEX('設定'!$M$11:$V$22,CS3,CS2)=""),1,0)</f>
        <v/>
      </c>
      <c r="CT4">
        <f>IF(AND(INDEX('設定'!$B$11:$B$20,CT2)&lt;&gt;"",CT3&lt;='設定'!$B$6,INDEX('設定'!$M$9:$V$9,CT2)="",INDEX('設定'!$K$11:$K$22,CT3)="",INDEX('設定'!$M$11:$V$22,CT3,CT2)=""),1,0)</f>
        <v/>
      </c>
      <c r="CU4">
        <f>IF(AND(INDEX('設定'!$B$11:$B$20,CU2)&lt;&gt;"",CU3&lt;='設定'!$B$6,INDEX('設定'!$M$9:$V$9,CU2)="",INDEX('設定'!$K$11:$K$22,CU3)="",INDEX('設定'!$M$11:$V$22,CU3,CU2)=""),1,0)</f>
        <v/>
      </c>
      <c r="CV4">
        <f>IF(AND(INDEX('設定'!$B$11:$B$20,CV2)&lt;&gt;"",CV3&lt;='設定'!$B$6,INDEX('設定'!$M$9:$V$9,CV2)="",INDEX('設定'!$K$11:$K$22,CV3)="",INDEX('設定'!$M$11:$V$22,CV3,CV2)=""),1,0)</f>
        <v/>
      </c>
      <c r="CW4">
        <f>IF(AND(INDEX('設定'!$B$11:$B$20,CW2)&lt;&gt;"",CW3&lt;='設定'!$B$6,INDEX('設定'!$M$9:$V$9,CW2)="",INDEX('設定'!$K$11:$K$22,CW3)="",INDEX('設定'!$M$11:$V$22,CW3,CW2)=""),1,0)</f>
        <v/>
      </c>
      <c r="CX4">
        <f>IF(AND(INDEX('設定'!$B$11:$B$20,CX2)&lt;&gt;"",CX3&lt;='設定'!$B$6,INDEX('設定'!$M$9:$V$9,CX2)="",INDEX('設定'!$K$11:$K$22,CX3)="",INDEX('設定'!$M$11:$V$22,CX3,CX2)=""),1,0)</f>
        <v/>
      </c>
      <c r="CY4">
        <f>IF(AND(INDEX('設定'!$B$11:$B$20,CY2)&lt;&gt;"",CY3&lt;='設定'!$B$6,INDEX('設定'!$M$9:$V$9,CY2)="",INDEX('設定'!$K$11:$K$22,CY3)="",INDEX('設定'!$M$11:$V$22,CY3,CY2)=""),1,0)</f>
        <v/>
      </c>
      <c r="CZ4">
        <f>IF(AND(INDEX('設定'!$B$11:$B$20,CZ2)&lt;&gt;"",CZ3&lt;='設定'!$B$6,INDEX('設定'!$M$9:$V$9,CZ2)="",INDEX('設定'!$K$11:$K$22,CZ3)="",INDEX('設定'!$M$11:$V$22,CZ3,CZ2)=""),1,0)</f>
        <v/>
      </c>
      <c r="DA4">
        <f>IF(AND(INDEX('設定'!$B$11:$B$20,DA2)&lt;&gt;"",DA3&lt;='設定'!$B$6,INDEX('設定'!$M$9:$V$9,DA2)="",INDEX('設定'!$K$11:$K$22,DA3)="",INDEX('設定'!$M$11:$V$22,DA3,DA2)=""),1,0)</f>
        <v/>
      </c>
      <c r="DB4">
        <f>IF(AND(INDEX('設定'!$B$11:$B$20,DB2)&lt;&gt;"",DB3&lt;='設定'!$B$6,INDEX('設定'!$M$9:$V$9,DB2)="",INDEX('設定'!$K$11:$K$22,DB3)="",INDEX('設定'!$M$11:$V$22,DB3,DB2)=""),1,0)</f>
        <v/>
      </c>
      <c r="DC4">
        <f>IF(AND(INDEX('設定'!$B$11:$B$20,DC2)&lt;&gt;"",DC3&lt;='設定'!$B$6,INDEX('設定'!$M$9:$V$9,DC2)="",INDEX('設定'!$K$11:$K$22,DC3)="",INDEX('設定'!$M$11:$V$22,DC3,DC2)=""),1,0)</f>
        <v/>
      </c>
      <c r="DD4">
        <f>IF(AND(INDEX('設定'!$B$11:$B$20,DD2)&lt;&gt;"",DD3&lt;='設定'!$B$6,INDEX('設定'!$M$9:$V$9,DD2)="",INDEX('設定'!$K$11:$K$22,DD3)="",INDEX('設定'!$M$11:$V$22,DD3,DD2)=""),1,0)</f>
        <v/>
      </c>
      <c r="DE4">
        <f>IF(AND(INDEX('設定'!$B$11:$B$20,DE2)&lt;&gt;"",DE3&lt;='設定'!$B$6,INDEX('設定'!$M$9:$V$9,DE2)="",INDEX('設定'!$K$11:$K$22,DE3)="",INDEX('設定'!$M$11:$V$22,DE3,DE2)=""),1,0)</f>
        <v/>
      </c>
      <c r="DF4">
        <f>IF(AND(INDEX('設定'!$B$11:$B$20,DF2)&lt;&gt;"",DF3&lt;='設定'!$B$6,INDEX('設定'!$M$9:$V$9,DF2)="",INDEX('設定'!$K$11:$K$22,DF3)="",INDEX('設定'!$M$11:$V$22,DF3,DF2)=""),1,0)</f>
        <v/>
      </c>
      <c r="DG4">
        <f>IF(AND(INDEX('設定'!$B$11:$B$20,DG2)&lt;&gt;"",DG3&lt;='設定'!$B$6,INDEX('設定'!$M$9:$V$9,DG2)="",INDEX('設定'!$K$11:$K$22,DG3)="",INDEX('設定'!$M$11:$V$22,DG3,DG2)=""),1,0)</f>
        <v/>
      </c>
      <c r="DH4">
        <f>IF(AND(INDEX('設定'!$B$11:$B$20,DH2)&lt;&gt;"",DH3&lt;='設定'!$B$6,INDEX('設定'!$M$9:$V$9,DH2)="",INDEX('設定'!$K$11:$K$22,DH3)="",INDEX('設定'!$M$11:$V$22,DH3,DH2)=""),1,0)</f>
        <v/>
      </c>
      <c r="DI4">
        <f>IF(AND(INDEX('設定'!$B$11:$B$20,DI2)&lt;&gt;"",DI3&lt;='設定'!$B$6,INDEX('設定'!$M$9:$V$9,DI2)="",INDEX('設定'!$K$11:$K$22,DI3)="",INDEX('設定'!$M$11:$V$22,DI3,DI2)=""),1,0)</f>
        <v/>
      </c>
      <c r="DJ4">
        <f>IF(AND(INDEX('設定'!$B$11:$B$20,DJ2)&lt;&gt;"",DJ3&lt;='設定'!$B$6,INDEX('設定'!$M$9:$V$9,DJ2)="",INDEX('設定'!$K$11:$K$22,DJ3)="",INDEX('設定'!$M$11:$V$22,DJ3,DJ2)=""),1,0)</f>
        <v/>
      </c>
      <c r="DK4">
        <f>IF(AND(INDEX('設定'!$B$11:$B$20,DK2)&lt;&gt;"",DK3&lt;='設定'!$B$6,INDEX('設定'!$M$9:$V$9,DK2)="",INDEX('設定'!$K$11:$K$22,DK3)="",INDEX('設定'!$M$11:$V$22,DK3,DK2)=""),1,0)</f>
        <v/>
      </c>
      <c r="DL4">
        <f>IF(AND(INDEX('設定'!$B$11:$B$20,DL2)&lt;&gt;"",DL3&lt;='設定'!$B$6,INDEX('設定'!$M$9:$V$9,DL2)="",INDEX('設定'!$K$11:$K$22,DL3)="",INDEX('設定'!$M$11:$V$22,DL3,DL2)=""),1,0)</f>
        <v/>
      </c>
      <c r="DM4">
        <f>IF(AND(INDEX('設定'!$B$11:$B$20,DM2)&lt;&gt;"",DM3&lt;='設定'!$B$6,INDEX('設定'!$M$9:$V$9,DM2)="",INDEX('設定'!$K$11:$K$22,DM3)="",INDEX('設定'!$M$11:$V$22,DM3,DM2)=""),1,0)</f>
        <v/>
      </c>
      <c r="DN4">
        <f>IF(AND(INDEX('設定'!$B$11:$B$20,DN2)&lt;&gt;"",DN3&lt;='設定'!$B$6,INDEX('設定'!$M$9:$V$9,DN2)="",INDEX('設定'!$K$11:$K$22,DN3)="",INDEX('設定'!$M$11:$V$22,DN3,DN2)=""),1,0)</f>
        <v/>
      </c>
      <c r="DO4">
        <f>IF(AND(INDEX('設定'!$B$11:$B$20,DO2)&lt;&gt;"",DO3&lt;='設定'!$B$6,INDEX('設定'!$M$9:$V$9,DO2)="",INDEX('設定'!$K$11:$K$22,DO3)="",INDEX('設定'!$M$11:$V$22,DO3,DO2)=""),1,0)</f>
        <v/>
      </c>
      <c r="DP4">
        <f>IF(AND(INDEX('設定'!$B$11:$B$20,DP2)&lt;&gt;"",DP3&lt;='設定'!$B$6,INDEX('設定'!$M$9:$V$9,DP2)="",INDEX('設定'!$K$11:$K$22,DP3)="",INDEX('設定'!$M$11:$V$22,DP3,DP2)=""),1,0)</f>
        <v/>
      </c>
      <c r="DQ4">
        <f>IF(AND(INDEX('設定'!$B$11:$B$20,DQ2)&lt;&gt;"",DQ3&lt;='設定'!$B$6,INDEX('設定'!$M$9:$V$9,DQ2)="",INDEX('設定'!$K$11:$K$22,DQ3)="",INDEX('設定'!$M$11:$V$22,DQ3,DQ2)=""),1,0)</f>
        <v/>
      </c>
      <c r="DR4">
        <f>IF(AND(INDEX('設定'!$B$11:$B$20,DR2)&lt;&gt;"",DR3&lt;='設定'!$B$6,INDEX('設定'!$M$9:$V$9,DR2)="",INDEX('設定'!$K$11:$K$22,DR3)="",INDEX('設定'!$M$11:$V$22,DR3,DR2)=""),1,0)</f>
        <v/>
      </c>
      <c r="DS4">
        <f>IF(AND(INDEX('設定'!$B$11:$B$20,DS2)&lt;&gt;"",DS3&lt;='設定'!$B$6,INDEX('設定'!$M$9:$V$9,DS2)="",INDEX('設定'!$K$11:$K$22,DS3)="",INDEX('設定'!$M$11:$V$22,DS3,DS2)=""),1,0)</f>
        <v/>
      </c>
    </row>
    <row r="5">
      <c r="C5" s="77"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77"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77"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77" t="inlineStr">
        <is>
          <t>選択中→</t>
        </is>
      </c>
      <c r="B8" s="77">
        <f>IF('割り当て'!$N$5="",0,IFERROR(MATCH('割り当て'!$N$5,$B$10:$B$54,0),0))</f>
        <v/>
      </c>
      <c r="C8" s="77"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IF(D$4=1,IF(OR(INDEX('×入力'!$A$1:$L$800,7+D$3,2+D$2)&lt;&gt;"",INDEX('×入力'!$A$1:$L$800,6,2+D$2)&lt;&gt;"",INDEX('×入力'!$A$1:$L$800,7+D$3,1)&lt;&gt;""),1,0),0)</f>
        <v/>
      </c>
      <c r="E10">
        <f>IF(E$4=1,IF(OR(INDEX('×入力'!$A$1:$L$800,7+E$3,2+E$2)&lt;&gt;"",INDEX('×入力'!$A$1:$L$800,6,2+E$2)&lt;&gt;"",INDEX('×入力'!$A$1:$L$800,7+E$3,1)&lt;&gt;""),1,0),0)</f>
        <v/>
      </c>
      <c r="F10">
        <f>IF(F$4=1,IF(OR(INDEX('×入力'!$A$1:$L$800,7+F$3,2+F$2)&lt;&gt;"",INDEX('×入力'!$A$1:$L$800,6,2+F$2)&lt;&gt;"",INDEX('×入力'!$A$1:$L$800,7+F$3,1)&lt;&gt;""),1,0),0)</f>
        <v/>
      </c>
      <c r="G10">
        <f>IF(G$4=1,IF(OR(INDEX('×入力'!$A$1:$L$800,7+G$3,2+G$2)&lt;&gt;"",INDEX('×入力'!$A$1:$L$800,6,2+G$2)&lt;&gt;"",INDEX('×入力'!$A$1:$L$800,7+G$3,1)&lt;&gt;""),1,0),0)</f>
        <v/>
      </c>
      <c r="H10">
        <f>IF(H$4=1,IF(OR(INDEX('×入力'!$A$1:$L$800,7+H$3,2+H$2)&lt;&gt;"",INDEX('×入力'!$A$1:$L$800,6,2+H$2)&lt;&gt;"",INDEX('×入力'!$A$1:$L$800,7+H$3,1)&lt;&gt;""),1,0),0)</f>
        <v/>
      </c>
      <c r="I10">
        <f>IF(I$4=1,IF(OR(INDEX('×入力'!$A$1:$L$800,7+I$3,2+I$2)&lt;&gt;"",INDEX('×入力'!$A$1:$L$800,6,2+I$2)&lt;&gt;"",INDEX('×入力'!$A$1:$L$800,7+I$3,1)&lt;&gt;""),1,0),0)</f>
        <v/>
      </c>
      <c r="J10">
        <f>IF(J$4=1,IF(OR(INDEX('×入力'!$A$1:$L$800,7+J$3,2+J$2)&lt;&gt;"",INDEX('×入力'!$A$1:$L$800,6,2+J$2)&lt;&gt;"",INDEX('×入力'!$A$1:$L$800,7+J$3,1)&lt;&gt;""),1,0),0)</f>
        <v/>
      </c>
      <c r="K10">
        <f>IF(K$4=1,IF(OR(INDEX('×入力'!$A$1:$L$800,7+K$3,2+K$2)&lt;&gt;"",INDEX('×入力'!$A$1:$L$800,6,2+K$2)&lt;&gt;"",INDEX('×入力'!$A$1:$L$800,7+K$3,1)&lt;&gt;""),1,0),0)</f>
        <v/>
      </c>
      <c r="L10">
        <f>IF(L$4=1,IF(OR(INDEX('×入力'!$A$1:$L$800,7+L$3,2+L$2)&lt;&gt;"",INDEX('×入力'!$A$1:$L$800,6,2+L$2)&lt;&gt;"",INDEX('×入力'!$A$1:$L$800,7+L$3,1)&lt;&gt;""),1,0),0)</f>
        <v/>
      </c>
      <c r="M10">
        <f>IF(M$4=1,IF(OR(INDEX('×入力'!$A$1:$L$800,7+M$3,2+M$2)&lt;&gt;"",INDEX('×入力'!$A$1:$L$800,6,2+M$2)&lt;&gt;"",INDEX('×入力'!$A$1:$L$800,7+M$3,1)&lt;&gt;""),1,0),0)</f>
        <v/>
      </c>
      <c r="N10">
        <f>IF(N$4=1,IF(OR(INDEX('×入力'!$A$1:$L$800,7+N$3,2+N$2)&lt;&gt;"",INDEX('×入力'!$A$1:$L$800,6,2+N$2)&lt;&gt;"",INDEX('×入力'!$A$1:$L$800,7+N$3,1)&lt;&gt;""),1,0),0)</f>
        <v/>
      </c>
      <c r="O10">
        <f>IF(O$4=1,IF(OR(INDEX('×入力'!$A$1:$L$800,7+O$3,2+O$2)&lt;&gt;"",INDEX('×入力'!$A$1:$L$800,6,2+O$2)&lt;&gt;"",INDEX('×入力'!$A$1:$L$800,7+O$3,1)&lt;&gt;""),1,0),0)</f>
        <v/>
      </c>
      <c r="P10">
        <f>IF(P$4=1,IF(OR(INDEX('×入力'!$A$1:$L$800,7+P$3,2+P$2)&lt;&gt;"",INDEX('×入力'!$A$1:$L$800,6,2+P$2)&lt;&gt;"",INDEX('×入力'!$A$1:$L$800,7+P$3,1)&lt;&gt;""),1,0),0)</f>
        <v/>
      </c>
      <c r="Q10">
        <f>IF(Q$4=1,IF(OR(INDEX('×入力'!$A$1:$L$800,7+Q$3,2+Q$2)&lt;&gt;"",INDEX('×入力'!$A$1:$L$800,6,2+Q$2)&lt;&gt;"",INDEX('×入力'!$A$1:$L$800,7+Q$3,1)&lt;&gt;""),1,0),0)</f>
        <v/>
      </c>
      <c r="R10">
        <f>IF(R$4=1,IF(OR(INDEX('×入力'!$A$1:$L$800,7+R$3,2+R$2)&lt;&gt;"",INDEX('×入力'!$A$1:$L$800,6,2+R$2)&lt;&gt;"",INDEX('×入力'!$A$1:$L$800,7+R$3,1)&lt;&gt;""),1,0),0)</f>
        <v/>
      </c>
      <c r="S10">
        <f>IF(S$4=1,IF(OR(INDEX('×入力'!$A$1:$L$800,7+S$3,2+S$2)&lt;&gt;"",INDEX('×入力'!$A$1:$L$800,6,2+S$2)&lt;&gt;"",INDEX('×入力'!$A$1:$L$800,7+S$3,1)&lt;&gt;""),1,0),0)</f>
        <v/>
      </c>
      <c r="T10">
        <f>IF(T$4=1,IF(OR(INDEX('×入力'!$A$1:$L$800,7+T$3,2+T$2)&lt;&gt;"",INDEX('×入力'!$A$1:$L$800,6,2+T$2)&lt;&gt;"",INDEX('×入力'!$A$1:$L$800,7+T$3,1)&lt;&gt;""),1,0),0)</f>
        <v/>
      </c>
      <c r="U10">
        <f>IF(U$4=1,IF(OR(INDEX('×入力'!$A$1:$L$800,7+U$3,2+U$2)&lt;&gt;"",INDEX('×入力'!$A$1:$L$800,6,2+U$2)&lt;&gt;"",INDEX('×入力'!$A$1:$L$800,7+U$3,1)&lt;&gt;""),1,0),0)</f>
        <v/>
      </c>
      <c r="V10">
        <f>IF(V$4=1,IF(OR(INDEX('×入力'!$A$1:$L$800,7+V$3,2+V$2)&lt;&gt;"",INDEX('×入力'!$A$1:$L$800,6,2+V$2)&lt;&gt;"",INDEX('×入力'!$A$1:$L$800,7+V$3,1)&lt;&gt;""),1,0),0)</f>
        <v/>
      </c>
      <c r="W10">
        <f>IF(W$4=1,IF(OR(INDEX('×入力'!$A$1:$L$800,7+W$3,2+W$2)&lt;&gt;"",INDEX('×入力'!$A$1:$L$800,6,2+W$2)&lt;&gt;"",INDEX('×入力'!$A$1:$L$800,7+W$3,1)&lt;&gt;""),1,0),0)</f>
        <v/>
      </c>
      <c r="X10">
        <f>IF(X$4=1,IF(OR(INDEX('×入力'!$A$1:$L$800,7+X$3,2+X$2)&lt;&gt;"",INDEX('×入力'!$A$1:$L$800,6,2+X$2)&lt;&gt;"",INDEX('×入力'!$A$1:$L$800,7+X$3,1)&lt;&gt;""),1,0),0)</f>
        <v/>
      </c>
      <c r="Y10">
        <f>IF(Y$4=1,IF(OR(INDEX('×入力'!$A$1:$L$800,7+Y$3,2+Y$2)&lt;&gt;"",INDEX('×入力'!$A$1:$L$800,6,2+Y$2)&lt;&gt;"",INDEX('×入力'!$A$1:$L$800,7+Y$3,1)&lt;&gt;""),1,0),0)</f>
        <v/>
      </c>
      <c r="Z10">
        <f>IF(Z$4=1,IF(OR(INDEX('×入力'!$A$1:$L$800,7+Z$3,2+Z$2)&lt;&gt;"",INDEX('×入力'!$A$1:$L$800,6,2+Z$2)&lt;&gt;"",INDEX('×入力'!$A$1:$L$800,7+Z$3,1)&lt;&gt;""),1,0),0)</f>
        <v/>
      </c>
      <c r="AA10">
        <f>IF(AA$4=1,IF(OR(INDEX('×入力'!$A$1:$L$800,7+AA$3,2+AA$2)&lt;&gt;"",INDEX('×入力'!$A$1:$L$800,6,2+AA$2)&lt;&gt;"",INDEX('×入力'!$A$1:$L$800,7+AA$3,1)&lt;&gt;""),1,0),0)</f>
        <v/>
      </c>
      <c r="AB10">
        <f>IF(AB$4=1,IF(OR(INDEX('×入力'!$A$1:$L$800,7+AB$3,2+AB$2)&lt;&gt;"",INDEX('×入力'!$A$1:$L$800,6,2+AB$2)&lt;&gt;"",INDEX('×入力'!$A$1:$L$800,7+AB$3,1)&lt;&gt;""),1,0),0)</f>
        <v/>
      </c>
      <c r="AC10">
        <f>IF(AC$4=1,IF(OR(INDEX('×入力'!$A$1:$L$800,7+AC$3,2+AC$2)&lt;&gt;"",INDEX('×入力'!$A$1:$L$800,6,2+AC$2)&lt;&gt;"",INDEX('×入力'!$A$1:$L$800,7+AC$3,1)&lt;&gt;""),1,0),0)</f>
        <v/>
      </c>
      <c r="AD10">
        <f>IF(AD$4=1,IF(OR(INDEX('×入力'!$A$1:$L$800,7+AD$3,2+AD$2)&lt;&gt;"",INDEX('×入力'!$A$1:$L$800,6,2+AD$2)&lt;&gt;"",INDEX('×入力'!$A$1:$L$800,7+AD$3,1)&lt;&gt;""),1,0),0)</f>
        <v/>
      </c>
      <c r="AE10">
        <f>IF(AE$4=1,IF(OR(INDEX('×入力'!$A$1:$L$800,7+AE$3,2+AE$2)&lt;&gt;"",INDEX('×入力'!$A$1:$L$800,6,2+AE$2)&lt;&gt;"",INDEX('×入力'!$A$1:$L$800,7+AE$3,1)&lt;&gt;""),1,0),0)</f>
        <v/>
      </c>
      <c r="AF10">
        <f>IF(AF$4=1,IF(OR(INDEX('×入力'!$A$1:$L$800,7+AF$3,2+AF$2)&lt;&gt;"",INDEX('×入力'!$A$1:$L$800,6,2+AF$2)&lt;&gt;"",INDEX('×入力'!$A$1:$L$800,7+AF$3,1)&lt;&gt;""),1,0),0)</f>
        <v/>
      </c>
      <c r="AG10">
        <f>IF(AG$4=1,IF(OR(INDEX('×入力'!$A$1:$L$800,7+AG$3,2+AG$2)&lt;&gt;"",INDEX('×入力'!$A$1:$L$800,6,2+AG$2)&lt;&gt;"",INDEX('×入力'!$A$1:$L$800,7+AG$3,1)&lt;&gt;""),1,0),0)</f>
        <v/>
      </c>
      <c r="AH10">
        <f>IF(AH$4=1,IF(OR(INDEX('×入力'!$A$1:$L$800,7+AH$3,2+AH$2)&lt;&gt;"",INDEX('×入力'!$A$1:$L$800,6,2+AH$2)&lt;&gt;"",INDEX('×入力'!$A$1:$L$800,7+AH$3,1)&lt;&gt;""),1,0),0)</f>
        <v/>
      </c>
      <c r="AI10">
        <f>IF(AI$4=1,IF(OR(INDEX('×入力'!$A$1:$L$800,7+AI$3,2+AI$2)&lt;&gt;"",INDEX('×入力'!$A$1:$L$800,6,2+AI$2)&lt;&gt;"",INDEX('×入力'!$A$1:$L$800,7+AI$3,1)&lt;&gt;""),1,0),0)</f>
        <v/>
      </c>
      <c r="AJ10">
        <f>IF(AJ$4=1,IF(OR(INDEX('×入力'!$A$1:$L$800,7+AJ$3,2+AJ$2)&lt;&gt;"",INDEX('×入力'!$A$1:$L$800,6,2+AJ$2)&lt;&gt;"",INDEX('×入力'!$A$1:$L$800,7+AJ$3,1)&lt;&gt;""),1,0),0)</f>
        <v/>
      </c>
      <c r="AK10">
        <f>IF(AK$4=1,IF(OR(INDEX('×入力'!$A$1:$L$800,7+AK$3,2+AK$2)&lt;&gt;"",INDEX('×入力'!$A$1:$L$800,6,2+AK$2)&lt;&gt;"",INDEX('×入力'!$A$1:$L$800,7+AK$3,1)&lt;&gt;""),1,0),0)</f>
        <v/>
      </c>
      <c r="AL10">
        <f>IF(AL$4=1,IF(OR(INDEX('×入力'!$A$1:$L$800,7+AL$3,2+AL$2)&lt;&gt;"",INDEX('×入力'!$A$1:$L$800,6,2+AL$2)&lt;&gt;"",INDEX('×入力'!$A$1:$L$800,7+AL$3,1)&lt;&gt;""),1,0),0)</f>
        <v/>
      </c>
      <c r="AM10">
        <f>IF(AM$4=1,IF(OR(INDEX('×入力'!$A$1:$L$800,7+AM$3,2+AM$2)&lt;&gt;"",INDEX('×入力'!$A$1:$L$800,6,2+AM$2)&lt;&gt;"",INDEX('×入力'!$A$1:$L$800,7+AM$3,1)&lt;&gt;""),1,0),0)</f>
        <v/>
      </c>
      <c r="AN10">
        <f>IF(AN$4=1,IF(OR(INDEX('×入力'!$A$1:$L$800,7+AN$3,2+AN$2)&lt;&gt;"",INDEX('×入力'!$A$1:$L$800,6,2+AN$2)&lt;&gt;"",INDEX('×入力'!$A$1:$L$800,7+AN$3,1)&lt;&gt;""),1,0),0)</f>
        <v/>
      </c>
      <c r="AO10">
        <f>IF(AO$4=1,IF(OR(INDEX('×入力'!$A$1:$L$800,7+AO$3,2+AO$2)&lt;&gt;"",INDEX('×入力'!$A$1:$L$800,6,2+AO$2)&lt;&gt;"",INDEX('×入力'!$A$1:$L$800,7+AO$3,1)&lt;&gt;""),1,0),0)</f>
        <v/>
      </c>
      <c r="AP10">
        <f>IF(AP$4=1,IF(OR(INDEX('×入力'!$A$1:$L$800,7+AP$3,2+AP$2)&lt;&gt;"",INDEX('×入力'!$A$1:$L$800,6,2+AP$2)&lt;&gt;"",INDEX('×入力'!$A$1:$L$800,7+AP$3,1)&lt;&gt;""),1,0),0)</f>
        <v/>
      </c>
      <c r="AQ10">
        <f>IF(AQ$4=1,IF(OR(INDEX('×入力'!$A$1:$L$800,7+AQ$3,2+AQ$2)&lt;&gt;"",INDEX('×入力'!$A$1:$L$800,6,2+AQ$2)&lt;&gt;"",INDEX('×入力'!$A$1:$L$800,7+AQ$3,1)&lt;&gt;""),1,0),0)</f>
        <v/>
      </c>
      <c r="AR10">
        <f>IF(AR$4=1,IF(OR(INDEX('×入力'!$A$1:$L$800,7+AR$3,2+AR$2)&lt;&gt;"",INDEX('×入力'!$A$1:$L$800,6,2+AR$2)&lt;&gt;"",INDEX('×入力'!$A$1:$L$800,7+AR$3,1)&lt;&gt;""),1,0),0)</f>
        <v/>
      </c>
      <c r="AS10">
        <f>IF(AS$4=1,IF(OR(INDEX('×入力'!$A$1:$L$800,7+AS$3,2+AS$2)&lt;&gt;"",INDEX('×入力'!$A$1:$L$800,6,2+AS$2)&lt;&gt;"",INDEX('×入力'!$A$1:$L$800,7+AS$3,1)&lt;&gt;""),1,0),0)</f>
        <v/>
      </c>
      <c r="AT10">
        <f>IF(AT$4=1,IF(OR(INDEX('×入力'!$A$1:$L$800,7+AT$3,2+AT$2)&lt;&gt;"",INDEX('×入力'!$A$1:$L$800,6,2+AT$2)&lt;&gt;"",INDEX('×入力'!$A$1:$L$800,7+AT$3,1)&lt;&gt;""),1,0),0)</f>
        <v/>
      </c>
      <c r="AU10">
        <f>IF(AU$4=1,IF(OR(INDEX('×入力'!$A$1:$L$800,7+AU$3,2+AU$2)&lt;&gt;"",INDEX('×入力'!$A$1:$L$800,6,2+AU$2)&lt;&gt;"",INDEX('×入力'!$A$1:$L$800,7+AU$3,1)&lt;&gt;""),1,0),0)</f>
        <v/>
      </c>
      <c r="AV10">
        <f>IF(AV$4=1,IF(OR(INDEX('×入力'!$A$1:$L$800,7+AV$3,2+AV$2)&lt;&gt;"",INDEX('×入力'!$A$1:$L$800,6,2+AV$2)&lt;&gt;"",INDEX('×入力'!$A$1:$L$800,7+AV$3,1)&lt;&gt;""),1,0),0)</f>
        <v/>
      </c>
      <c r="AW10">
        <f>IF(AW$4=1,IF(OR(INDEX('×入力'!$A$1:$L$800,7+AW$3,2+AW$2)&lt;&gt;"",INDEX('×入力'!$A$1:$L$800,6,2+AW$2)&lt;&gt;"",INDEX('×入力'!$A$1:$L$800,7+AW$3,1)&lt;&gt;""),1,0),0)</f>
        <v/>
      </c>
      <c r="AX10">
        <f>IF(AX$4=1,IF(OR(INDEX('×入力'!$A$1:$L$800,7+AX$3,2+AX$2)&lt;&gt;"",INDEX('×入力'!$A$1:$L$800,6,2+AX$2)&lt;&gt;"",INDEX('×入力'!$A$1:$L$800,7+AX$3,1)&lt;&gt;""),1,0),0)</f>
        <v/>
      </c>
      <c r="AY10">
        <f>IF(AY$4=1,IF(OR(INDEX('×入力'!$A$1:$L$800,7+AY$3,2+AY$2)&lt;&gt;"",INDEX('×入力'!$A$1:$L$800,6,2+AY$2)&lt;&gt;"",INDEX('×入力'!$A$1:$L$800,7+AY$3,1)&lt;&gt;""),1,0),0)</f>
        <v/>
      </c>
      <c r="AZ10">
        <f>IF(AZ$4=1,IF(OR(INDEX('×入力'!$A$1:$L$800,7+AZ$3,2+AZ$2)&lt;&gt;"",INDEX('×入力'!$A$1:$L$800,6,2+AZ$2)&lt;&gt;"",INDEX('×入力'!$A$1:$L$800,7+AZ$3,1)&lt;&gt;""),1,0),0)</f>
        <v/>
      </c>
      <c r="BA10">
        <f>IF(BA$4=1,IF(OR(INDEX('×入力'!$A$1:$L$800,7+BA$3,2+BA$2)&lt;&gt;"",INDEX('×入力'!$A$1:$L$800,6,2+BA$2)&lt;&gt;"",INDEX('×入力'!$A$1:$L$800,7+BA$3,1)&lt;&gt;""),1,0),0)</f>
        <v/>
      </c>
      <c r="BB10">
        <f>IF(BB$4=1,IF(OR(INDEX('×入力'!$A$1:$L$800,7+BB$3,2+BB$2)&lt;&gt;"",INDEX('×入力'!$A$1:$L$800,6,2+BB$2)&lt;&gt;"",INDEX('×入力'!$A$1:$L$800,7+BB$3,1)&lt;&gt;""),1,0),0)</f>
        <v/>
      </c>
      <c r="BC10">
        <f>IF(BC$4=1,IF(OR(INDEX('×入力'!$A$1:$L$800,7+BC$3,2+BC$2)&lt;&gt;"",INDEX('×入力'!$A$1:$L$800,6,2+BC$2)&lt;&gt;"",INDEX('×入力'!$A$1:$L$800,7+BC$3,1)&lt;&gt;""),1,0),0)</f>
        <v/>
      </c>
      <c r="BD10">
        <f>IF(BD$4=1,IF(OR(INDEX('×入力'!$A$1:$L$800,7+BD$3,2+BD$2)&lt;&gt;"",INDEX('×入力'!$A$1:$L$800,6,2+BD$2)&lt;&gt;"",INDEX('×入力'!$A$1:$L$800,7+BD$3,1)&lt;&gt;""),1,0),0)</f>
        <v/>
      </c>
      <c r="BE10">
        <f>IF(BE$4=1,IF(OR(INDEX('×入力'!$A$1:$L$800,7+BE$3,2+BE$2)&lt;&gt;"",INDEX('×入力'!$A$1:$L$800,6,2+BE$2)&lt;&gt;"",INDEX('×入力'!$A$1:$L$800,7+BE$3,1)&lt;&gt;""),1,0),0)</f>
        <v/>
      </c>
      <c r="BF10">
        <f>IF(BF$4=1,IF(OR(INDEX('×入力'!$A$1:$L$800,7+BF$3,2+BF$2)&lt;&gt;"",INDEX('×入力'!$A$1:$L$800,6,2+BF$2)&lt;&gt;"",INDEX('×入力'!$A$1:$L$800,7+BF$3,1)&lt;&gt;""),1,0),0)</f>
        <v/>
      </c>
      <c r="BG10">
        <f>IF(BG$4=1,IF(OR(INDEX('×入力'!$A$1:$L$800,7+BG$3,2+BG$2)&lt;&gt;"",INDEX('×入力'!$A$1:$L$800,6,2+BG$2)&lt;&gt;"",INDEX('×入力'!$A$1:$L$800,7+BG$3,1)&lt;&gt;""),1,0),0)</f>
        <v/>
      </c>
      <c r="BH10">
        <f>IF(BH$4=1,IF(OR(INDEX('×入力'!$A$1:$L$800,7+BH$3,2+BH$2)&lt;&gt;"",INDEX('×入力'!$A$1:$L$800,6,2+BH$2)&lt;&gt;"",INDEX('×入力'!$A$1:$L$800,7+BH$3,1)&lt;&gt;""),1,0),0)</f>
        <v/>
      </c>
      <c r="BI10">
        <f>IF(BI$4=1,IF(OR(INDEX('×入力'!$A$1:$L$800,7+BI$3,2+BI$2)&lt;&gt;"",INDEX('×入力'!$A$1:$L$800,6,2+BI$2)&lt;&gt;"",INDEX('×入力'!$A$1:$L$800,7+BI$3,1)&lt;&gt;""),1,0),0)</f>
        <v/>
      </c>
      <c r="BJ10">
        <f>IF(BJ$4=1,IF(OR(INDEX('×入力'!$A$1:$L$800,7+BJ$3,2+BJ$2)&lt;&gt;"",INDEX('×入力'!$A$1:$L$800,6,2+BJ$2)&lt;&gt;"",INDEX('×入力'!$A$1:$L$800,7+BJ$3,1)&lt;&gt;""),1,0),0)</f>
        <v/>
      </c>
      <c r="BK10">
        <f>IF(BK$4=1,IF(OR(INDEX('×入力'!$A$1:$L$800,7+BK$3,2+BK$2)&lt;&gt;"",INDEX('×入力'!$A$1:$L$800,6,2+BK$2)&lt;&gt;"",INDEX('×入力'!$A$1:$L$800,7+BK$3,1)&lt;&gt;""),1,0),0)</f>
        <v/>
      </c>
      <c r="BL10">
        <f>IF(BL$4=1,IF(OR(INDEX('×入力'!$A$1:$L$800,7+BL$3,2+BL$2)&lt;&gt;"",INDEX('×入力'!$A$1:$L$800,6,2+BL$2)&lt;&gt;"",INDEX('×入力'!$A$1:$L$800,7+BL$3,1)&lt;&gt;""),1,0),0)</f>
        <v/>
      </c>
      <c r="BM10">
        <f>IF(BM$4=1,IF(OR(INDEX('×入力'!$A$1:$L$800,7+BM$3,2+BM$2)&lt;&gt;"",INDEX('×入力'!$A$1:$L$800,6,2+BM$2)&lt;&gt;"",INDEX('×入力'!$A$1:$L$800,7+BM$3,1)&lt;&gt;""),1,0),0)</f>
        <v/>
      </c>
      <c r="BN10">
        <f>IF(BN$4=1,IF(OR(INDEX('×入力'!$A$1:$L$800,7+BN$3,2+BN$2)&lt;&gt;"",INDEX('×入力'!$A$1:$L$800,6,2+BN$2)&lt;&gt;"",INDEX('×入力'!$A$1:$L$800,7+BN$3,1)&lt;&gt;""),1,0),0)</f>
        <v/>
      </c>
      <c r="BO10">
        <f>IF(BO$4=1,IF(OR(INDEX('×入力'!$A$1:$L$800,7+BO$3,2+BO$2)&lt;&gt;"",INDEX('×入力'!$A$1:$L$800,6,2+BO$2)&lt;&gt;"",INDEX('×入力'!$A$1:$L$800,7+BO$3,1)&lt;&gt;""),1,0),0)</f>
        <v/>
      </c>
      <c r="BP10">
        <f>IF(BP$4=1,IF(OR(INDEX('×入力'!$A$1:$L$800,7+BP$3,2+BP$2)&lt;&gt;"",INDEX('×入力'!$A$1:$L$800,6,2+BP$2)&lt;&gt;"",INDEX('×入力'!$A$1:$L$800,7+BP$3,1)&lt;&gt;""),1,0),0)</f>
        <v/>
      </c>
      <c r="BQ10">
        <f>IF(BQ$4=1,IF(OR(INDEX('×入力'!$A$1:$L$800,7+BQ$3,2+BQ$2)&lt;&gt;"",INDEX('×入力'!$A$1:$L$800,6,2+BQ$2)&lt;&gt;"",INDEX('×入力'!$A$1:$L$800,7+BQ$3,1)&lt;&gt;""),1,0),0)</f>
        <v/>
      </c>
      <c r="BR10">
        <f>IF(BR$4=1,IF(OR(INDEX('×入力'!$A$1:$L$800,7+BR$3,2+BR$2)&lt;&gt;"",INDEX('×入力'!$A$1:$L$800,6,2+BR$2)&lt;&gt;"",INDEX('×入力'!$A$1:$L$800,7+BR$3,1)&lt;&gt;""),1,0),0)</f>
        <v/>
      </c>
      <c r="BS10">
        <f>IF(BS$4=1,IF(OR(INDEX('×入力'!$A$1:$L$800,7+BS$3,2+BS$2)&lt;&gt;"",INDEX('×入力'!$A$1:$L$800,6,2+BS$2)&lt;&gt;"",INDEX('×入力'!$A$1:$L$800,7+BS$3,1)&lt;&gt;""),1,0),0)</f>
        <v/>
      </c>
      <c r="BT10">
        <f>IF(BT$4=1,IF(OR(INDEX('×入力'!$A$1:$L$800,7+BT$3,2+BT$2)&lt;&gt;"",INDEX('×入力'!$A$1:$L$800,6,2+BT$2)&lt;&gt;"",INDEX('×入力'!$A$1:$L$800,7+BT$3,1)&lt;&gt;""),1,0),0)</f>
        <v/>
      </c>
      <c r="BU10">
        <f>IF(BU$4=1,IF(OR(INDEX('×入力'!$A$1:$L$800,7+BU$3,2+BU$2)&lt;&gt;"",INDEX('×入力'!$A$1:$L$800,6,2+BU$2)&lt;&gt;"",INDEX('×入力'!$A$1:$L$800,7+BU$3,1)&lt;&gt;""),1,0),0)</f>
        <v/>
      </c>
      <c r="BV10">
        <f>IF(BV$4=1,IF(OR(INDEX('×入力'!$A$1:$L$800,7+BV$3,2+BV$2)&lt;&gt;"",INDEX('×入力'!$A$1:$L$800,6,2+BV$2)&lt;&gt;"",INDEX('×入力'!$A$1:$L$800,7+BV$3,1)&lt;&gt;""),1,0),0)</f>
        <v/>
      </c>
      <c r="BW10">
        <f>IF(BW$4=1,IF(OR(INDEX('×入力'!$A$1:$L$800,7+BW$3,2+BW$2)&lt;&gt;"",INDEX('×入力'!$A$1:$L$800,6,2+BW$2)&lt;&gt;"",INDEX('×入力'!$A$1:$L$800,7+BW$3,1)&lt;&gt;""),1,0),0)</f>
        <v/>
      </c>
      <c r="BX10">
        <f>IF(BX$4=1,IF(OR(INDEX('×入力'!$A$1:$L$800,7+BX$3,2+BX$2)&lt;&gt;"",INDEX('×入力'!$A$1:$L$800,6,2+BX$2)&lt;&gt;"",INDEX('×入力'!$A$1:$L$800,7+BX$3,1)&lt;&gt;""),1,0),0)</f>
        <v/>
      </c>
      <c r="BY10">
        <f>IF(BY$4=1,IF(OR(INDEX('×入力'!$A$1:$L$800,7+BY$3,2+BY$2)&lt;&gt;"",INDEX('×入力'!$A$1:$L$800,6,2+BY$2)&lt;&gt;"",INDEX('×入力'!$A$1:$L$800,7+BY$3,1)&lt;&gt;""),1,0),0)</f>
        <v/>
      </c>
      <c r="BZ10">
        <f>IF(BZ$4=1,IF(OR(INDEX('×入力'!$A$1:$L$800,7+BZ$3,2+BZ$2)&lt;&gt;"",INDEX('×入力'!$A$1:$L$800,6,2+BZ$2)&lt;&gt;"",INDEX('×入力'!$A$1:$L$800,7+BZ$3,1)&lt;&gt;""),1,0),0)</f>
        <v/>
      </c>
      <c r="CA10">
        <f>IF(CA$4=1,IF(OR(INDEX('×入力'!$A$1:$L$800,7+CA$3,2+CA$2)&lt;&gt;"",INDEX('×入力'!$A$1:$L$800,6,2+CA$2)&lt;&gt;"",INDEX('×入力'!$A$1:$L$800,7+CA$3,1)&lt;&gt;""),1,0),0)</f>
        <v/>
      </c>
      <c r="CB10">
        <f>IF(CB$4=1,IF(OR(INDEX('×入力'!$A$1:$L$800,7+CB$3,2+CB$2)&lt;&gt;"",INDEX('×入力'!$A$1:$L$800,6,2+CB$2)&lt;&gt;"",INDEX('×入力'!$A$1:$L$800,7+CB$3,1)&lt;&gt;""),1,0),0)</f>
        <v/>
      </c>
      <c r="CC10">
        <f>IF(CC$4=1,IF(OR(INDEX('×入力'!$A$1:$L$800,7+CC$3,2+CC$2)&lt;&gt;"",INDEX('×入力'!$A$1:$L$800,6,2+CC$2)&lt;&gt;"",INDEX('×入力'!$A$1:$L$800,7+CC$3,1)&lt;&gt;""),1,0),0)</f>
        <v/>
      </c>
      <c r="CD10">
        <f>IF(CD$4=1,IF(OR(INDEX('×入力'!$A$1:$L$800,7+CD$3,2+CD$2)&lt;&gt;"",INDEX('×入力'!$A$1:$L$800,6,2+CD$2)&lt;&gt;"",INDEX('×入力'!$A$1:$L$800,7+CD$3,1)&lt;&gt;""),1,0),0)</f>
        <v/>
      </c>
      <c r="CE10">
        <f>IF(CE$4=1,IF(OR(INDEX('×入力'!$A$1:$L$800,7+CE$3,2+CE$2)&lt;&gt;"",INDEX('×入力'!$A$1:$L$800,6,2+CE$2)&lt;&gt;"",INDEX('×入力'!$A$1:$L$800,7+CE$3,1)&lt;&gt;""),1,0),0)</f>
        <v/>
      </c>
      <c r="CF10">
        <f>IF(CF$4=1,IF(OR(INDEX('×入力'!$A$1:$L$800,7+CF$3,2+CF$2)&lt;&gt;"",INDEX('×入力'!$A$1:$L$800,6,2+CF$2)&lt;&gt;"",INDEX('×入力'!$A$1:$L$800,7+CF$3,1)&lt;&gt;""),1,0),0)</f>
        <v/>
      </c>
      <c r="CG10">
        <f>IF(CG$4=1,IF(OR(INDEX('×入力'!$A$1:$L$800,7+CG$3,2+CG$2)&lt;&gt;"",INDEX('×入力'!$A$1:$L$800,6,2+CG$2)&lt;&gt;"",INDEX('×入力'!$A$1:$L$800,7+CG$3,1)&lt;&gt;""),1,0),0)</f>
        <v/>
      </c>
      <c r="CH10">
        <f>IF(CH$4=1,IF(OR(INDEX('×入力'!$A$1:$L$800,7+CH$3,2+CH$2)&lt;&gt;"",INDEX('×入力'!$A$1:$L$800,6,2+CH$2)&lt;&gt;"",INDEX('×入力'!$A$1:$L$800,7+CH$3,1)&lt;&gt;""),1,0),0)</f>
        <v/>
      </c>
      <c r="CI10">
        <f>IF(CI$4=1,IF(OR(INDEX('×入力'!$A$1:$L$800,7+CI$3,2+CI$2)&lt;&gt;"",INDEX('×入力'!$A$1:$L$800,6,2+CI$2)&lt;&gt;"",INDEX('×入力'!$A$1:$L$800,7+CI$3,1)&lt;&gt;""),1,0),0)</f>
        <v/>
      </c>
      <c r="CJ10">
        <f>IF(CJ$4=1,IF(OR(INDEX('×入力'!$A$1:$L$800,7+CJ$3,2+CJ$2)&lt;&gt;"",INDEX('×入力'!$A$1:$L$800,6,2+CJ$2)&lt;&gt;"",INDEX('×入力'!$A$1:$L$800,7+CJ$3,1)&lt;&gt;""),1,0),0)</f>
        <v/>
      </c>
      <c r="CK10">
        <f>IF(CK$4=1,IF(OR(INDEX('×入力'!$A$1:$L$800,7+CK$3,2+CK$2)&lt;&gt;"",INDEX('×入力'!$A$1:$L$800,6,2+CK$2)&lt;&gt;"",INDEX('×入力'!$A$1:$L$800,7+CK$3,1)&lt;&gt;""),1,0),0)</f>
        <v/>
      </c>
      <c r="CL10">
        <f>IF(CL$4=1,IF(OR(INDEX('×入力'!$A$1:$L$800,7+CL$3,2+CL$2)&lt;&gt;"",INDEX('×入力'!$A$1:$L$800,6,2+CL$2)&lt;&gt;"",INDEX('×入力'!$A$1:$L$800,7+CL$3,1)&lt;&gt;""),1,0),0)</f>
        <v/>
      </c>
      <c r="CM10">
        <f>IF(CM$4=1,IF(OR(INDEX('×入力'!$A$1:$L$800,7+CM$3,2+CM$2)&lt;&gt;"",INDEX('×入力'!$A$1:$L$800,6,2+CM$2)&lt;&gt;"",INDEX('×入力'!$A$1:$L$800,7+CM$3,1)&lt;&gt;""),1,0),0)</f>
        <v/>
      </c>
      <c r="CN10">
        <f>IF(CN$4=1,IF(OR(INDEX('×入力'!$A$1:$L$800,7+CN$3,2+CN$2)&lt;&gt;"",INDEX('×入力'!$A$1:$L$800,6,2+CN$2)&lt;&gt;"",INDEX('×入力'!$A$1:$L$800,7+CN$3,1)&lt;&gt;""),1,0),0)</f>
        <v/>
      </c>
      <c r="CO10">
        <f>IF(CO$4=1,IF(OR(INDEX('×入力'!$A$1:$L$800,7+CO$3,2+CO$2)&lt;&gt;"",INDEX('×入力'!$A$1:$L$800,6,2+CO$2)&lt;&gt;"",INDEX('×入力'!$A$1:$L$800,7+CO$3,1)&lt;&gt;""),1,0),0)</f>
        <v/>
      </c>
      <c r="CP10">
        <f>IF(CP$4=1,IF(OR(INDEX('×入力'!$A$1:$L$800,7+CP$3,2+CP$2)&lt;&gt;"",INDEX('×入力'!$A$1:$L$800,6,2+CP$2)&lt;&gt;"",INDEX('×入力'!$A$1:$L$800,7+CP$3,1)&lt;&gt;""),1,0),0)</f>
        <v/>
      </c>
      <c r="CQ10">
        <f>IF(CQ$4=1,IF(OR(INDEX('×入力'!$A$1:$L$800,7+CQ$3,2+CQ$2)&lt;&gt;"",INDEX('×入力'!$A$1:$L$800,6,2+CQ$2)&lt;&gt;"",INDEX('×入力'!$A$1:$L$800,7+CQ$3,1)&lt;&gt;""),1,0),0)</f>
        <v/>
      </c>
      <c r="CR10">
        <f>IF(CR$4=1,IF(OR(INDEX('×入力'!$A$1:$L$800,7+CR$3,2+CR$2)&lt;&gt;"",INDEX('×入力'!$A$1:$L$800,6,2+CR$2)&lt;&gt;"",INDEX('×入力'!$A$1:$L$800,7+CR$3,1)&lt;&gt;""),1,0),0)</f>
        <v/>
      </c>
      <c r="CS10">
        <f>IF(CS$4=1,IF(OR(INDEX('×入力'!$A$1:$L$800,7+CS$3,2+CS$2)&lt;&gt;"",INDEX('×入力'!$A$1:$L$800,6,2+CS$2)&lt;&gt;"",INDEX('×入力'!$A$1:$L$800,7+CS$3,1)&lt;&gt;""),1,0),0)</f>
        <v/>
      </c>
      <c r="CT10">
        <f>IF(CT$4=1,IF(OR(INDEX('×入力'!$A$1:$L$800,7+CT$3,2+CT$2)&lt;&gt;"",INDEX('×入力'!$A$1:$L$800,6,2+CT$2)&lt;&gt;"",INDEX('×入力'!$A$1:$L$800,7+CT$3,1)&lt;&gt;""),1,0),0)</f>
        <v/>
      </c>
      <c r="CU10">
        <f>IF(CU$4=1,IF(OR(INDEX('×入力'!$A$1:$L$800,7+CU$3,2+CU$2)&lt;&gt;"",INDEX('×入力'!$A$1:$L$800,6,2+CU$2)&lt;&gt;"",INDEX('×入力'!$A$1:$L$800,7+CU$3,1)&lt;&gt;""),1,0),0)</f>
        <v/>
      </c>
      <c r="CV10">
        <f>IF(CV$4=1,IF(OR(INDEX('×入力'!$A$1:$L$800,7+CV$3,2+CV$2)&lt;&gt;"",INDEX('×入力'!$A$1:$L$800,6,2+CV$2)&lt;&gt;"",INDEX('×入力'!$A$1:$L$800,7+CV$3,1)&lt;&gt;""),1,0),0)</f>
        <v/>
      </c>
      <c r="CW10">
        <f>IF(CW$4=1,IF(OR(INDEX('×入力'!$A$1:$L$800,7+CW$3,2+CW$2)&lt;&gt;"",INDEX('×入力'!$A$1:$L$800,6,2+CW$2)&lt;&gt;"",INDEX('×入力'!$A$1:$L$800,7+CW$3,1)&lt;&gt;""),1,0),0)</f>
        <v/>
      </c>
      <c r="CX10">
        <f>IF(CX$4=1,IF(OR(INDEX('×入力'!$A$1:$L$800,7+CX$3,2+CX$2)&lt;&gt;"",INDEX('×入力'!$A$1:$L$800,6,2+CX$2)&lt;&gt;"",INDEX('×入力'!$A$1:$L$800,7+CX$3,1)&lt;&gt;""),1,0),0)</f>
        <v/>
      </c>
      <c r="CY10">
        <f>IF(CY$4=1,IF(OR(INDEX('×入力'!$A$1:$L$800,7+CY$3,2+CY$2)&lt;&gt;"",INDEX('×入力'!$A$1:$L$800,6,2+CY$2)&lt;&gt;"",INDEX('×入力'!$A$1:$L$800,7+CY$3,1)&lt;&gt;""),1,0),0)</f>
        <v/>
      </c>
      <c r="CZ10">
        <f>IF(CZ$4=1,IF(OR(INDEX('×入力'!$A$1:$L$800,7+CZ$3,2+CZ$2)&lt;&gt;"",INDEX('×入力'!$A$1:$L$800,6,2+CZ$2)&lt;&gt;"",INDEX('×入力'!$A$1:$L$800,7+CZ$3,1)&lt;&gt;""),1,0),0)</f>
        <v/>
      </c>
      <c r="DA10">
        <f>IF(DA$4=1,IF(OR(INDEX('×入力'!$A$1:$L$800,7+DA$3,2+DA$2)&lt;&gt;"",INDEX('×入力'!$A$1:$L$800,6,2+DA$2)&lt;&gt;"",INDEX('×入力'!$A$1:$L$800,7+DA$3,1)&lt;&gt;""),1,0),0)</f>
        <v/>
      </c>
      <c r="DB10">
        <f>IF(DB$4=1,IF(OR(INDEX('×入力'!$A$1:$L$800,7+DB$3,2+DB$2)&lt;&gt;"",INDEX('×入力'!$A$1:$L$800,6,2+DB$2)&lt;&gt;"",INDEX('×入力'!$A$1:$L$800,7+DB$3,1)&lt;&gt;""),1,0),0)</f>
        <v/>
      </c>
      <c r="DC10">
        <f>IF(DC$4=1,IF(OR(INDEX('×入力'!$A$1:$L$800,7+DC$3,2+DC$2)&lt;&gt;"",INDEX('×入力'!$A$1:$L$800,6,2+DC$2)&lt;&gt;"",INDEX('×入力'!$A$1:$L$800,7+DC$3,1)&lt;&gt;""),1,0),0)</f>
        <v/>
      </c>
      <c r="DD10">
        <f>IF(DD$4=1,IF(OR(INDEX('×入力'!$A$1:$L$800,7+DD$3,2+DD$2)&lt;&gt;"",INDEX('×入力'!$A$1:$L$800,6,2+DD$2)&lt;&gt;"",INDEX('×入力'!$A$1:$L$800,7+DD$3,1)&lt;&gt;""),1,0),0)</f>
        <v/>
      </c>
      <c r="DE10">
        <f>IF(DE$4=1,IF(OR(INDEX('×入力'!$A$1:$L$800,7+DE$3,2+DE$2)&lt;&gt;"",INDEX('×入力'!$A$1:$L$800,6,2+DE$2)&lt;&gt;"",INDEX('×入力'!$A$1:$L$800,7+DE$3,1)&lt;&gt;""),1,0),0)</f>
        <v/>
      </c>
      <c r="DF10">
        <f>IF(DF$4=1,IF(OR(INDEX('×入力'!$A$1:$L$800,7+DF$3,2+DF$2)&lt;&gt;"",INDEX('×入力'!$A$1:$L$800,6,2+DF$2)&lt;&gt;"",INDEX('×入力'!$A$1:$L$800,7+DF$3,1)&lt;&gt;""),1,0),0)</f>
        <v/>
      </c>
      <c r="DG10">
        <f>IF(DG$4=1,IF(OR(INDEX('×入力'!$A$1:$L$800,7+DG$3,2+DG$2)&lt;&gt;"",INDEX('×入力'!$A$1:$L$800,6,2+DG$2)&lt;&gt;"",INDEX('×入力'!$A$1:$L$800,7+DG$3,1)&lt;&gt;""),1,0),0)</f>
        <v/>
      </c>
      <c r="DH10">
        <f>IF(DH$4=1,IF(OR(INDEX('×入力'!$A$1:$L$800,7+DH$3,2+DH$2)&lt;&gt;"",INDEX('×入力'!$A$1:$L$800,6,2+DH$2)&lt;&gt;"",INDEX('×入力'!$A$1:$L$800,7+DH$3,1)&lt;&gt;""),1,0),0)</f>
        <v/>
      </c>
      <c r="DI10">
        <f>IF(DI$4=1,IF(OR(INDEX('×入力'!$A$1:$L$800,7+DI$3,2+DI$2)&lt;&gt;"",INDEX('×入力'!$A$1:$L$800,6,2+DI$2)&lt;&gt;"",INDEX('×入力'!$A$1:$L$800,7+DI$3,1)&lt;&gt;""),1,0),0)</f>
        <v/>
      </c>
      <c r="DJ10">
        <f>IF(DJ$4=1,IF(OR(INDEX('×入力'!$A$1:$L$800,7+DJ$3,2+DJ$2)&lt;&gt;"",INDEX('×入力'!$A$1:$L$800,6,2+DJ$2)&lt;&gt;"",INDEX('×入力'!$A$1:$L$800,7+DJ$3,1)&lt;&gt;""),1,0),0)</f>
        <v/>
      </c>
      <c r="DK10">
        <f>IF(DK$4=1,IF(OR(INDEX('×入力'!$A$1:$L$800,7+DK$3,2+DK$2)&lt;&gt;"",INDEX('×入力'!$A$1:$L$800,6,2+DK$2)&lt;&gt;"",INDEX('×入力'!$A$1:$L$800,7+DK$3,1)&lt;&gt;""),1,0),0)</f>
        <v/>
      </c>
      <c r="DL10">
        <f>IF(DL$4=1,IF(OR(INDEX('×入力'!$A$1:$L$800,7+DL$3,2+DL$2)&lt;&gt;"",INDEX('×入力'!$A$1:$L$800,6,2+DL$2)&lt;&gt;"",INDEX('×入力'!$A$1:$L$800,7+DL$3,1)&lt;&gt;""),1,0),0)</f>
        <v/>
      </c>
      <c r="DM10">
        <f>IF(DM$4=1,IF(OR(INDEX('×入力'!$A$1:$L$800,7+DM$3,2+DM$2)&lt;&gt;"",INDEX('×入力'!$A$1:$L$800,6,2+DM$2)&lt;&gt;"",INDEX('×入力'!$A$1:$L$800,7+DM$3,1)&lt;&gt;""),1,0),0)</f>
        <v/>
      </c>
      <c r="DN10">
        <f>IF(DN$4=1,IF(OR(INDEX('×入力'!$A$1:$L$800,7+DN$3,2+DN$2)&lt;&gt;"",INDEX('×入力'!$A$1:$L$800,6,2+DN$2)&lt;&gt;"",INDEX('×入力'!$A$1:$L$800,7+DN$3,1)&lt;&gt;""),1,0),0)</f>
        <v/>
      </c>
      <c r="DO10">
        <f>IF(DO$4=1,IF(OR(INDEX('×入力'!$A$1:$L$800,7+DO$3,2+DO$2)&lt;&gt;"",INDEX('×入力'!$A$1:$L$800,6,2+DO$2)&lt;&gt;"",INDEX('×入力'!$A$1:$L$800,7+DO$3,1)&lt;&gt;""),1,0),0)</f>
        <v/>
      </c>
      <c r="DP10">
        <f>IF(DP$4=1,IF(OR(INDEX('×入力'!$A$1:$L$800,7+DP$3,2+DP$2)&lt;&gt;"",INDEX('×入力'!$A$1:$L$800,6,2+DP$2)&lt;&gt;"",INDEX('×入力'!$A$1:$L$800,7+DP$3,1)&lt;&gt;""),1,0),0)</f>
        <v/>
      </c>
      <c r="DQ10">
        <f>IF(DQ$4=1,IF(OR(INDEX('×入力'!$A$1:$L$800,7+DQ$3,2+DQ$2)&lt;&gt;"",INDEX('×入力'!$A$1:$L$800,6,2+DQ$2)&lt;&gt;"",INDEX('×入力'!$A$1:$L$800,7+DQ$3,1)&lt;&gt;""),1,0),0)</f>
        <v/>
      </c>
      <c r="DR10">
        <f>IF(DR$4=1,IF(OR(INDEX('×入力'!$A$1:$L$800,7+DR$3,2+DR$2)&lt;&gt;"",INDEX('×入力'!$A$1:$L$800,6,2+DR$2)&lt;&gt;"",INDEX('×入力'!$A$1:$L$800,7+DR$3,1)&lt;&gt;""),1,0),0)</f>
        <v/>
      </c>
      <c r="DS10">
        <f>IF(DS$4=1,IF(OR(INDEX('×入力'!$A$1:$L$800,7+DS$3,2+DS$2)&lt;&gt;"",INDEX('×入力'!$A$1:$L$800,6,2+DS$2)&lt;&gt;"",INDEX('×入力'!$A$1:$L$800,7+DS$3,1)&lt;&gt;""),1,0),0)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IF(D$4=1,IF(OR(INDEX('×入力'!$A$1:$L$800,23+D$3,2+D$2)&lt;&gt;"",INDEX('×入力'!$A$1:$L$800,22,2+D$2)&lt;&gt;"",INDEX('×入力'!$A$1:$L$800,23+D$3,1)&lt;&gt;""),1,0),0)</f>
        <v/>
      </c>
      <c r="E11">
        <f>IF(E$4=1,IF(OR(INDEX('×入力'!$A$1:$L$800,23+E$3,2+E$2)&lt;&gt;"",INDEX('×入力'!$A$1:$L$800,22,2+E$2)&lt;&gt;"",INDEX('×入力'!$A$1:$L$800,23+E$3,1)&lt;&gt;""),1,0),0)</f>
        <v/>
      </c>
      <c r="F11">
        <f>IF(F$4=1,IF(OR(INDEX('×入力'!$A$1:$L$800,23+F$3,2+F$2)&lt;&gt;"",INDEX('×入力'!$A$1:$L$800,22,2+F$2)&lt;&gt;"",INDEX('×入力'!$A$1:$L$800,23+F$3,1)&lt;&gt;""),1,0),0)</f>
        <v/>
      </c>
      <c r="G11">
        <f>IF(G$4=1,IF(OR(INDEX('×入力'!$A$1:$L$800,23+G$3,2+G$2)&lt;&gt;"",INDEX('×入力'!$A$1:$L$800,22,2+G$2)&lt;&gt;"",INDEX('×入力'!$A$1:$L$800,23+G$3,1)&lt;&gt;""),1,0),0)</f>
        <v/>
      </c>
      <c r="H11">
        <f>IF(H$4=1,IF(OR(INDEX('×入力'!$A$1:$L$800,23+H$3,2+H$2)&lt;&gt;"",INDEX('×入力'!$A$1:$L$800,22,2+H$2)&lt;&gt;"",INDEX('×入力'!$A$1:$L$800,23+H$3,1)&lt;&gt;""),1,0),0)</f>
        <v/>
      </c>
      <c r="I11">
        <f>IF(I$4=1,IF(OR(INDEX('×入力'!$A$1:$L$800,23+I$3,2+I$2)&lt;&gt;"",INDEX('×入力'!$A$1:$L$800,22,2+I$2)&lt;&gt;"",INDEX('×入力'!$A$1:$L$800,23+I$3,1)&lt;&gt;""),1,0),0)</f>
        <v/>
      </c>
      <c r="J11">
        <f>IF(J$4=1,IF(OR(INDEX('×入力'!$A$1:$L$800,23+J$3,2+J$2)&lt;&gt;"",INDEX('×入力'!$A$1:$L$800,22,2+J$2)&lt;&gt;"",INDEX('×入力'!$A$1:$L$800,23+J$3,1)&lt;&gt;""),1,0),0)</f>
        <v/>
      </c>
      <c r="K11">
        <f>IF(K$4=1,IF(OR(INDEX('×入力'!$A$1:$L$800,23+K$3,2+K$2)&lt;&gt;"",INDEX('×入力'!$A$1:$L$800,22,2+K$2)&lt;&gt;"",INDEX('×入力'!$A$1:$L$800,23+K$3,1)&lt;&gt;""),1,0),0)</f>
        <v/>
      </c>
      <c r="L11">
        <f>IF(L$4=1,IF(OR(INDEX('×入力'!$A$1:$L$800,23+L$3,2+L$2)&lt;&gt;"",INDEX('×入力'!$A$1:$L$800,22,2+L$2)&lt;&gt;"",INDEX('×入力'!$A$1:$L$800,23+L$3,1)&lt;&gt;""),1,0),0)</f>
        <v/>
      </c>
      <c r="M11">
        <f>IF(M$4=1,IF(OR(INDEX('×入力'!$A$1:$L$800,23+M$3,2+M$2)&lt;&gt;"",INDEX('×入力'!$A$1:$L$800,22,2+M$2)&lt;&gt;"",INDEX('×入力'!$A$1:$L$800,23+M$3,1)&lt;&gt;""),1,0),0)</f>
        <v/>
      </c>
      <c r="N11">
        <f>IF(N$4=1,IF(OR(INDEX('×入力'!$A$1:$L$800,23+N$3,2+N$2)&lt;&gt;"",INDEX('×入力'!$A$1:$L$800,22,2+N$2)&lt;&gt;"",INDEX('×入力'!$A$1:$L$800,23+N$3,1)&lt;&gt;""),1,0),0)</f>
        <v/>
      </c>
      <c r="O11">
        <f>IF(O$4=1,IF(OR(INDEX('×入力'!$A$1:$L$800,23+O$3,2+O$2)&lt;&gt;"",INDEX('×入力'!$A$1:$L$800,22,2+O$2)&lt;&gt;"",INDEX('×入力'!$A$1:$L$800,23+O$3,1)&lt;&gt;""),1,0),0)</f>
        <v/>
      </c>
      <c r="P11">
        <f>IF(P$4=1,IF(OR(INDEX('×入力'!$A$1:$L$800,23+P$3,2+P$2)&lt;&gt;"",INDEX('×入力'!$A$1:$L$800,22,2+P$2)&lt;&gt;"",INDEX('×入力'!$A$1:$L$800,23+P$3,1)&lt;&gt;""),1,0),0)</f>
        <v/>
      </c>
      <c r="Q11">
        <f>IF(Q$4=1,IF(OR(INDEX('×入力'!$A$1:$L$800,23+Q$3,2+Q$2)&lt;&gt;"",INDEX('×入力'!$A$1:$L$800,22,2+Q$2)&lt;&gt;"",INDEX('×入力'!$A$1:$L$800,23+Q$3,1)&lt;&gt;""),1,0),0)</f>
        <v/>
      </c>
      <c r="R11">
        <f>IF(R$4=1,IF(OR(INDEX('×入力'!$A$1:$L$800,23+R$3,2+R$2)&lt;&gt;"",INDEX('×入力'!$A$1:$L$800,22,2+R$2)&lt;&gt;"",INDEX('×入力'!$A$1:$L$800,23+R$3,1)&lt;&gt;""),1,0),0)</f>
        <v/>
      </c>
      <c r="S11">
        <f>IF(S$4=1,IF(OR(INDEX('×入力'!$A$1:$L$800,23+S$3,2+S$2)&lt;&gt;"",INDEX('×入力'!$A$1:$L$800,22,2+S$2)&lt;&gt;"",INDEX('×入力'!$A$1:$L$800,23+S$3,1)&lt;&gt;""),1,0),0)</f>
        <v/>
      </c>
      <c r="T11">
        <f>IF(T$4=1,IF(OR(INDEX('×入力'!$A$1:$L$800,23+T$3,2+T$2)&lt;&gt;"",INDEX('×入力'!$A$1:$L$800,22,2+T$2)&lt;&gt;"",INDEX('×入力'!$A$1:$L$800,23+T$3,1)&lt;&gt;""),1,0),0)</f>
        <v/>
      </c>
      <c r="U11">
        <f>IF(U$4=1,IF(OR(INDEX('×入力'!$A$1:$L$800,23+U$3,2+U$2)&lt;&gt;"",INDEX('×入力'!$A$1:$L$800,22,2+U$2)&lt;&gt;"",INDEX('×入力'!$A$1:$L$800,23+U$3,1)&lt;&gt;""),1,0),0)</f>
        <v/>
      </c>
      <c r="V11">
        <f>IF(V$4=1,IF(OR(INDEX('×入力'!$A$1:$L$800,23+V$3,2+V$2)&lt;&gt;"",INDEX('×入力'!$A$1:$L$800,22,2+V$2)&lt;&gt;"",INDEX('×入力'!$A$1:$L$800,23+V$3,1)&lt;&gt;""),1,0),0)</f>
        <v/>
      </c>
      <c r="W11">
        <f>IF(W$4=1,IF(OR(INDEX('×入力'!$A$1:$L$800,23+W$3,2+W$2)&lt;&gt;"",INDEX('×入力'!$A$1:$L$800,22,2+W$2)&lt;&gt;"",INDEX('×入力'!$A$1:$L$800,23+W$3,1)&lt;&gt;""),1,0),0)</f>
        <v/>
      </c>
      <c r="X11">
        <f>IF(X$4=1,IF(OR(INDEX('×入力'!$A$1:$L$800,23+X$3,2+X$2)&lt;&gt;"",INDEX('×入力'!$A$1:$L$800,22,2+X$2)&lt;&gt;"",INDEX('×入力'!$A$1:$L$800,23+X$3,1)&lt;&gt;""),1,0),0)</f>
        <v/>
      </c>
      <c r="Y11">
        <f>IF(Y$4=1,IF(OR(INDEX('×入力'!$A$1:$L$800,23+Y$3,2+Y$2)&lt;&gt;"",INDEX('×入力'!$A$1:$L$800,22,2+Y$2)&lt;&gt;"",INDEX('×入力'!$A$1:$L$800,23+Y$3,1)&lt;&gt;""),1,0),0)</f>
        <v/>
      </c>
      <c r="Z11">
        <f>IF(Z$4=1,IF(OR(INDEX('×入力'!$A$1:$L$800,23+Z$3,2+Z$2)&lt;&gt;"",INDEX('×入力'!$A$1:$L$800,22,2+Z$2)&lt;&gt;"",INDEX('×入力'!$A$1:$L$800,23+Z$3,1)&lt;&gt;""),1,0),0)</f>
        <v/>
      </c>
      <c r="AA11">
        <f>IF(AA$4=1,IF(OR(INDEX('×入力'!$A$1:$L$800,23+AA$3,2+AA$2)&lt;&gt;"",INDEX('×入力'!$A$1:$L$800,22,2+AA$2)&lt;&gt;"",INDEX('×入力'!$A$1:$L$800,23+AA$3,1)&lt;&gt;""),1,0),0)</f>
        <v/>
      </c>
      <c r="AB11">
        <f>IF(AB$4=1,IF(OR(INDEX('×入力'!$A$1:$L$800,23+AB$3,2+AB$2)&lt;&gt;"",INDEX('×入力'!$A$1:$L$800,22,2+AB$2)&lt;&gt;"",INDEX('×入力'!$A$1:$L$800,23+AB$3,1)&lt;&gt;""),1,0),0)</f>
        <v/>
      </c>
      <c r="AC11">
        <f>IF(AC$4=1,IF(OR(INDEX('×入力'!$A$1:$L$800,23+AC$3,2+AC$2)&lt;&gt;"",INDEX('×入力'!$A$1:$L$800,22,2+AC$2)&lt;&gt;"",INDEX('×入力'!$A$1:$L$800,23+AC$3,1)&lt;&gt;""),1,0),0)</f>
        <v/>
      </c>
      <c r="AD11">
        <f>IF(AD$4=1,IF(OR(INDEX('×入力'!$A$1:$L$800,23+AD$3,2+AD$2)&lt;&gt;"",INDEX('×入力'!$A$1:$L$800,22,2+AD$2)&lt;&gt;"",INDEX('×入力'!$A$1:$L$800,23+AD$3,1)&lt;&gt;""),1,0),0)</f>
        <v/>
      </c>
      <c r="AE11">
        <f>IF(AE$4=1,IF(OR(INDEX('×入力'!$A$1:$L$800,23+AE$3,2+AE$2)&lt;&gt;"",INDEX('×入力'!$A$1:$L$800,22,2+AE$2)&lt;&gt;"",INDEX('×入力'!$A$1:$L$800,23+AE$3,1)&lt;&gt;""),1,0),0)</f>
        <v/>
      </c>
      <c r="AF11">
        <f>IF(AF$4=1,IF(OR(INDEX('×入力'!$A$1:$L$800,23+AF$3,2+AF$2)&lt;&gt;"",INDEX('×入力'!$A$1:$L$800,22,2+AF$2)&lt;&gt;"",INDEX('×入力'!$A$1:$L$800,23+AF$3,1)&lt;&gt;""),1,0),0)</f>
        <v/>
      </c>
      <c r="AG11">
        <f>IF(AG$4=1,IF(OR(INDEX('×入力'!$A$1:$L$800,23+AG$3,2+AG$2)&lt;&gt;"",INDEX('×入力'!$A$1:$L$800,22,2+AG$2)&lt;&gt;"",INDEX('×入力'!$A$1:$L$800,23+AG$3,1)&lt;&gt;""),1,0),0)</f>
        <v/>
      </c>
      <c r="AH11">
        <f>IF(AH$4=1,IF(OR(INDEX('×入力'!$A$1:$L$800,23+AH$3,2+AH$2)&lt;&gt;"",INDEX('×入力'!$A$1:$L$800,22,2+AH$2)&lt;&gt;"",INDEX('×入力'!$A$1:$L$800,23+AH$3,1)&lt;&gt;""),1,0),0)</f>
        <v/>
      </c>
      <c r="AI11">
        <f>IF(AI$4=1,IF(OR(INDEX('×入力'!$A$1:$L$800,23+AI$3,2+AI$2)&lt;&gt;"",INDEX('×入力'!$A$1:$L$800,22,2+AI$2)&lt;&gt;"",INDEX('×入力'!$A$1:$L$800,23+AI$3,1)&lt;&gt;""),1,0),0)</f>
        <v/>
      </c>
      <c r="AJ11">
        <f>IF(AJ$4=1,IF(OR(INDEX('×入力'!$A$1:$L$800,23+AJ$3,2+AJ$2)&lt;&gt;"",INDEX('×入力'!$A$1:$L$800,22,2+AJ$2)&lt;&gt;"",INDEX('×入力'!$A$1:$L$800,23+AJ$3,1)&lt;&gt;""),1,0),0)</f>
        <v/>
      </c>
      <c r="AK11">
        <f>IF(AK$4=1,IF(OR(INDEX('×入力'!$A$1:$L$800,23+AK$3,2+AK$2)&lt;&gt;"",INDEX('×入力'!$A$1:$L$800,22,2+AK$2)&lt;&gt;"",INDEX('×入力'!$A$1:$L$800,23+AK$3,1)&lt;&gt;""),1,0),0)</f>
        <v/>
      </c>
      <c r="AL11">
        <f>IF(AL$4=1,IF(OR(INDEX('×入力'!$A$1:$L$800,23+AL$3,2+AL$2)&lt;&gt;"",INDEX('×入力'!$A$1:$L$800,22,2+AL$2)&lt;&gt;"",INDEX('×入力'!$A$1:$L$800,23+AL$3,1)&lt;&gt;""),1,0),0)</f>
        <v/>
      </c>
      <c r="AM11">
        <f>IF(AM$4=1,IF(OR(INDEX('×入力'!$A$1:$L$800,23+AM$3,2+AM$2)&lt;&gt;"",INDEX('×入力'!$A$1:$L$800,22,2+AM$2)&lt;&gt;"",INDEX('×入力'!$A$1:$L$800,23+AM$3,1)&lt;&gt;""),1,0),0)</f>
        <v/>
      </c>
      <c r="AN11">
        <f>IF(AN$4=1,IF(OR(INDEX('×入力'!$A$1:$L$800,23+AN$3,2+AN$2)&lt;&gt;"",INDEX('×入力'!$A$1:$L$800,22,2+AN$2)&lt;&gt;"",INDEX('×入力'!$A$1:$L$800,23+AN$3,1)&lt;&gt;""),1,0),0)</f>
        <v/>
      </c>
      <c r="AO11">
        <f>IF(AO$4=1,IF(OR(INDEX('×入力'!$A$1:$L$800,23+AO$3,2+AO$2)&lt;&gt;"",INDEX('×入力'!$A$1:$L$800,22,2+AO$2)&lt;&gt;"",INDEX('×入力'!$A$1:$L$800,23+AO$3,1)&lt;&gt;""),1,0),0)</f>
        <v/>
      </c>
      <c r="AP11">
        <f>IF(AP$4=1,IF(OR(INDEX('×入力'!$A$1:$L$800,23+AP$3,2+AP$2)&lt;&gt;"",INDEX('×入力'!$A$1:$L$800,22,2+AP$2)&lt;&gt;"",INDEX('×入力'!$A$1:$L$800,23+AP$3,1)&lt;&gt;""),1,0),0)</f>
        <v/>
      </c>
      <c r="AQ11">
        <f>IF(AQ$4=1,IF(OR(INDEX('×入力'!$A$1:$L$800,23+AQ$3,2+AQ$2)&lt;&gt;"",INDEX('×入力'!$A$1:$L$800,22,2+AQ$2)&lt;&gt;"",INDEX('×入力'!$A$1:$L$800,23+AQ$3,1)&lt;&gt;""),1,0),0)</f>
        <v/>
      </c>
      <c r="AR11">
        <f>IF(AR$4=1,IF(OR(INDEX('×入力'!$A$1:$L$800,23+AR$3,2+AR$2)&lt;&gt;"",INDEX('×入力'!$A$1:$L$800,22,2+AR$2)&lt;&gt;"",INDEX('×入力'!$A$1:$L$800,23+AR$3,1)&lt;&gt;""),1,0),0)</f>
        <v/>
      </c>
      <c r="AS11">
        <f>IF(AS$4=1,IF(OR(INDEX('×入力'!$A$1:$L$800,23+AS$3,2+AS$2)&lt;&gt;"",INDEX('×入力'!$A$1:$L$800,22,2+AS$2)&lt;&gt;"",INDEX('×入力'!$A$1:$L$800,23+AS$3,1)&lt;&gt;""),1,0),0)</f>
        <v/>
      </c>
      <c r="AT11">
        <f>IF(AT$4=1,IF(OR(INDEX('×入力'!$A$1:$L$800,23+AT$3,2+AT$2)&lt;&gt;"",INDEX('×入力'!$A$1:$L$800,22,2+AT$2)&lt;&gt;"",INDEX('×入力'!$A$1:$L$800,23+AT$3,1)&lt;&gt;""),1,0),0)</f>
        <v/>
      </c>
      <c r="AU11">
        <f>IF(AU$4=1,IF(OR(INDEX('×入力'!$A$1:$L$800,23+AU$3,2+AU$2)&lt;&gt;"",INDEX('×入力'!$A$1:$L$800,22,2+AU$2)&lt;&gt;"",INDEX('×入力'!$A$1:$L$800,23+AU$3,1)&lt;&gt;""),1,0),0)</f>
        <v/>
      </c>
      <c r="AV11">
        <f>IF(AV$4=1,IF(OR(INDEX('×入力'!$A$1:$L$800,23+AV$3,2+AV$2)&lt;&gt;"",INDEX('×入力'!$A$1:$L$800,22,2+AV$2)&lt;&gt;"",INDEX('×入力'!$A$1:$L$800,23+AV$3,1)&lt;&gt;""),1,0),0)</f>
        <v/>
      </c>
      <c r="AW11">
        <f>IF(AW$4=1,IF(OR(INDEX('×入力'!$A$1:$L$800,23+AW$3,2+AW$2)&lt;&gt;"",INDEX('×入力'!$A$1:$L$800,22,2+AW$2)&lt;&gt;"",INDEX('×入力'!$A$1:$L$800,23+AW$3,1)&lt;&gt;""),1,0),0)</f>
        <v/>
      </c>
      <c r="AX11">
        <f>IF(AX$4=1,IF(OR(INDEX('×入力'!$A$1:$L$800,23+AX$3,2+AX$2)&lt;&gt;"",INDEX('×入力'!$A$1:$L$800,22,2+AX$2)&lt;&gt;"",INDEX('×入力'!$A$1:$L$800,23+AX$3,1)&lt;&gt;""),1,0),0)</f>
        <v/>
      </c>
      <c r="AY11">
        <f>IF(AY$4=1,IF(OR(INDEX('×入力'!$A$1:$L$800,23+AY$3,2+AY$2)&lt;&gt;"",INDEX('×入力'!$A$1:$L$800,22,2+AY$2)&lt;&gt;"",INDEX('×入力'!$A$1:$L$800,23+AY$3,1)&lt;&gt;""),1,0),0)</f>
        <v/>
      </c>
      <c r="AZ11">
        <f>IF(AZ$4=1,IF(OR(INDEX('×入力'!$A$1:$L$800,23+AZ$3,2+AZ$2)&lt;&gt;"",INDEX('×入力'!$A$1:$L$800,22,2+AZ$2)&lt;&gt;"",INDEX('×入力'!$A$1:$L$800,23+AZ$3,1)&lt;&gt;""),1,0),0)</f>
        <v/>
      </c>
      <c r="BA11">
        <f>IF(BA$4=1,IF(OR(INDEX('×入力'!$A$1:$L$800,23+BA$3,2+BA$2)&lt;&gt;"",INDEX('×入力'!$A$1:$L$800,22,2+BA$2)&lt;&gt;"",INDEX('×入力'!$A$1:$L$800,23+BA$3,1)&lt;&gt;""),1,0),0)</f>
        <v/>
      </c>
      <c r="BB11">
        <f>IF(BB$4=1,IF(OR(INDEX('×入力'!$A$1:$L$800,23+BB$3,2+BB$2)&lt;&gt;"",INDEX('×入力'!$A$1:$L$800,22,2+BB$2)&lt;&gt;"",INDEX('×入力'!$A$1:$L$800,23+BB$3,1)&lt;&gt;""),1,0),0)</f>
        <v/>
      </c>
      <c r="BC11">
        <f>IF(BC$4=1,IF(OR(INDEX('×入力'!$A$1:$L$800,23+BC$3,2+BC$2)&lt;&gt;"",INDEX('×入力'!$A$1:$L$800,22,2+BC$2)&lt;&gt;"",INDEX('×入力'!$A$1:$L$800,23+BC$3,1)&lt;&gt;""),1,0),0)</f>
        <v/>
      </c>
      <c r="BD11">
        <f>IF(BD$4=1,IF(OR(INDEX('×入力'!$A$1:$L$800,23+BD$3,2+BD$2)&lt;&gt;"",INDEX('×入力'!$A$1:$L$800,22,2+BD$2)&lt;&gt;"",INDEX('×入力'!$A$1:$L$800,23+BD$3,1)&lt;&gt;""),1,0),0)</f>
        <v/>
      </c>
      <c r="BE11">
        <f>IF(BE$4=1,IF(OR(INDEX('×入力'!$A$1:$L$800,23+BE$3,2+BE$2)&lt;&gt;"",INDEX('×入力'!$A$1:$L$800,22,2+BE$2)&lt;&gt;"",INDEX('×入力'!$A$1:$L$800,23+BE$3,1)&lt;&gt;""),1,0),0)</f>
        <v/>
      </c>
      <c r="BF11">
        <f>IF(BF$4=1,IF(OR(INDEX('×入力'!$A$1:$L$800,23+BF$3,2+BF$2)&lt;&gt;"",INDEX('×入力'!$A$1:$L$800,22,2+BF$2)&lt;&gt;"",INDEX('×入力'!$A$1:$L$800,23+BF$3,1)&lt;&gt;""),1,0),0)</f>
        <v/>
      </c>
      <c r="BG11">
        <f>IF(BG$4=1,IF(OR(INDEX('×入力'!$A$1:$L$800,23+BG$3,2+BG$2)&lt;&gt;"",INDEX('×入力'!$A$1:$L$800,22,2+BG$2)&lt;&gt;"",INDEX('×入力'!$A$1:$L$800,23+BG$3,1)&lt;&gt;""),1,0),0)</f>
        <v/>
      </c>
      <c r="BH11">
        <f>IF(BH$4=1,IF(OR(INDEX('×入力'!$A$1:$L$800,23+BH$3,2+BH$2)&lt;&gt;"",INDEX('×入力'!$A$1:$L$800,22,2+BH$2)&lt;&gt;"",INDEX('×入力'!$A$1:$L$800,23+BH$3,1)&lt;&gt;""),1,0),0)</f>
        <v/>
      </c>
      <c r="BI11">
        <f>IF(BI$4=1,IF(OR(INDEX('×入力'!$A$1:$L$800,23+BI$3,2+BI$2)&lt;&gt;"",INDEX('×入力'!$A$1:$L$800,22,2+BI$2)&lt;&gt;"",INDEX('×入力'!$A$1:$L$800,23+BI$3,1)&lt;&gt;""),1,0),0)</f>
        <v/>
      </c>
      <c r="BJ11">
        <f>IF(BJ$4=1,IF(OR(INDEX('×入力'!$A$1:$L$800,23+BJ$3,2+BJ$2)&lt;&gt;"",INDEX('×入力'!$A$1:$L$800,22,2+BJ$2)&lt;&gt;"",INDEX('×入力'!$A$1:$L$800,23+BJ$3,1)&lt;&gt;""),1,0),0)</f>
        <v/>
      </c>
      <c r="BK11">
        <f>IF(BK$4=1,IF(OR(INDEX('×入力'!$A$1:$L$800,23+BK$3,2+BK$2)&lt;&gt;"",INDEX('×入力'!$A$1:$L$800,22,2+BK$2)&lt;&gt;"",INDEX('×入力'!$A$1:$L$800,23+BK$3,1)&lt;&gt;""),1,0),0)</f>
        <v/>
      </c>
      <c r="BL11">
        <f>IF(BL$4=1,IF(OR(INDEX('×入力'!$A$1:$L$800,23+BL$3,2+BL$2)&lt;&gt;"",INDEX('×入力'!$A$1:$L$800,22,2+BL$2)&lt;&gt;"",INDEX('×入力'!$A$1:$L$800,23+BL$3,1)&lt;&gt;""),1,0),0)</f>
        <v/>
      </c>
      <c r="BM11">
        <f>IF(BM$4=1,IF(OR(INDEX('×入力'!$A$1:$L$800,23+BM$3,2+BM$2)&lt;&gt;"",INDEX('×入力'!$A$1:$L$800,22,2+BM$2)&lt;&gt;"",INDEX('×入力'!$A$1:$L$800,23+BM$3,1)&lt;&gt;""),1,0),0)</f>
        <v/>
      </c>
      <c r="BN11">
        <f>IF(BN$4=1,IF(OR(INDEX('×入力'!$A$1:$L$800,23+BN$3,2+BN$2)&lt;&gt;"",INDEX('×入力'!$A$1:$L$800,22,2+BN$2)&lt;&gt;"",INDEX('×入力'!$A$1:$L$800,23+BN$3,1)&lt;&gt;""),1,0),0)</f>
        <v/>
      </c>
      <c r="BO11">
        <f>IF(BO$4=1,IF(OR(INDEX('×入力'!$A$1:$L$800,23+BO$3,2+BO$2)&lt;&gt;"",INDEX('×入力'!$A$1:$L$800,22,2+BO$2)&lt;&gt;"",INDEX('×入力'!$A$1:$L$800,23+BO$3,1)&lt;&gt;""),1,0),0)</f>
        <v/>
      </c>
      <c r="BP11">
        <f>IF(BP$4=1,IF(OR(INDEX('×入力'!$A$1:$L$800,23+BP$3,2+BP$2)&lt;&gt;"",INDEX('×入力'!$A$1:$L$800,22,2+BP$2)&lt;&gt;"",INDEX('×入力'!$A$1:$L$800,23+BP$3,1)&lt;&gt;""),1,0),0)</f>
        <v/>
      </c>
      <c r="BQ11">
        <f>IF(BQ$4=1,IF(OR(INDEX('×入力'!$A$1:$L$800,23+BQ$3,2+BQ$2)&lt;&gt;"",INDEX('×入力'!$A$1:$L$800,22,2+BQ$2)&lt;&gt;"",INDEX('×入力'!$A$1:$L$800,23+BQ$3,1)&lt;&gt;""),1,0),0)</f>
        <v/>
      </c>
      <c r="BR11">
        <f>IF(BR$4=1,IF(OR(INDEX('×入力'!$A$1:$L$800,23+BR$3,2+BR$2)&lt;&gt;"",INDEX('×入力'!$A$1:$L$800,22,2+BR$2)&lt;&gt;"",INDEX('×入力'!$A$1:$L$800,23+BR$3,1)&lt;&gt;""),1,0),0)</f>
        <v/>
      </c>
      <c r="BS11">
        <f>IF(BS$4=1,IF(OR(INDEX('×入力'!$A$1:$L$800,23+BS$3,2+BS$2)&lt;&gt;"",INDEX('×入力'!$A$1:$L$800,22,2+BS$2)&lt;&gt;"",INDEX('×入力'!$A$1:$L$800,23+BS$3,1)&lt;&gt;""),1,0),0)</f>
        <v/>
      </c>
      <c r="BT11">
        <f>IF(BT$4=1,IF(OR(INDEX('×入力'!$A$1:$L$800,23+BT$3,2+BT$2)&lt;&gt;"",INDEX('×入力'!$A$1:$L$800,22,2+BT$2)&lt;&gt;"",INDEX('×入力'!$A$1:$L$800,23+BT$3,1)&lt;&gt;""),1,0),0)</f>
        <v/>
      </c>
      <c r="BU11">
        <f>IF(BU$4=1,IF(OR(INDEX('×入力'!$A$1:$L$800,23+BU$3,2+BU$2)&lt;&gt;"",INDEX('×入力'!$A$1:$L$800,22,2+BU$2)&lt;&gt;"",INDEX('×入力'!$A$1:$L$800,23+BU$3,1)&lt;&gt;""),1,0),0)</f>
        <v/>
      </c>
      <c r="BV11">
        <f>IF(BV$4=1,IF(OR(INDEX('×入力'!$A$1:$L$800,23+BV$3,2+BV$2)&lt;&gt;"",INDEX('×入力'!$A$1:$L$800,22,2+BV$2)&lt;&gt;"",INDEX('×入力'!$A$1:$L$800,23+BV$3,1)&lt;&gt;""),1,0),0)</f>
        <v/>
      </c>
      <c r="BW11">
        <f>IF(BW$4=1,IF(OR(INDEX('×入力'!$A$1:$L$800,23+BW$3,2+BW$2)&lt;&gt;"",INDEX('×入力'!$A$1:$L$800,22,2+BW$2)&lt;&gt;"",INDEX('×入力'!$A$1:$L$800,23+BW$3,1)&lt;&gt;""),1,0),0)</f>
        <v/>
      </c>
      <c r="BX11">
        <f>IF(BX$4=1,IF(OR(INDEX('×入力'!$A$1:$L$800,23+BX$3,2+BX$2)&lt;&gt;"",INDEX('×入力'!$A$1:$L$800,22,2+BX$2)&lt;&gt;"",INDEX('×入力'!$A$1:$L$800,23+BX$3,1)&lt;&gt;""),1,0),0)</f>
        <v/>
      </c>
      <c r="BY11">
        <f>IF(BY$4=1,IF(OR(INDEX('×入力'!$A$1:$L$800,23+BY$3,2+BY$2)&lt;&gt;"",INDEX('×入力'!$A$1:$L$800,22,2+BY$2)&lt;&gt;"",INDEX('×入力'!$A$1:$L$800,23+BY$3,1)&lt;&gt;""),1,0),0)</f>
        <v/>
      </c>
      <c r="BZ11">
        <f>IF(BZ$4=1,IF(OR(INDEX('×入力'!$A$1:$L$800,23+BZ$3,2+BZ$2)&lt;&gt;"",INDEX('×入力'!$A$1:$L$800,22,2+BZ$2)&lt;&gt;"",INDEX('×入力'!$A$1:$L$800,23+BZ$3,1)&lt;&gt;""),1,0),0)</f>
        <v/>
      </c>
      <c r="CA11">
        <f>IF(CA$4=1,IF(OR(INDEX('×入力'!$A$1:$L$800,23+CA$3,2+CA$2)&lt;&gt;"",INDEX('×入力'!$A$1:$L$800,22,2+CA$2)&lt;&gt;"",INDEX('×入力'!$A$1:$L$800,23+CA$3,1)&lt;&gt;""),1,0),0)</f>
        <v/>
      </c>
      <c r="CB11">
        <f>IF(CB$4=1,IF(OR(INDEX('×入力'!$A$1:$L$800,23+CB$3,2+CB$2)&lt;&gt;"",INDEX('×入力'!$A$1:$L$800,22,2+CB$2)&lt;&gt;"",INDEX('×入力'!$A$1:$L$800,23+CB$3,1)&lt;&gt;""),1,0),0)</f>
        <v/>
      </c>
      <c r="CC11">
        <f>IF(CC$4=1,IF(OR(INDEX('×入力'!$A$1:$L$800,23+CC$3,2+CC$2)&lt;&gt;"",INDEX('×入力'!$A$1:$L$800,22,2+CC$2)&lt;&gt;"",INDEX('×入力'!$A$1:$L$800,23+CC$3,1)&lt;&gt;""),1,0),0)</f>
        <v/>
      </c>
      <c r="CD11">
        <f>IF(CD$4=1,IF(OR(INDEX('×入力'!$A$1:$L$800,23+CD$3,2+CD$2)&lt;&gt;"",INDEX('×入力'!$A$1:$L$800,22,2+CD$2)&lt;&gt;"",INDEX('×入力'!$A$1:$L$800,23+CD$3,1)&lt;&gt;""),1,0),0)</f>
        <v/>
      </c>
      <c r="CE11">
        <f>IF(CE$4=1,IF(OR(INDEX('×入力'!$A$1:$L$800,23+CE$3,2+CE$2)&lt;&gt;"",INDEX('×入力'!$A$1:$L$800,22,2+CE$2)&lt;&gt;"",INDEX('×入力'!$A$1:$L$800,23+CE$3,1)&lt;&gt;""),1,0),0)</f>
        <v/>
      </c>
      <c r="CF11">
        <f>IF(CF$4=1,IF(OR(INDEX('×入力'!$A$1:$L$800,23+CF$3,2+CF$2)&lt;&gt;"",INDEX('×入力'!$A$1:$L$800,22,2+CF$2)&lt;&gt;"",INDEX('×入力'!$A$1:$L$800,23+CF$3,1)&lt;&gt;""),1,0),0)</f>
        <v/>
      </c>
      <c r="CG11">
        <f>IF(CG$4=1,IF(OR(INDEX('×入力'!$A$1:$L$800,23+CG$3,2+CG$2)&lt;&gt;"",INDEX('×入力'!$A$1:$L$800,22,2+CG$2)&lt;&gt;"",INDEX('×入力'!$A$1:$L$800,23+CG$3,1)&lt;&gt;""),1,0),0)</f>
        <v/>
      </c>
      <c r="CH11">
        <f>IF(CH$4=1,IF(OR(INDEX('×入力'!$A$1:$L$800,23+CH$3,2+CH$2)&lt;&gt;"",INDEX('×入力'!$A$1:$L$800,22,2+CH$2)&lt;&gt;"",INDEX('×入力'!$A$1:$L$800,23+CH$3,1)&lt;&gt;""),1,0),0)</f>
        <v/>
      </c>
      <c r="CI11">
        <f>IF(CI$4=1,IF(OR(INDEX('×入力'!$A$1:$L$800,23+CI$3,2+CI$2)&lt;&gt;"",INDEX('×入力'!$A$1:$L$800,22,2+CI$2)&lt;&gt;"",INDEX('×入力'!$A$1:$L$800,23+CI$3,1)&lt;&gt;""),1,0),0)</f>
        <v/>
      </c>
      <c r="CJ11">
        <f>IF(CJ$4=1,IF(OR(INDEX('×入力'!$A$1:$L$800,23+CJ$3,2+CJ$2)&lt;&gt;"",INDEX('×入力'!$A$1:$L$800,22,2+CJ$2)&lt;&gt;"",INDEX('×入力'!$A$1:$L$800,23+CJ$3,1)&lt;&gt;""),1,0),0)</f>
        <v/>
      </c>
      <c r="CK11">
        <f>IF(CK$4=1,IF(OR(INDEX('×入力'!$A$1:$L$800,23+CK$3,2+CK$2)&lt;&gt;"",INDEX('×入力'!$A$1:$L$800,22,2+CK$2)&lt;&gt;"",INDEX('×入力'!$A$1:$L$800,23+CK$3,1)&lt;&gt;""),1,0),0)</f>
        <v/>
      </c>
      <c r="CL11">
        <f>IF(CL$4=1,IF(OR(INDEX('×入力'!$A$1:$L$800,23+CL$3,2+CL$2)&lt;&gt;"",INDEX('×入力'!$A$1:$L$800,22,2+CL$2)&lt;&gt;"",INDEX('×入力'!$A$1:$L$800,23+CL$3,1)&lt;&gt;""),1,0),0)</f>
        <v/>
      </c>
      <c r="CM11">
        <f>IF(CM$4=1,IF(OR(INDEX('×入力'!$A$1:$L$800,23+CM$3,2+CM$2)&lt;&gt;"",INDEX('×入力'!$A$1:$L$800,22,2+CM$2)&lt;&gt;"",INDEX('×入力'!$A$1:$L$800,23+CM$3,1)&lt;&gt;""),1,0),0)</f>
        <v/>
      </c>
      <c r="CN11">
        <f>IF(CN$4=1,IF(OR(INDEX('×入力'!$A$1:$L$800,23+CN$3,2+CN$2)&lt;&gt;"",INDEX('×入力'!$A$1:$L$800,22,2+CN$2)&lt;&gt;"",INDEX('×入力'!$A$1:$L$800,23+CN$3,1)&lt;&gt;""),1,0),0)</f>
        <v/>
      </c>
      <c r="CO11">
        <f>IF(CO$4=1,IF(OR(INDEX('×入力'!$A$1:$L$800,23+CO$3,2+CO$2)&lt;&gt;"",INDEX('×入力'!$A$1:$L$800,22,2+CO$2)&lt;&gt;"",INDEX('×入力'!$A$1:$L$800,23+CO$3,1)&lt;&gt;""),1,0),0)</f>
        <v/>
      </c>
      <c r="CP11">
        <f>IF(CP$4=1,IF(OR(INDEX('×入力'!$A$1:$L$800,23+CP$3,2+CP$2)&lt;&gt;"",INDEX('×入力'!$A$1:$L$800,22,2+CP$2)&lt;&gt;"",INDEX('×入力'!$A$1:$L$800,23+CP$3,1)&lt;&gt;""),1,0),0)</f>
        <v/>
      </c>
      <c r="CQ11">
        <f>IF(CQ$4=1,IF(OR(INDEX('×入力'!$A$1:$L$800,23+CQ$3,2+CQ$2)&lt;&gt;"",INDEX('×入力'!$A$1:$L$800,22,2+CQ$2)&lt;&gt;"",INDEX('×入力'!$A$1:$L$800,23+CQ$3,1)&lt;&gt;""),1,0),0)</f>
        <v/>
      </c>
      <c r="CR11">
        <f>IF(CR$4=1,IF(OR(INDEX('×入力'!$A$1:$L$800,23+CR$3,2+CR$2)&lt;&gt;"",INDEX('×入力'!$A$1:$L$800,22,2+CR$2)&lt;&gt;"",INDEX('×入力'!$A$1:$L$800,23+CR$3,1)&lt;&gt;""),1,0),0)</f>
        <v/>
      </c>
      <c r="CS11">
        <f>IF(CS$4=1,IF(OR(INDEX('×入力'!$A$1:$L$800,23+CS$3,2+CS$2)&lt;&gt;"",INDEX('×入力'!$A$1:$L$800,22,2+CS$2)&lt;&gt;"",INDEX('×入力'!$A$1:$L$800,23+CS$3,1)&lt;&gt;""),1,0),0)</f>
        <v/>
      </c>
      <c r="CT11">
        <f>IF(CT$4=1,IF(OR(INDEX('×入力'!$A$1:$L$800,23+CT$3,2+CT$2)&lt;&gt;"",INDEX('×入力'!$A$1:$L$800,22,2+CT$2)&lt;&gt;"",INDEX('×入力'!$A$1:$L$800,23+CT$3,1)&lt;&gt;""),1,0),0)</f>
        <v/>
      </c>
      <c r="CU11">
        <f>IF(CU$4=1,IF(OR(INDEX('×入力'!$A$1:$L$800,23+CU$3,2+CU$2)&lt;&gt;"",INDEX('×入力'!$A$1:$L$800,22,2+CU$2)&lt;&gt;"",INDEX('×入力'!$A$1:$L$800,23+CU$3,1)&lt;&gt;""),1,0),0)</f>
        <v/>
      </c>
      <c r="CV11">
        <f>IF(CV$4=1,IF(OR(INDEX('×入力'!$A$1:$L$800,23+CV$3,2+CV$2)&lt;&gt;"",INDEX('×入力'!$A$1:$L$800,22,2+CV$2)&lt;&gt;"",INDEX('×入力'!$A$1:$L$800,23+CV$3,1)&lt;&gt;""),1,0),0)</f>
        <v/>
      </c>
      <c r="CW11">
        <f>IF(CW$4=1,IF(OR(INDEX('×入力'!$A$1:$L$800,23+CW$3,2+CW$2)&lt;&gt;"",INDEX('×入力'!$A$1:$L$800,22,2+CW$2)&lt;&gt;"",INDEX('×入力'!$A$1:$L$800,23+CW$3,1)&lt;&gt;""),1,0),0)</f>
        <v/>
      </c>
      <c r="CX11">
        <f>IF(CX$4=1,IF(OR(INDEX('×入力'!$A$1:$L$800,23+CX$3,2+CX$2)&lt;&gt;"",INDEX('×入力'!$A$1:$L$800,22,2+CX$2)&lt;&gt;"",INDEX('×入力'!$A$1:$L$800,23+CX$3,1)&lt;&gt;""),1,0),0)</f>
        <v/>
      </c>
      <c r="CY11">
        <f>IF(CY$4=1,IF(OR(INDEX('×入力'!$A$1:$L$800,23+CY$3,2+CY$2)&lt;&gt;"",INDEX('×入力'!$A$1:$L$800,22,2+CY$2)&lt;&gt;"",INDEX('×入力'!$A$1:$L$800,23+CY$3,1)&lt;&gt;""),1,0),0)</f>
        <v/>
      </c>
      <c r="CZ11">
        <f>IF(CZ$4=1,IF(OR(INDEX('×入力'!$A$1:$L$800,23+CZ$3,2+CZ$2)&lt;&gt;"",INDEX('×入力'!$A$1:$L$800,22,2+CZ$2)&lt;&gt;"",INDEX('×入力'!$A$1:$L$800,23+CZ$3,1)&lt;&gt;""),1,0),0)</f>
        <v/>
      </c>
      <c r="DA11">
        <f>IF(DA$4=1,IF(OR(INDEX('×入力'!$A$1:$L$800,23+DA$3,2+DA$2)&lt;&gt;"",INDEX('×入力'!$A$1:$L$800,22,2+DA$2)&lt;&gt;"",INDEX('×入力'!$A$1:$L$800,23+DA$3,1)&lt;&gt;""),1,0),0)</f>
        <v/>
      </c>
      <c r="DB11">
        <f>IF(DB$4=1,IF(OR(INDEX('×入力'!$A$1:$L$800,23+DB$3,2+DB$2)&lt;&gt;"",INDEX('×入力'!$A$1:$L$800,22,2+DB$2)&lt;&gt;"",INDEX('×入力'!$A$1:$L$800,23+DB$3,1)&lt;&gt;""),1,0),0)</f>
        <v/>
      </c>
      <c r="DC11">
        <f>IF(DC$4=1,IF(OR(INDEX('×入力'!$A$1:$L$800,23+DC$3,2+DC$2)&lt;&gt;"",INDEX('×入力'!$A$1:$L$800,22,2+DC$2)&lt;&gt;"",INDEX('×入力'!$A$1:$L$800,23+DC$3,1)&lt;&gt;""),1,0),0)</f>
        <v/>
      </c>
      <c r="DD11">
        <f>IF(DD$4=1,IF(OR(INDEX('×入力'!$A$1:$L$800,23+DD$3,2+DD$2)&lt;&gt;"",INDEX('×入力'!$A$1:$L$800,22,2+DD$2)&lt;&gt;"",INDEX('×入力'!$A$1:$L$800,23+DD$3,1)&lt;&gt;""),1,0),0)</f>
        <v/>
      </c>
      <c r="DE11">
        <f>IF(DE$4=1,IF(OR(INDEX('×入力'!$A$1:$L$800,23+DE$3,2+DE$2)&lt;&gt;"",INDEX('×入力'!$A$1:$L$800,22,2+DE$2)&lt;&gt;"",INDEX('×入力'!$A$1:$L$800,23+DE$3,1)&lt;&gt;""),1,0),0)</f>
        <v/>
      </c>
      <c r="DF11">
        <f>IF(DF$4=1,IF(OR(INDEX('×入力'!$A$1:$L$800,23+DF$3,2+DF$2)&lt;&gt;"",INDEX('×入力'!$A$1:$L$800,22,2+DF$2)&lt;&gt;"",INDEX('×入力'!$A$1:$L$800,23+DF$3,1)&lt;&gt;""),1,0),0)</f>
        <v/>
      </c>
      <c r="DG11">
        <f>IF(DG$4=1,IF(OR(INDEX('×入力'!$A$1:$L$800,23+DG$3,2+DG$2)&lt;&gt;"",INDEX('×入力'!$A$1:$L$800,22,2+DG$2)&lt;&gt;"",INDEX('×入力'!$A$1:$L$800,23+DG$3,1)&lt;&gt;""),1,0),0)</f>
        <v/>
      </c>
      <c r="DH11">
        <f>IF(DH$4=1,IF(OR(INDEX('×入力'!$A$1:$L$800,23+DH$3,2+DH$2)&lt;&gt;"",INDEX('×入力'!$A$1:$L$800,22,2+DH$2)&lt;&gt;"",INDEX('×入力'!$A$1:$L$800,23+DH$3,1)&lt;&gt;""),1,0),0)</f>
        <v/>
      </c>
      <c r="DI11">
        <f>IF(DI$4=1,IF(OR(INDEX('×入力'!$A$1:$L$800,23+DI$3,2+DI$2)&lt;&gt;"",INDEX('×入力'!$A$1:$L$800,22,2+DI$2)&lt;&gt;"",INDEX('×入力'!$A$1:$L$800,23+DI$3,1)&lt;&gt;""),1,0),0)</f>
        <v/>
      </c>
      <c r="DJ11">
        <f>IF(DJ$4=1,IF(OR(INDEX('×入力'!$A$1:$L$800,23+DJ$3,2+DJ$2)&lt;&gt;"",INDEX('×入力'!$A$1:$L$800,22,2+DJ$2)&lt;&gt;"",INDEX('×入力'!$A$1:$L$800,23+DJ$3,1)&lt;&gt;""),1,0),0)</f>
        <v/>
      </c>
      <c r="DK11">
        <f>IF(DK$4=1,IF(OR(INDEX('×入力'!$A$1:$L$800,23+DK$3,2+DK$2)&lt;&gt;"",INDEX('×入力'!$A$1:$L$800,22,2+DK$2)&lt;&gt;"",INDEX('×入力'!$A$1:$L$800,23+DK$3,1)&lt;&gt;""),1,0),0)</f>
        <v/>
      </c>
      <c r="DL11">
        <f>IF(DL$4=1,IF(OR(INDEX('×入力'!$A$1:$L$800,23+DL$3,2+DL$2)&lt;&gt;"",INDEX('×入力'!$A$1:$L$800,22,2+DL$2)&lt;&gt;"",INDEX('×入力'!$A$1:$L$800,23+DL$3,1)&lt;&gt;""),1,0),0)</f>
        <v/>
      </c>
      <c r="DM11">
        <f>IF(DM$4=1,IF(OR(INDEX('×入力'!$A$1:$L$800,23+DM$3,2+DM$2)&lt;&gt;"",INDEX('×入力'!$A$1:$L$800,22,2+DM$2)&lt;&gt;"",INDEX('×入力'!$A$1:$L$800,23+DM$3,1)&lt;&gt;""),1,0),0)</f>
        <v/>
      </c>
      <c r="DN11">
        <f>IF(DN$4=1,IF(OR(INDEX('×入力'!$A$1:$L$800,23+DN$3,2+DN$2)&lt;&gt;"",INDEX('×入力'!$A$1:$L$800,22,2+DN$2)&lt;&gt;"",INDEX('×入力'!$A$1:$L$800,23+DN$3,1)&lt;&gt;""),1,0),0)</f>
        <v/>
      </c>
      <c r="DO11">
        <f>IF(DO$4=1,IF(OR(INDEX('×入力'!$A$1:$L$800,23+DO$3,2+DO$2)&lt;&gt;"",INDEX('×入力'!$A$1:$L$800,22,2+DO$2)&lt;&gt;"",INDEX('×入力'!$A$1:$L$800,23+DO$3,1)&lt;&gt;""),1,0),0)</f>
        <v/>
      </c>
      <c r="DP11">
        <f>IF(DP$4=1,IF(OR(INDEX('×入力'!$A$1:$L$800,23+DP$3,2+DP$2)&lt;&gt;"",INDEX('×入力'!$A$1:$L$800,22,2+DP$2)&lt;&gt;"",INDEX('×入力'!$A$1:$L$800,23+DP$3,1)&lt;&gt;""),1,0),0)</f>
        <v/>
      </c>
      <c r="DQ11">
        <f>IF(DQ$4=1,IF(OR(INDEX('×入力'!$A$1:$L$800,23+DQ$3,2+DQ$2)&lt;&gt;"",INDEX('×入力'!$A$1:$L$800,22,2+DQ$2)&lt;&gt;"",INDEX('×入力'!$A$1:$L$800,23+DQ$3,1)&lt;&gt;""),1,0),0)</f>
        <v/>
      </c>
      <c r="DR11">
        <f>IF(DR$4=1,IF(OR(INDEX('×入力'!$A$1:$L$800,23+DR$3,2+DR$2)&lt;&gt;"",INDEX('×入力'!$A$1:$L$800,22,2+DR$2)&lt;&gt;"",INDEX('×入力'!$A$1:$L$800,23+DR$3,1)&lt;&gt;""),1,0),0)</f>
        <v/>
      </c>
      <c r="DS11">
        <f>IF(DS$4=1,IF(OR(INDEX('×入力'!$A$1:$L$800,23+DS$3,2+DS$2)&lt;&gt;"",INDEX('×入力'!$A$1:$L$800,22,2+DS$2)&lt;&gt;"",INDEX('×入力'!$A$1:$L$800,23+DS$3,1)&lt;&gt;""),1,0),0)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IF(D$4=1,IF(OR(INDEX('×入力'!$A$1:$L$800,39+D$3,2+D$2)&lt;&gt;"",INDEX('×入力'!$A$1:$L$800,38,2+D$2)&lt;&gt;"",INDEX('×入力'!$A$1:$L$800,39+D$3,1)&lt;&gt;""),1,0),0)</f>
        <v/>
      </c>
      <c r="E12">
        <f>IF(E$4=1,IF(OR(INDEX('×入力'!$A$1:$L$800,39+E$3,2+E$2)&lt;&gt;"",INDEX('×入力'!$A$1:$L$800,38,2+E$2)&lt;&gt;"",INDEX('×入力'!$A$1:$L$800,39+E$3,1)&lt;&gt;""),1,0),0)</f>
        <v/>
      </c>
      <c r="F12">
        <f>IF(F$4=1,IF(OR(INDEX('×入力'!$A$1:$L$800,39+F$3,2+F$2)&lt;&gt;"",INDEX('×入力'!$A$1:$L$800,38,2+F$2)&lt;&gt;"",INDEX('×入力'!$A$1:$L$800,39+F$3,1)&lt;&gt;""),1,0),0)</f>
        <v/>
      </c>
      <c r="G12">
        <f>IF(G$4=1,IF(OR(INDEX('×入力'!$A$1:$L$800,39+G$3,2+G$2)&lt;&gt;"",INDEX('×入力'!$A$1:$L$800,38,2+G$2)&lt;&gt;"",INDEX('×入力'!$A$1:$L$800,39+G$3,1)&lt;&gt;""),1,0),0)</f>
        <v/>
      </c>
      <c r="H12">
        <f>IF(H$4=1,IF(OR(INDEX('×入力'!$A$1:$L$800,39+H$3,2+H$2)&lt;&gt;"",INDEX('×入力'!$A$1:$L$800,38,2+H$2)&lt;&gt;"",INDEX('×入力'!$A$1:$L$800,39+H$3,1)&lt;&gt;""),1,0),0)</f>
        <v/>
      </c>
      <c r="I12">
        <f>IF(I$4=1,IF(OR(INDEX('×入力'!$A$1:$L$800,39+I$3,2+I$2)&lt;&gt;"",INDEX('×入力'!$A$1:$L$800,38,2+I$2)&lt;&gt;"",INDEX('×入力'!$A$1:$L$800,39+I$3,1)&lt;&gt;""),1,0),0)</f>
        <v/>
      </c>
      <c r="J12">
        <f>IF(J$4=1,IF(OR(INDEX('×入力'!$A$1:$L$800,39+J$3,2+J$2)&lt;&gt;"",INDEX('×入力'!$A$1:$L$800,38,2+J$2)&lt;&gt;"",INDEX('×入力'!$A$1:$L$800,39+J$3,1)&lt;&gt;""),1,0),0)</f>
        <v/>
      </c>
      <c r="K12">
        <f>IF(K$4=1,IF(OR(INDEX('×入力'!$A$1:$L$800,39+K$3,2+K$2)&lt;&gt;"",INDEX('×入力'!$A$1:$L$800,38,2+K$2)&lt;&gt;"",INDEX('×入力'!$A$1:$L$800,39+K$3,1)&lt;&gt;""),1,0),0)</f>
        <v/>
      </c>
      <c r="L12">
        <f>IF(L$4=1,IF(OR(INDEX('×入力'!$A$1:$L$800,39+L$3,2+L$2)&lt;&gt;"",INDEX('×入力'!$A$1:$L$800,38,2+L$2)&lt;&gt;"",INDEX('×入力'!$A$1:$L$800,39+L$3,1)&lt;&gt;""),1,0),0)</f>
        <v/>
      </c>
      <c r="M12">
        <f>IF(M$4=1,IF(OR(INDEX('×入力'!$A$1:$L$800,39+M$3,2+M$2)&lt;&gt;"",INDEX('×入力'!$A$1:$L$800,38,2+M$2)&lt;&gt;"",INDEX('×入力'!$A$1:$L$800,39+M$3,1)&lt;&gt;""),1,0),0)</f>
        <v/>
      </c>
      <c r="N12">
        <f>IF(N$4=1,IF(OR(INDEX('×入力'!$A$1:$L$800,39+N$3,2+N$2)&lt;&gt;"",INDEX('×入力'!$A$1:$L$800,38,2+N$2)&lt;&gt;"",INDEX('×入力'!$A$1:$L$800,39+N$3,1)&lt;&gt;""),1,0),0)</f>
        <v/>
      </c>
      <c r="O12">
        <f>IF(O$4=1,IF(OR(INDEX('×入力'!$A$1:$L$800,39+O$3,2+O$2)&lt;&gt;"",INDEX('×入力'!$A$1:$L$800,38,2+O$2)&lt;&gt;"",INDEX('×入力'!$A$1:$L$800,39+O$3,1)&lt;&gt;""),1,0),0)</f>
        <v/>
      </c>
      <c r="P12">
        <f>IF(P$4=1,IF(OR(INDEX('×入力'!$A$1:$L$800,39+P$3,2+P$2)&lt;&gt;"",INDEX('×入力'!$A$1:$L$800,38,2+P$2)&lt;&gt;"",INDEX('×入力'!$A$1:$L$800,39+P$3,1)&lt;&gt;""),1,0),0)</f>
        <v/>
      </c>
      <c r="Q12">
        <f>IF(Q$4=1,IF(OR(INDEX('×入力'!$A$1:$L$800,39+Q$3,2+Q$2)&lt;&gt;"",INDEX('×入力'!$A$1:$L$800,38,2+Q$2)&lt;&gt;"",INDEX('×入力'!$A$1:$L$800,39+Q$3,1)&lt;&gt;""),1,0),0)</f>
        <v/>
      </c>
      <c r="R12">
        <f>IF(R$4=1,IF(OR(INDEX('×入力'!$A$1:$L$800,39+R$3,2+R$2)&lt;&gt;"",INDEX('×入力'!$A$1:$L$800,38,2+R$2)&lt;&gt;"",INDEX('×入力'!$A$1:$L$800,39+R$3,1)&lt;&gt;""),1,0),0)</f>
        <v/>
      </c>
      <c r="S12">
        <f>IF(S$4=1,IF(OR(INDEX('×入力'!$A$1:$L$800,39+S$3,2+S$2)&lt;&gt;"",INDEX('×入力'!$A$1:$L$800,38,2+S$2)&lt;&gt;"",INDEX('×入力'!$A$1:$L$800,39+S$3,1)&lt;&gt;""),1,0),0)</f>
        <v/>
      </c>
      <c r="T12">
        <f>IF(T$4=1,IF(OR(INDEX('×入力'!$A$1:$L$800,39+T$3,2+T$2)&lt;&gt;"",INDEX('×入力'!$A$1:$L$800,38,2+T$2)&lt;&gt;"",INDEX('×入力'!$A$1:$L$800,39+T$3,1)&lt;&gt;""),1,0),0)</f>
        <v/>
      </c>
      <c r="U12">
        <f>IF(U$4=1,IF(OR(INDEX('×入力'!$A$1:$L$800,39+U$3,2+U$2)&lt;&gt;"",INDEX('×入力'!$A$1:$L$800,38,2+U$2)&lt;&gt;"",INDEX('×入力'!$A$1:$L$800,39+U$3,1)&lt;&gt;""),1,0),0)</f>
        <v/>
      </c>
      <c r="V12">
        <f>IF(V$4=1,IF(OR(INDEX('×入力'!$A$1:$L$800,39+V$3,2+V$2)&lt;&gt;"",INDEX('×入力'!$A$1:$L$800,38,2+V$2)&lt;&gt;"",INDEX('×入力'!$A$1:$L$800,39+V$3,1)&lt;&gt;""),1,0),0)</f>
        <v/>
      </c>
      <c r="W12">
        <f>IF(W$4=1,IF(OR(INDEX('×入力'!$A$1:$L$800,39+W$3,2+W$2)&lt;&gt;"",INDEX('×入力'!$A$1:$L$800,38,2+W$2)&lt;&gt;"",INDEX('×入力'!$A$1:$L$800,39+W$3,1)&lt;&gt;""),1,0),0)</f>
        <v/>
      </c>
      <c r="X12">
        <f>IF(X$4=1,IF(OR(INDEX('×入力'!$A$1:$L$800,39+X$3,2+X$2)&lt;&gt;"",INDEX('×入力'!$A$1:$L$800,38,2+X$2)&lt;&gt;"",INDEX('×入力'!$A$1:$L$800,39+X$3,1)&lt;&gt;""),1,0),0)</f>
        <v/>
      </c>
      <c r="Y12">
        <f>IF(Y$4=1,IF(OR(INDEX('×入力'!$A$1:$L$800,39+Y$3,2+Y$2)&lt;&gt;"",INDEX('×入力'!$A$1:$L$800,38,2+Y$2)&lt;&gt;"",INDEX('×入力'!$A$1:$L$800,39+Y$3,1)&lt;&gt;""),1,0),0)</f>
        <v/>
      </c>
      <c r="Z12">
        <f>IF(Z$4=1,IF(OR(INDEX('×入力'!$A$1:$L$800,39+Z$3,2+Z$2)&lt;&gt;"",INDEX('×入力'!$A$1:$L$800,38,2+Z$2)&lt;&gt;"",INDEX('×入力'!$A$1:$L$800,39+Z$3,1)&lt;&gt;""),1,0),0)</f>
        <v/>
      </c>
      <c r="AA12">
        <f>IF(AA$4=1,IF(OR(INDEX('×入力'!$A$1:$L$800,39+AA$3,2+AA$2)&lt;&gt;"",INDEX('×入力'!$A$1:$L$800,38,2+AA$2)&lt;&gt;"",INDEX('×入力'!$A$1:$L$800,39+AA$3,1)&lt;&gt;""),1,0),0)</f>
        <v/>
      </c>
      <c r="AB12">
        <f>IF(AB$4=1,IF(OR(INDEX('×入力'!$A$1:$L$800,39+AB$3,2+AB$2)&lt;&gt;"",INDEX('×入力'!$A$1:$L$800,38,2+AB$2)&lt;&gt;"",INDEX('×入力'!$A$1:$L$800,39+AB$3,1)&lt;&gt;""),1,0),0)</f>
        <v/>
      </c>
      <c r="AC12">
        <f>IF(AC$4=1,IF(OR(INDEX('×入力'!$A$1:$L$800,39+AC$3,2+AC$2)&lt;&gt;"",INDEX('×入力'!$A$1:$L$800,38,2+AC$2)&lt;&gt;"",INDEX('×入力'!$A$1:$L$800,39+AC$3,1)&lt;&gt;""),1,0),0)</f>
        <v/>
      </c>
      <c r="AD12">
        <f>IF(AD$4=1,IF(OR(INDEX('×入力'!$A$1:$L$800,39+AD$3,2+AD$2)&lt;&gt;"",INDEX('×入力'!$A$1:$L$800,38,2+AD$2)&lt;&gt;"",INDEX('×入力'!$A$1:$L$800,39+AD$3,1)&lt;&gt;""),1,0),0)</f>
        <v/>
      </c>
      <c r="AE12">
        <f>IF(AE$4=1,IF(OR(INDEX('×入力'!$A$1:$L$800,39+AE$3,2+AE$2)&lt;&gt;"",INDEX('×入力'!$A$1:$L$800,38,2+AE$2)&lt;&gt;"",INDEX('×入力'!$A$1:$L$800,39+AE$3,1)&lt;&gt;""),1,0),0)</f>
        <v/>
      </c>
      <c r="AF12">
        <f>IF(AF$4=1,IF(OR(INDEX('×入力'!$A$1:$L$800,39+AF$3,2+AF$2)&lt;&gt;"",INDEX('×入力'!$A$1:$L$800,38,2+AF$2)&lt;&gt;"",INDEX('×入力'!$A$1:$L$800,39+AF$3,1)&lt;&gt;""),1,0),0)</f>
        <v/>
      </c>
      <c r="AG12">
        <f>IF(AG$4=1,IF(OR(INDEX('×入力'!$A$1:$L$800,39+AG$3,2+AG$2)&lt;&gt;"",INDEX('×入力'!$A$1:$L$800,38,2+AG$2)&lt;&gt;"",INDEX('×入力'!$A$1:$L$800,39+AG$3,1)&lt;&gt;""),1,0),0)</f>
        <v/>
      </c>
      <c r="AH12">
        <f>IF(AH$4=1,IF(OR(INDEX('×入力'!$A$1:$L$800,39+AH$3,2+AH$2)&lt;&gt;"",INDEX('×入力'!$A$1:$L$800,38,2+AH$2)&lt;&gt;"",INDEX('×入力'!$A$1:$L$800,39+AH$3,1)&lt;&gt;""),1,0),0)</f>
        <v/>
      </c>
      <c r="AI12">
        <f>IF(AI$4=1,IF(OR(INDEX('×入力'!$A$1:$L$800,39+AI$3,2+AI$2)&lt;&gt;"",INDEX('×入力'!$A$1:$L$800,38,2+AI$2)&lt;&gt;"",INDEX('×入力'!$A$1:$L$800,39+AI$3,1)&lt;&gt;""),1,0),0)</f>
        <v/>
      </c>
      <c r="AJ12">
        <f>IF(AJ$4=1,IF(OR(INDEX('×入力'!$A$1:$L$800,39+AJ$3,2+AJ$2)&lt;&gt;"",INDEX('×入力'!$A$1:$L$800,38,2+AJ$2)&lt;&gt;"",INDEX('×入力'!$A$1:$L$800,39+AJ$3,1)&lt;&gt;""),1,0),0)</f>
        <v/>
      </c>
      <c r="AK12">
        <f>IF(AK$4=1,IF(OR(INDEX('×入力'!$A$1:$L$800,39+AK$3,2+AK$2)&lt;&gt;"",INDEX('×入力'!$A$1:$L$800,38,2+AK$2)&lt;&gt;"",INDEX('×入力'!$A$1:$L$800,39+AK$3,1)&lt;&gt;""),1,0),0)</f>
        <v/>
      </c>
      <c r="AL12">
        <f>IF(AL$4=1,IF(OR(INDEX('×入力'!$A$1:$L$800,39+AL$3,2+AL$2)&lt;&gt;"",INDEX('×入力'!$A$1:$L$800,38,2+AL$2)&lt;&gt;"",INDEX('×入力'!$A$1:$L$800,39+AL$3,1)&lt;&gt;""),1,0),0)</f>
        <v/>
      </c>
      <c r="AM12">
        <f>IF(AM$4=1,IF(OR(INDEX('×入力'!$A$1:$L$800,39+AM$3,2+AM$2)&lt;&gt;"",INDEX('×入力'!$A$1:$L$800,38,2+AM$2)&lt;&gt;"",INDEX('×入力'!$A$1:$L$800,39+AM$3,1)&lt;&gt;""),1,0),0)</f>
        <v/>
      </c>
      <c r="AN12">
        <f>IF(AN$4=1,IF(OR(INDEX('×入力'!$A$1:$L$800,39+AN$3,2+AN$2)&lt;&gt;"",INDEX('×入力'!$A$1:$L$800,38,2+AN$2)&lt;&gt;"",INDEX('×入力'!$A$1:$L$800,39+AN$3,1)&lt;&gt;""),1,0),0)</f>
        <v/>
      </c>
      <c r="AO12">
        <f>IF(AO$4=1,IF(OR(INDEX('×入力'!$A$1:$L$800,39+AO$3,2+AO$2)&lt;&gt;"",INDEX('×入力'!$A$1:$L$800,38,2+AO$2)&lt;&gt;"",INDEX('×入力'!$A$1:$L$800,39+AO$3,1)&lt;&gt;""),1,0),0)</f>
        <v/>
      </c>
      <c r="AP12">
        <f>IF(AP$4=1,IF(OR(INDEX('×入力'!$A$1:$L$800,39+AP$3,2+AP$2)&lt;&gt;"",INDEX('×入力'!$A$1:$L$800,38,2+AP$2)&lt;&gt;"",INDEX('×入力'!$A$1:$L$800,39+AP$3,1)&lt;&gt;""),1,0),0)</f>
        <v/>
      </c>
      <c r="AQ12">
        <f>IF(AQ$4=1,IF(OR(INDEX('×入力'!$A$1:$L$800,39+AQ$3,2+AQ$2)&lt;&gt;"",INDEX('×入力'!$A$1:$L$800,38,2+AQ$2)&lt;&gt;"",INDEX('×入力'!$A$1:$L$800,39+AQ$3,1)&lt;&gt;""),1,0),0)</f>
        <v/>
      </c>
      <c r="AR12">
        <f>IF(AR$4=1,IF(OR(INDEX('×入力'!$A$1:$L$800,39+AR$3,2+AR$2)&lt;&gt;"",INDEX('×入力'!$A$1:$L$800,38,2+AR$2)&lt;&gt;"",INDEX('×入力'!$A$1:$L$800,39+AR$3,1)&lt;&gt;""),1,0),0)</f>
        <v/>
      </c>
      <c r="AS12">
        <f>IF(AS$4=1,IF(OR(INDEX('×入力'!$A$1:$L$800,39+AS$3,2+AS$2)&lt;&gt;"",INDEX('×入力'!$A$1:$L$800,38,2+AS$2)&lt;&gt;"",INDEX('×入力'!$A$1:$L$800,39+AS$3,1)&lt;&gt;""),1,0),0)</f>
        <v/>
      </c>
      <c r="AT12">
        <f>IF(AT$4=1,IF(OR(INDEX('×入力'!$A$1:$L$800,39+AT$3,2+AT$2)&lt;&gt;"",INDEX('×入力'!$A$1:$L$800,38,2+AT$2)&lt;&gt;"",INDEX('×入力'!$A$1:$L$800,39+AT$3,1)&lt;&gt;""),1,0),0)</f>
        <v/>
      </c>
      <c r="AU12">
        <f>IF(AU$4=1,IF(OR(INDEX('×入力'!$A$1:$L$800,39+AU$3,2+AU$2)&lt;&gt;"",INDEX('×入力'!$A$1:$L$800,38,2+AU$2)&lt;&gt;"",INDEX('×入力'!$A$1:$L$800,39+AU$3,1)&lt;&gt;""),1,0),0)</f>
        <v/>
      </c>
      <c r="AV12">
        <f>IF(AV$4=1,IF(OR(INDEX('×入力'!$A$1:$L$800,39+AV$3,2+AV$2)&lt;&gt;"",INDEX('×入力'!$A$1:$L$800,38,2+AV$2)&lt;&gt;"",INDEX('×入力'!$A$1:$L$800,39+AV$3,1)&lt;&gt;""),1,0),0)</f>
        <v/>
      </c>
      <c r="AW12">
        <f>IF(AW$4=1,IF(OR(INDEX('×入力'!$A$1:$L$800,39+AW$3,2+AW$2)&lt;&gt;"",INDEX('×入力'!$A$1:$L$800,38,2+AW$2)&lt;&gt;"",INDEX('×入力'!$A$1:$L$800,39+AW$3,1)&lt;&gt;""),1,0),0)</f>
        <v/>
      </c>
      <c r="AX12">
        <f>IF(AX$4=1,IF(OR(INDEX('×入力'!$A$1:$L$800,39+AX$3,2+AX$2)&lt;&gt;"",INDEX('×入力'!$A$1:$L$800,38,2+AX$2)&lt;&gt;"",INDEX('×入力'!$A$1:$L$800,39+AX$3,1)&lt;&gt;""),1,0),0)</f>
        <v/>
      </c>
      <c r="AY12">
        <f>IF(AY$4=1,IF(OR(INDEX('×入力'!$A$1:$L$800,39+AY$3,2+AY$2)&lt;&gt;"",INDEX('×入力'!$A$1:$L$800,38,2+AY$2)&lt;&gt;"",INDEX('×入力'!$A$1:$L$800,39+AY$3,1)&lt;&gt;""),1,0),0)</f>
        <v/>
      </c>
      <c r="AZ12">
        <f>IF(AZ$4=1,IF(OR(INDEX('×入力'!$A$1:$L$800,39+AZ$3,2+AZ$2)&lt;&gt;"",INDEX('×入力'!$A$1:$L$800,38,2+AZ$2)&lt;&gt;"",INDEX('×入力'!$A$1:$L$800,39+AZ$3,1)&lt;&gt;""),1,0),0)</f>
        <v/>
      </c>
      <c r="BA12">
        <f>IF(BA$4=1,IF(OR(INDEX('×入力'!$A$1:$L$800,39+BA$3,2+BA$2)&lt;&gt;"",INDEX('×入力'!$A$1:$L$800,38,2+BA$2)&lt;&gt;"",INDEX('×入力'!$A$1:$L$800,39+BA$3,1)&lt;&gt;""),1,0),0)</f>
        <v/>
      </c>
      <c r="BB12">
        <f>IF(BB$4=1,IF(OR(INDEX('×入力'!$A$1:$L$800,39+BB$3,2+BB$2)&lt;&gt;"",INDEX('×入力'!$A$1:$L$800,38,2+BB$2)&lt;&gt;"",INDEX('×入力'!$A$1:$L$800,39+BB$3,1)&lt;&gt;""),1,0),0)</f>
        <v/>
      </c>
      <c r="BC12">
        <f>IF(BC$4=1,IF(OR(INDEX('×入力'!$A$1:$L$800,39+BC$3,2+BC$2)&lt;&gt;"",INDEX('×入力'!$A$1:$L$800,38,2+BC$2)&lt;&gt;"",INDEX('×入力'!$A$1:$L$800,39+BC$3,1)&lt;&gt;""),1,0),0)</f>
        <v/>
      </c>
      <c r="BD12">
        <f>IF(BD$4=1,IF(OR(INDEX('×入力'!$A$1:$L$800,39+BD$3,2+BD$2)&lt;&gt;"",INDEX('×入力'!$A$1:$L$800,38,2+BD$2)&lt;&gt;"",INDEX('×入力'!$A$1:$L$800,39+BD$3,1)&lt;&gt;""),1,0),0)</f>
        <v/>
      </c>
      <c r="BE12">
        <f>IF(BE$4=1,IF(OR(INDEX('×入力'!$A$1:$L$800,39+BE$3,2+BE$2)&lt;&gt;"",INDEX('×入力'!$A$1:$L$800,38,2+BE$2)&lt;&gt;"",INDEX('×入力'!$A$1:$L$800,39+BE$3,1)&lt;&gt;""),1,0),0)</f>
        <v/>
      </c>
      <c r="BF12">
        <f>IF(BF$4=1,IF(OR(INDEX('×入力'!$A$1:$L$800,39+BF$3,2+BF$2)&lt;&gt;"",INDEX('×入力'!$A$1:$L$800,38,2+BF$2)&lt;&gt;"",INDEX('×入力'!$A$1:$L$800,39+BF$3,1)&lt;&gt;""),1,0),0)</f>
        <v/>
      </c>
      <c r="BG12">
        <f>IF(BG$4=1,IF(OR(INDEX('×入力'!$A$1:$L$800,39+BG$3,2+BG$2)&lt;&gt;"",INDEX('×入力'!$A$1:$L$800,38,2+BG$2)&lt;&gt;"",INDEX('×入力'!$A$1:$L$800,39+BG$3,1)&lt;&gt;""),1,0),0)</f>
        <v/>
      </c>
      <c r="BH12">
        <f>IF(BH$4=1,IF(OR(INDEX('×入力'!$A$1:$L$800,39+BH$3,2+BH$2)&lt;&gt;"",INDEX('×入力'!$A$1:$L$800,38,2+BH$2)&lt;&gt;"",INDEX('×入力'!$A$1:$L$800,39+BH$3,1)&lt;&gt;""),1,0),0)</f>
        <v/>
      </c>
      <c r="BI12">
        <f>IF(BI$4=1,IF(OR(INDEX('×入力'!$A$1:$L$800,39+BI$3,2+BI$2)&lt;&gt;"",INDEX('×入力'!$A$1:$L$800,38,2+BI$2)&lt;&gt;"",INDEX('×入力'!$A$1:$L$800,39+BI$3,1)&lt;&gt;""),1,0),0)</f>
        <v/>
      </c>
      <c r="BJ12">
        <f>IF(BJ$4=1,IF(OR(INDEX('×入力'!$A$1:$L$800,39+BJ$3,2+BJ$2)&lt;&gt;"",INDEX('×入力'!$A$1:$L$800,38,2+BJ$2)&lt;&gt;"",INDEX('×入力'!$A$1:$L$800,39+BJ$3,1)&lt;&gt;""),1,0),0)</f>
        <v/>
      </c>
      <c r="BK12">
        <f>IF(BK$4=1,IF(OR(INDEX('×入力'!$A$1:$L$800,39+BK$3,2+BK$2)&lt;&gt;"",INDEX('×入力'!$A$1:$L$800,38,2+BK$2)&lt;&gt;"",INDEX('×入力'!$A$1:$L$800,39+BK$3,1)&lt;&gt;""),1,0),0)</f>
        <v/>
      </c>
      <c r="BL12">
        <f>IF(BL$4=1,IF(OR(INDEX('×入力'!$A$1:$L$800,39+BL$3,2+BL$2)&lt;&gt;"",INDEX('×入力'!$A$1:$L$800,38,2+BL$2)&lt;&gt;"",INDEX('×入力'!$A$1:$L$800,39+BL$3,1)&lt;&gt;""),1,0),0)</f>
        <v/>
      </c>
      <c r="BM12">
        <f>IF(BM$4=1,IF(OR(INDEX('×入力'!$A$1:$L$800,39+BM$3,2+BM$2)&lt;&gt;"",INDEX('×入力'!$A$1:$L$800,38,2+BM$2)&lt;&gt;"",INDEX('×入力'!$A$1:$L$800,39+BM$3,1)&lt;&gt;""),1,0),0)</f>
        <v/>
      </c>
      <c r="BN12">
        <f>IF(BN$4=1,IF(OR(INDEX('×入力'!$A$1:$L$800,39+BN$3,2+BN$2)&lt;&gt;"",INDEX('×入力'!$A$1:$L$800,38,2+BN$2)&lt;&gt;"",INDEX('×入力'!$A$1:$L$800,39+BN$3,1)&lt;&gt;""),1,0),0)</f>
        <v/>
      </c>
      <c r="BO12">
        <f>IF(BO$4=1,IF(OR(INDEX('×入力'!$A$1:$L$800,39+BO$3,2+BO$2)&lt;&gt;"",INDEX('×入力'!$A$1:$L$800,38,2+BO$2)&lt;&gt;"",INDEX('×入力'!$A$1:$L$800,39+BO$3,1)&lt;&gt;""),1,0),0)</f>
        <v/>
      </c>
      <c r="BP12">
        <f>IF(BP$4=1,IF(OR(INDEX('×入力'!$A$1:$L$800,39+BP$3,2+BP$2)&lt;&gt;"",INDEX('×入力'!$A$1:$L$800,38,2+BP$2)&lt;&gt;"",INDEX('×入力'!$A$1:$L$800,39+BP$3,1)&lt;&gt;""),1,0),0)</f>
        <v/>
      </c>
      <c r="BQ12">
        <f>IF(BQ$4=1,IF(OR(INDEX('×入力'!$A$1:$L$800,39+BQ$3,2+BQ$2)&lt;&gt;"",INDEX('×入力'!$A$1:$L$800,38,2+BQ$2)&lt;&gt;"",INDEX('×入力'!$A$1:$L$800,39+BQ$3,1)&lt;&gt;""),1,0),0)</f>
        <v/>
      </c>
      <c r="BR12">
        <f>IF(BR$4=1,IF(OR(INDEX('×入力'!$A$1:$L$800,39+BR$3,2+BR$2)&lt;&gt;"",INDEX('×入力'!$A$1:$L$800,38,2+BR$2)&lt;&gt;"",INDEX('×入力'!$A$1:$L$800,39+BR$3,1)&lt;&gt;""),1,0),0)</f>
        <v/>
      </c>
      <c r="BS12">
        <f>IF(BS$4=1,IF(OR(INDEX('×入力'!$A$1:$L$800,39+BS$3,2+BS$2)&lt;&gt;"",INDEX('×入力'!$A$1:$L$800,38,2+BS$2)&lt;&gt;"",INDEX('×入力'!$A$1:$L$800,39+BS$3,1)&lt;&gt;""),1,0),0)</f>
        <v/>
      </c>
      <c r="BT12">
        <f>IF(BT$4=1,IF(OR(INDEX('×入力'!$A$1:$L$800,39+BT$3,2+BT$2)&lt;&gt;"",INDEX('×入力'!$A$1:$L$800,38,2+BT$2)&lt;&gt;"",INDEX('×入力'!$A$1:$L$800,39+BT$3,1)&lt;&gt;""),1,0),0)</f>
        <v/>
      </c>
      <c r="BU12">
        <f>IF(BU$4=1,IF(OR(INDEX('×入力'!$A$1:$L$800,39+BU$3,2+BU$2)&lt;&gt;"",INDEX('×入力'!$A$1:$L$800,38,2+BU$2)&lt;&gt;"",INDEX('×入力'!$A$1:$L$800,39+BU$3,1)&lt;&gt;""),1,0),0)</f>
        <v/>
      </c>
      <c r="BV12">
        <f>IF(BV$4=1,IF(OR(INDEX('×入力'!$A$1:$L$800,39+BV$3,2+BV$2)&lt;&gt;"",INDEX('×入力'!$A$1:$L$800,38,2+BV$2)&lt;&gt;"",INDEX('×入力'!$A$1:$L$800,39+BV$3,1)&lt;&gt;""),1,0),0)</f>
        <v/>
      </c>
      <c r="BW12">
        <f>IF(BW$4=1,IF(OR(INDEX('×入力'!$A$1:$L$800,39+BW$3,2+BW$2)&lt;&gt;"",INDEX('×入力'!$A$1:$L$800,38,2+BW$2)&lt;&gt;"",INDEX('×入力'!$A$1:$L$800,39+BW$3,1)&lt;&gt;""),1,0),0)</f>
        <v/>
      </c>
      <c r="BX12">
        <f>IF(BX$4=1,IF(OR(INDEX('×入力'!$A$1:$L$800,39+BX$3,2+BX$2)&lt;&gt;"",INDEX('×入力'!$A$1:$L$800,38,2+BX$2)&lt;&gt;"",INDEX('×入力'!$A$1:$L$800,39+BX$3,1)&lt;&gt;""),1,0),0)</f>
        <v/>
      </c>
      <c r="BY12">
        <f>IF(BY$4=1,IF(OR(INDEX('×入力'!$A$1:$L$800,39+BY$3,2+BY$2)&lt;&gt;"",INDEX('×入力'!$A$1:$L$800,38,2+BY$2)&lt;&gt;"",INDEX('×入力'!$A$1:$L$800,39+BY$3,1)&lt;&gt;""),1,0),0)</f>
        <v/>
      </c>
      <c r="BZ12">
        <f>IF(BZ$4=1,IF(OR(INDEX('×入力'!$A$1:$L$800,39+BZ$3,2+BZ$2)&lt;&gt;"",INDEX('×入力'!$A$1:$L$800,38,2+BZ$2)&lt;&gt;"",INDEX('×入力'!$A$1:$L$800,39+BZ$3,1)&lt;&gt;""),1,0),0)</f>
        <v/>
      </c>
      <c r="CA12">
        <f>IF(CA$4=1,IF(OR(INDEX('×入力'!$A$1:$L$800,39+CA$3,2+CA$2)&lt;&gt;"",INDEX('×入力'!$A$1:$L$800,38,2+CA$2)&lt;&gt;"",INDEX('×入力'!$A$1:$L$800,39+CA$3,1)&lt;&gt;""),1,0),0)</f>
        <v/>
      </c>
      <c r="CB12">
        <f>IF(CB$4=1,IF(OR(INDEX('×入力'!$A$1:$L$800,39+CB$3,2+CB$2)&lt;&gt;"",INDEX('×入力'!$A$1:$L$800,38,2+CB$2)&lt;&gt;"",INDEX('×入力'!$A$1:$L$800,39+CB$3,1)&lt;&gt;""),1,0),0)</f>
        <v/>
      </c>
      <c r="CC12">
        <f>IF(CC$4=1,IF(OR(INDEX('×入力'!$A$1:$L$800,39+CC$3,2+CC$2)&lt;&gt;"",INDEX('×入力'!$A$1:$L$800,38,2+CC$2)&lt;&gt;"",INDEX('×入力'!$A$1:$L$800,39+CC$3,1)&lt;&gt;""),1,0),0)</f>
        <v/>
      </c>
      <c r="CD12">
        <f>IF(CD$4=1,IF(OR(INDEX('×入力'!$A$1:$L$800,39+CD$3,2+CD$2)&lt;&gt;"",INDEX('×入力'!$A$1:$L$800,38,2+CD$2)&lt;&gt;"",INDEX('×入力'!$A$1:$L$800,39+CD$3,1)&lt;&gt;""),1,0),0)</f>
        <v/>
      </c>
      <c r="CE12">
        <f>IF(CE$4=1,IF(OR(INDEX('×入力'!$A$1:$L$800,39+CE$3,2+CE$2)&lt;&gt;"",INDEX('×入力'!$A$1:$L$800,38,2+CE$2)&lt;&gt;"",INDEX('×入力'!$A$1:$L$800,39+CE$3,1)&lt;&gt;""),1,0),0)</f>
        <v/>
      </c>
      <c r="CF12">
        <f>IF(CF$4=1,IF(OR(INDEX('×入力'!$A$1:$L$800,39+CF$3,2+CF$2)&lt;&gt;"",INDEX('×入力'!$A$1:$L$800,38,2+CF$2)&lt;&gt;"",INDEX('×入力'!$A$1:$L$800,39+CF$3,1)&lt;&gt;""),1,0),0)</f>
        <v/>
      </c>
      <c r="CG12">
        <f>IF(CG$4=1,IF(OR(INDEX('×入力'!$A$1:$L$800,39+CG$3,2+CG$2)&lt;&gt;"",INDEX('×入力'!$A$1:$L$800,38,2+CG$2)&lt;&gt;"",INDEX('×入力'!$A$1:$L$800,39+CG$3,1)&lt;&gt;""),1,0),0)</f>
        <v/>
      </c>
      <c r="CH12">
        <f>IF(CH$4=1,IF(OR(INDEX('×入力'!$A$1:$L$800,39+CH$3,2+CH$2)&lt;&gt;"",INDEX('×入力'!$A$1:$L$800,38,2+CH$2)&lt;&gt;"",INDEX('×入力'!$A$1:$L$800,39+CH$3,1)&lt;&gt;""),1,0),0)</f>
        <v/>
      </c>
      <c r="CI12">
        <f>IF(CI$4=1,IF(OR(INDEX('×入力'!$A$1:$L$800,39+CI$3,2+CI$2)&lt;&gt;"",INDEX('×入力'!$A$1:$L$800,38,2+CI$2)&lt;&gt;"",INDEX('×入力'!$A$1:$L$800,39+CI$3,1)&lt;&gt;""),1,0),0)</f>
        <v/>
      </c>
      <c r="CJ12">
        <f>IF(CJ$4=1,IF(OR(INDEX('×入力'!$A$1:$L$800,39+CJ$3,2+CJ$2)&lt;&gt;"",INDEX('×入力'!$A$1:$L$800,38,2+CJ$2)&lt;&gt;"",INDEX('×入力'!$A$1:$L$800,39+CJ$3,1)&lt;&gt;""),1,0),0)</f>
        <v/>
      </c>
      <c r="CK12">
        <f>IF(CK$4=1,IF(OR(INDEX('×入力'!$A$1:$L$800,39+CK$3,2+CK$2)&lt;&gt;"",INDEX('×入力'!$A$1:$L$800,38,2+CK$2)&lt;&gt;"",INDEX('×入力'!$A$1:$L$800,39+CK$3,1)&lt;&gt;""),1,0),0)</f>
        <v/>
      </c>
      <c r="CL12">
        <f>IF(CL$4=1,IF(OR(INDEX('×入力'!$A$1:$L$800,39+CL$3,2+CL$2)&lt;&gt;"",INDEX('×入力'!$A$1:$L$800,38,2+CL$2)&lt;&gt;"",INDEX('×入力'!$A$1:$L$800,39+CL$3,1)&lt;&gt;""),1,0),0)</f>
        <v/>
      </c>
      <c r="CM12">
        <f>IF(CM$4=1,IF(OR(INDEX('×入力'!$A$1:$L$800,39+CM$3,2+CM$2)&lt;&gt;"",INDEX('×入力'!$A$1:$L$800,38,2+CM$2)&lt;&gt;"",INDEX('×入力'!$A$1:$L$800,39+CM$3,1)&lt;&gt;""),1,0),0)</f>
        <v/>
      </c>
      <c r="CN12">
        <f>IF(CN$4=1,IF(OR(INDEX('×入力'!$A$1:$L$800,39+CN$3,2+CN$2)&lt;&gt;"",INDEX('×入力'!$A$1:$L$800,38,2+CN$2)&lt;&gt;"",INDEX('×入力'!$A$1:$L$800,39+CN$3,1)&lt;&gt;""),1,0),0)</f>
        <v/>
      </c>
      <c r="CO12">
        <f>IF(CO$4=1,IF(OR(INDEX('×入力'!$A$1:$L$800,39+CO$3,2+CO$2)&lt;&gt;"",INDEX('×入力'!$A$1:$L$800,38,2+CO$2)&lt;&gt;"",INDEX('×入力'!$A$1:$L$800,39+CO$3,1)&lt;&gt;""),1,0),0)</f>
        <v/>
      </c>
      <c r="CP12">
        <f>IF(CP$4=1,IF(OR(INDEX('×入力'!$A$1:$L$800,39+CP$3,2+CP$2)&lt;&gt;"",INDEX('×入力'!$A$1:$L$800,38,2+CP$2)&lt;&gt;"",INDEX('×入力'!$A$1:$L$800,39+CP$3,1)&lt;&gt;""),1,0),0)</f>
        <v/>
      </c>
      <c r="CQ12">
        <f>IF(CQ$4=1,IF(OR(INDEX('×入力'!$A$1:$L$800,39+CQ$3,2+CQ$2)&lt;&gt;"",INDEX('×入力'!$A$1:$L$800,38,2+CQ$2)&lt;&gt;"",INDEX('×入力'!$A$1:$L$800,39+CQ$3,1)&lt;&gt;""),1,0),0)</f>
        <v/>
      </c>
      <c r="CR12">
        <f>IF(CR$4=1,IF(OR(INDEX('×入力'!$A$1:$L$800,39+CR$3,2+CR$2)&lt;&gt;"",INDEX('×入力'!$A$1:$L$800,38,2+CR$2)&lt;&gt;"",INDEX('×入力'!$A$1:$L$800,39+CR$3,1)&lt;&gt;""),1,0),0)</f>
        <v/>
      </c>
      <c r="CS12">
        <f>IF(CS$4=1,IF(OR(INDEX('×入力'!$A$1:$L$800,39+CS$3,2+CS$2)&lt;&gt;"",INDEX('×入力'!$A$1:$L$800,38,2+CS$2)&lt;&gt;"",INDEX('×入力'!$A$1:$L$800,39+CS$3,1)&lt;&gt;""),1,0),0)</f>
        <v/>
      </c>
      <c r="CT12">
        <f>IF(CT$4=1,IF(OR(INDEX('×入力'!$A$1:$L$800,39+CT$3,2+CT$2)&lt;&gt;"",INDEX('×入力'!$A$1:$L$800,38,2+CT$2)&lt;&gt;"",INDEX('×入力'!$A$1:$L$800,39+CT$3,1)&lt;&gt;""),1,0),0)</f>
        <v/>
      </c>
      <c r="CU12">
        <f>IF(CU$4=1,IF(OR(INDEX('×入力'!$A$1:$L$800,39+CU$3,2+CU$2)&lt;&gt;"",INDEX('×入力'!$A$1:$L$800,38,2+CU$2)&lt;&gt;"",INDEX('×入力'!$A$1:$L$800,39+CU$3,1)&lt;&gt;""),1,0),0)</f>
        <v/>
      </c>
      <c r="CV12">
        <f>IF(CV$4=1,IF(OR(INDEX('×入力'!$A$1:$L$800,39+CV$3,2+CV$2)&lt;&gt;"",INDEX('×入力'!$A$1:$L$800,38,2+CV$2)&lt;&gt;"",INDEX('×入力'!$A$1:$L$800,39+CV$3,1)&lt;&gt;""),1,0),0)</f>
        <v/>
      </c>
      <c r="CW12">
        <f>IF(CW$4=1,IF(OR(INDEX('×入力'!$A$1:$L$800,39+CW$3,2+CW$2)&lt;&gt;"",INDEX('×入力'!$A$1:$L$800,38,2+CW$2)&lt;&gt;"",INDEX('×入力'!$A$1:$L$800,39+CW$3,1)&lt;&gt;""),1,0),0)</f>
        <v/>
      </c>
      <c r="CX12">
        <f>IF(CX$4=1,IF(OR(INDEX('×入力'!$A$1:$L$800,39+CX$3,2+CX$2)&lt;&gt;"",INDEX('×入力'!$A$1:$L$800,38,2+CX$2)&lt;&gt;"",INDEX('×入力'!$A$1:$L$800,39+CX$3,1)&lt;&gt;""),1,0),0)</f>
        <v/>
      </c>
      <c r="CY12">
        <f>IF(CY$4=1,IF(OR(INDEX('×入力'!$A$1:$L$800,39+CY$3,2+CY$2)&lt;&gt;"",INDEX('×入力'!$A$1:$L$800,38,2+CY$2)&lt;&gt;"",INDEX('×入力'!$A$1:$L$800,39+CY$3,1)&lt;&gt;""),1,0),0)</f>
        <v/>
      </c>
      <c r="CZ12">
        <f>IF(CZ$4=1,IF(OR(INDEX('×入力'!$A$1:$L$800,39+CZ$3,2+CZ$2)&lt;&gt;"",INDEX('×入力'!$A$1:$L$800,38,2+CZ$2)&lt;&gt;"",INDEX('×入力'!$A$1:$L$800,39+CZ$3,1)&lt;&gt;""),1,0),0)</f>
        <v/>
      </c>
      <c r="DA12">
        <f>IF(DA$4=1,IF(OR(INDEX('×入力'!$A$1:$L$800,39+DA$3,2+DA$2)&lt;&gt;"",INDEX('×入力'!$A$1:$L$800,38,2+DA$2)&lt;&gt;"",INDEX('×入力'!$A$1:$L$800,39+DA$3,1)&lt;&gt;""),1,0),0)</f>
        <v/>
      </c>
      <c r="DB12">
        <f>IF(DB$4=1,IF(OR(INDEX('×入力'!$A$1:$L$800,39+DB$3,2+DB$2)&lt;&gt;"",INDEX('×入力'!$A$1:$L$800,38,2+DB$2)&lt;&gt;"",INDEX('×入力'!$A$1:$L$800,39+DB$3,1)&lt;&gt;""),1,0),0)</f>
        <v/>
      </c>
      <c r="DC12">
        <f>IF(DC$4=1,IF(OR(INDEX('×入力'!$A$1:$L$800,39+DC$3,2+DC$2)&lt;&gt;"",INDEX('×入力'!$A$1:$L$800,38,2+DC$2)&lt;&gt;"",INDEX('×入力'!$A$1:$L$800,39+DC$3,1)&lt;&gt;""),1,0),0)</f>
        <v/>
      </c>
      <c r="DD12">
        <f>IF(DD$4=1,IF(OR(INDEX('×入力'!$A$1:$L$800,39+DD$3,2+DD$2)&lt;&gt;"",INDEX('×入力'!$A$1:$L$800,38,2+DD$2)&lt;&gt;"",INDEX('×入力'!$A$1:$L$800,39+DD$3,1)&lt;&gt;""),1,0),0)</f>
        <v/>
      </c>
      <c r="DE12">
        <f>IF(DE$4=1,IF(OR(INDEX('×入力'!$A$1:$L$800,39+DE$3,2+DE$2)&lt;&gt;"",INDEX('×入力'!$A$1:$L$800,38,2+DE$2)&lt;&gt;"",INDEX('×入力'!$A$1:$L$800,39+DE$3,1)&lt;&gt;""),1,0),0)</f>
        <v/>
      </c>
      <c r="DF12">
        <f>IF(DF$4=1,IF(OR(INDEX('×入力'!$A$1:$L$800,39+DF$3,2+DF$2)&lt;&gt;"",INDEX('×入力'!$A$1:$L$800,38,2+DF$2)&lt;&gt;"",INDEX('×入力'!$A$1:$L$800,39+DF$3,1)&lt;&gt;""),1,0),0)</f>
        <v/>
      </c>
      <c r="DG12">
        <f>IF(DG$4=1,IF(OR(INDEX('×入力'!$A$1:$L$800,39+DG$3,2+DG$2)&lt;&gt;"",INDEX('×入力'!$A$1:$L$800,38,2+DG$2)&lt;&gt;"",INDEX('×入力'!$A$1:$L$800,39+DG$3,1)&lt;&gt;""),1,0),0)</f>
        <v/>
      </c>
      <c r="DH12">
        <f>IF(DH$4=1,IF(OR(INDEX('×入力'!$A$1:$L$800,39+DH$3,2+DH$2)&lt;&gt;"",INDEX('×入力'!$A$1:$L$800,38,2+DH$2)&lt;&gt;"",INDEX('×入力'!$A$1:$L$800,39+DH$3,1)&lt;&gt;""),1,0),0)</f>
        <v/>
      </c>
      <c r="DI12">
        <f>IF(DI$4=1,IF(OR(INDEX('×入力'!$A$1:$L$800,39+DI$3,2+DI$2)&lt;&gt;"",INDEX('×入力'!$A$1:$L$800,38,2+DI$2)&lt;&gt;"",INDEX('×入力'!$A$1:$L$800,39+DI$3,1)&lt;&gt;""),1,0),0)</f>
        <v/>
      </c>
      <c r="DJ12">
        <f>IF(DJ$4=1,IF(OR(INDEX('×入力'!$A$1:$L$800,39+DJ$3,2+DJ$2)&lt;&gt;"",INDEX('×入力'!$A$1:$L$800,38,2+DJ$2)&lt;&gt;"",INDEX('×入力'!$A$1:$L$800,39+DJ$3,1)&lt;&gt;""),1,0),0)</f>
        <v/>
      </c>
      <c r="DK12">
        <f>IF(DK$4=1,IF(OR(INDEX('×入力'!$A$1:$L$800,39+DK$3,2+DK$2)&lt;&gt;"",INDEX('×入力'!$A$1:$L$800,38,2+DK$2)&lt;&gt;"",INDEX('×入力'!$A$1:$L$800,39+DK$3,1)&lt;&gt;""),1,0),0)</f>
        <v/>
      </c>
      <c r="DL12">
        <f>IF(DL$4=1,IF(OR(INDEX('×入力'!$A$1:$L$800,39+DL$3,2+DL$2)&lt;&gt;"",INDEX('×入力'!$A$1:$L$800,38,2+DL$2)&lt;&gt;"",INDEX('×入力'!$A$1:$L$800,39+DL$3,1)&lt;&gt;""),1,0),0)</f>
        <v/>
      </c>
      <c r="DM12">
        <f>IF(DM$4=1,IF(OR(INDEX('×入力'!$A$1:$L$800,39+DM$3,2+DM$2)&lt;&gt;"",INDEX('×入力'!$A$1:$L$800,38,2+DM$2)&lt;&gt;"",INDEX('×入力'!$A$1:$L$800,39+DM$3,1)&lt;&gt;""),1,0),0)</f>
        <v/>
      </c>
      <c r="DN12">
        <f>IF(DN$4=1,IF(OR(INDEX('×入力'!$A$1:$L$800,39+DN$3,2+DN$2)&lt;&gt;"",INDEX('×入力'!$A$1:$L$800,38,2+DN$2)&lt;&gt;"",INDEX('×入力'!$A$1:$L$800,39+DN$3,1)&lt;&gt;""),1,0),0)</f>
        <v/>
      </c>
      <c r="DO12">
        <f>IF(DO$4=1,IF(OR(INDEX('×入力'!$A$1:$L$800,39+DO$3,2+DO$2)&lt;&gt;"",INDEX('×入力'!$A$1:$L$800,38,2+DO$2)&lt;&gt;"",INDEX('×入力'!$A$1:$L$800,39+DO$3,1)&lt;&gt;""),1,0),0)</f>
        <v/>
      </c>
      <c r="DP12">
        <f>IF(DP$4=1,IF(OR(INDEX('×入力'!$A$1:$L$800,39+DP$3,2+DP$2)&lt;&gt;"",INDEX('×入力'!$A$1:$L$800,38,2+DP$2)&lt;&gt;"",INDEX('×入力'!$A$1:$L$800,39+DP$3,1)&lt;&gt;""),1,0),0)</f>
        <v/>
      </c>
      <c r="DQ12">
        <f>IF(DQ$4=1,IF(OR(INDEX('×入力'!$A$1:$L$800,39+DQ$3,2+DQ$2)&lt;&gt;"",INDEX('×入力'!$A$1:$L$800,38,2+DQ$2)&lt;&gt;"",INDEX('×入力'!$A$1:$L$800,39+DQ$3,1)&lt;&gt;""),1,0),0)</f>
        <v/>
      </c>
      <c r="DR12">
        <f>IF(DR$4=1,IF(OR(INDEX('×入力'!$A$1:$L$800,39+DR$3,2+DR$2)&lt;&gt;"",INDEX('×入力'!$A$1:$L$800,38,2+DR$2)&lt;&gt;"",INDEX('×入力'!$A$1:$L$800,39+DR$3,1)&lt;&gt;""),1,0),0)</f>
        <v/>
      </c>
      <c r="DS12">
        <f>IF(DS$4=1,IF(OR(INDEX('×入力'!$A$1:$L$800,39+DS$3,2+DS$2)&lt;&gt;"",INDEX('×入力'!$A$1:$L$800,38,2+DS$2)&lt;&gt;"",INDEX('×入力'!$A$1:$L$800,39+DS$3,1)&lt;&gt;""),1,0),0)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IF(D$4=1,IF(OR(INDEX('×入力'!$A$1:$L$800,55+D$3,2+D$2)&lt;&gt;"",INDEX('×入力'!$A$1:$L$800,54,2+D$2)&lt;&gt;"",INDEX('×入力'!$A$1:$L$800,55+D$3,1)&lt;&gt;""),1,0),0)</f>
        <v/>
      </c>
      <c r="E13">
        <f>IF(E$4=1,IF(OR(INDEX('×入力'!$A$1:$L$800,55+E$3,2+E$2)&lt;&gt;"",INDEX('×入力'!$A$1:$L$800,54,2+E$2)&lt;&gt;"",INDEX('×入力'!$A$1:$L$800,55+E$3,1)&lt;&gt;""),1,0),0)</f>
        <v/>
      </c>
      <c r="F13">
        <f>IF(F$4=1,IF(OR(INDEX('×入力'!$A$1:$L$800,55+F$3,2+F$2)&lt;&gt;"",INDEX('×入力'!$A$1:$L$800,54,2+F$2)&lt;&gt;"",INDEX('×入力'!$A$1:$L$800,55+F$3,1)&lt;&gt;""),1,0),0)</f>
        <v/>
      </c>
      <c r="G13">
        <f>IF(G$4=1,IF(OR(INDEX('×入力'!$A$1:$L$800,55+G$3,2+G$2)&lt;&gt;"",INDEX('×入力'!$A$1:$L$800,54,2+G$2)&lt;&gt;"",INDEX('×入力'!$A$1:$L$800,55+G$3,1)&lt;&gt;""),1,0),0)</f>
        <v/>
      </c>
      <c r="H13">
        <f>IF(H$4=1,IF(OR(INDEX('×入力'!$A$1:$L$800,55+H$3,2+H$2)&lt;&gt;"",INDEX('×入力'!$A$1:$L$800,54,2+H$2)&lt;&gt;"",INDEX('×入力'!$A$1:$L$800,55+H$3,1)&lt;&gt;""),1,0),0)</f>
        <v/>
      </c>
      <c r="I13">
        <f>IF(I$4=1,IF(OR(INDEX('×入力'!$A$1:$L$800,55+I$3,2+I$2)&lt;&gt;"",INDEX('×入力'!$A$1:$L$800,54,2+I$2)&lt;&gt;"",INDEX('×入力'!$A$1:$L$800,55+I$3,1)&lt;&gt;""),1,0),0)</f>
        <v/>
      </c>
      <c r="J13">
        <f>IF(J$4=1,IF(OR(INDEX('×入力'!$A$1:$L$800,55+J$3,2+J$2)&lt;&gt;"",INDEX('×入力'!$A$1:$L$800,54,2+J$2)&lt;&gt;"",INDEX('×入力'!$A$1:$L$800,55+J$3,1)&lt;&gt;""),1,0),0)</f>
        <v/>
      </c>
      <c r="K13">
        <f>IF(K$4=1,IF(OR(INDEX('×入力'!$A$1:$L$800,55+K$3,2+K$2)&lt;&gt;"",INDEX('×入力'!$A$1:$L$800,54,2+K$2)&lt;&gt;"",INDEX('×入力'!$A$1:$L$800,55+K$3,1)&lt;&gt;""),1,0),0)</f>
        <v/>
      </c>
      <c r="L13">
        <f>IF(L$4=1,IF(OR(INDEX('×入力'!$A$1:$L$800,55+L$3,2+L$2)&lt;&gt;"",INDEX('×入力'!$A$1:$L$800,54,2+L$2)&lt;&gt;"",INDEX('×入力'!$A$1:$L$800,55+L$3,1)&lt;&gt;""),1,0),0)</f>
        <v/>
      </c>
      <c r="M13">
        <f>IF(M$4=1,IF(OR(INDEX('×入力'!$A$1:$L$800,55+M$3,2+M$2)&lt;&gt;"",INDEX('×入力'!$A$1:$L$800,54,2+M$2)&lt;&gt;"",INDEX('×入力'!$A$1:$L$800,55+M$3,1)&lt;&gt;""),1,0),0)</f>
        <v/>
      </c>
      <c r="N13">
        <f>IF(N$4=1,IF(OR(INDEX('×入力'!$A$1:$L$800,55+N$3,2+N$2)&lt;&gt;"",INDEX('×入力'!$A$1:$L$800,54,2+N$2)&lt;&gt;"",INDEX('×入力'!$A$1:$L$800,55+N$3,1)&lt;&gt;""),1,0),0)</f>
        <v/>
      </c>
      <c r="O13">
        <f>IF(O$4=1,IF(OR(INDEX('×入力'!$A$1:$L$800,55+O$3,2+O$2)&lt;&gt;"",INDEX('×入力'!$A$1:$L$800,54,2+O$2)&lt;&gt;"",INDEX('×入力'!$A$1:$L$800,55+O$3,1)&lt;&gt;""),1,0),0)</f>
        <v/>
      </c>
      <c r="P13">
        <f>IF(P$4=1,IF(OR(INDEX('×入力'!$A$1:$L$800,55+P$3,2+P$2)&lt;&gt;"",INDEX('×入力'!$A$1:$L$800,54,2+P$2)&lt;&gt;"",INDEX('×入力'!$A$1:$L$800,55+P$3,1)&lt;&gt;""),1,0),0)</f>
        <v/>
      </c>
      <c r="Q13">
        <f>IF(Q$4=1,IF(OR(INDEX('×入力'!$A$1:$L$800,55+Q$3,2+Q$2)&lt;&gt;"",INDEX('×入力'!$A$1:$L$800,54,2+Q$2)&lt;&gt;"",INDEX('×入力'!$A$1:$L$800,55+Q$3,1)&lt;&gt;""),1,0),0)</f>
        <v/>
      </c>
      <c r="R13">
        <f>IF(R$4=1,IF(OR(INDEX('×入力'!$A$1:$L$800,55+R$3,2+R$2)&lt;&gt;"",INDEX('×入力'!$A$1:$L$800,54,2+R$2)&lt;&gt;"",INDEX('×入力'!$A$1:$L$800,55+R$3,1)&lt;&gt;""),1,0),0)</f>
        <v/>
      </c>
      <c r="S13">
        <f>IF(S$4=1,IF(OR(INDEX('×入力'!$A$1:$L$800,55+S$3,2+S$2)&lt;&gt;"",INDEX('×入力'!$A$1:$L$800,54,2+S$2)&lt;&gt;"",INDEX('×入力'!$A$1:$L$800,55+S$3,1)&lt;&gt;""),1,0),0)</f>
        <v/>
      </c>
      <c r="T13">
        <f>IF(T$4=1,IF(OR(INDEX('×入力'!$A$1:$L$800,55+T$3,2+T$2)&lt;&gt;"",INDEX('×入力'!$A$1:$L$800,54,2+T$2)&lt;&gt;"",INDEX('×入力'!$A$1:$L$800,55+T$3,1)&lt;&gt;""),1,0),0)</f>
        <v/>
      </c>
      <c r="U13">
        <f>IF(U$4=1,IF(OR(INDEX('×入力'!$A$1:$L$800,55+U$3,2+U$2)&lt;&gt;"",INDEX('×入力'!$A$1:$L$800,54,2+U$2)&lt;&gt;"",INDEX('×入力'!$A$1:$L$800,55+U$3,1)&lt;&gt;""),1,0),0)</f>
        <v/>
      </c>
      <c r="V13">
        <f>IF(V$4=1,IF(OR(INDEX('×入力'!$A$1:$L$800,55+V$3,2+V$2)&lt;&gt;"",INDEX('×入力'!$A$1:$L$800,54,2+V$2)&lt;&gt;"",INDEX('×入力'!$A$1:$L$800,55+V$3,1)&lt;&gt;""),1,0),0)</f>
        <v/>
      </c>
      <c r="W13">
        <f>IF(W$4=1,IF(OR(INDEX('×入力'!$A$1:$L$800,55+W$3,2+W$2)&lt;&gt;"",INDEX('×入力'!$A$1:$L$800,54,2+W$2)&lt;&gt;"",INDEX('×入力'!$A$1:$L$800,55+W$3,1)&lt;&gt;""),1,0),0)</f>
        <v/>
      </c>
      <c r="X13">
        <f>IF(X$4=1,IF(OR(INDEX('×入力'!$A$1:$L$800,55+X$3,2+X$2)&lt;&gt;"",INDEX('×入力'!$A$1:$L$800,54,2+X$2)&lt;&gt;"",INDEX('×入力'!$A$1:$L$800,55+X$3,1)&lt;&gt;""),1,0),0)</f>
        <v/>
      </c>
      <c r="Y13">
        <f>IF(Y$4=1,IF(OR(INDEX('×入力'!$A$1:$L$800,55+Y$3,2+Y$2)&lt;&gt;"",INDEX('×入力'!$A$1:$L$800,54,2+Y$2)&lt;&gt;"",INDEX('×入力'!$A$1:$L$800,55+Y$3,1)&lt;&gt;""),1,0),0)</f>
        <v/>
      </c>
      <c r="Z13">
        <f>IF(Z$4=1,IF(OR(INDEX('×入力'!$A$1:$L$800,55+Z$3,2+Z$2)&lt;&gt;"",INDEX('×入力'!$A$1:$L$800,54,2+Z$2)&lt;&gt;"",INDEX('×入力'!$A$1:$L$800,55+Z$3,1)&lt;&gt;""),1,0),0)</f>
        <v/>
      </c>
      <c r="AA13">
        <f>IF(AA$4=1,IF(OR(INDEX('×入力'!$A$1:$L$800,55+AA$3,2+AA$2)&lt;&gt;"",INDEX('×入力'!$A$1:$L$800,54,2+AA$2)&lt;&gt;"",INDEX('×入力'!$A$1:$L$800,55+AA$3,1)&lt;&gt;""),1,0),0)</f>
        <v/>
      </c>
      <c r="AB13">
        <f>IF(AB$4=1,IF(OR(INDEX('×入力'!$A$1:$L$800,55+AB$3,2+AB$2)&lt;&gt;"",INDEX('×入力'!$A$1:$L$800,54,2+AB$2)&lt;&gt;"",INDEX('×入力'!$A$1:$L$800,55+AB$3,1)&lt;&gt;""),1,0),0)</f>
        <v/>
      </c>
      <c r="AC13">
        <f>IF(AC$4=1,IF(OR(INDEX('×入力'!$A$1:$L$800,55+AC$3,2+AC$2)&lt;&gt;"",INDEX('×入力'!$A$1:$L$800,54,2+AC$2)&lt;&gt;"",INDEX('×入力'!$A$1:$L$800,55+AC$3,1)&lt;&gt;""),1,0),0)</f>
        <v/>
      </c>
      <c r="AD13">
        <f>IF(AD$4=1,IF(OR(INDEX('×入力'!$A$1:$L$800,55+AD$3,2+AD$2)&lt;&gt;"",INDEX('×入力'!$A$1:$L$800,54,2+AD$2)&lt;&gt;"",INDEX('×入力'!$A$1:$L$800,55+AD$3,1)&lt;&gt;""),1,0),0)</f>
        <v/>
      </c>
      <c r="AE13">
        <f>IF(AE$4=1,IF(OR(INDEX('×入力'!$A$1:$L$800,55+AE$3,2+AE$2)&lt;&gt;"",INDEX('×入力'!$A$1:$L$800,54,2+AE$2)&lt;&gt;"",INDEX('×入力'!$A$1:$L$800,55+AE$3,1)&lt;&gt;""),1,0),0)</f>
        <v/>
      </c>
      <c r="AF13">
        <f>IF(AF$4=1,IF(OR(INDEX('×入力'!$A$1:$L$800,55+AF$3,2+AF$2)&lt;&gt;"",INDEX('×入力'!$A$1:$L$800,54,2+AF$2)&lt;&gt;"",INDEX('×入力'!$A$1:$L$800,55+AF$3,1)&lt;&gt;""),1,0),0)</f>
        <v/>
      </c>
      <c r="AG13">
        <f>IF(AG$4=1,IF(OR(INDEX('×入力'!$A$1:$L$800,55+AG$3,2+AG$2)&lt;&gt;"",INDEX('×入力'!$A$1:$L$800,54,2+AG$2)&lt;&gt;"",INDEX('×入力'!$A$1:$L$800,55+AG$3,1)&lt;&gt;""),1,0),0)</f>
        <v/>
      </c>
      <c r="AH13">
        <f>IF(AH$4=1,IF(OR(INDEX('×入力'!$A$1:$L$800,55+AH$3,2+AH$2)&lt;&gt;"",INDEX('×入力'!$A$1:$L$800,54,2+AH$2)&lt;&gt;"",INDEX('×入力'!$A$1:$L$800,55+AH$3,1)&lt;&gt;""),1,0),0)</f>
        <v/>
      </c>
      <c r="AI13">
        <f>IF(AI$4=1,IF(OR(INDEX('×入力'!$A$1:$L$800,55+AI$3,2+AI$2)&lt;&gt;"",INDEX('×入力'!$A$1:$L$800,54,2+AI$2)&lt;&gt;"",INDEX('×入力'!$A$1:$L$800,55+AI$3,1)&lt;&gt;""),1,0),0)</f>
        <v/>
      </c>
      <c r="AJ13">
        <f>IF(AJ$4=1,IF(OR(INDEX('×入力'!$A$1:$L$800,55+AJ$3,2+AJ$2)&lt;&gt;"",INDEX('×入力'!$A$1:$L$800,54,2+AJ$2)&lt;&gt;"",INDEX('×入力'!$A$1:$L$800,55+AJ$3,1)&lt;&gt;""),1,0),0)</f>
        <v/>
      </c>
      <c r="AK13">
        <f>IF(AK$4=1,IF(OR(INDEX('×入力'!$A$1:$L$800,55+AK$3,2+AK$2)&lt;&gt;"",INDEX('×入力'!$A$1:$L$800,54,2+AK$2)&lt;&gt;"",INDEX('×入力'!$A$1:$L$800,55+AK$3,1)&lt;&gt;""),1,0),0)</f>
        <v/>
      </c>
      <c r="AL13">
        <f>IF(AL$4=1,IF(OR(INDEX('×入力'!$A$1:$L$800,55+AL$3,2+AL$2)&lt;&gt;"",INDEX('×入力'!$A$1:$L$800,54,2+AL$2)&lt;&gt;"",INDEX('×入力'!$A$1:$L$800,55+AL$3,1)&lt;&gt;""),1,0),0)</f>
        <v/>
      </c>
      <c r="AM13">
        <f>IF(AM$4=1,IF(OR(INDEX('×入力'!$A$1:$L$800,55+AM$3,2+AM$2)&lt;&gt;"",INDEX('×入力'!$A$1:$L$800,54,2+AM$2)&lt;&gt;"",INDEX('×入力'!$A$1:$L$800,55+AM$3,1)&lt;&gt;""),1,0),0)</f>
        <v/>
      </c>
      <c r="AN13">
        <f>IF(AN$4=1,IF(OR(INDEX('×入力'!$A$1:$L$800,55+AN$3,2+AN$2)&lt;&gt;"",INDEX('×入力'!$A$1:$L$800,54,2+AN$2)&lt;&gt;"",INDEX('×入力'!$A$1:$L$800,55+AN$3,1)&lt;&gt;""),1,0),0)</f>
        <v/>
      </c>
      <c r="AO13">
        <f>IF(AO$4=1,IF(OR(INDEX('×入力'!$A$1:$L$800,55+AO$3,2+AO$2)&lt;&gt;"",INDEX('×入力'!$A$1:$L$800,54,2+AO$2)&lt;&gt;"",INDEX('×入力'!$A$1:$L$800,55+AO$3,1)&lt;&gt;""),1,0),0)</f>
        <v/>
      </c>
      <c r="AP13">
        <f>IF(AP$4=1,IF(OR(INDEX('×入力'!$A$1:$L$800,55+AP$3,2+AP$2)&lt;&gt;"",INDEX('×入力'!$A$1:$L$800,54,2+AP$2)&lt;&gt;"",INDEX('×入力'!$A$1:$L$800,55+AP$3,1)&lt;&gt;""),1,0),0)</f>
        <v/>
      </c>
      <c r="AQ13">
        <f>IF(AQ$4=1,IF(OR(INDEX('×入力'!$A$1:$L$800,55+AQ$3,2+AQ$2)&lt;&gt;"",INDEX('×入力'!$A$1:$L$800,54,2+AQ$2)&lt;&gt;"",INDEX('×入力'!$A$1:$L$800,55+AQ$3,1)&lt;&gt;""),1,0),0)</f>
        <v/>
      </c>
      <c r="AR13">
        <f>IF(AR$4=1,IF(OR(INDEX('×入力'!$A$1:$L$800,55+AR$3,2+AR$2)&lt;&gt;"",INDEX('×入力'!$A$1:$L$800,54,2+AR$2)&lt;&gt;"",INDEX('×入力'!$A$1:$L$800,55+AR$3,1)&lt;&gt;""),1,0),0)</f>
        <v/>
      </c>
      <c r="AS13">
        <f>IF(AS$4=1,IF(OR(INDEX('×入力'!$A$1:$L$800,55+AS$3,2+AS$2)&lt;&gt;"",INDEX('×入力'!$A$1:$L$800,54,2+AS$2)&lt;&gt;"",INDEX('×入力'!$A$1:$L$800,55+AS$3,1)&lt;&gt;""),1,0),0)</f>
        <v/>
      </c>
      <c r="AT13">
        <f>IF(AT$4=1,IF(OR(INDEX('×入力'!$A$1:$L$800,55+AT$3,2+AT$2)&lt;&gt;"",INDEX('×入力'!$A$1:$L$800,54,2+AT$2)&lt;&gt;"",INDEX('×入力'!$A$1:$L$800,55+AT$3,1)&lt;&gt;""),1,0),0)</f>
        <v/>
      </c>
      <c r="AU13">
        <f>IF(AU$4=1,IF(OR(INDEX('×入力'!$A$1:$L$800,55+AU$3,2+AU$2)&lt;&gt;"",INDEX('×入力'!$A$1:$L$800,54,2+AU$2)&lt;&gt;"",INDEX('×入力'!$A$1:$L$800,55+AU$3,1)&lt;&gt;""),1,0),0)</f>
        <v/>
      </c>
      <c r="AV13">
        <f>IF(AV$4=1,IF(OR(INDEX('×入力'!$A$1:$L$800,55+AV$3,2+AV$2)&lt;&gt;"",INDEX('×入力'!$A$1:$L$800,54,2+AV$2)&lt;&gt;"",INDEX('×入力'!$A$1:$L$800,55+AV$3,1)&lt;&gt;""),1,0),0)</f>
        <v/>
      </c>
      <c r="AW13">
        <f>IF(AW$4=1,IF(OR(INDEX('×入力'!$A$1:$L$800,55+AW$3,2+AW$2)&lt;&gt;"",INDEX('×入力'!$A$1:$L$800,54,2+AW$2)&lt;&gt;"",INDEX('×入力'!$A$1:$L$800,55+AW$3,1)&lt;&gt;""),1,0),0)</f>
        <v/>
      </c>
      <c r="AX13">
        <f>IF(AX$4=1,IF(OR(INDEX('×入力'!$A$1:$L$800,55+AX$3,2+AX$2)&lt;&gt;"",INDEX('×入力'!$A$1:$L$800,54,2+AX$2)&lt;&gt;"",INDEX('×入力'!$A$1:$L$800,55+AX$3,1)&lt;&gt;""),1,0),0)</f>
        <v/>
      </c>
      <c r="AY13">
        <f>IF(AY$4=1,IF(OR(INDEX('×入力'!$A$1:$L$800,55+AY$3,2+AY$2)&lt;&gt;"",INDEX('×入力'!$A$1:$L$800,54,2+AY$2)&lt;&gt;"",INDEX('×入力'!$A$1:$L$800,55+AY$3,1)&lt;&gt;""),1,0),0)</f>
        <v/>
      </c>
      <c r="AZ13">
        <f>IF(AZ$4=1,IF(OR(INDEX('×入力'!$A$1:$L$800,55+AZ$3,2+AZ$2)&lt;&gt;"",INDEX('×入力'!$A$1:$L$800,54,2+AZ$2)&lt;&gt;"",INDEX('×入力'!$A$1:$L$800,55+AZ$3,1)&lt;&gt;""),1,0),0)</f>
        <v/>
      </c>
      <c r="BA13">
        <f>IF(BA$4=1,IF(OR(INDEX('×入力'!$A$1:$L$800,55+BA$3,2+BA$2)&lt;&gt;"",INDEX('×入力'!$A$1:$L$800,54,2+BA$2)&lt;&gt;"",INDEX('×入力'!$A$1:$L$800,55+BA$3,1)&lt;&gt;""),1,0),0)</f>
        <v/>
      </c>
      <c r="BB13">
        <f>IF(BB$4=1,IF(OR(INDEX('×入力'!$A$1:$L$800,55+BB$3,2+BB$2)&lt;&gt;"",INDEX('×入力'!$A$1:$L$800,54,2+BB$2)&lt;&gt;"",INDEX('×入力'!$A$1:$L$800,55+BB$3,1)&lt;&gt;""),1,0),0)</f>
        <v/>
      </c>
      <c r="BC13">
        <f>IF(BC$4=1,IF(OR(INDEX('×入力'!$A$1:$L$800,55+BC$3,2+BC$2)&lt;&gt;"",INDEX('×入力'!$A$1:$L$800,54,2+BC$2)&lt;&gt;"",INDEX('×入力'!$A$1:$L$800,55+BC$3,1)&lt;&gt;""),1,0),0)</f>
        <v/>
      </c>
      <c r="BD13">
        <f>IF(BD$4=1,IF(OR(INDEX('×入力'!$A$1:$L$800,55+BD$3,2+BD$2)&lt;&gt;"",INDEX('×入力'!$A$1:$L$800,54,2+BD$2)&lt;&gt;"",INDEX('×入力'!$A$1:$L$800,55+BD$3,1)&lt;&gt;""),1,0),0)</f>
        <v/>
      </c>
      <c r="BE13">
        <f>IF(BE$4=1,IF(OR(INDEX('×入力'!$A$1:$L$800,55+BE$3,2+BE$2)&lt;&gt;"",INDEX('×入力'!$A$1:$L$800,54,2+BE$2)&lt;&gt;"",INDEX('×入力'!$A$1:$L$800,55+BE$3,1)&lt;&gt;""),1,0),0)</f>
        <v/>
      </c>
      <c r="BF13">
        <f>IF(BF$4=1,IF(OR(INDEX('×入力'!$A$1:$L$800,55+BF$3,2+BF$2)&lt;&gt;"",INDEX('×入力'!$A$1:$L$800,54,2+BF$2)&lt;&gt;"",INDEX('×入力'!$A$1:$L$800,55+BF$3,1)&lt;&gt;""),1,0),0)</f>
        <v/>
      </c>
      <c r="BG13">
        <f>IF(BG$4=1,IF(OR(INDEX('×入力'!$A$1:$L$800,55+BG$3,2+BG$2)&lt;&gt;"",INDEX('×入力'!$A$1:$L$800,54,2+BG$2)&lt;&gt;"",INDEX('×入力'!$A$1:$L$800,55+BG$3,1)&lt;&gt;""),1,0),0)</f>
        <v/>
      </c>
      <c r="BH13">
        <f>IF(BH$4=1,IF(OR(INDEX('×入力'!$A$1:$L$800,55+BH$3,2+BH$2)&lt;&gt;"",INDEX('×入力'!$A$1:$L$800,54,2+BH$2)&lt;&gt;"",INDEX('×入力'!$A$1:$L$800,55+BH$3,1)&lt;&gt;""),1,0),0)</f>
        <v/>
      </c>
      <c r="BI13">
        <f>IF(BI$4=1,IF(OR(INDEX('×入力'!$A$1:$L$800,55+BI$3,2+BI$2)&lt;&gt;"",INDEX('×入力'!$A$1:$L$800,54,2+BI$2)&lt;&gt;"",INDEX('×入力'!$A$1:$L$800,55+BI$3,1)&lt;&gt;""),1,0),0)</f>
        <v/>
      </c>
      <c r="BJ13">
        <f>IF(BJ$4=1,IF(OR(INDEX('×入力'!$A$1:$L$800,55+BJ$3,2+BJ$2)&lt;&gt;"",INDEX('×入力'!$A$1:$L$800,54,2+BJ$2)&lt;&gt;"",INDEX('×入力'!$A$1:$L$800,55+BJ$3,1)&lt;&gt;""),1,0),0)</f>
        <v/>
      </c>
      <c r="BK13">
        <f>IF(BK$4=1,IF(OR(INDEX('×入力'!$A$1:$L$800,55+BK$3,2+BK$2)&lt;&gt;"",INDEX('×入力'!$A$1:$L$800,54,2+BK$2)&lt;&gt;"",INDEX('×入力'!$A$1:$L$800,55+BK$3,1)&lt;&gt;""),1,0),0)</f>
        <v/>
      </c>
      <c r="BL13">
        <f>IF(BL$4=1,IF(OR(INDEX('×入力'!$A$1:$L$800,55+BL$3,2+BL$2)&lt;&gt;"",INDEX('×入力'!$A$1:$L$800,54,2+BL$2)&lt;&gt;"",INDEX('×入力'!$A$1:$L$800,55+BL$3,1)&lt;&gt;""),1,0),0)</f>
        <v/>
      </c>
      <c r="BM13">
        <f>IF(BM$4=1,IF(OR(INDEX('×入力'!$A$1:$L$800,55+BM$3,2+BM$2)&lt;&gt;"",INDEX('×入力'!$A$1:$L$800,54,2+BM$2)&lt;&gt;"",INDEX('×入力'!$A$1:$L$800,55+BM$3,1)&lt;&gt;""),1,0),0)</f>
        <v/>
      </c>
      <c r="BN13">
        <f>IF(BN$4=1,IF(OR(INDEX('×入力'!$A$1:$L$800,55+BN$3,2+BN$2)&lt;&gt;"",INDEX('×入力'!$A$1:$L$800,54,2+BN$2)&lt;&gt;"",INDEX('×入力'!$A$1:$L$800,55+BN$3,1)&lt;&gt;""),1,0),0)</f>
        <v/>
      </c>
      <c r="BO13">
        <f>IF(BO$4=1,IF(OR(INDEX('×入力'!$A$1:$L$800,55+BO$3,2+BO$2)&lt;&gt;"",INDEX('×入力'!$A$1:$L$800,54,2+BO$2)&lt;&gt;"",INDEX('×入力'!$A$1:$L$800,55+BO$3,1)&lt;&gt;""),1,0),0)</f>
        <v/>
      </c>
      <c r="BP13">
        <f>IF(BP$4=1,IF(OR(INDEX('×入力'!$A$1:$L$800,55+BP$3,2+BP$2)&lt;&gt;"",INDEX('×入力'!$A$1:$L$800,54,2+BP$2)&lt;&gt;"",INDEX('×入力'!$A$1:$L$800,55+BP$3,1)&lt;&gt;""),1,0),0)</f>
        <v/>
      </c>
      <c r="BQ13">
        <f>IF(BQ$4=1,IF(OR(INDEX('×入力'!$A$1:$L$800,55+BQ$3,2+BQ$2)&lt;&gt;"",INDEX('×入力'!$A$1:$L$800,54,2+BQ$2)&lt;&gt;"",INDEX('×入力'!$A$1:$L$800,55+BQ$3,1)&lt;&gt;""),1,0),0)</f>
        <v/>
      </c>
      <c r="BR13">
        <f>IF(BR$4=1,IF(OR(INDEX('×入力'!$A$1:$L$800,55+BR$3,2+BR$2)&lt;&gt;"",INDEX('×入力'!$A$1:$L$800,54,2+BR$2)&lt;&gt;"",INDEX('×入力'!$A$1:$L$800,55+BR$3,1)&lt;&gt;""),1,0),0)</f>
        <v/>
      </c>
      <c r="BS13">
        <f>IF(BS$4=1,IF(OR(INDEX('×入力'!$A$1:$L$800,55+BS$3,2+BS$2)&lt;&gt;"",INDEX('×入力'!$A$1:$L$800,54,2+BS$2)&lt;&gt;"",INDEX('×入力'!$A$1:$L$800,55+BS$3,1)&lt;&gt;""),1,0),0)</f>
        <v/>
      </c>
      <c r="BT13">
        <f>IF(BT$4=1,IF(OR(INDEX('×入力'!$A$1:$L$800,55+BT$3,2+BT$2)&lt;&gt;"",INDEX('×入力'!$A$1:$L$800,54,2+BT$2)&lt;&gt;"",INDEX('×入力'!$A$1:$L$800,55+BT$3,1)&lt;&gt;""),1,0),0)</f>
        <v/>
      </c>
      <c r="BU13">
        <f>IF(BU$4=1,IF(OR(INDEX('×入力'!$A$1:$L$800,55+BU$3,2+BU$2)&lt;&gt;"",INDEX('×入力'!$A$1:$L$800,54,2+BU$2)&lt;&gt;"",INDEX('×入力'!$A$1:$L$800,55+BU$3,1)&lt;&gt;""),1,0),0)</f>
        <v/>
      </c>
      <c r="BV13">
        <f>IF(BV$4=1,IF(OR(INDEX('×入力'!$A$1:$L$800,55+BV$3,2+BV$2)&lt;&gt;"",INDEX('×入力'!$A$1:$L$800,54,2+BV$2)&lt;&gt;"",INDEX('×入力'!$A$1:$L$800,55+BV$3,1)&lt;&gt;""),1,0),0)</f>
        <v/>
      </c>
      <c r="BW13">
        <f>IF(BW$4=1,IF(OR(INDEX('×入力'!$A$1:$L$800,55+BW$3,2+BW$2)&lt;&gt;"",INDEX('×入力'!$A$1:$L$800,54,2+BW$2)&lt;&gt;"",INDEX('×入力'!$A$1:$L$800,55+BW$3,1)&lt;&gt;""),1,0),0)</f>
        <v/>
      </c>
      <c r="BX13">
        <f>IF(BX$4=1,IF(OR(INDEX('×入力'!$A$1:$L$800,55+BX$3,2+BX$2)&lt;&gt;"",INDEX('×入力'!$A$1:$L$800,54,2+BX$2)&lt;&gt;"",INDEX('×入力'!$A$1:$L$800,55+BX$3,1)&lt;&gt;""),1,0),0)</f>
        <v/>
      </c>
      <c r="BY13">
        <f>IF(BY$4=1,IF(OR(INDEX('×入力'!$A$1:$L$800,55+BY$3,2+BY$2)&lt;&gt;"",INDEX('×入力'!$A$1:$L$800,54,2+BY$2)&lt;&gt;"",INDEX('×入力'!$A$1:$L$800,55+BY$3,1)&lt;&gt;""),1,0),0)</f>
        <v/>
      </c>
      <c r="BZ13">
        <f>IF(BZ$4=1,IF(OR(INDEX('×入力'!$A$1:$L$800,55+BZ$3,2+BZ$2)&lt;&gt;"",INDEX('×入力'!$A$1:$L$800,54,2+BZ$2)&lt;&gt;"",INDEX('×入力'!$A$1:$L$800,55+BZ$3,1)&lt;&gt;""),1,0),0)</f>
        <v/>
      </c>
      <c r="CA13">
        <f>IF(CA$4=1,IF(OR(INDEX('×入力'!$A$1:$L$800,55+CA$3,2+CA$2)&lt;&gt;"",INDEX('×入力'!$A$1:$L$800,54,2+CA$2)&lt;&gt;"",INDEX('×入力'!$A$1:$L$800,55+CA$3,1)&lt;&gt;""),1,0),0)</f>
        <v/>
      </c>
      <c r="CB13">
        <f>IF(CB$4=1,IF(OR(INDEX('×入力'!$A$1:$L$800,55+CB$3,2+CB$2)&lt;&gt;"",INDEX('×入力'!$A$1:$L$800,54,2+CB$2)&lt;&gt;"",INDEX('×入力'!$A$1:$L$800,55+CB$3,1)&lt;&gt;""),1,0),0)</f>
        <v/>
      </c>
      <c r="CC13">
        <f>IF(CC$4=1,IF(OR(INDEX('×入力'!$A$1:$L$800,55+CC$3,2+CC$2)&lt;&gt;"",INDEX('×入力'!$A$1:$L$800,54,2+CC$2)&lt;&gt;"",INDEX('×入力'!$A$1:$L$800,55+CC$3,1)&lt;&gt;""),1,0),0)</f>
        <v/>
      </c>
      <c r="CD13">
        <f>IF(CD$4=1,IF(OR(INDEX('×入力'!$A$1:$L$800,55+CD$3,2+CD$2)&lt;&gt;"",INDEX('×入力'!$A$1:$L$800,54,2+CD$2)&lt;&gt;"",INDEX('×入力'!$A$1:$L$800,55+CD$3,1)&lt;&gt;""),1,0),0)</f>
        <v/>
      </c>
      <c r="CE13">
        <f>IF(CE$4=1,IF(OR(INDEX('×入力'!$A$1:$L$800,55+CE$3,2+CE$2)&lt;&gt;"",INDEX('×入力'!$A$1:$L$800,54,2+CE$2)&lt;&gt;"",INDEX('×入力'!$A$1:$L$800,55+CE$3,1)&lt;&gt;""),1,0),0)</f>
        <v/>
      </c>
      <c r="CF13">
        <f>IF(CF$4=1,IF(OR(INDEX('×入力'!$A$1:$L$800,55+CF$3,2+CF$2)&lt;&gt;"",INDEX('×入力'!$A$1:$L$800,54,2+CF$2)&lt;&gt;"",INDEX('×入力'!$A$1:$L$800,55+CF$3,1)&lt;&gt;""),1,0),0)</f>
        <v/>
      </c>
      <c r="CG13">
        <f>IF(CG$4=1,IF(OR(INDEX('×入力'!$A$1:$L$800,55+CG$3,2+CG$2)&lt;&gt;"",INDEX('×入力'!$A$1:$L$800,54,2+CG$2)&lt;&gt;"",INDEX('×入力'!$A$1:$L$800,55+CG$3,1)&lt;&gt;""),1,0),0)</f>
        <v/>
      </c>
      <c r="CH13">
        <f>IF(CH$4=1,IF(OR(INDEX('×入力'!$A$1:$L$800,55+CH$3,2+CH$2)&lt;&gt;"",INDEX('×入力'!$A$1:$L$800,54,2+CH$2)&lt;&gt;"",INDEX('×入力'!$A$1:$L$800,55+CH$3,1)&lt;&gt;""),1,0),0)</f>
        <v/>
      </c>
      <c r="CI13">
        <f>IF(CI$4=1,IF(OR(INDEX('×入力'!$A$1:$L$800,55+CI$3,2+CI$2)&lt;&gt;"",INDEX('×入力'!$A$1:$L$800,54,2+CI$2)&lt;&gt;"",INDEX('×入力'!$A$1:$L$800,55+CI$3,1)&lt;&gt;""),1,0),0)</f>
        <v/>
      </c>
      <c r="CJ13">
        <f>IF(CJ$4=1,IF(OR(INDEX('×入力'!$A$1:$L$800,55+CJ$3,2+CJ$2)&lt;&gt;"",INDEX('×入力'!$A$1:$L$800,54,2+CJ$2)&lt;&gt;"",INDEX('×入力'!$A$1:$L$800,55+CJ$3,1)&lt;&gt;""),1,0),0)</f>
        <v/>
      </c>
      <c r="CK13">
        <f>IF(CK$4=1,IF(OR(INDEX('×入力'!$A$1:$L$800,55+CK$3,2+CK$2)&lt;&gt;"",INDEX('×入力'!$A$1:$L$800,54,2+CK$2)&lt;&gt;"",INDEX('×入力'!$A$1:$L$800,55+CK$3,1)&lt;&gt;""),1,0),0)</f>
        <v/>
      </c>
      <c r="CL13">
        <f>IF(CL$4=1,IF(OR(INDEX('×入力'!$A$1:$L$800,55+CL$3,2+CL$2)&lt;&gt;"",INDEX('×入力'!$A$1:$L$800,54,2+CL$2)&lt;&gt;"",INDEX('×入力'!$A$1:$L$800,55+CL$3,1)&lt;&gt;""),1,0),0)</f>
        <v/>
      </c>
      <c r="CM13">
        <f>IF(CM$4=1,IF(OR(INDEX('×入力'!$A$1:$L$800,55+CM$3,2+CM$2)&lt;&gt;"",INDEX('×入力'!$A$1:$L$800,54,2+CM$2)&lt;&gt;"",INDEX('×入力'!$A$1:$L$800,55+CM$3,1)&lt;&gt;""),1,0),0)</f>
        <v/>
      </c>
      <c r="CN13">
        <f>IF(CN$4=1,IF(OR(INDEX('×入力'!$A$1:$L$800,55+CN$3,2+CN$2)&lt;&gt;"",INDEX('×入力'!$A$1:$L$800,54,2+CN$2)&lt;&gt;"",INDEX('×入力'!$A$1:$L$800,55+CN$3,1)&lt;&gt;""),1,0),0)</f>
        <v/>
      </c>
      <c r="CO13">
        <f>IF(CO$4=1,IF(OR(INDEX('×入力'!$A$1:$L$800,55+CO$3,2+CO$2)&lt;&gt;"",INDEX('×入力'!$A$1:$L$800,54,2+CO$2)&lt;&gt;"",INDEX('×入力'!$A$1:$L$800,55+CO$3,1)&lt;&gt;""),1,0),0)</f>
        <v/>
      </c>
      <c r="CP13">
        <f>IF(CP$4=1,IF(OR(INDEX('×入力'!$A$1:$L$800,55+CP$3,2+CP$2)&lt;&gt;"",INDEX('×入力'!$A$1:$L$800,54,2+CP$2)&lt;&gt;"",INDEX('×入力'!$A$1:$L$800,55+CP$3,1)&lt;&gt;""),1,0),0)</f>
        <v/>
      </c>
      <c r="CQ13">
        <f>IF(CQ$4=1,IF(OR(INDEX('×入力'!$A$1:$L$800,55+CQ$3,2+CQ$2)&lt;&gt;"",INDEX('×入力'!$A$1:$L$800,54,2+CQ$2)&lt;&gt;"",INDEX('×入力'!$A$1:$L$800,55+CQ$3,1)&lt;&gt;""),1,0),0)</f>
        <v/>
      </c>
      <c r="CR13">
        <f>IF(CR$4=1,IF(OR(INDEX('×入力'!$A$1:$L$800,55+CR$3,2+CR$2)&lt;&gt;"",INDEX('×入力'!$A$1:$L$800,54,2+CR$2)&lt;&gt;"",INDEX('×入力'!$A$1:$L$800,55+CR$3,1)&lt;&gt;""),1,0),0)</f>
        <v/>
      </c>
      <c r="CS13">
        <f>IF(CS$4=1,IF(OR(INDEX('×入力'!$A$1:$L$800,55+CS$3,2+CS$2)&lt;&gt;"",INDEX('×入力'!$A$1:$L$800,54,2+CS$2)&lt;&gt;"",INDEX('×入力'!$A$1:$L$800,55+CS$3,1)&lt;&gt;""),1,0),0)</f>
        <v/>
      </c>
      <c r="CT13">
        <f>IF(CT$4=1,IF(OR(INDEX('×入力'!$A$1:$L$800,55+CT$3,2+CT$2)&lt;&gt;"",INDEX('×入力'!$A$1:$L$800,54,2+CT$2)&lt;&gt;"",INDEX('×入力'!$A$1:$L$800,55+CT$3,1)&lt;&gt;""),1,0),0)</f>
        <v/>
      </c>
      <c r="CU13">
        <f>IF(CU$4=1,IF(OR(INDEX('×入力'!$A$1:$L$800,55+CU$3,2+CU$2)&lt;&gt;"",INDEX('×入力'!$A$1:$L$800,54,2+CU$2)&lt;&gt;"",INDEX('×入力'!$A$1:$L$800,55+CU$3,1)&lt;&gt;""),1,0),0)</f>
        <v/>
      </c>
      <c r="CV13">
        <f>IF(CV$4=1,IF(OR(INDEX('×入力'!$A$1:$L$800,55+CV$3,2+CV$2)&lt;&gt;"",INDEX('×入力'!$A$1:$L$800,54,2+CV$2)&lt;&gt;"",INDEX('×入力'!$A$1:$L$800,55+CV$3,1)&lt;&gt;""),1,0),0)</f>
        <v/>
      </c>
      <c r="CW13">
        <f>IF(CW$4=1,IF(OR(INDEX('×入力'!$A$1:$L$800,55+CW$3,2+CW$2)&lt;&gt;"",INDEX('×入力'!$A$1:$L$800,54,2+CW$2)&lt;&gt;"",INDEX('×入力'!$A$1:$L$800,55+CW$3,1)&lt;&gt;""),1,0),0)</f>
        <v/>
      </c>
      <c r="CX13">
        <f>IF(CX$4=1,IF(OR(INDEX('×入力'!$A$1:$L$800,55+CX$3,2+CX$2)&lt;&gt;"",INDEX('×入力'!$A$1:$L$800,54,2+CX$2)&lt;&gt;"",INDEX('×入力'!$A$1:$L$800,55+CX$3,1)&lt;&gt;""),1,0),0)</f>
        <v/>
      </c>
      <c r="CY13">
        <f>IF(CY$4=1,IF(OR(INDEX('×入力'!$A$1:$L$800,55+CY$3,2+CY$2)&lt;&gt;"",INDEX('×入力'!$A$1:$L$800,54,2+CY$2)&lt;&gt;"",INDEX('×入力'!$A$1:$L$800,55+CY$3,1)&lt;&gt;""),1,0),0)</f>
        <v/>
      </c>
      <c r="CZ13">
        <f>IF(CZ$4=1,IF(OR(INDEX('×入力'!$A$1:$L$800,55+CZ$3,2+CZ$2)&lt;&gt;"",INDEX('×入力'!$A$1:$L$800,54,2+CZ$2)&lt;&gt;"",INDEX('×入力'!$A$1:$L$800,55+CZ$3,1)&lt;&gt;""),1,0),0)</f>
        <v/>
      </c>
      <c r="DA13">
        <f>IF(DA$4=1,IF(OR(INDEX('×入力'!$A$1:$L$800,55+DA$3,2+DA$2)&lt;&gt;"",INDEX('×入力'!$A$1:$L$800,54,2+DA$2)&lt;&gt;"",INDEX('×入力'!$A$1:$L$800,55+DA$3,1)&lt;&gt;""),1,0),0)</f>
        <v/>
      </c>
      <c r="DB13">
        <f>IF(DB$4=1,IF(OR(INDEX('×入力'!$A$1:$L$800,55+DB$3,2+DB$2)&lt;&gt;"",INDEX('×入力'!$A$1:$L$800,54,2+DB$2)&lt;&gt;"",INDEX('×入力'!$A$1:$L$800,55+DB$3,1)&lt;&gt;""),1,0),0)</f>
        <v/>
      </c>
      <c r="DC13">
        <f>IF(DC$4=1,IF(OR(INDEX('×入力'!$A$1:$L$800,55+DC$3,2+DC$2)&lt;&gt;"",INDEX('×入力'!$A$1:$L$800,54,2+DC$2)&lt;&gt;"",INDEX('×入力'!$A$1:$L$800,55+DC$3,1)&lt;&gt;""),1,0),0)</f>
        <v/>
      </c>
      <c r="DD13">
        <f>IF(DD$4=1,IF(OR(INDEX('×入力'!$A$1:$L$800,55+DD$3,2+DD$2)&lt;&gt;"",INDEX('×入力'!$A$1:$L$800,54,2+DD$2)&lt;&gt;"",INDEX('×入力'!$A$1:$L$800,55+DD$3,1)&lt;&gt;""),1,0),0)</f>
        <v/>
      </c>
      <c r="DE13">
        <f>IF(DE$4=1,IF(OR(INDEX('×入力'!$A$1:$L$800,55+DE$3,2+DE$2)&lt;&gt;"",INDEX('×入力'!$A$1:$L$800,54,2+DE$2)&lt;&gt;"",INDEX('×入力'!$A$1:$L$800,55+DE$3,1)&lt;&gt;""),1,0),0)</f>
        <v/>
      </c>
      <c r="DF13">
        <f>IF(DF$4=1,IF(OR(INDEX('×入力'!$A$1:$L$800,55+DF$3,2+DF$2)&lt;&gt;"",INDEX('×入力'!$A$1:$L$800,54,2+DF$2)&lt;&gt;"",INDEX('×入力'!$A$1:$L$800,55+DF$3,1)&lt;&gt;""),1,0),0)</f>
        <v/>
      </c>
      <c r="DG13">
        <f>IF(DG$4=1,IF(OR(INDEX('×入力'!$A$1:$L$800,55+DG$3,2+DG$2)&lt;&gt;"",INDEX('×入力'!$A$1:$L$800,54,2+DG$2)&lt;&gt;"",INDEX('×入力'!$A$1:$L$800,55+DG$3,1)&lt;&gt;""),1,0),0)</f>
        <v/>
      </c>
      <c r="DH13">
        <f>IF(DH$4=1,IF(OR(INDEX('×入力'!$A$1:$L$800,55+DH$3,2+DH$2)&lt;&gt;"",INDEX('×入力'!$A$1:$L$800,54,2+DH$2)&lt;&gt;"",INDEX('×入力'!$A$1:$L$800,55+DH$3,1)&lt;&gt;""),1,0),0)</f>
        <v/>
      </c>
      <c r="DI13">
        <f>IF(DI$4=1,IF(OR(INDEX('×入力'!$A$1:$L$800,55+DI$3,2+DI$2)&lt;&gt;"",INDEX('×入力'!$A$1:$L$800,54,2+DI$2)&lt;&gt;"",INDEX('×入力'!$A$1:$L$800,55+DI$3,1)&lt;&gt;""),1,0),0)</f>
        <v/>
      </c>
      <c r="DJ13">
        <f>IF(DJ$4=1,IF(OR(INDEX('×入力'!$A$1:$L$800,55+DJ$3,2+DJ$2)&lt;&gt;"",INDEX('×入力'!$A$1:$L$800,54,2+DJ$2)&lt;&gt;"",INDEX('×入力'!$A$1:$L$800,55+DJ$3,1)&lt;&gt;""),1,0),0)</f>
        <v/>
      </c>
      <c r="DK13">
        <f>IF(DK$4=1,IF(OR(INDEX('×入力'!$A$1:$L$800,55+DK$3,2+DK$2)&lt;&gt;"",INDEX('×入力'!$A$1:$L$800,54,2+DK$2)&lt;&gt;"",INDEX('×入力'!$A$1:$L$800,55+DK$3,1)&lt;&gt;""),1,0),0)</f>
        <v/>
      </c>
      <c r="DL13">
        <f>IF(DL$4=1,IF(OR(INDEX('×入力'!$A$1:$L$800,55+DL$3,2+DL$2)&lt;&gt;"",INDEX('×入力'!$A$1:$L$800,54,2+DL$2)&lt;&gt;"",INDEX('×入力'!$A$1:$L$800,55+DL$3,1)&lt;&gt;""),1,0),0)</f>
        <v/>
      </c>
      <c r="DM13">
        <f>IF(DM$4=1,IF(OR(INDEX('×入力'!$A$1:$L$800,55+DM$3,2+DM$2)&lt;&gt;"",INDEX('×入力'!$A$1:$L$800,54,2+DM$2)&lt;&gt;"",INDEX('×入力'!$A$1:$L$800,55+DM$3,1)&lt;&gt;""),1,0),0)</f>
        <v/>
      </c>
      <c r="DN13">
        <f>IF(DN$4=1,IF(OR(INDEX('×入力'!$A$1:$L$800,55+DN$3,2+DN$2)&lt;&gt;"",INDEX('×入力'!$A$1:$L$800,54,2+DN$2)&lt;&gt;"",INDEX('×入力'!$A$1:$L$800,55+DN$3,1)&lt;&gt;""),1,0),0)</f>
        <v/>
      </c>
      <c r="DO13">
        <f>IF(DO$4=1,IF(OR(INDEX('×入力'!$A$1:$L$800,55+DO$3,2+DO$2)&lt;&gt;"",INDEX('×入力'!$A$1:$L$800,54,2+DO$2)&lt;&gt;"",INDEX('×入力'!$A$1:$L$800,55+DO$3,1)&lt;&gt;""),1,0),0)</f>
        <v/>
      </c>
      <c r="DP13">
        <f>IF(DP$4=1,IF(OR(INDEX('×入力'!$A$1:$L$800,55+DP$3,2+DP$2)&lt;&gt;"",INDEX('×入力'!$A$1:$L$800,54,2+DP$2)&lt;&gt;"",INDEX('×入力'!$A$1:$L$800,55+DP$3,1)&lt;&gt;""),1,0),0)</f>
        <v/>
      </c>
      <c r="DQ13">
        <f>IF(DQ$4=1,IF(OR(INDEX('×入力'!$A$1:$L$800,55+DQ$3,2+DQ$2)&lt;&gt;"",INDEX('×入力'!$A$1:$L$800,54,2+DQ$2)&lt;&gt;"",INDEX('×入力'!$A$1:$L$800,55+DQ$3,1)&lt;&gt;""),1,0),0)</f>
        <v/>
      </c>
      <c r="DR13">
        <f>IF(DR$4=1,IF(OR(INDEX('×入力'!$A$1:$L$800,55+DR$3,2+DR$2)&lt;&gt;"",INDEX('×入力'!$A$1:$L$800,54,2+DR$2)&lt;&gt;"",INDEX('×入力'!$A$1:$L$800,55+DR$3,1)&lt;&gt;""),1,0),0)</f>
        <v/>
      </c>
      <c r="DS13">
        <f>IF(DS$4=1,IF(OR(INDEX('×入力'!$A$1:$L$800,55+DS$3,2+DS$2)&lt;&gt;"",INDEX('×入力'!$A$1:$L$800,54,2+DS$2)&lt;&gt;"",INDEX('×入力'!$A$1:$L$800,55+DS$3,1)&lt;&gt;""),1,0),0)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IF(D$4=1,IF(OR(INDEX('×入力'!$A$1:$L$800,71+D$3,2+D$2)&lt;&gt;"",INDEX('×入力'!$A$1:$L$800,70,2+D$2)&lt;&gt;"",INDEX('×入力'!$A$1:$L$800,71+D$3,1)&lt;&gt;""),1,0),0)</f>
        <v/>
      </c>
      <c r="E14">
        <f>IF(E$4=1,IF(OR(INDEX('×入力'!$A$1:$L$800,71+E$3,2+E$2)&lt;&gt;"",INDEX('×入力'!$A$1:$L$800,70,2+E$2)&lt;&gt;"",INDEX('×入力'!$A$1:$L$800,71+E$3,1)&lt;&gt;""),1,0),0)</f>
        <v/>
      </c>
      <c r="F14">
        <f>IF(F$4=1,IF(OR(INDEX('×入力'!$A$1:$L$800,71+F$3,2+F$2)&lt;&gt;"",INDEX('×入力'!$A$1:$L$800,70,2+F$2)&lt;&gt;"",INDEX('×入力'!$A$1:$L$800,71+F$3,1)&lt;&gt;""),1,0),0)</f>
        <v/>
      </c>
      <c r="G14">
        <f>IF(G$4=1,IF(OR(INDEX('×入力'!$A$1:$L$800,71+G$3,2+G$2)&lt;&gt;"",INDEX('×入力'!$A$1:$L$800,70,2+G$2)&lt;&gt;"",INDEX('×入力'!$A$1:$L$800,71+G$3,1)&lt;&gt;""),1,0),0)</f>
        <v/>
      </c>
      <c r="H14">
        <f>IF(H$4=1,IF(OR(INDEX('×入力'!$A$1:$L$800,71+H$3,2+H$2)&lt;&gt;"",INDEX('×入力'!$A$1:$L$800,70,2+H$2)&lt;&gt;"",INDEX('×入力'!$A$1:$L$800,71+H$3,1)&lt;&gt;""),1,0),0)</f>
        <v/>
      </c>
      <c r="I14">
        <f>IF(I$4=1,IF(OR(INDEX('×入力'!$A$1:$L$800,71+I$3,2+I$2)&lt;&gt;"",INDEX('×入力'!$A$1:$L$800,70,2+I$2)&lt;&gt;"",INDEX('×入力'!$A$1:$L$800,71+I$3,1)&lt;&gt;""),1,0),0)</f>
        <v/>
      </c>
      <c r="J14">
        <f>IF(J$4=1,IF(OR(INDEX('×入力'!$A$1:$L$800,71+J$3,2+J$2)&lt;&gt;"",INDEX('×入力'!$A$1:$L$800,70,2+J$2)&lt;&gt;"",INDEX('×入力'!$A$1:$L$800,71+J$3,1)&lt;&gt;""),1,0),0)</f>
        <v/>
      </c>
      <c r="K14">
        <f>IF(K$4=1,IF(OR(INDEX('×入力'!$A$1:$L$800,71+K$3,2+K$2)&lt;&gt;"",INDEX('×入力'!$A$1:$L$800,70,2+K$2)&lt;&gt;"",INDEX('×入力'!$A$1:$L$800,71+K$3,1)&lt;&gt;""),1,0),0)</f>
        <v/>
      </c>
      <c r="L14">
        <f>IF(L$4=1,IF(OR(INDEX('×入力'!$A$1:$L$800,71+L$3,2+L$2)&lt;&gt;"",INDEX('×入力'!$A$1:$L$800,70,2+L$2)&lt;&gt;"",INDEX('×入力'!$A$1:$L$800,71+L$3,1)&lt;&gt;""),1,0),0)</f>
        <v/>
      </c>
      <c r="M14">
        <f>IF(M$4=1,IF(OR(INDEX('×入力'!$A$1:$L$800,71+M$3,2+M$2)&lt;&gt;"",INDEX('×入力'!$A$1:$L$800,70,2+M$2)&lt;&gt;"",INDEX('×入力'!$A$1:$L$800,71+M$3,1)&lt;&gt;""),1,0),0)</f>
        <v/>
      </c>
      <c r="N14">
        <f>IF(N$4=1,IF(OR(INDEX('×入力'!$A$1:$L$800,71+N$3,2+N$2)&lt;&gt;"",INDEX('×入力'!$A$1:$L$800,70,2+N$2)&lt;&gt;"",INDEX('×入力'!$A$1:$L$800,71+N$3,1)&lt;&gt;""),1,0),0)</f>
        <v/>
      </c>
      <c r="O14">
        <f>IF(O$4=1,IF(OR(INDEX('×入力'!$A$1:$L$800,71+O$3,2+O$2)&lt;&gt;"",INDEX('×入力'!$A$1:$L$800,70,2+O$2)&lt;&gt;"",INDEX('×入力'!$A$1:$L$800,71+O$3,1)&lt;&gt;""),1,0),0)</f>
        <v/>
      </c>
      <c r="P14">
        <f>IF(P$4=1,IF(OR(INDEX('×入力'!$A$1:$L$800,71+P$3,2+P$2)&lt;&gt;"",INDEX('×入力'!$A$1:$L$800,70,2+P$2)&lt;&gt;"",INDEX('×入力'!$A$1:$L$800,71+P$3,1)&lt;&gt;""),1,0),0)</f>
        <v/>
      </c>
      <c r="Q14">
        <f>IF(Q$4=1,IF(OR(INDEX('×入力'!$A$1:$L$800,71+Q$3,2+Q$2)&lt;&gt;"",INDEX('×入力'!$A$1:$L$800,70,2+Q$2)&lt;&gt;"",INDEX('×入力'!$A$1:$L$800,71+Q$3,1)&lt;&gt;""),1,0),0)</f>
        <v/>
      </c>
      <c r="R14">
        <f>IF(R$4=1,IF(OR(INDEX('×入力'!$A$1:$L$800,71+R$3,2+R$2)&lt;&gt;"",INDEX('×入力'!$A$1:$L$800,70,2+R$2)&lt;&gt;"",INDEX('×入力'!$A$1:$L$800,71+R$3,1)&lt;&gt;""),1,0),0)</f>
        <v/>
      </c>
      <c r="S14">
        <f>IF(S$4=1,IF(OR(INDEX('×入力'!$A$1:$L$800,71+S$3,2+S$2)&lt;&gt;"",INDEX('×入力'!$A$1:$L$800,70,2+S$2)&lt;&gt;"",INDEX('×入力'!$A$1:$L$800,71+S$3,1)&lt;&gt;""),1,0),0)</f>
        <v/>
      </c>
      <c r="T14">
        <f>IF(T$4=1,IF(OR(INDEX('×入力'!$A$1:$L$800,71+T$3,2+T$2)&lt;&gt;"",INDEX('×入力'!$A$1:$L$800,70,2+T$2)&lt;&gt;"",INDEX('×入力'!$A$1:$L$800,71+T$3,1)&lt;&gt;""),1,0),0)</f>
        <v/>
      </c>
      <c r="U14">
        <f>IF(U$4=1,IF(OR(INDEX('×入力'!$A$1:$L$800,71+U$3,2+U$2)&lt;&gt;"",INDEX('×入力'!$A$1:$L$800,70,2+U$2)&lt;&gt;"",INDEX('×入力'!$A$1:$L$800,71+U$3,1)&lt;&gt;""),1,0),0)</f>
        <v/>
      </c>
      <c r="V14">
        <f>IF(V$4=1,IF(OR(INDEX('×入力'!$A$1:$L$800,71+V$3,2+V$2)&lt;&gt;"",INDEX('×入力'!$A$1:$L$800,70,2+V$2)&lt;&gt;"",INDEX('×入力'!$A$1:$L$800,71+V$3,1)&lt;&gt;""),1,0),0)</f>
        <v/>
      </c>
      <c r="W14">
        <f>IF(W$4=1,IF(OR(INDEX('×入力'!$A$1:$L$800,71+W$3,2+W$2)&lt;&gt;"",INDEX('×入力'!$A$1:$L$800,70,2+W$2)&lt;&gt;"",INDEX('×入力'!$A$1:$L$800,71+W$3,1)&lt;&gt;""),1,0),0)</f>
        <v/>
      </c>
      <c r="X14">
        <f>IF(X$4=1,IF(OR(INDEX('×入力'!$A$1:$L$800,71+X$3,2+X$2)&lt;&gt;"",INDEX('×入力'!$A$1:$L$800,70,2+X$2)&lt;&gt;"",INDEX('×入力'!$A$1:$L$800,71+X$3,1)&lt;&gt;""),1,0),0)</f>
        <v/>
      </c>
      <c r="Y14">
        <f>IF(Y$4=1,IF(OR(INDEX('×入力'!$A$1:$L$800,71+Y$3,2+Y$2)&lt;&gt;"",INDEX('×入力'!$A$1:$L$800,70,2+Y$2)&lt;&gt;"",INDEX('×入力'!$A$1:$L$800,71+Y$3,1)&lt;&gt;""),1,0),0)</f>
        <v/>
      </c>
      <c r="Z14">
        <f>IF(Z$4=1,IF(OR(INDEX('×入力'!$A$1:$L$800,71+Z$3,2+Z$2)&lt;&gt;"",INDEX('×入力'!$A$1:$L$800,70,2+Z$2)&lt;&gt;"",INDEX('×入力'!$A$1:$L$800,71+Z$3,1)&lt;&gt;""),1,0),0)</f>
        <v/>
      </c>
      <c r="AA14">
        <f>IF(AA$4=1,IF(OR(INDEX('×入力'!$A$1:$L$800,71+AA$3,2+AA$2)&lt;&gt;"",INDEX('×入力'!$A$1:$L$800,70,2+AA$2)&lt;&gt;"",INDEX('×入力'!$A$1:$L$800,71+AA$3,1)&lt;&gt;""),1,0),0)</f>
        <v/>
      </c>
      <c r="AB14">
        <f>IF(AB$4=1,IF(OR(INDEX('×入力'!$A$1:$L$800,71+AB$3,2+AB$2)&lt;&gt;"",INDEX('×入力'!$A$1:$L$800,70,2+AB$2)&lt;&gt;"",INDEX('×入力'!$A$1:$L$800,71+AB$3,1)&lt;&gt;""),1,0),0)</f>
        <v/>
      </c>
      <c r="AC14">
        <f>IF(AC$4=1,IF(OR(INDEX('×入力'!$A$1:$L$800,71+AC$3,2+AC$2)&lt;&gt;"",INDEX('×入力'!$A$1:$L$800,70,2+AC$2)&lt;&gt;"",INDEX('×入力'!$A$1:$L$800,71+AC$3,1)&lt;&gt;""),1,0),0)</f>
        <v/>
      </c>
      <c r="AD14">
        <f>IF(AD$4=1,IF(OR(INDEX('×入力'!$A$1:$L$800,71+AD$3,2+AD$2)&lt;&gt;"",INDEX('×入力'!$A$1:$L$800,70,2+AD$2)&lt;&gt;"",INDEX('×入力'!$A$1:$L$800,71+AD$3,1)&lt;&gt;""),1,0),0)</f>
        <v/>
      </c>
      <c r="AE14">
        <f>IF(AE$4=1,IF(OR(INDEX('×入力'!$A$1:$L$800,71+AE$3,2+AE$2)&lt;&gt;"",INDEX('×入力'!$A$1:$L$800,70,2+AE$2)&lt;&gt;"",INDEX('×入力'!$A$1:$L$800,71+AE$3,1)&lt;&gt;""),1,0),0)</f>
        <v/>
      </c>
      <c r="AF14">
        <f>IF(AF$4=1,IF(OR(INDEX('×入力'!$A$1:$L$800,71+AF$3,2+AF$2)&lt;&gt;"",INDEX('×入力'!$A$1:$L$800,70,2+AF$2)&lt;&gt;"",INDEX('×入力'!$A$1:$L$800,71+AF$3,1)&lt;&gt;""),1,0),0)</f>
        <v/>
      </c>
      <c r="AG14">
        <f>IF(AG$4=1,IF(OR(INDEX('×入力'!$A$1:$L$800,71+AG$3,2+AG$2)&lt;&gt;"",INDEX('×入力'!$A$1:$L$800,70,2+AG$2)&lt;&gt;"",INDEX('×入力'!$A$1:$L$800,71+AG$3,1)&lt;&gt;""),1,0),0)</f>
        <v/>
      </c>
      <c r="AH14">
        <f>IF(AH$4=1,IF(OR(INDEX('×入力'!$A$1:$L$800,71+AH$3,2+AH$2)&lt;&gt;"",INDEX('×入力'!$A$1:$L$800,70,2+AH$2)&lt;&gt;"",INDEX('×入力'!$A$1:$L$800,71+AH$3,1)&lt;&gt;""),1,0),0)</f>
        <v/>
      </c>
      <c r="AI14">
        <f>IF(AI$4=1,IF(OR(INDEX('×入力'!$A$1:$L$800,71+AI$3,2+AI$2)&lt;&gt;"",INDEX('×入力'!$A$1:$L$800,70,2+AI$2)&lt;&gt;"",INDEX('×入力'!$A$1:$L$800,71+AI$3,1)&lt;&gt;""),1,0),0)</f>
        <v/>
      </c>
      <c r="AJ14">
        <f>IF(AJ$4=1,IF(OR(INDEX('×入力'!$A$1:$L$800,71+AJ$3,2+AJ$2)&lt;&gt;"",INDEX('×入力'!$A$1:$L$800,70,2+AJ$2)&lt;&gt;"",INDEX('×入力'!$A$1:$L$800,71+AJ$3,1)&lt;&gt;""),1,0),0)</f>
        <v/>
      </c>
      <c r="AK14">
        <f>IF(AK$4=1,IF(OR(INDEX('×入力'!$A$1:$L$800,71+AK$3,2+AK$2)&lt;&gt;"",INDEX('×入力'!$A$1:$L$800,70,2+AK$2)&lt;&gt;"",INDEX('×入力'!$A$1:$L$800,71+AK$3,1)&lt;&gt;""),1,0),0)</f>
        <v/>
      </c>
      <c r="AL14">
        <f>IF(AL$4=1,IF(OR(INDEX('×入力'!$A$1:$L$800,71+AL$3,2+AL$2)&lt;&gt;"",INDEX('×入力'!$A$1:$L$800,70,2+AL$2)&lt;&gt;"",INDEX('×入力'!$A$1:$L$800,71+AL$3,1)&lt;&gt;""),1,0),0)</f>
        <v/>
      </c>
      <c r="AM14">
        <f>IF(AM$4=1,IF(OR(INDEX('×入力'!$A$1:$L$800,71+AM$3,2+AM$2)&lt;&gt;"",INDEX('×入力'!$A$1:$L$800,70,2+AM$2)&lt;&gt;"",INDEX('×入力'!$A$1:$L$800,71+AM$3,1)&lt;&gt;""),1,0),0)</f>
        <v/>
      </c>
      <c r="AN14">
        <f>IF(AN$4=1,IF(OR(INDEX('×入力'!$A$1:$L$800,71+AN$3,2+AN$2)&lt;&gt;"",INDEX('×入力'!$A$1:$L$800,70,2+AN$2)&lt;&gt;"",INDEX('×入力'!$A$1:$L$800,71+AN$3,1)&lt;&gt;""),1,0),0)</f>
        <v/>
      </c>
      <c r="AO14">
        <f>IF(AO$4=1,IF(OR(INDEX('×入力'!$A$1:$L$800,71+AO$3,2+AO$2)&lt;&gt;"",INDEX('×入力'!$A$1:$L$800,70,2+AO$2)&lt;&gt;"",INDEX('×入力'!$A$1:$L$800,71+AO$3,1)&lt;&gt;""),1,0),0)</f>
        <v/>
      </c>
      <c r="AP14">
        <f>IF(AP$4=1,IF(OR(INDEX('×入力'!$A$1:$L$800,71+AP$3,2+AP$2)&lt;&gt;"",INDEX('×入力'!$A$1:$L$800,70,2+AP$2)&lt;&gt;"",INDEX('×入力'!$A$1:$L$800,71+AP$3,1)&lt;&gt;""),1,0),0)</f>
        <v/>
      </c>
      <c r="AQ14">
        <f>IF(AQ$4=1,IF(OR(INDEX('×入力'!$A$1:$L$800,71+AQ$3,2+AQ$2)&lt;&gt;"",INDEX('×入力'!$A$1:$L$800,70,2+AQ$2)&lt;&gt;"",INDEX('×入力'!$A$1:$L$800,71+AQ$3,1)&lt;&gt;""),1,0),0)</f>
        <v/>
      </c>
      <c r="AR14">
        <f>IF(AR$4=1,IF(OR(INDEX('×入力'!$A$1:$L$800,71+AR$3,2+AR$2)&lt;&gt;"",INDEX('×入力'!$A$1:$L$800,70,2+AR$2)&lt;&gt;"",INDEX('×入力'!$A$1:$L$800,71+AR$3,1)&lt;&gt;""),1,0),0)</f>
        <v/>
      </c>
      <c r="AS14">
        <f>IF(AS$4=1,IF(OR(INDEX('×入力'!$A$1:$L$800,71+AS$3,2+AS$2)&lt;&gt;"",INDEX('×入力'!$A$1:$L$800,70,2+AS$2)&lt;&gt;"",INDEX('×入力'!$A$1:$L$800,71+AS$3,1)&lt;&gt;""),1,0),0)</f>
        <v/>
      </c>
      <c r="AT14">
        <f>IF(AT$4=1,IF(OR(INDEX('×入力'!$A$1:$L$800,71+AT$3,2+AT$2)&lt;&gt;"",INDEX('×入力'!$A$1:$L$800,70,2+AT$2)&lt;&gt;"",INDEX('×入力'!$A$1:$L$800,71+AT$3,1)&lt;&gt;""),1,0),0)</f>
        <v/>
      </c>
      <c r="AU14">
        <f>IF(AU$4=1,IF(OR(INDEX('×入力'!$A$1:$L$800,71+AU$3,2+AU$2)&lt;&gt;"",INDEX('×入力'!$A$1:$L$800,70,2+AU$2)&lt;&gt;"",INDEX('×入力'!$A$1:$L$800,71+AU$3,1)&lt;&gt;""),1,0),0)</f>
        <v/>
      </c>
      <c r="AV14">
        <f>IF(AV$4=1,IF(OR(INDEX('×入力'!$A$1:$L$800,71+AV$3,2+AV$2)&lt;&gt;"",INDEX('×入力'!$A$1:$L$800,70,2+AV$2)&lt;&gt;"",INDEX('×入力'!$A$1:$L$800,71+AV$3,1)&lt;&gt;""),1,0),0)</f>
        <v/>
      </c>
      <c r="AW14">
        <f>IF(AW$4=1,IF(OR(INDEX('×入力'!$A$1:$L$800,71+AW$3,2+AW$2)&lt;&gt;"",INDEX('×入力'!$A$1:$L$800,70,2+AW$2)&lt;&gt;"",INDEX('×入力'!$A$1:$L$800,71+AW$3,1)&lt;&gt;""),1,0),0)</f>
        <v/>
      </c>
      <c r="AX14">
        <f>IF(AX$4=1,IF(OR(INDEX('×入力'!$A$1:$L$800,71+AX$3,2+AX$2)&lt;&gt;"",INDEX('×入力'!$A$1:$L$800,70,2+AX$2)&lt;&gt;"",INDEX('×入力'!$A$1:$L$800,71+AX$3,1)&lt;&gt;""),1,0),0)</f>
        <v/>
      </c>
      <c r="AY14">
        <f>IF(AY$4=1,IF(OR(INDEX('×入力'!$A$1:$L$800,71+AY$3,2+AY$2)&lt;&gt;"",INDEX('×入力'!$A$1:$L$800,70,2+AY$2)&lt;&gt;"",INDEX('×入力'!$A$1:$L$800,71+AY$3,1)&lt;&gt;""),1,0),0)</f>
        <v/>
      </c>
      <c r="AZ14">
        <f>IF(AZ$4=1,IF(OR(INDEX('×入力'!$A$1:$L$800,71+AZ$3,2+AZ$2)&lt;&gt;"",INDEX('×入力'!$A$1:$L$800,70,2+AZ$2)&lt;&gt;"",INDEX('×入力'!$A$1:$L$800,71+AZ$3,1)&lt;&gt;""),1,0),0)</f>
        <v/>
      </c>
      <c r="BA14">
        <f>IF(BA$4=1,IF(OR(INDEX('×入力'!$A$1:$L$800,71+BA$3,2+BA$2)&lt;&gt;"",INDEX('×入力'!$A$1:$L$800,70,2+BA$2)&lt;&gt;"",INDEX('×入力'!$A$1:$L$800,71+BA$3,1)&lt;&gt;""),1,0),0)</f>
        <v/>
      </c>
      <c r="BB14">
        <f>IF(BB$4=1,IF(OR(INDEX('×入力'!$A$1:$L$800,71+BB$3,2+BB$2)&lt;&gt;"",INDEX('×入力'!$A$1:$L$800,70,2+BB$2)&lt;&gt;"",INDEX('×入力'!$A$1:$L$800,71+BB$3,1)&lt;&gt;""),1,0),0)</f>
        <v/>
      </c>
      <c r="BC14">
        <f>IF(BC$4=1,IF(OR(INDEX('×入力'!$A$1:$L$800,71+BC$3,2+BC$2)&lt;&gt;"",INDEX('×入力'!$A$1:$L$800,70,2+BC$2)&lt;&gt;"",INDEX('×入力'!$A$1:$L$800,71+BC$3,1)&lt;&gt;""),1,0),0)</f>
        <v/>
      </c>
      <c r="BD14">
        <f>IF(BD$4=1,IF(OR(INDEX('×入力'!$A$1:$L$800,71+BD$3,2+BD$2)&lt;&gt;"",INDEX('×入力'!$A$1:$L$800,70,2+BD$2)&lt;&gt;"",INDEX('×入力'!$A$1:$L$800,71+BD$3,1)&lt;&gt;""),1,0),0)</f>
        <v/>
      </c>
      <c r="BE14">
        <f>IF(BE$4=1,IF(OR(INDEX('×入力'!$A$1:$L$800,71+BE$3,2+BE$2)&lt;&gt;"",INDEX('×入力'!$A$1:$L$800,70,2+BE$2)&lt;&gt;"",INDEX('×入力'!$A$1:$L$800,71+BE$3,1)&lt;&gt;""),1,0),0)</f>
        <v/>
      </c>
      <c r="BF14">
        <f>IF(BF$4=1,IF(OR(INDEX('×入力'!$A$1:$L$800,71+BF$3,2+BF$2)&lt;&gt;"",INDEX('×入力'!$A$1:$L$800,70,2+BF$2)&lt;&gt;"",INDEX('×入力'!$A$1:$L$800,71+BF$3,1)&lt;&gt;""),1,0),0)</f>
        <v/>
      </c>
      <c r="BG14">
        <f>IF(BG$4=1,IF(OR(INDEX('×入力'!$A$1:$L$800,71+BG$3,2+BG$2)&lt;&gt;"",INDEX('×入力'!$A$1:$L$800,70,2+BG$2)&lt;&gt;"",INDEX('×入力'!$A$1:$L$800,71+BG$3,1)&lt;&gt;""),1,0),0)</f>
        <v/>
      </c>
      <c r="BH14">
        <f>IF(BH$4=1,IF(OR(INDEX('×入力'!$A$1:$L$800,71+BH$3,2+BH$2)&lt;&gt;"",INDEX('×入力'!$A$1:$L$800,70,2+BH$2)&lt;&gt;"",INDEX('×入力'!$A$1:$L$800,71+BH$3,1)&lt;&gt;""),1,0),0)</f>
        <v/>
      </c>
      <c r="BI14">
        <f>IF(BI$4=1,IF(OR(INDEX('×入力'!$A$1:$L$800,71+BI$3,2+BI$2)&lt;&gt;"",INDEX('×入力'!$A$1:$L$800,70,2+BI$2)&lt;&gt;"",INDEX('×入力'!$A$1:$L$800,71+BI$3,1)&lt;&gt;""),1,0),0)</f>
        <v/>
      </c>
      <c r="BJ14">
        <f>IF(BJ$4=1,IF(OR(INDEX('×入力'!$A$1:$L$800,71+BJ$3,2+BJ$2)&lt;&gt;"",INDEX('×入力'!$A$1:$L$800,70,2+BJ$2)&lt;&gt;"",INDEX('×入力'!$A$1:$L$800,71+BJ$3,1)&lt;&gt;""),1,0),0)</f>
        <v/>
      </c>
      <c r="BK14">
        <f>IF(BK$4=1,IF(OR(INDEX('×入力'!$A$1:$L$800,71+BK$3,2+BK$2)&lt;&gt;"",INDEX('×入力'!$A$1:$L$800,70,2+BK$2)&lt;&gt;"",INDEX('×入力'!$A$1:$L$800,71+BK$3,1)&lt;&gt;""),1,0),0)</f>
        <v/>
      </c>
      <c r="BL14">
        <f>IF(BL$4=1,IF(OR(INDEX('×入力'!$A$1:$L$800,71+BL$3,2+BL$2)&lt;&gt;"",INDEX('×入力'!$A$1:$L$800,70,2+BL$2)&lt;&gt;"",INDEX('×入力'!$A$1:$L$800,71+BL$3,1)&lt;&gt;""),1,0),0)</f>
        <v/>
      </c>
      <c r="BM14">
        <f>IF(BM$4=1,IF(OR(INDEX('×入力'!$A$1:$L$800,71+BM$3,2+BM$2)&lt;&gt;"",INDEX('×入力'!$A$1:$L$800,70,2+BM$2)&lt;&gt;"",INDEX('×入力'!$A$1:$L$800,71+BM$3,1)&lt;&gt;""),1,0),0)</f>
        <v/>
      </c>
      <c r="BN14">
        <f>IF(BN$4=1,IF(OR(INDEX('×入力'!$A$1:$L$800,71+BN$3,2+BN$2)&lt;&gt;"",INDEX('×入力'!$A$1:$L$800,70,2+BN$2)&lt;&gt;"",INDEX('×入力'!$A$1:$L$800,71+BN$3,1)&lt;&gt;""),1,0),0)</f>
        <v/>
      </c>
      <c r="BO14">
        <f>IF(BO$4=1,IF(OR(INDEX('×入力'!$A$1:$L$800,71+BO$3,2+BO$2)&lt;&gt;"",INDEX('×入力'!$A$1:$L$800,70,2+BO$2)&lt;&gt;"",INDEX('×入力'!$A$1:$L$800,71+BO$3,1)&lt;&gt;""),1,0),0)</f>
        <v/>
      </c>
      <c r="BP14">
        <f>IF(BP$4=1,IF(OR(INDEX('×入力'!$A$1:$L$800,71+BP$3,2+BP$2)&lt;&gt;"",INDEX('×入力'!$A$1:$L$800,70,2+BP$2)&lt;&gt;"",INDEX('×入力'!$A$1:$L$800,71+BP$3,1)&lt;&gt;""),1,0),0)</f>
        <v/>
      </c>
      <c r="BQ14">
        <f>IF(BQ$4=1,IF(OR(INDEX('×入力'!$A$1:$L$800,71+BQ$3,2+BQ$2)&lt;&gt;"",INDEX('×入力'!$A$1:$L$800,70,2+BQ$2)&lt;&gt;"",INDEX('×入力'!$A$1:$L$800,71+BQ$3,1)&lt;&gt;""),1,0),0)</f>
        <v/>
      </c>
      <c r="BR14">
        <f>IF(BR$4=1,IF(OR(INDEX('×入力'!$A$1:$L$800,71+BR$3,2+BR$2)&lt;&gt;"",INDEX('×入力'!$A$1:$L$800,70,2+BR$2)&lt;&gt;"",INDEX('×入力'!$A$1:$L$800,71+BR$3,1)&lt;&gt;""),1,0),0)</f>
        <v/>
      </c>
      <c r="BS14">
        <f>IF(BS$4=1,IF(OR(INDEX('×入力'!$A$1:$L$800,71+BS$3,2+BS$2)&lt;&gt;"",INDEX('×入力'!$A$1:$L$800,70,2+BS$2)&lt;&gt;"",INDEX('×入力'!$A$1:$L$800,71+BS$3,1)&lt;&gt;""),1,0),0)</f>
        <v/>
      </c>
      <c r="BT14">
        <f>IF(BT$4=1,IF(OR(INDEX('×入力'!$A$1:$L$800,71+BT$3,2+BT$2)&lt;&gt;"",INDEX('×入力'!$A$1:$L$800,70,2+BT$2)&lt;&gt;"",INDEX('×入力'!$A$1:$L$800,71+BT$3,1)&lt;&gt;""),1,0),0)</f>
        <v/>
      </c>
      <c r="BU14">
        <f>IF(BU$4=1,IF(OR(INDEX('×入力'!$A$1:$L$800,71+BU$3,2+BU$2)&lt;&gt;"",INDEX('×入力'!$A$1:$L$800,70,2+BU$2)&lt;&gt;"",INDEX('×入力'!$A$1:$L$800,71+BU$3,1)&lt;&gt;""),1,0),0)</f>
        <v/>
      </c>
      <c r="BV14">
        <f>IF(BV$4=1,IF(OR(INDEX('×入力'!$A$1:$L$800,71+BV$3,2+BV$2)&lt;&gt;"",INDEX('×入力'!$A$1:$L$800,70,2+BV$2)&lt;&gt;"",INDEX('×入力'!$A$1:$L$800,71+BV$3,1)&lt;&gt;""),1,0),0)</f>
        <v/>
      </c>
      <c r="BW14">
        <f>IF(BW$4=1,IF(OR(INDEX('×入力'!$A$1:$L$800,71+BW$3,2+BW$2)&lt;&gt;"",INDEX('×入力'!$A$1:$L$800,70,2+BW$2)&lt;&gt;"",INDEX('×入力'!$A$1:$L$800,71+BW$3,1)&lt;&gt;""),1,0),0)</f>
        <v/>
      </c>
      <c r="BX14">
        <f>IF(BX$4=1,IF(OR(INDEX('×入力'!$A$1:$L$800,71+BX$3,2+BX$2)&lt;&gt;"",INDEX('×入力'!$A$1:$L$800,70,2+BX$2)&lt;&gt;"",INDEX('×入力'!$A$1:$L$800,71+BX$3,1)&lt;&gt;""),1,0),0)</f>
        <v/>
      </c>
      <c r="BY14">
        <f>IF(BY$4=1,IF(OR(INDEX('×入力'!$A$1:$L$800,71+BY$3,2+BY$2)&lt;&gt;"",INDEX('×入力'!$A$1:$L$800,70,2+BY$2)&lt;&gt;"",INDEX('×入力'!$A$1:$L$800,71+BY$3,1)&lt;&gt;""),1,0),0)</f>
        <v/>
      </c>
      <c r="BZ14">
        <f>IF(BZ$4=1,IF(OR(INDEX('×入力'!$A$1:$L$800,71+BZ$3,2+BZ$2)&lt;&gt;"",INDEX('×入力'!$A$1:$L$800,70,2+BZ$2)&lt;&gt;"",INDEX('×入力'!$A$1:$L$800,71+BZ$3,1)&lt;&gt;""),1,0),0)</f>
        <v/>
      </c>
      <c r="CA14">
        <f>IF(CA$4=1,IF(OR(INDEX('×入力'!$A$1:$L$800,71+CA$3,2+CA$2)&lt;&gt;"",INDEX('×入力'!$A$1:$L$800,70,2+CA$2)&lt;&gt;"",INDEX('×入力'!$A$1:$L$800,71+CA$3,1)&lt;&gt;""),1,0),0)</f>
        <v/>
      </c>
      <c r="CB14">
        <f>IF(CB$4=1,IF(OR(INDEX('×入力'!$A$1:$L$800,71+CB$3,2+CB$2)&lt;&gt;"",INDEX('×入力'!$A$1:$L$800,70,2+CB$2)&lt;&gt;"",INDEX('×入力'!$A$1:$L$800,71+CB$3,1)&lt;&gt;""),1,0),0)</f>
        <v/>
      </c>
      <c r="CC14">
        <f>IF(CC$4=1,IF(OR(INDEX('×入力'!$A$1:$L$800,71+CC$3,2+CC$2)&lt;&gt;"",INDEX('×入力'!$A$1:$L$800,70,2+CC$2)&lt;&gt;"",INDEX('×入力'!$A$1:$L$800,71+CC$3,1)&lt;&gt;""),1,0),0)</f>
        <v/>
      </c>
      <c r="CD14">
        <f>IF(CD$4=1,IF(OR(INDEX('×入力'!$A$1:$L$800,71+CD$3,2+CD$2)&lt;&gt;"",INDEX('×入力'!$A$1:$L$800,70,2+CD$2)&lt;&gt;"",INDEX('×入力'!$A$1:$L$800,71+CD$3,1)&lt;&gt;""),1,0),0)</f>
        <v/>
      </c>
      <c r="CE14">
        <f>IF(CE$4=1,IF(OR(INDEX('×入力'!$A$1:$L$800,71+CE$3,2+CE$2)&lt;&gt;"",INDEX('×入力'!$A$1:$L$800,70,2+CE$2)&lt;&gt;"",INDEX('×入力'!$A$1:$L$800,71+CE$3,1)&lt;&gt;""),1,0),0)</f>
        <v/>
      </c>
      <c r="CF14">
        <f>IF(CF$4=1,IF(OR(INDEX('×入力'!$A$1:$L$800,71+CF$3,2+CF$2)&lt;&gt;"",INDEX('×入力'!$A$1:$L$800,70,2+CF$2)&lt;&gt;"",INDEX('×入力'!$A$1:$L$800,71+CF$3,1)&lt;&gt;""),1,0),0)</f>
        <v/>
      </c>
      <c r="CG14">
        <f>IF(CG$4=1,IF(OR(INDEX('×入力'!$A$1:$L$800,71+CG$3,2+CG$2)&lt;&gt;"",INDEX('×入力'!$A$1:$L$800,70,2+CG$2)&lt;&gt;"",INDEX('×入力'!$A$1:$L$800,71+CG$3,1)&lt;&gt;""),1,0),0)</f>
        <v/>
      </c>
      <c r="CH14">
        <f>IF(CH$4=1,IF(OR(INDEX('×入力'!$A$1:$L$800,71+CH$3,2+CH$2)&lt;&gt;"",INDEX('×入力'!$A$1:$L$800,70,2+CH$2)&lt;&gt;"",INDEX('×入力'!$A$1:$L$800,71+CH$3,1)&lt;&gt;""),1,0),0)</f>
        <v/>
      </c>
      <c r="CI14">
        <f>IF(CI$4=1,IF(OR(INDEX('×入力'!$A$1:$L$800,71+CI$3,2+CI$2)&lt;&gt;"",INDEX('×入力'!$A$1:$L$800,70,2+CI$2)&lt;&gt;"",INDEX('×入力'!$A$1:$L$800,71+CI$3,1)&lt;&gt;""),1,0),0)</f>
        <v/>
      </c>
      <c r="CJ14">
        <f>IF(CJ$4=1,IF(OR(INDEX('×入力'!$A$1:$L$800,71+CJ$3,2+CJ$2)&lt;&gt;"",INDEX('×入力'!$A$1:$L$800,70,2+CJ$2)&lt;&gt;"",INDEX('×入力'!$A$1:$L$800,71+CJ$3,1)&lt;&gt;""),1,0),0)</f>
        <v/>
      </c>
      <c r="CK14">
        <f>IF(CK$4=1,IF(OR(INDEX('×入力'!$A$1:$L$800,71+CK$3,2+CK$2)&lt;&gt;"",INDEX('×入力'!$A$1:$L$800,70,2+CK$2)&lt;&gt;"",INDEX('×入力'!$A$1:$L$800,71+CK$3,1)&lt;&gt;""),1,0),0)</f>
        <v/>
      </c>
      <c r="CL14">
        <f>IF(CL$4=1,IF(OR(INDEX('×入力'!$A$1:$L$800,71+CL$3,2+CL$2)&lt;&gt;"",INDEX('×入力'!$A$1:$L$800,70,2+CL$2)&lt;&gt;"",INDEX('×入力'!$A$1:$L$800,71+CL$3,1)&lt;&gt;""),1,0),0)</f>
        <v/>
      </c>
      <c r="CM14">
        <f>IF(CM$4=1,IF(OR(INDEX('×入力'!$A$1:$L$800,71+CM$3,2+CM$2)&lt;&gt;"",INDEX('×入力'!$A$1:$L$800,70,2+CM$2)&lt;&gt;"",INDEX('×入力'!$A$1:$L$800,71+CM$3,1)&lt;&gt;""),1,0),0)</f>
        <v/>
      </c>
      <c r="CN14">
        <f>IF(CN$4=1,IF(OR(INDEX('×入力'!$A$1:$L$800,71+CN$3,2+CN$2)&lt;&gt;"",INDEX('×入力'!$A$1:$L$800,70,2+CN$2)&lt;&gt;"",INDEX('×入力'!$A$1:$L$800,71+CN$3,1)&lt;&gt;""),1,0),0)</f>
        <v/>
      </c>
      <c r="CO14">
        <f>IF(CO$4=1,IF(OR(INDEX('×入力'!$A$1:$L$800,71+CO$3,2+CO$2)&lt;&gt;"",INDEX('×入力'!$A$1:$L$800,70,2+CO$2)&lt;&gt;"",INDEX('×入力'!$A$1:$L$800,71+CO$3,1)&lt;&gt;""),1,0),0)</f>
        <v/>
      </c>
      <c r="CP14">
        <f>IF(CP$4=1,IF(OR(INDEX('×入力'!$A$1:$L$800,71+CP$3,2+CP$2)&lt;&gt;"",INDEX('×入力'!$A$1:$L$800,70,2+CP$2)&lt;&gt;"",INDEX('×入力'!$A$1:$L$800,71+CP$3,1)&lt;&gt;""),1,0),0)</f>
        <v/>
      </c>
      <c r="CQ14">
        <f>IF(CQ$4=1,IF(OR(INDEX('×入力'!$A$1:$L$800,71+CQ$3,2+CQ$2)&lt;&gt;"",INDEX('×入力'!$A$1:$L$800,70,2+CQ$2)&lt;&gt;"",INDEX('×入力'!$A$1:$L$800,71+CQ$3,1)&lt;&gt;""),1,0),0)</f>
        <v/>
      </c>
      <c r="CR14">
        <f>IF(CR$4=1,IF(OR(INDEX('×入力'!$A$1:$L$800,71+CR$3,2+CR$2)&lt;&gt;"",INDEX('×入力'!$A$1:$L$800,70,2+CR$2)&lt;&gt;"",INDEX('×入力'!$A$1:$L$800,71+CR$3,1)&lt;&gt;""),1,0),0)</f>
        <v/>
      </c>
      <c r="CS14">
        <f>IF(CS$4=1,IF(OR(INDEX('×入力'!$A$1:$L$800,71+CS$3,2+CS$2)&lt;&gt;"",INDEX('×入力'!$A$1:$L$800,70,2+CS$2)&lt;&gt;"",INDEX('×入力'!$A$1:$L$800,71+CS$3,1)&lt;&gt;""),1,0),0)</f>
        <v/>
      </c>
      <c r="CT14">
        <f>IF(CT$4=1,IF(OR(INDEX('×入力'!$A$1:$L$800,71+CT$3,2+CT$2)&lt;&gt;"",INDEX('×入力'!$A$1:$L$800,70,2+CT$2)&lt;&gt;"",INDEX('×入力'!$A$1:$L$800,71+CT$3,1)&lt;&gt;""),1,0),0)</f>
        <v/>
      </c>
      <c r="CU14">
        <f>IF(CU$4=1,IF(OR(INDEX('×入力'!$A$1:$L$800,71+CU$3,2+CU$2)&lt;&gt;"",INDEX('×入力'!$A$1:$L$800,70,2+CU$2)&lt;&gt;"",INDEX('×入力'!$A$1:$L$800,71+CU$3,1)&lt;&gt;""),1,0),0)</f>
        <v/>
      </c>
      <c r="CV14">
        <f>IF(CV$4=1,IF(OR(INDEX('×入力'!$A$1:$L$800,71+CV$3,2+CV$2)&lt;&gt;"",INDEX('×入力'!$A$1:$L$800,70,2+CV$2)&lt;&gt;"",INDEX('×入力'!$A$1:$L$800,71+CV$3,1)&lt;&gt;""),1,0),0)</f>
        <v/>
      </c>
      <c r="CW14">
        <f>IF(CW$4=1,IF(OR(INDEX('×入力'!$A$1:$L$800,71+CW$3,2+CW$2)&lt;&gt;"",INDEX('×入力'!$A$1:$L$800,70,2+CW$2)&lt;&gt;"",INDEX('×入力'!$A$1:$L$800,71+CW$3,1)&lt;&gt;""),1,0),0)</f>
        <v/>
      </c>
      <c r="CX14">
        <f>IF(CX$4=1,IF(OR(INDEX('×入力'!$A$1:$L$800,71+CX$3,2+CX$2)&lt;&gt;"",INDEX('×入力'!$A$1:$L$800,70,2+CX$2)&lt;&gt;"",INDEX('×入力'!$A$1:$L$800,71+CX$3,1)&lt;&gt;""),1,0),0)</f>
        <v/>
      </c>
      <c r="CY14">
        <f>IF(CY$4=1,IF(OR(INDEX('×入力'!$A$1:$L$800,71+CY$3,2+CY$2)&lt;&gt;"",INDEX('×入力'!$A$1:$L$800,70,2+CY$2)&lt;&gt;"",INDEX('×入力'!$A$1:$L$800,71+CY$3,1)&lt;&gt;""),1,0),0)</f>
        <v/>
      </c>
      <c r="CZ14">
        <f>IF(CZ$4=1,IF(OR(INDEX('×入力'!$A$1:$L$800,71+CZ$3,2+CZ$2)&lt;&gt;"",INDEX('×入力'!$A$1:$L$800,70,2+CZ$2)&lt;&gt;"",INDEX('×入力'!$A$1:$L$800,71+CZ$3,1)&lt;&gt;""),1,0),0)</f>
        <v/>
      </c>
      <c r="DA14">
        <f>IF(DA$4=1,IF(OR(INDEX('×入力'!$A$1:$L$800,71+DA$3,2+DA$2)&lt;&gt;"",INDEX('×入力'!$A$1:$L$800,70,2+DA$2)&lt;&gt;"",INDEX('×入力'!$A$1:$L$800,71+DA$3,1)&lt;&gt;""),1,0),0)</f>
        <v/>
      </c>
      <c r="DB14">
        <f>IF(DB$4=1,IF(OR(INDEX('×入力'!$A$1:$L$800,71+DB$3,2+DB$2)&lt;&gt;"",INDEX('×入力'!$A$1:$L$800,70,2+DB$2)&lt;&gt;"",INDEX('×入力'!$A$1:$L$800,71+DB$3,1)&lt;&gt;""),1,0),0)</f>
        <v/>
      </c>
      <c r="DC14">
        <f>IF(DC$4=1,IF(OR(INDEX('×入力'!$A$1:$L$800,71+DC$3,2+DC$2)&lt;&gt;"",INDEX('×入力'!$A$1:$L$800,70,2+DC$2)&lt;&gt;"",INDEX('×入力'!$A$1:$L$800,71+DC$3,1)&lt;&gt;""),1,0),0)</f>
        <v/>
      </c>
      <c r="DD14">
        <f>IF(DD$4=1,IF(OR(INDEX('×入力'!$A$1:$L$800,71+DD$3,2+DD$2)&lt;&gt;"",INDEX('×入力'!$A$1:$L$800,70,2+DD$2)&lt;&gt;"",INDEX('×入力'!$A$1:$L$800,71+DD$3,1)&lt;&gt;""),1,0),0)</f>
        <v/>
      </c>
      <c r="DE14">
        <f>IF(DE$4=1,IF(OR(INDEX('×入力'!$A$1:$L$800,71+DE$3,2+DE$2)&lt;&gt;"",INDEX('×入力'!$A$1:$L$800,70,2+DE$2)&lt;&gt;"",INDEX('×入力'!$A$1:$L$800,71+DE$3,1)&lt;&gt;""),1,0),0)</f>
        <v/>
      </c>
      <c r="DF14">
        <f>IF(DF$4=1,IF(OR(INDEX('×入力'!$A$1:$L$800,71+DF$3,2+DF$2)&lt;&gt;"",INDEX('×入力'!$A$1:$L$800,70,2+DF$2)&lt;&gt;"",INDEX('×入力'!$A$1:$L$800,71+DF$3,1)&lt;&gt;""),1,0),0)</f>
        <v/>
      </c>
      <c r="DG14">
        <f>IF(DG$4=1,IF(OR(INDEX('×入力'!$A$1:$L$800,71+DG$3,2+DG$2)&lt;&gt;"",INDEX('×入力'!$A$1:$L$800,70,2+DG$2)&lt;&gt;"",INDEX('×入力'!$A$1:$L$800,71+DG$3,1)&lt;&gt;""),1,0),0)</f>
        <v/>
      </c>
      <c r="DH14">
        <f>IF(DH$4=1,IF(OR(INDEX('×入力'!$A$1:$L$800,71+DH$3,2+DH$2)&lt;&gt;"",INDEX('×入力'!$A$1:$L$800,70,2+DH$2)&lt;&gt;"",INDEX('×入力'!$A$1:$L$800,71+DH$3,1)&lt;&gt;""),1,0),0)</f>
        <v/>
      </c>
      <c r="DI14">
        <f>IF(DI$4=1,IF(OR(INDEX('×入力'!$A$1:$L$800,71+DI$3,2+DI$2)&lt;&gt;"",INDEX('×入力'!$A$1:$L$800,70,2+DI$2)&lt;&gt;"",INDEX('×入力'!$A$1:$L$800,71+DI$3,1)&lt;&gt;""),1,0),0)</f>
        <v/>
      </c>
      <c r="DJ14">
        <f>IF(DJ$4=1,IF(OR(INDEX('×入力'!$A$1:$L$800,71+DJ$3,2+DJ$2)&lt;&gt;"",INDEX('×入力'!$A$1:$L$800,70,2+DJ$2)&lt;&gt;"",INDEX('×入力'!$A$1:$L$800,71+DJ$3,1)&lt;&gt;""),1,0),0)</f>
        <v/>
      </c>
      <c r="DK14">
        <f>IF(DK$4=1,IF(OR(INDEX('×入力'!$A$1:$L$800,71+DK$3,2+DK$2)&lt;&gt;"",INDEX('×入力'!$A$1:$L$800,70,2+DK$2)&lt;&gt;"",INDEX('×入力'!$A$1:$L$800,71+DK$3,1)&lt;&gt;""),1,0),0)</f>
        <v/>
      </c>
      <c r="DL14">
        <f>IF(DL$4=1,IF(OR(INDEX('×入力'!$A$1:$L$800,71+DL$3,2+DL$2)&lt;&gt;"",INDEX('×入力'!$A$1:$L$800,70,2+DL$2)&lt;&gt;"",INDEX('×入力'!$A$1:$L$800,71+DL$3,1)&lt;&gt;""),1,0),0)</f>
        <v/>
      </c>
      <c r="DM14">
        <f>IF(DM$4=1,IF(OR(INDEX('×入力'!$A$1:$L$800,71+DM$3,2+DM$2)&lt;&gt;"",INDEX('×入力'!$A$1:$L$800,70,2+DM$2)&lt;&gt;"",INDEX('×入力'!$A$1:$L$800,71+DM$3,1)&lt;&gt;""),1,0),0)</f>
        <v/>
      </c>
      <c r="DN14">
        <f>IF(DN$4=1,IF(OR(INDEX('×入力'!$A$1:$L$800,71+DN$3,2+DN$2)&lt;&gt;"",INDEX('×入力'!$A$1:$L$800,70,2+DN$2)&lt;&gt;"",INDEX('×入力'!$A$1:$L$800,71+DN$3,1)&lt;&gt;""),1,0),0)</f>
        <v/>
      </c>
      <c r="DO14">
        <f>IF(DO$4=1,IF(OR(INDEX('×入力'!$A$1:$L$800,71+DO$3,2+DO$2)&lt;&gt;"",INDEX('×入力'!$A$1:$L$800,70,2+DO$2)&lt;&gt;"",INDEX('×入力'!$A$1:$L$800,71+DO$3,1)&lt;&gt;""),1,0),0)</f>
        <v/>
      </c>
      <c r="DP14">
        <f>IF(DP$4=1,IF(OR(INDEX('×入力'!$A$1:$L$800,71+DP$3,2+DP$2)&lt;&gt;"",INDEX('×入力'!$A$1:$L$800,70,2+DP$2)&lt;&gt;"",INDEX('×入力'!$A$1:$L$800,71+DP$3,1)&lt;&gt;""),1,0),0)</f>
        <v/>
      </c>
      <c r="DQ14">
        <f>IF(DQ$4=1,IF(OR(INDEX('×入力'!$A$1:$L$800,71+DQ$3,2+DQ$2)&lt;&gt;"",INDEX('×入力'!$A$1:$L$800,70,2+DQ$2)&lt;&gt;"",INDEX('×入力'!$A$1:$L$800,71+DQ$3,1)&lt;&gt;""),1,0),0)</f>
        <v/>
      </c>
      <c r="DR14">
        <f>IF(DR$4=1,IF(OR(INDEX('×入力'!$A$1:$L$800,71+DR$3,2+DR$2)&lt;&gt;"",INDEX('×入力'!$A$1:$L$800,70,2+DR$2)&lt;&gt;"",INDEX('×入力'!$A$1:$L$800,71+DR$3,1)&lt;&gt;""),1,0),0)</f>
        <v/>
      </c>
      <c r="DS14">
        <f>IF(DS$4=1,IF(OR(INDEX('×入力'!$A$1:$L$800,71+DS$3,2+DS$2)&lt;&gt;"",INDEX('×入力'!$A$1:$L$800,70,2+DS$2)&lt;&gt;"",INDEX('×入力'!$A$1:$L$800,71+DS$3,1)&lt;&gt;""),1,0),0)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IF(D$4=1,IF(OR(INDEX('×入力'!$A$1:$L$800,87+D$3,2+D$2)&lt;&gt;"",INDEX('×入力'!$A$1:$L$800,86,2+D$2)&lt;&gt;"",INDEX('×入力'!$A$1:$L$800,87+D$3,1)&lt;&gt;""),1,0),0)</f>
        <v/>
      </c>
      <c r="E15">
        <f>IF(E$4=1,IF(OR(INDEX('×入力'!$A$1:$L$800,87+E$3,2+E$2)&lt;&gt;"",INDEX('×入力'!$A$1:$L$800,86,2+E$2)&lt;&gt;"",INDEX('×入力'!$A$1:$L$800,87+E$3,1)&lt;&gt;""),1,0),0)</f>
        <v/>
      </c>
      <c r="F15">
        <f>IF(F$4=1,IF(OR(INDEX('×入力'!$A$1:$L$800,87+F$3,2+F$2)&lt;&gt;"",INDEX('×入力'!$A$1:$L$800,86,2+F$2)&lt;&gt;"",INDEX('×入力'!$A$1:$L$800,87+F$3,1)&lt;&gt;""),1,0),0)</f>
        <v/>
      </c>
      <c r="G15">
        <f>IF(G$4=1,IF(OR(INDEX('×入力'!$A$1:$L$800,87+G$3,2+G$2)&lt;&gt;"",INDEX('×入力'!$A$1:$L$800,86,2+G$2)&lt;&gt;"",INDEX('×入力'!$A$1:$L$800,87+G$3,1)&lt;&gt;""),1,0),0)</f>
        <v/>
      </c>
      <c r="H15">
        <f>IF(H$4=1,IF(OR(INDEX('×入力'!$A$1:$L$800,87+H$3,2+H$2)&lt;&gt;"",INDEX('×入力'!$A$1:$L$800,86,2+H$2)&lt;&gt;"",INDEX('×入力'!$A$1:$L$800,87+H$3,1)&lt;&gt;""),1,0),0)</f>
        <v/>
      </c>
      <c r="I15">
        <f>IF(I$4=1,IF(OR(INDEX('×入力'!$A$1:$L$800,87+I$3,2+I$2)&lt;&gt;"",INDEX('×入力'!$A$1:$L$800,86,2+I$2)&lt;&gt;"",INDEX('×入力'!$A$1:$L$800,87+I$3,1)&lt;&gt;""),1,0),0)</f>
        <v/>
      </c>
      <c r="J15">
        <f>IF(J$4=1,IF(OR(INDEX('×入力'!$A$1:$L$800,87+J$3,2+J$2)&lt;&gt;"",INDEX('×入力'!$A$1:$L$800,86,2+J$2)&lt;&gt;"",INDEX('×入力'!$A$1:$L$800,87+J$3,1)&lt;&gt;""),1,0),0)</f>
        <v/>
      </c>
      <c r="K15">
        <f>IF(K$4=1,IF(OR(INDEX('×入力'!$A$1:$L$800,87+K$3,2+K$2)&lt;&gt;"",INDEX('×入力'!$A$1:$L$800,86,2+K$2)&lt;&gt;"",INDEX('×入力'!$A$1:$L$800,87+K$3,1)&lt;&gt;""),1,0),0)</f>
        <v/>
      </c>
      <c r="L15">
        <f>IF(L$4=1,IF(OR(INDEX('×入力'!$A$1:$L$800,87+L$3,2+L$2)&lt;&gt;"",INDEX('×入力'!$A$1:$L$800,86,2+L$2)&lt;&gt;"",INDEX('×入力'!$A$1:$L$800,87+L$3,1)&lt;&gt;""),1,0),0)</f>
        <v/>
      </c>
      <c r="M15">
        <f>IF(M$4=1,IF(OR(INDEX('×入力'!$A$1:$L$800,87+M$3,2+M$2)&lt;&gt;"",INDEX('×入力'!$A$1:$L$800,86,2+M$2)&lt;&gt;"",INDEX('×入力'!$A$1:$L$800,87+M$3,1)&lt;&gt;""),1,0),0)</f>
        <v/>
      </c>
      <c r="N15">
        <f>IF(N$4=1,IF(OR(INDEX('×入力'!$A$1:$L$800,87+N$3,2+N$2)&lt;&gt;"",INDEX('×入力'!$A$1:$L$800,86,2+N$2)&lt;&gt;"",INDEX('×入力'!$A$1:$L$800,87+N$3,1)&lt;&gt;""),1,0),0)</f>
        <v/>
      </c>
      <c r="O15">
        <f>IF(O$4=1,IF(OR(INDEX('×入力'!$A$1:$L$800,87+O$3,2+O$2)&lt;&gt;"",INDEX('×入力'!$A$1:$L$800,86,2+O$2)&lt;&gt;"",INDEX('×入力'!$A$1:$L$800,87+O$3,1)&lt;&gt;""),1,0),0)</f>
        <v/>
      </c>
      <c r="P15">
        <f>IF(P$4=1,IF(OR(INDEX('×入力'!$A$1:$L$800,87+P$3,2+P$2)&lt;&gt;"",INDEX('×入力'!$A$1:$L$800,86,2+P$2)&lt;&gt;"",INDEX('×入力'!$A$1:$L$800,87+P$3,1)&lt;&gt;""),1,0),0)</f>
        <v/>
      </c>
      <c r="Q15">
        <f>IF(Q$4=1,IF(OR(INDEX('×入力'!$A$1:$L$800,87+Q$3,2+Q$2)&lt;&gt;"",INDEX('×入力'!$A$1:$L$800,86,2+Q$2)&lt;&gt;"",INDEX('×入力'!$A$1:$L$800,87+Q$3,1)&lt;&gt;""),1,0),0)</f>
        <v/>
      </c>
      <c r="R15">
        <f>IF(R$4=1,IF(OR(INDEX('×入力'!$A$1:$L$800,87+R$3,2+R$2)&lt;&gt;"",INDEX('×入力'!$A$1:$L$800,86,2+R$2)&lt;&gt;"",INDEX('×入力'!$A$1:$L$800,87+R$3,1)&lt;&gt;""),1,0),0)</f>
        <v/>
      </c>
      <c r="S15">
        <f>IF(S$4=1,IF(OR(INDEX('×入力'!$A$1:$L$800,87+S$3,2+S$2)&lt;&gt;"",INDEX('×入力'!$A$1:$L$800,86,2+S$2)&lt;&gt;"",INDEX('×入力'!$A$1:$L$800,87+S$3,1)&lt;&gt;""),1,0),0)</f>
        <v/>
      </c>
      <c r="T15">
        <f>IF(T$4=1,IF(OR(INDEX('×入力'!$A$1:$L$800,87+T$3,2+T$2)&lt;&gt;"",INDEX('×入力'!$A$1:$L$800,86,2+T$2)&lt;&gt;"",INDEX('×入力'!$A$1:$L$800,87+T$3,1)&lt;&gt;""),1,0),0)</f>
        <v/>
      </c>
      <c r="U15">
        <f>IF(U$4=1,IF(OR(INDEX('×入力'!$A$1:$L$800,87+U$3,2+U$2)&lt;&gt;"",INDEX('×入力'!$A$1:$L$800,86,2+U$2)&lt;&gt;"",INDEX('×入力'!$A$1:$L$800,87+U$3,1)&lt;&gt;""),1,0),0)</f>
        <v/>
      </c>
      <c r="V15">
        <f>IF(V$4=1,IF(OR(INDEX('×入力'!$A$1:$L$800,87+V$3,2+V$2)&lt;&gt;"",INDEX('×入力'!$A$1:$L$800,86,2+V$2)&lt;&gt;"",INDEX('×入力'!$A$1:$L$800,87+V$3,1)&lt;&gt;""),1,0),0)</f>
        <v/>
      </c>
      <c r="W15">
        <f>IF(W$4=1,IF(OR(INDEX('×入力'!$A$1:$L$800,87+W$3,2+W$2)&lt;&gt;"",INDEX('×入力'!$A$1:$L$800,86,2+W$2)&lt;&gt;"",INDEX('×入力'!$A$1:$L$800,87+W$3,1)&lt;&gt;""),1,0),0)</f>
        <v/>
      </c>
      <c r="X15">
        <f>IF(X$4=1,IF(OR(INDEX('×入力'!$A$1:$L$800,87+X$3,2+X$2)&lt;&gt;"",INDEX('×入力'!$A$1:$L$800,86,2+X$2)&lt;&gt;"",INDEX('×入力'!$A$1:$L$800,87+X$3,1)&lt;&gt;""),1,0),0)</f>
        <v/>
      </c>
      <c r="Y15">
        <f>IF(Y$4=1,IF(OR(INDEX('×入力'!$A$1:$L$800,87+Y$3,2+Y$2)&lt;&gt;"",INDEX('×入力'!$A$1:$L$800,86,2+Y$2)&lt;&gt;"",INDEX('×入力'!$A$1:$L$800,87+Y$3,1)&lt;&gt;""),1,0),0)</f>
        <v/>
      </c>
      <c r="Z15">
        <f>IF(Z$4=1,IF(OR(INDEX('×入力'!$A$1:$L$800,87+Z$3,2+Z$2)&lt;&gt;"",INDEX('×入力'!$A$1:$L$800,86,2+Z$2)&lt;&gt;"",INDEX('×入力'!$A$1:$L$800,87+Z$3,1)&lt;&gt;""),1,0),0)</f>
        <v/>
      </c>
      <c r="AA15">
        <f>IF(AA$4=1,IF(OR(INDEX('×入力'!$A$1:$L$800,87+AA$3,2+AA$2)&lt;&gt;"",INDEX('×入力'!$A$1:$L$800,86,2+AA$2)&lt;&gt;"",INDEX('×入力'!$A$1:$L$800,87+AA$3,1)&lt;&gt;""),1,0),0)</f>
        <v/>
      </c>
      <c r="AB15">
        <f>IF(AB$4=1,IF(OR(INDEX('×入力'!$A$1:$L$800,87+AB$3,2+AB$2)&lt;&gt;"",INDEX('×入力'!$A$1:$L$800,86,2+AB$2)&lt;&gt;"",INDEX('×入力'!$A$1:$L$800,87+AB$3,1)&lt;&gt;""),1,0),0)</f>
        <v/>
      </c>
      <c r="AC15">
        <f>IF(AC$4=1,IF(OR(INDEX('×入力'!$A$1:$L$800,87+AC$3,2+AC$2)&lt;&gt;"",INDEX('×入力'!$A$1:$L$800,86,2+AC$2)&lt;&gt;"",INDEX('×入力'!$A$1:$L$800,87+AC$3,1)&lt;&gt;""),1,0),0)</f>
        <v/>
      </c>
      <c r="AD15">
        <f>IF(AD$4=1,IF(OR(INDEX('×入力'!$A$1:$L$800,87+AD$3,2+AD$2)&lt;&gt;"",INDEX('×入力'!$A$1:$L$800,86,2+AD$2)&lt;&gt;"",INDEX('×入力'!$A$1:$L$800,87+AD$3,1)&lt;&gt;""),1,0),0)</f>
        <v/>
      </c>
      <c r="AE15">
        <f>IF(AE$4=1,IF(OR(INDEX('×入力'!$A$1:$L$800,87+AE$3,2+AE$2)&lt;&gt;"",INDEX('×入力'!$A$1:$L$800,86,2+AE$2)&lt;&gt;"",INDEX('×入力'!$A$1:$L$800,87+AE$3,1)&lt;&gt;""),1,0),0)</f>
        <v/>
      </c>
      <c r="AF15">
        <f>IF(AF$4=1,IF(OR(INDEX('×入力'!$A$1:$L$800,87+AF$3,2+AF$2)&lt;&gt;"",INDEX('×入力'!$A$1:$L$800,86,2+AF$2)&lt;&gt;"",INDEX('×入力'!$A$1:$L$800,87+AF$3,1)&lt;&gt;""),1,0),0)</f>
        <v/>
      </c>
      <c r="AG15">
        <f>IF(AG$4=1,IF(OR(INDEX('×入力'!$A$1:$L$800,87+AG$3,2+AG$2)&lt;&gt;"",INDEX('×入力'!$A$1:$L$800,86,2+AG$2)&lt;&gt;"",INDEX('×入力'!$A$1:$L$800,87+AG$3,1)&lt;&gt;""),1,0),0)</f>
        <v/>
      </c>
      <c r="AH15">
        <f>IF(AH$4=1,IF(OR(INDEX('×入力'!$A$1:$L$800,87+AH$3,2+AH$2)&lt;&gt;"",INDEX('×入力'!$A$1:$L$800,86,2+AH$2)&lt;&gt;"",INDEX('×入力'!$A$1:$L$800,87+AH$3,1)&lt;&gt;""),1,0),0)</f>
        <v/>
      </c>
      <c r="AI15">
        <f>IF(AI$4=1,IF(OR(INDEX('×入力'!$A$1:$L$800,87+AI$3,2+AI$2)&lt;&gt;"",INDEX('×入力'!$A$1:$L$800,86,2+AI$2)&lt;&gt;"",INDEX('×入力'!$A$1:$L$800,87+AI$3,1)&lt;&gt;""),1,0),0)</f>
        <v/>
      </c>
      <c r="AJ15">
        <f>IF(AJ$4=1,IF(OR(INDEX('×入力'!$A$1:$L$800,87+AJ$3,2+AJ$2)&lt;&gt;"",INDEX('×入力'!$A$1:$L$800,86,2+AJ$2)&lt;&gt;"",INDEX('×入力'!$A$1:$L$800,87+AJ$3,1)&lt;&gt;""),1,0),0)</f>
        <v/>
      </c>
      <c r="AK15">
        <f>IF(AK$4=1,IF(OR(INDEX('×入力'!$A$1:$L$800,87+AK$3,2+AK$2)&lt;&gt;"",INDEX('×入力'!$A$1:$L$800,86,2+AK$2)&lt;&gt;"",INDEX('×入力'!$A$1:$L$800,87+AK$3,1)&lt;&gt;""),1,0),0)</f>
        <v/>
      </c>
      <c r="AL15">
        <f>IF(AL$4=1,IF(OR(INDEX('×入力'!$A$1:$L$800,87+AL$3,2+AL$2)&lt;&gt;"",INDEX('×入力'!$A$1:$L$800,86,2+AL$2)&lt;&gt;"",INDEX('×入力'!$A$1:$L$800,87+AL$3,1)&lt;&gt;""),1,0),0)</f>
        <v/>
      </c>
      <c r="AM15">
        <f>IF(AM$4=1,IF(OR(INDEX('×入力'!$A$1:$L$800,87+AM$3,2+AM$2)&lt;&gt;"",INDEX('×入力'!$A$1:$L$800,86,2+AM$2)&lt;&gt;"",INDEX('×入力'!$A$1:$L$800,87+AM$3,1)&lt;&gt;""),1,0),0)</f>
        <v/>
      </c>
      <c r="AN15">
        <f>IF(AN$4=1,IF(OR(INDEX('×入力'!$A$1:$L$800,87+AN$3,2+AN$2)&lt;&gt;"",INDEX('×入力'!$A$1:$L$800,86,2+AN$2)&lt;&gt;"",INDEX('×入力'!$A$1:$L$800,87+AN$3,1)&lt;&gt;""),1,0),0)</f>
        <v/>
      </c>
      <c r="AO15">
        <f>IF(AO$4=1,IF(OR(INDEX('×入力'!$A$1:$L$800,87+AO$3,2+AO$2)&lt;&gt;"",INDEX('×入力'!$A$1:$L$800,86,2+AO$2)&lt;&gt;"",INDEX('×入力'!$A$1:$L$800,87+AO$3,1)&lt;&gt;""),1,0),0)</f>
        <v/>
      </c>
      <c r="AP15">
        <f>IF(AP$4=1,IF(OR(INDEX('×入力'!$A$1:$L$800,87+AP$3,2+AP$2)&lt;&gt;"",INDEX('×入力'!$A$1:$L$800,86,2+AP$2)&lt;&gt;"",INDEX('×入力'!$A$1:$L$800,87+AP$3,1)&lt;&gt;""),1,0),0)</f>
        <v/>
      </c>
      <c r="AQ15">
        <f>IF(AQ$4=1,IF(OR(INDEX('×入力'!$A$1:$L$800,87+AQ$3,2+AQ$2)&lt;&gt;"",INDEX('×入力'!$A$1:$L$800,86,2+AQ$2)&lt;&gt;"",INDEX('×入力'!$A$1:$L$800,87+AQ$3,1)&lt;&gt;""),1,0),0)</f>
        <v/>
      </c>
      <c r="AR15">
        <f>IF(AR$4=1,IF(OR(INDEX('×入力'!$A$1:$L$800,87+AR$3,2+AR$2)&lt;&gt;"",INDEX('×入力'!$A$1:$L$800,86,2+AR$2)&lt;&gt;"",INDEX('×入力'!$A$1:$L$800,87+AR$3,1)&lt;&gt;""),1,0),0)</f>
        <v/>
      </c>
      <c r="AS15">
        <f>IF(AS$4=1,IF(OR(INDEX('×入力'!$A$1:$L$800,87+AS$3,2+AS$2)&lt;&gt;"",INDEX('×入力'!$A$1:$L$800,86,2+AS$2)&lt;&gt;"",INDEX('×入力'!$A$1:$L$800,87+AS$3,1)&lt;&gt;""),1,0),0)</f>
        <v/>
      </c>
      <c r="AT15">
        <f>IF(AT$4=1,IF(OR(INDEX('×入力'!$A$1:$L$800,87+AT$3,2+AT$2)&lt;&gt;"",INDEX('×入力'!$A$1:$L$800,86,2+AT$2)&lt;&gt;"",INDEX('×入力'!$A$1:$L$800,87+AT$3,1)&lt;&gt;""),1,0),0)</f>
        <v/>
      </c>
      <c r="AU15">
        <f>IF(AU$4=1,IF(OR(INDEX('×入力'!$A$1:$L$800,87+AU$3,2+AU$2)&lt;&gt;"",INDEX('×入力'!$A$1:$L$800,86,2+AU$2)&lt;&gt;"",INDEX('×入力'!$A$1:$L$800,87+AU$3,1)&lt;&gt;""),1,0),0)</f>
        <v/>
      </c>
      <c r="AV15">
        <f>IF(AV$4=1,IF(OR(INDEX('×入力'!$A$1:$L$800,87+AV$3,2+AV$2)&lt;&gt;"",INDEX('×入力'!$A$1:$L$800,86,2+AV$2)&lt;&gt;"",INDEX('×入力'!$A$1:$L$800,87+AV$3,1)&lt;&gt;""),1,0),0)</f>
        <v/>
      </c>
      <c r="AW15">
        <f>IF(AW$4=1,IF(OR(INDEX('×入力'!$A$1:$L$800,87+AW$3,2+AW$2)&lt;&gt;"",INDEX('×入力'!$A$1:$L$800,86,2+AW$2)&lt;&gt;"",INDEX('×入力'!$A$1:$L$800,87+AW$3,1)&lt;&gt;""),1,0),0)</f>
        <v/>
      </c>
      <c r="AX15">
        <f>IF(AX$4=1,IF(OR(INDEX('×入力'!$A$1:$L$800,87+AX$3,2+AX$2)&lt;&gt;"",INDEX('×入力'!$A$1:$L$800,86,2+AX$2)&lt;&gt;"",INDEX('×入力'!$A$1:$L$800,87+AX$3,1)&lt;&gt;""),1,0),0)</f>
        <v/>
      </c>
      <c r="AY15">
        <f>IF(AY$4=1,IF(OR(INDEX('×入力'!$A$1:$L$800,87+AY$3,2+AY$2)&lt;&gt;"",INDEX('×入力'!$A$1:$L$800,86,2+AY$2)&lt;&gt;"",INDEX('×入力'!$A$1:$L$800,87+AY$3,1)&lt;&gt;""),1,0),0)</f>
        <v/>
      </c>
      <c r="AZ15">
        <f>IF(AZ$4=1,IF(OR(INDEX('×入力'!$A$1:$L$800,87+AZ$3,2+AZ$2)&lt;&gt;"",INDEX('×入力'!$A$1:$L$800,86,2+AZ$2)&lt;&gt;"",INDEX('×入力'!$A$1:$L$800,87+AZ$3,1)&lt;&gt;""),1,0),0)</f>
        <v/>
      </c>
      <c r="BA15">
        <f>IF(BA$4=1,IF(OR(INDEX('×入力'!$A$1:$L$800,87+BA$3,2+BA$2)&lt;&gt;"",INDEX('×入力'!$A$1:$L$800,86,2+BA$2)&lt;&gt;"",INDEX('×入力'!$A$1:$L$800,87+BA$3,1)&lt;&gt;""),1,0),0)</f>
        <v/>
      </c>
      <c r="BB15">
        <f>IF(BB$4=1,IF(OR(INDEX('×入力'!$A$1:$L$800,87+BB$3,2+BB$2)&lt;&gt;"",INDEX('×入力'!$A$1:$L$800,86,2+BB$2)&lt;&gt;"",INDEX('×入力'!$A$1:$L$800,87+BB$3,1)&lt;&gt;""),1,0),0)</f>
        <v/>
      </c>
      <c r="BC15">
        <f>IF(BC$4=1,IF(OR(INDEX('×入力'!$A$1:$L$800,87+BC$3,2+BC$2)&lt;&gt;"",INDEX('×入力'!$A$1:$L$800,86,2+BC$2)&lt;&gt;"",INDEX('×入力'!$A$1:$L$800,87+BC$3,1)&lt;&gt;""),1,0),0)</f>
        <v/>
      </c>
      <c r="BD15">
        <f>IF(BD$4=1,IF(OR(INDEX('×入力'!$A$1:$L$800,87+BD$3,2+BD$2)&lt;&gt;"",INDEX('×入力'!$A$1:$L$800,86,2+BD$2)&lt;&gt;"",INDEX('×入力'!$A$1:$L$800,87+BD$3,1)&lt;&gt;""),1,0),0)</f>
        <v/>
      </c>
      <c r="BE15">
        <f>IF(BE$4=1,IF(OR(INDEX('×入力'!$A$1:$L$800,87+BE$3,2+BE$2)&lt;&gt;"",INDEX('×入力'!$A$1:$L$800,86,2+BE$2)&lt;&gt;"",INDEX('×入力'!$A$1:$L$800,87+BE$3,1)&lt;&gt;""),1,0),0)</f>
        <v/>
      </c>
      <c r="BF15">
        <f>IF(BF$4=1,IF(OR(INDEX('×入力'!$A$1:$L$800,87+BF$3,2+BF$2)&lt;&gt;"",INDEX('×入力'!$A$1:$L$800,86,2+BF$2)&lt;&gt;"",INDEX('×入力'!$A$1:$L$800,87+BF$3,1)&lt;&gt;""),1,0),0)</f>
        <v/>
      </c>
      <c r="BG15">
        <f>IF(BG$4=1,IF(OR(INDEX('×入力'!$A$1:$L$800,87+BG$3,2+BG$2)&lt;&gt;"",INDEX('×入力'!$A$1:$L$800,86,2+BG$2)&lt;&gt;"",INDEX('×入力'!$A$1:$L$800,87+BG$3,1)&lt;&gt;""),1,0),0)</f>
        <v/>
      </c>
      <c r="BH15">
        <f>IF(BH$4=1,IF(OR(INDEX('×入力'!$A$1:$L$800,87+BH$3,2+BH$2)&lt;&gt;"",INDEX('×入力'!$A$1:$L$800,86,2+BH$2)&lt;&gt;"",INDEX('×入力'!$A$1:$L$800,87+BH$3,1)&lt;&gt;""),1,0),0)</f>
        <v/>
      </c>
      <c r="BI15">
        <f>IF(BI$4=1,IF(OR(INDEX('×入力'!$A$1:$L$800,87+BI$3,2+BI$2)&lt;&gt;"",INDEX('×入力'!$A$1:$L$800,86,2+BI$2)&lt;&gt;"",INDEX('×入力'!$A$1:$L$800,87+BI$3,1)&lt;&gt;""),1,0),0)</f>
        <v/>
      </c>
      <c r="BJ15">
        <f>IF(BJ$4=1,IF(OR(INDEX('×入力'!$A$1:$L$800,87+BJ$3,2+BJ$2)&lt;&gt;"",INDEX('×入力'!$A$1:$L$800,86,2+BJ$2)&lt;&gt;"",INDEX('×入力'!$A$1:$L$800,87+BJ$3,1)&lt;&gt;""),1,0),0)</f>
        <v/>
      </c>
      <c r="BK15">
        <f>IF(BK$4=1,IF(OR(INDEX('×入力'!$A$1:$L$800,87+BK$3,2+BK$2)&lt;&gt;"",INDEX('×入力'!$A$1:$L$800,86,2+BK$2)&lt;&gt;"",INDEX('×入力'!$A$1:$L$800,87+BK$3,1)&lt;&gt;""),1,0),0)</f>
        <v/>
      </c>
      <c r="BL15">
        <f>IF(BL$4=1,IF(OR(INDEX('×入力'!$A$1:$L$800,87+BL$3,2+BL$2)&lt;&gt;"",INDEX('×入力'!$A$1:$L$800,86,2+BL$2)&lt;&gt;"",INDEX('×入力'!$A$1:$L$800,87+BL$3,1)&lt;&gt;""),1,0),0)</f>
        <v/>
      </c>
      <c r="BM15">
        <f>IF(BM$4=1,IF(OR(INDEX('×入力'!$A$1:$L$800,87+BM$3,2+BM$2)&lt;&gt;"",INDEX('×入力'!$A$1:$L$800,86,2+BM$2)&lt;&gt;"",INDEX('×入力'!$A$1:$L$800,87+BM$3,1)&lt;&gt;""),1,0),0)</f>
        <v/>
      </c>
      <c r="BN15">
        <f>IF(BN$4=1,IF(OR(INDEX('×入力'!$A$1:$L$800,87+BN$3,2+BN$2)&lt;&gt;"",INDEX('×入力'!$A$1:$L$800,86,2+BN$2)&lt;&gt;"",INDEX('×入力'!$A$1:$L$800,87+BN$3,1)&lt;&gt;""),1,0),0)</f>
        <v/>
      </c>
      <c r="BO15">
        <f>IF(BO$4=1,IF(OR(INDEX('×入力'!$A$1:$L$800,87+BO$3,2+BO$2)&lt;&gt;"",INDEX('×入力'!$A$1:$L$800,86,2+BO$2)&lt;&gt;"",INDEX('×入力'!$A$1:$L$800,87+BO$3,1)&lt;&gt;""),1,0),0)</f>
        <v/>
      </c>
      <c r="BP15">
        <f>IF(BP$4=1,IF(OR(INDEX('×入力'!$A$1:$L$800,87+BP$3,2+BP$2)&lt;&gt;"",INDEX('×入力'!$A$1:$L$800,86,2+BP$2)&lt;&gt;"",INDEX('×入力'!$A$1:$L$800,87+BP$3,1)&lt;&gt;""),1,0),0)</f>
        <v/>
      </c>
      <c r="BQ15">
        <f>IF(BQ$4=1,IF(OR(INDEX('×入力'!$A$1:$L$800,87+BQ$3,2+BQ$2)&lt;&gt;"",INDEX('×入力'!$A$1:$L$800,86,2+BQ$2)&lt;&gt;"",INDEX('×入力'!$A$1:$L$800,87+BQ$3,1)&lt;&gt;""),1,0),0)</f>
        <v/>
      </c>
      <c r="BR15">
        <f>IF(BR$4=1,IF(OR(INDEX('×入力'!$A$1:$L$800,87+BR$3,2+BR$2)&lt;&gt;"",INDEX('×入力'!$A$1:$L$800,86,2+BR$2)&lt;&gt;"",INDEX('×入力'!$A$1:$L$800,87+BR$3,1)&lt;&gt;""),1,0),0)</f>
        <v/>
      </c>
      <c r="BS15">
        <f>IF(BS$4=1,IF(OR(INDEX('×入力'!$A$1:$L$800,87+BS$3,2+BS$2)&lt;&gt;"",INDEX('×入力'!$A$1:$L$800,86,2+BS$2)&lt;&gt;"",INDEX('×入力'!$A$1:$L$800,87+BS$3,1)&lt;&gt;""),1,0),0)</f>
        <v/>
      </c>
      <c r="BT15">
        <f>IF(BT$4=1,IF(OR(INDEX('×入力'!$A$1:$L$800,87+BT$3,2+BT$2)&lt;&gt;"",INDEX('×入力'!$A$1:$L$800,86,2+BT$2)&lt;&gt;"",INDEX('×入力'!$A$1:$L$800,87+BT$3,1)&lt;&gt;""),1,0),0)</f>
        <v/>
      </c>
      <c r="BU15">
        <f>IF(BU$4=1,IF(OR(INDEX('×入力'!$A$1:$L$800,87+BU$3,2+BU$2)&lt;&gt;"",INDEX('×入力'!$A$1:$L$800,86,2+BU$2)&lt;&gt;"",INDEX('×入力'!$A$1:$L$800,87+BU$3,1)&lt;&gt;""),1,0),0)</f>
        <v/>
      </c>
      <c r="BV15">
        <f>IF(BV$4=1,IF(OR(INDEX('×入力'!$A$1:$L$800,87+BV$3,2+BV$2)&lt;&gt;"",INDEX('×入力'!$A$1:$L$800,86,2+BV$2)&lt;&gt;"",INDEX('×入力'!$A$1:$L$800,87+BV$3,1)&lt;&gt;""),1,0),0)</f>
        <v/>
      </c>
      <c r="BW15">
        <f>IF(BW$4=1,IF(OR(INDEX('×入力'!$A$1:$L$800,87+BW$3,2+BW$2)&lt;&gt;"",INDEX('×入力'!$A$1:$L$800,86,2+BW$2)&lt;&gt;"",INDEX('×入力'!$A$1:$L$800,87+BW$3,1)&lt;&gt;""),1,0),0)</f>
        <v/>
      </c>
      <c r="BX15">
        <f>IF(BX$4=1,IF(OR(INDEX('×入力'!$A$1:$L$800,87+BX$3,2+BX$2)&lt;&gt;"",INDEX('×入力'!$A$1:$L$800,86,2+BX$2)&lt;&gt;"",INDEX('×入力'!$A$1:$L$800,87+BX$3,1)&lt;&gt;""),1,0),0)</f>
        <v/>
      </c>
      <c r="BY15">
        <f>IF(BY$4=1,IF(OR(INDEX('×入力'!$A$1:$L$800,87+BY$3,2+BY$2)&lt;&gt;"",INDEX('×入力'!$A$1:$L$800,86,2+BY$2)&lt;&gt;"",INDEX('×入力'!$A$1:$L$800,87+BY$3,1)&lt;&gt;""),1,0),0)</f>
        <v/>
      </c>
      <c r="BZ15">
        <f>IF(BZ$4=1,IF(OR(INDEX('×入力'!$A$1:$L$800,87+BZ$3,2+BZ$2)&lt;&gt;"",INDEX('×入力'!$A$1:$L$800,86,2+BZ$2)&lt;&gt;"",INDEX('×入力'!$A$1:$L$800,87+BZ$3,1)&lt;&gt;""),1,0),0)</f>
        <v/>
      </c>
      <c r="CA15">
        <f>IF(CA$4=1,IF(OR(INDEX('×入力'!$A$1:$L$800,87+CA$3,2+CA$2)&lt;&gt;"",INDEX('×入力'!$A$1:$L$800,86,2+CA$2)&lt;&gt;"",INDEX('×入力'!$A$1:$L$800,87+CA$3,1)&lt;&gt;""),1,0),0)</f>
        <v/>
      </c>
      <c r="CB15">
        <f>IF(CB$4=1,IF(OR(INDEX('×入力'!$A$1:$L$800,87+CB$3,2+CB$2)&lt;&gt;"",INDEX('×入力'!$A$1:$L$800,86,2+CB$2)&lt;&gt;"",INDEX('×入力'!$A$1:$L$800,87+CB$3,1)&lt;&gt;""),1,0),0)</f>
        <v/>
      </c>
      <c r="CC15">
        <f>IF(CC$4=1,IF(OR(INDEX('×入力'!$A$1:$L$800,87+CC$3,2+CC$2)&lt;&gt;"",INDEX('×入力'!$A$1:$L$800,86,2+CC$2)&lt;&gt;"",INDEX('×入力'!$A$1:$L$800,87+CC$3,1)&lt;&gt;""),1,0),0)</f>
        <v/>
      </c>
      <c r="CD15">
        <f>IF(CD$4=1,IF(OR(INDEX('×入力'!$A$1:$L$800,87+CD$3,2+CD$2)&lt;&gt;"",INDEX('×入力'!$A$1:$L$800,86,2+CD$2)&lt;&gt;"",INDEX('×入力'!$A$1:$L$800,87+CD$3,1)&lt;&gt;""),1,0),0)</f>
        <v/>
      </c>
      <c r="CE15">
        <f>IF(CE$4=1,IF(OR(INDEX('×入力'!$A$1:$L$800,87+CE$3,2+CE$2)&lt;&gt;"",INDEX('×入力'!$A$1:$L$800,86,2+CE$2)&lt;&gt;"",INDEX('×入力'!$A$1:$L$800,87+CE$3,1)&lt;&gt;""),1,0),0)</f>
        <v/>
      </c>
      <c r="CF15">
        <f>IF(CF$4=1,IF(OR(INDEX('×入力'!$A$1:$L$800,87+CF$3,2+CF$2)&lt;&gt;"",INDEX('×入力'!$A$1:$L$800,86,2+CF$2)&lt;&gt;"",INDEX('×入力'!$A$1:$L$800,87+CF$3,1)&lt;&gt;""),1,0),0)</f>
        <v/>
      </c>
      <c r="CG15">
        <f>IF(CG$4=1,IF(OR(INDEX('×入力'!$A$1:$L$800,87+CG$3,2+CG$2)&lt;&gt;"",INDEX('×入力'!$A$1:$L$800,86,2+CG$2)&lt;&gt;"",INDEX('×入力'!$A$1:$L$800,87+CG$3,1)&lt;&gt;""),1,0),0)</f>
        <v/>
      </c>
      <c r="CH15">
        <f>IF(CH$4=1,IF(OR(INDEX('×入力'!$A$1:$L$800,87+CH$3,2+CH$2)&lt;&gt;"",INDEX('×入力'!$A$1:$L$800,86,2+CH$2)&lt;&gt;"",INDEX('×入力'!$A$1:$L$800,87+CH$3,1)&lt;&gt;""),1,0),0)</f>
        <v/>
      </c>
      <c r="CI15">
        <f>IF(CI$4=1,IF(OR(INDEX('×入力'!$A$1:$L$800,87+CI$3,2+CI$2)&lt;&gt;"",INDEX('×入力'!$A$1:$L$800,86,2+CI$2)&lt;&gt;"",INDEX('×入力'!$A$1:$L$800,87+CI$3,1)&lt;&gt;""),1,0),0)</f>
        <v/>
      </c>
      <c r="CJ15">
        <f>IF(CJ$4=1,IF(OR(INDEX('×入力'!$A$1:$L$800,87+CJ$3,2+CJ$2)&lt;&gt;"",INDEX('×入力'!$A$1:$L$800,86,2+CJ$2)&lt;&gt;"",INDEX('×入力'!$A$1:$L$800,87+CJ$3,1)&lt;&gt;""),1,0),0)</f>
        <v/>
      </c>
      <c r="CK15">
        <f>IF(CK$4=1,IF(OR(INDEX('×入力'!$A$1:$L$800,87+CK$3,2+CK$2)&lt;&gt;"",INDEX('×入力'!$A$1:$L$800,86,2+CK$2)&lt;&gt;"",INDEX('×入力'!$A$1:$L$800,87+CK$3,1)&lt;&gt;""),1,0),0)</f>
        <v/>
      </c>
      <c r="CL15">
        <f>IF(CL$4=1,IF(OR(INDEX('×入力'!$A$1:$L$800,87+CL$3,2+CL$2)&lt;&gt;"",INDEX('×入力'!$A$1:$L$800,86,2+CL$2)&lt;&gt;"",INDEX('×入力'!$A$1:$L$800,87+CL$3,1)&lt;&gt;""),1,0),0)</f>
        <v/>
      </c>
      <c r="CM15">
        <f>IF(CM$4=1,IF(OR(INDEX('×入力'!$A$1:$L$800,87+CM$3,2+CM$2)&lt;&gt;"",INDEX('×入力'!$A$1:$L$800,86,2+CM$2)&lt;&gt;"",INDEX('×入力'!$A$1:$L$800,87+CM$3,1)&lt;&gt;""),1,0),0)</f>
        <v/>
      </c>
      <c r="CN15">
        <f>IF(CN$4=1,IF(OR(INDEX('×入力'!$A$1:$L$800,87+CN$3,2+CN$2)&lt;&gt;"",INDEX('×入力'!$A$1:$L$800,86,2+CN$2)&lt;&gt;"",INDEX('×入力'!$A$1:$L$800,87+CN$3,1)&lt;&gt;""),1,0),0)</f>
        <v/>
      </c>
      <c r="CO15">
        <f>IF(CO$4=1,IF(OR(INDEX('×入力'!$A$1:$L$800,87+CO$3,2+CO$2)&lt;&gt;"",INDEX('×入力'!$A$1:$L$800,86,2+CO$2)&lt;&gt;"",INDEX('×入力'!$A$1:$L$800,87+CO$3,1)&lt;&gt;""),1,0),0)</f>
        <v/>
      </c>
      <c r="CP15">
        <f>IF(CP$4=1,IF(OR(INDEX('×入力'!$A$1:$L$800,87+CP$3,2+CP$2)&lt;&gt;"",INDEX('×入力'!$A$1:$L$800,86,2+CP$2)&lt;&gt;"",INDEX('×入力'!$A$1:$L$800,87+CP$3,1)&lt;&gt;""),1,0),0)</f>
        <v/>
      </c>
      <c r="CQ15">
        <f>IF(CQ$4=1,IF(OR(INDEX('×入力'!$A$1:$L$800,87+CQ$3,2+CQ$2)&lt;&gt;"",INDEX('×入力'!$A$1:$L$800,86,2+CQ$2)&lt;&gt;"",INDEX('×入力'!$A$1:$L$800,87+CQ$3,1)&lt;&gt;""),1,0),0)</f>
        <v/>
      </c>
      <c r="CR15">
        <f>IF(CR$4=1,IF(OR(INDEX('×入力'!$A$1:$L$800,87+CR$3,2+CR$2)&lt;&gt;"",INDEX('×入力'!$A$1:$L$800,86,2+CR$2)&lt;&gt;"",INDEX('×入力'!$A$1:$L$800,87+CR$3,1)&lt;&gt;""),1,0),0)</f>
        <v/>
      </c>
      <c r="CS15">
        <f>IF(CS$4=1,IF(OR(INDEX('×入力'!$A$1:$L$800,87+CS$3,2+CS$2)&lt;&gt;"",INDEX('×入力'!$A$1:$L$800,86,2+CS$2)&lt;&gt;"",INDEX('×入力'!$A$1:$L$800,87+CS$3,1)&lt;&gt;""),1,0),0)</f>
        <v/>
      </c>
      <c r="CT15">
        <f>IF(CT$4=1,IF(OR(INDEX('×入力'!$A$1:$L$800,87+CT$3,2+CT$2)&lt;&gt;"",INDEX('×入力'!$A$1:$L$800,86,2+CT$2)&lt;&gt;"",INDEX('×入力'!$A$1:$L$800,87+CT$3,1)&lt;&gt;""),1,0),0)</f>
        <v/>
      </c>
      <c r="CU15">
        <f>IF(CU$4=1,IF(OR(INDEX('×入力'!$A$1:$L$800,87+CU$3,2+CU$2)&lt;&gt;"",INDEX('×入力'!$A$1:$L$800,86,2+CU$2)&lt;&gt;"",INDEX('×入力'!$A$1:$L$800,87+CU$3,1)&lt;&gt;""),1,0),0)</f>
        <v/>
      </c>
      <c r="CV15">
        <f>IF(CV$4=1,IF(OR(INDEX('×入力'!$A$1:$L$800,87+CV$3,2+CV$2)&lt;&gt;"",INDEX('×入力'!$A$1:$L$800,86,2+CV$2)&lt;&gt;"",INDEX('×入力'!$A$1:$L$800,87+CV$3,1)&lt;&gt;""),1,0),0)</f>
        <v/>
      </c>
      <c r="CW15">
        <f>IF(CW$4=1,IF(OR(INDEX('×入力'!$A$1:$L$800,87+CW$3,2+CW$2)&lt;&gt;"",INDEX('×入力'!$A$1:$L$800,86,2+CW$2)&lt;&gt;"",INDEX('×入力'!$A$1:$L$800,87+CW$3,1)&lt;&gt;""),1,0),0)</f>
        <v/>
      </c>
      <c r="CX15">
        <f>IF(CX$4=1,IF(OR(INDEX('×入力'!$A$1:$L$800,87+CX$3,2+CX$2)&lt;&gt;"",INDEX('×入力'!$A$1:$L$800,86,2+CX$2)&lt;&gt;"",INDEX('×入力'!$A$1:$L$800,87+CX$3,1)&lt;&gt;""),1,0),0)</f>
        <v/>
      </c>
      <c r="CY15">
        <f>IF(CY$4=1,IF(OR(INDEX('×入力'!$A$1:$L$800,87+CY$3,2+CY$2)&lt;&gt;"",INDEX('×入力'!$A$1:$L$800,86,2+CY$2)&lt;&gt;"",INDEX('×入力'!$A$1:$L$800,87+CY$3,1)&lt;&gt;""),1,0),0)</f>
        <v/>
      </c>
      <c r="CZ15">
        <f>IF(CZ$4=1,IF(OR(INDEX('×入力'!$A$1:$L$800,87+CZ$3,2+CZ$2)&lt;&gt;"",INDEX('×入力'!$A$1:$L$800,86,2+CZ$2)&lt;&gt;"",INDEX('×入力'!$A$1:$L$800,87+CZ$3,1)&lt;&gt;""),1,0),0)</f>
        <v/>
      </c>
      <c r="DA15">
        <f>IF(DA$4=1,IF(OR(INDEX('×入力'!$A$1:$L$800,87+DA$3,2+DA$2)&lt;&gt;"",INDEX('×入力'!$A$1:$L$800,86,2+DA$2)&lt;&gt;"",INDEX('×入力'!$A$1:$L$800,87+DA$3,1)&lt;&gt;""),1,0),0)</f>
        <v/>
      </c>
      <c r="DB15">
        <f>IF(DB$4=1,IF(OR(INDEX('×入力'!$A$1:$L$800,87+DB$3,2+DB$2)&lt;&gt;"",INDEX('×入力'!$A$1:$L$800,86,2+DB$2)&lt;&gt;"",INDEX('×入力'!$A$1:$L$800,87+DB$3,1)&lt;&gt;""),1,0),0)</f>
        <v/>
      </c>
      <c r="DC15">
        <f>IF(DC$4=1,IF(OR(INDEX('×入力'!$A$1:$L$800,87+DC$3,2+DC$2)&lt;&gt;"",INDEX('×入力'!$A$1:$L$800,86,2+DC$2)&lt;&gt;"",INDEX('×入力'!$A$1:$L$800,87+DC$3,1)&lt;&gt;""),1,0),0)</f>
        <v/>
      </c>
      <c r="DD15">
        <f>IF(DD$4=1,IF(OR(INDEX('×入力'!$A$1:$L$800,87+DD$3,2+DD$2)&lt;&gt;"",INDEX('×入力'!$A$1:$L$800,86,2+DD$2)&lt;&gt;"",INDEX('×入力'!$A$1:$L$800,87+DD$3,1)&lt;&gt;""),1,0),0)</f>
        <v/>
      </c>
      <c r="DE15">
        <f>IF(DE$4=1,IF(OR(INDEX('×入力'!$A$1:$L$800,87+DE$3,2+DE$2)&lt;&gt;"",INDEX('×入力'!$A$1:$L$800,86,2+DE$2)&lt;&gt;"",INDEX('×入力'!$A$1:$L$800,87+DE$3,1)&lt;&gt;""),1,0),0)</f>
        <v/>
      </c>
      <c r="DF15">
        <f>IF(DF$4=1,IF(OR(INDEX('×入力'!$A$1:$L$800,87+DF$3,2+DF$2)&lt;&gt;"",INDEX('×入力'!$A$1:$L$800,86,2+DF$2)&lt;&gt;"",INDEX('×入力'!$A$1:$L$800,87+DF$3,1)&lt;&gt;""),1,0),0)</f>
        <v/>
      </c>
      <c r="DG15">
        <f>IF(DG$4=1,IF(OR(INDEX('×入力'!$A$1:$L$800,87+DG$3,2+DG$2)&lt;&gt;"",INDEX('×入力'!$A$1:$L$800,86,2+DG$2)&lt;&gt;"",INDEX('×入力'!$A$1:$L$800,87+DG$3,1)&lt;&gt;""),1,0),0)</f>
        <v/>
      </c>
      <c r="DH15">
        <f>IF(DH$4=1,IF(OR(INDEX('×入力'!$A$1:$L$800,87+DH$3,2+DH$2)&lt;&gt;"",INDEX('×入力'!$A$1:$L$800,86,2+DH$2)&lt;&gt;"",INDEX('×入力'!$A$1:$L$800,87+DH$3,1)&lt;&gt;""),1,0),0)</f>
        <v/>
      </c>
      <c r="DI15">
        <f>IF(DI$4=1,IF(OR(INDEX('×入力'!$A$1:$L$800,87+DI$3,2+DI$2)&lt;&gt;"",INDEX('×入力'!$A$1:$L$800,86,2+DI$2)&lt;&gt;"",INDEX('×入力'!$A$1:$L$800,87+DI$3,1)&lt;&gt;""),1,0),0)</f>
        <v/>
      </c>
      <c r="DJ15">
        <f>IF(DJ$4=1,IF(OR(INDEX('×入力'!$A$1:$L$800,87+DJ$3,2+DJ$2)&lt;&gt;"",INDEX('×入力'!$A$1:$L$800,86,2+DJ$2)&lt;&gt;"",INDEX('×入力'!$A$1:$L$800,87+DJ$3,1)&lt;&gt;""),1,0),0)</f>
        <v/>
      </c>
      <c r="DK15">
        <f>IF(DK$4=1,IF(OR(INDEX('×入力'!$A$1:$L$800,87+DK$3,2+DK$2)&lt;&gt;"",INDEX('×入力'!$A$1:$L$800,86,2+DK$2)&lt;&gt;"",INDEX('×入力'!$A$1:$L$800,87+DK$3,1)&lt;&gt;""),1,0),0)</f>
        <v/>
      </c>
      <c r="DL15">
        <f>IF(DL$4=1,IF(OR(INDEX('×入力'!$A$1:$L$800,87+DL$3,2+DL$2)&lt;&gt;"",INDEX('×入力'!$A$1:$L$800,86,2+DL$2)&lt;&gt;"",INDEX('×入力'!$A$1:$L$800,87+DL$3,1)&lt;&gt;""),1,0),0)</f>
        <v/>
      </c>
      <c r="DM15">
        <f>IF(DM$4=1,IF(OR(INDEX('×入力'!$A$1:$L$800,87+DM$3,2+DM$2)&lt;&gt;"",INDEX('×入力'!$A$1:$L$800,86,2+DM$2)&lt;&gt;"",INDEX('×入力'!$A$1:$L$800,87+DM$3,1)&lt;&gt;""),1,0),0)</f>
        <v/>
      </c>
      <c r="DN15">
        <f>IF(DN$4=1,IF(OR(INDEX('×入力'!$A$1:$L$800,87+DN$3,2+DN$2)&lt;&gt;"",INDEX('×入力'!$A$1:$L$800,86,2+DN$2)&lt;&gt;"",INDEX('×入力'!$A$1:$L$800,87+DN$3,1)&lt;&gt;""),1,0),0)</f>
        <v/>
      </c>
      <c r="DO15">
        <f>IF(DO$4=1,IF(OR(INDEX('×入力'!$A$1:$L$800,87+DO$3,2+DO$2)&lt;&gt;"",INDEX('×入力'!$A$1:$L$800,86,2+DO$2)&lt;&gt;"",INDEX('×入力'!$A$1:$L$800,87+DO$3,1)&lt;&gt;""),1,0),0)</f>
        <v/>
      </c>
      <c r="DP15">
        <f>IF(DP$4=1,IF(OR(INDEX('×入力'!$A$1:$L$800,87+DP$3,2+DP$2)&lt;&gt;"",INDEX('×入力'!$A$1:$L$800,86,2+DP$2)&lt;&gt;"",INDEX('×入力'!$A$1:$L$800,87+DP$3,1)&lt;&gt;""),1,0),0)</f>
        <v/>
      </c>
      <c r="DQ15">
        <f>IF(DQ$4=1,IF(OR(INDEX('×入力'!$A$1:$L$800,87+DQ$3,2+DQ$2)&lt;&gt;"",INDEX('×入力'!$A$1:$L$800,86,2+DQ$2)&lt;&gt;"",INDEX('×入力'!$A$1:$L$800,87+DQ$3,1)&lt;&gt;""),1,0),0)</f>
        <v/>
      </c>
      <c r="DR15">
        <f>IF(DR$4=1,IF(OR(INDEX('×入力'!$A$1:$L$800,87+DR$3,2+DR$2)&lt;&gt;"",INDEX('×入力'!$A$1:$L$800,86,2+DR$2)&lt;&gt;"",INDEX('×入力'!$A$1:$L$800,87+DR$3,1)&lt;&gt;""),1,0),0)</f>
        <v/>
      </c>
      <c r="DS15">
        <f>IF(DS$4=1,IF(OR(INDEX('×入力'!$A$1:$L$800,87+DS$3,2+DS$2)&lt;&gt;"",INDEX('×入力'!$A$1:$L$800,86,2+DS$2)&lt;&gt;"",INDEX('×入力'!$A$1:$L$800,87+DS$3,1)&lt;&gt;""),1,0),0)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IF(D$4=1,IF(OR(INDEX('×入力'!$A$1:$L$800,103+D$3,2+D$2)&lt;&gt;"",INDEX('×入力'!$A$1:$L$800,102,2+D$2)&lt;&gt;"",INDEX('×入力'!$A$1:$L$800,103+D$3,1)&lt;&gt;""),1,0),0)</f>
        <v/>
      </c>
      <c r="E16">
        <f>IF(E$4=1,IF(OR(INDEX('×入力'!$A$1:$L$800,103+E$3,2+E$2)&lt;&gt;"",INDEX('×入力'!$A$1:$L$800,102,2+E$2)&lt;&gt;"",INDEX('×入力'!$A$1:$L$800,103+E$3,1)&lt;&gt;""),1,0),0)</f>
        <v/>
      </c>
      <c r="F16">
        <f>IF(F$4=1,IF(OR(INDEX('×入力'!$A$1:$L$800,103+F$3,2+F$2)&lt;&gt;"",INDEX('×入力'!$A$1:$L$800,102,2+F$2)&lt;&gt;"",INDEX('×入力'!$A$1:$L$800,103+F$3,1)&lt;&gt;""),1,0),0)</f>
        <v/>
      </c>
      <c r="G16">
        <f>IF(G$4=1,IF(OR(INDEX('×入力'!$A$1:$L$800,103+G$3,2+G$2)&lt;&gt;"",INDEX('×入力'!$A$1:$L$800,102,2+G$2)&lt;&gt;"",INDEX('×入力'!$A$1:$L$800,103+G$3,1)&lt;&gt;""),1,0),0)</f>
        <v/>
      </c>
      <c r="H16">
        <f>IF(H$4=1,IF(OR(INDEX('×入力'!$A$1:$L$800,103+H$3,2+H$2)&lt;&gt;"",INDEX('×入力'!$A$1:$L$800,102,2+H$2)&lt;&gt;"",INDEX('×入力'!$A$1:$L$800,103+H$3,1)&lt;&gt;""),1,0),0)</f>
        <v/>
      </c>
      <c r="I16">
        <f>IF(I$4=1,IF(OR(INDEX('×入力'!$A$1:$L$800,103+I$3,2+I$2)&lt;&gt;"",INDEX('×入力'!$A$1:$L$800,102,2+I$2)&lt;&gt;"",INDEX('×入力'!$A$1:$L$800,103+I$3,1)&lt;&gt;""),1,0),0)</f>
        <v/>
      </c>
      <c r="J16">
        <f>IF(J$4=1,IF(OR(INDEX('×入力'!$A$1:$L$800,103+J$3,2+J$2)&lt;&gt;"",INDEX('×入力'!$A$1:$L$800,102,2+J$2)&lt;&gt;"",INDEX('×入力'!$A$1:$L$800,103+J$3,1)&lt;&gt;""),1,0),0)</f>
        <v/>
      </c>
      <c r="K16">
        <f>IF(K$4=1,IF(OR(INDEX('×入力'!$A$1:$L$800,103+K$3,2+K$2)&lt;&gt;"",INDEX('×入力'!$A$1:$L$800,102,2+K$2)&lt;&gt;"",INDEX('×入力'!$A$1:$L$800,103+K$3,1)&lt;&gt;""),1,0),0)</f>
        <v/>
      </c>
      <c r="L16">
        <f>IF(L$4=1,IF(OR(INDEX('×入力'!$A$1:$L$800,103+L$3,2+L$2)&lt;&gt;"",INDEX('×入力'!$A$1:$L$800,102,2+L$2)&lt;&gt;"",INDEX('×入力'!$A$1:$L$800,103+L$3,1)&lt;&gt;""),1,0),0)</f>
        <v/>
      </c>
      <c r="M16">
        <f>IF(M$4=1,IF(OR(INDEX('×入力'!$A$1:$L$800,103+M$3,2+M$2)&lt;&gt;"",INDEX('×入力'!$A$1:$L$800,102,2+M$2)&lt;&gt;"",INDEX('×入力'!$A$1:$L$800,103+M$3,1)&lt;&gt;""),1,0),0)</f>
        <v/>
      </c>
      <c r="N16">
        <f>IF(N$4=1,IF(OR(INDEX('×入力'!$A$1:$L$800,103+N$3,2+N$2)&lt;&gt;"",INDEX('×入力'!$A$1:$L$800,102,2+N$2)&lt;&gt;"",INDEX('×入力'!$A$1:$L$800,103+N$3,1)&lt;&gt;""),1,0),0)</f>
        <v/>
      </c>
      <c r="O16">
        <f>IF(O$4=1,IF(OR(INDEX('×入力'!$A$1:$L$800,103+O$3,2+O$2)&lt;&gt;"",INDEX('×入力'!$A$1:$L$800,102,2+O$2)&lt;&gt;"",INDEX('×入力'!$A$1:$L$800,103+O$3,1)&lt;&gt;""),1,0),0)</f>
        <v/>
      </c>
      <c r="P16">
        <f>IF(P$4=1,IF(OR(INDEX('×入力'!$A$1:$L$800,103+P$3,2+P$2)&lt;&gt;"",INDEX('×入力'!$A$1:$L$800,102,2+P$2)&lt;&gt;"",INDEX('×入力'!$A$1:$L$800,103+P$3,1)&lt;&gt;""),1,0),0)</f>
        <v/>
      </c>
      <c r="Q16">
        <f>IF(Q$4=1,IF(OR(INDEX('×入力'!$A$1:$L$800,103+Q$3,2+Q$2)&lt;&gt;"",INDEX('×入力'!$A$1:$L$800,102,2+Q$2)&lt;&gt;"",INDEX('×入力'!$A$1:$L$800,103+Q$3,1)&lt;&gt;""),1,0),0)</f>
        <v/>
      </c>
      <c r="R16">
        <f>IF(R$4=1,IF(OR(INDEX('×入力'!$A$1:$L$800,103+R$3,2+R$2)&lt;&gt;"",INDEX('×入力'!$A$1:$L$800,102,2+R$2)&lt;&gt;"",INDEX('×入力'!$A$1:$L$800,103+R$3,1)&lt;&gt;""),1,0),0)</f>
        <v/>
      </c>
      <c r="S16">
        <f>IF(S$4=1,IF(OR(INDEX('×入力'!$A$1:$L$800,103+S$3,2+S$2)&lt;&gt;"",INDEX('×入力'!$A$1:$L$800,102,2+S$2)&lt;&gt;"",INDEX('×入力'!$A$1:$L$800,103+S$3,1)&lt;&gt;""),1,0),0)</f>
        <v/>
      </c>
      <c r="T16">
        <f>IF(T$4=1,IF(OR(INDEX('×入力'!$A$1:$L$800,103+T$3,2+T$2)&lt;&gt;"",INDEX('×入力'!$A$1:$L$800,102,2+T$2)&lt;&gt;"",INDEX('×入力'!$A$1:$L$800,103+T$3,1)&lt;&gt;""),1,0),0)</f>
        <v/>
      </c>
      <c r="U16">
        <f>IF(U$4=1,IF(OR(INDEX('×入力'!$A$1:$L$800,103+U$3,2+U$2)&lt;&gt;"",INDEX('×入力'!$A$1:$L$800,102,2+U$2)&lt;&gt;"",INDEX('×入力'!$A$1:$L$800,103+U$3,1)&lt;&gt;""),1,0),0)</f>
        <v/>
      </c>
      <c r="V16">
        <f>IF(V$4=1,IF(OR(INDEX('×入力'!$A$1:$L$800,103+V$3,2+V$2)&lt;&gt;"",INDEX('×入力'!$A$1:$L$800,102,2+V$2)&lt;&gt;"",INDEX('×入力'!$A$1:$L$800,103+V$3,1)&lt;&gt;""),1,0),0)</f>
        <v/>
      </c>
      <c r="W16">
        <f>IF(W$4=1,IF(OR(INDEX('×入力'!$A$1:$L$800,103+W$3,2+W$2)&lt;&gt;"",INDEX('×入力'!$A$1:$L$800,102,2+W$2)&lt;&gt;"",INDEX('×入力'!$A$1:$L$800,103+W$3,1)&lt;&gt;""),1,0),0)</f>
        <v/>
      </c>
      <c r="X16">
        <f>IF(X$4=1,IF(OR(INDEX('×入力'!$A$1:$L$800,103+X$3,2+X$2)&lt;&gt;"",INDEX('×入力'!$A$1:$L$800,102,2+X$2)&lt;&gt;"",INDEX('×入力'!$A$1:$L$800,103+X$3,1)&lt;&gt;""),1,0),0)</f>
        <v/>
      </c>
      <c r="Y16">
        <f>IF(Y$4=1,IF(OR(INDEX('×入力'!$A$1:$L$800,103+Y$3,2+Y$2)&lt;&gt;"",INDEX('×入力'!$A$1:$L$800,102,2+Y$2)&lt;&gt;"",INDEX('×入力'!$A$1:$L$800,103+Y$3,1)&lt;&gt;""),1,0),0)</f>
        <v/>
      </c>
      <c r="Z16">
        <f>IF(Z$4=1,IF(OR(INDEX('×入力'!$A$1:$L$800,103+Z$3,2+Z$2)&lt;&gt;"",INDEX('×入力'!$A$1:$L$800,102,2+Z$2)&lt;&gt;"",INDEX('×入力'!$A$1:$L$800,103+Z$3,1)&lt;&gt;""),1,0),0)</f>
        <v/>
      </c>
      <c r="AA16">
        <f>IF(AA$4=1,IF(OR(INDEX('×入力'!$A$1:$L$800,103+AA$3,2+AA$2)&lt;&gt;"",INDEX('×入力'!$A$1:$L$800,102,2+AA$2)&lt;&gt;"",INDEX('×入力'!$A$1:$L$800,103+AA$3,1)&lt;&gt;""),1,0),0)</f>
        <v/>
      </c>
      <c r="AB16">
        <f>IF(AB$4=1,IF(OR(INDEX('×入力'!$A$1:$L$800,103+AB$3,2+AB$2)&lt;&gt;"",INDEX('×入力'!$A$1:$L$800,102,2+AB$2)&lt;&gt;"",INDEX('×入力'!$A$1:$L$800,103+AB$3,1)&lt;&gt;""),1,0),0)</f>
        <v/>
      </c>
      <c r="AC16">
        <f>IF(AC$4=1,IF(OR(INDEX('×入力'!$A$1:$L$800,103+AC$3,2+AC$2)&lt;&gt;"",INDEX('×入力'!$A$1:$L$800,102,2+AC$2)&lt;&gt;"",INDEX('×入力'!$A$1:$L$800,103+AC$3,1)&lt;&gt;""),1,0),0)</f>
        <v/>
      </c>
      <c r="AD16">
        <f>IF(AD$4=1,IF(OR(INDEX('×入力'!$A$1:$L$800,103+AD$3,2+AD$2)&lt;&gt;"",INDEX('×入力'!$A$1:$L$800,102,2+AD$2)&lt;&gt;"",INDEX('×入力'!$A$1:$L$800,103+AD$3,1)&lt;&gt;""),1,0),0)</f>
        <v/>
      </c>
      <c r="AE16">
        <f>IF(AE$4=1,IF(OR(INDEX('×入力'!$A$1:$L$800,103+AE$3,2+AE$2)&lt;&gt;"",INDEX('×入力'!$A$1:$L$800,102,2+AE$2)&lt;&gt;"",INDEX('×入力'!$A$1:$L$800,103+AE$3,1)&lt;&gt;""),1,0),0)</f>
        <v/>
      </c>
      <c r="AF16">
        <f>IF(AF$4=1,IF(OR(INDEX('×入力'!$A$1:$L$800,103+AF$3,2+AF$2)&lt;&gt;"",INDEX('×入力'!$A$1:$L$800,102,2+AF$2)&lt;&gt;"",INDEX('×入力'!$A$1:$L$800,103+AF$3,1)&lt;&gt;""),1,0),0)</f>
        <v/>
      </c>
      <c r="AG16">
        <f>IF(AG$4=1,IF(OR(INDEX('×入力'!$A$1:$L$800,103+AG$3,2+AG$2)&lt;&gt;"",INDEX('×入力'!$A$1:$L$800,102,2+AG$2)&lt;&gt;"",INDEX('×入力'!$A$1:$L$800,103+AG$3,1)&lt;&gt;""),1,0),0)</f>
        <v/>
      </c>
      <c r="AH16">
        <f>IF(AH$4=1,IF(OR(INDEX('×入力'!$A$1:$L$800,103+AH$3,2+AH$2)&lt;&gt;"",INDEX('×入力'!$A$1:$L$800,102,2+AH$2)&lt;&gt;"",INDEX('×入力'!$A$1:$L$800,103+AH$3,1)&lt;&gt;""),1,0),0)</f>
        <v/>
      </c>
      <c r="AI16">
        <f>IF(AI$4=1,IF(OR(INDEX('×入力'!$A$1:$L$800,103+AI$3,2+AI$2)&lt;&gt;"",INDEX('×入力'!$A$1:$L$800,102,2+AI$2)&lt;&gt;"",INDEX('×入力'!$A$1:$L$800,103+AI$3,1)&lt;&gt;""),1,0),0)</f>
        <v/>
      </c>
      <c r="AJ16">
        <f>IF(AJ$4=1,IF(OR(INDEX('×入力'!$A$1:$L$800,103+AJ$3,2+AJ$2)&lt;&gt;"",INDEX('×入力'!$A$1:$L$800,102,2+AJ$2)&lt;&gt;"",INDEX('×入力'!$A$1:$L$800,103+AJ$3,1)&lt;&gt;""),1,0),0)</f>
        <v/>
      </c>
      <c r="AK16">
        <f>IF(AK$4=1,IF(OR(INDEX('×入力'!$A$1:$L$800,103+AK$3,2+AK$2)&lt;&gt;"",INDEX('×入力'!$A$1:$L$800,102,2+AK$2)&lt;&gt;"",INDEX('×入力'!$A$1:$L$800,103+AK$3,1)&lt;&gt;""),1,0),0)</f>
        <v/>
      </c>
      <c r="AL16">
        <f>IF(AL$4=1,IF(OR(INDEX('×入力'!$A$1:$L$800,103+AL$3,2+AL$2)&lt;&gt;"",INDEX('×入力'!$A$1:$L$800,102,2+AL$2)&lt;&gt;"",INDEX('×入力'!$A$1:$L$800,103+AL$3,1)&lt;&gt;""),1,0),0)</f>
        <v/>
      </c>
      <c r="AM16">
        <f>IF(AM$4=1,IF(OR(INDEX('×入力'!$A$1:$L$800,103+AM$3,2+AM$2)&lt;&gt;"",INDEX('×入力'!$A$1:$L$800,102,2+AM$2)&lt;&gt;"",INDEX('×入力'!$A$1:$L$800,103+AM$3,1)&lt;&gt;""),1,0),0)</f>
        <v/>
      </c>
      <c r="AN16">
        <f>IF(AN$4=1,IF(OR(INDEX('×入力'!$A$1:$L$800,103+AN$3,2+AN$2)&lt;&gt;"",INDEX('×入力'!$A$1:$L$800,102,2+AN$2)&lt;&gt;"",INDEX('×入力'!$A$1:$L$800,103+AN$3,1)&lt;&gt;""),1,0),0)</f>
        <v/>
      </c>
      <c r="AO16">
        <f>IF(AO$4=1,IF(OR(INDEX('×入力'!$A$1:$L$800,103+AO$3,2+AO$2)&lt;&gt;"",INDEX('×入力'!$A$1:$L$800,102,2+AO$2)&lt;&gt;"",INDEX('×入力'!$A$1:$L$800,103+AO$3,1)&lt;&gt;""),1,0),0)</f>
        <v/>
      </c>
      <c r="AP16">
        <f>IF(AP$4=1,IF(OR(INDEX('×入力'!$A$1:$L$800,103+AP$3,2+AP$2)&lt;&gt;"",INDEX('×入力'!$A$1:$L$800,102,2+AP$2)&lt;&gt;"",INDEX('×入力'!$A$1:$L$800,103+AP$3,1)&lt;&gt;""),1,0),0)</f>
        <v/>
      </c>
      <c r="AQ16">
        <f>IF(AQ$4=1,IF(OR(INDEX('×入力'!$A$1:$L$800,103+AQ$3,2+AQ$2)&lt;&gt;"",INDEX('×入力'!$A$1:$L$800,102,2+AQ$2)&lt;&gt;"",INDEX('×入力'!$A$1:$L$800,103+AQ$3,1)&lt;&gt;""),1,0),0)</f>
        <v/>
      </c>
      <c r="AR16">
        <f>IF(AR$4=1,IF(OR(INDEX('×入力'!$A$1:$L$800,103+AR$3,2+AR$2)&lt;&gt;"",INDEX('×入力'!$A$1:$L$800,102,2+AR$2)&lt;&gt;"",INDEX('×入力'!$A$1:$L$800,103+AR$3,1)&lt;&gt;""),1,0),0)</f>
        <v/>
      </c>
      <c r="AS16">
        <f>IF(AS$4=1,IF(OR(INDEX('×入力'!$A$1:$L$800,103+AS$3,2+AS$2)&lt;&gt;"",INDEX('×入力'!$A$1:$L$800,102,2+AS$2)&lt;&gt;"",INDEX('×入力'!$A$1:$L$800,103+AS$3,1)&lt;&gt;""),1,0),0)</f>
        <v/>
      </c>
      <c r="AT16">
        <f>IF(AT$4=1,IF(OR(INDEX('×入力'!$A$1:$L$800,103+AT$3,2+AT$2)&lt;&gt;"",INDEX('×入力'!$A$1:$L$800,102,2+AT$2)&lt;&gt;"",INDEX('×入力'!$A$1:$L$800,103+AT$3,1)&lt;&gt;""),1,0),0)</f>
        <v/>
      </c>
      <c r="AU16">
        <f>IF(AU$4=1,IF(OR(INDEX('×入力'!$A$1:$L$800,103+AU$3,2+AU$2)&lt;&gt;"",INDEX('×入力'!$A$1:$L$800,102,2+AU$2)&lt;&gt;"",INDEX('×入力'!$A$1:$L$800,103+AU$3,1)&lt;&gt;""),1,0),0)</f>
        <v/>
      </c>
      <c r="AV16">
        <f>IF(AV$4=1,IF(OR(INDEX('×入力'!$A$1:$L$800,103+AV$3,2+AV$2)&lt;&gt;"",INDEX('×入力'!$A$1:$L$800,102,2+AV$2)&lt;&gt;"",INDEX('×入力'!$A$1:$L$800,103+AV$3,1)&lt;&gt;""),1,0),0)</f>
        <v/>
      </c>
      <c r="AW16">
        <f>IF(AW$4=1,IF(OR(INDEX('×入力'!$A$1:$L$800,103+AW$3,2+AW$2)&lt;&gt;"",INDEX('×入力'!$A$1:$L$800,102,2+AW$2)&lt;&gt;"",INDEX('×入力'!$A$1:$L$800,103+AW$3,1)&lt;&gt;""),1,0),0)</f>
        <v/>
      </c>
      <c r="AX16">
        <f>IF(AX$4=1,IF(OR(INDEX('×入力'!$A$1:$L$800,103+AX$3,2+AX$2)&lt;&gt;"",INDEX('×入力'!$A$1:$L$800,102,2+AX$2)&lt;&gt;"",INDEX('×入力'!$A$1:$L$800,103+AX$3,1)&lt;&gt;""),1,0),0)</f>
        <v/>
      </c>
      <c r="AY16">
        <f>IF(AY$4=1,IF(OR(INDEX('×入力'!$A$1:$L$800,103+AY$3,2+AY$2)&lt;&gt;"",INDEX('×入力'!$A$1:$L$800,102,2+AY$2)&lt;&gt;"",INDEX('×入力'!$A$1:$L$800,103+AY$3,1)&lt;&gt;""),1,0),0)</f>
        <v/>
      </c>
      <c r="AZ16">
        <f>IF(AZ$4=1,IF(OR(INDEX('×入力'!$A$1:$L$800,103+AZ$3,2+AZ$2)&lt;&gt;"",INDEX('×入力'!$A$1:$L$800,102,2+AZ$2)&lt;&gt;"",INDEX('×入力'!$A$1:$L$800,103+AZ$3,1)&lt;&gt;""),1,0),0)</f>
        <v/>
      </c>
      <c r="BA16">
        <f>IF(BA$4=1,IF(OR(INDEX('×入力'!$A$1:$L$800,103+BA$3,2+BA$2)&lt;&gt;"",INDEX('×入力'!$A$1:$L$800,102,2+BA$2)&lt;&gt;"",INDEX('×入力'!$A$1:$L$800,103+BA$3,1)&lt;&gt;""),1,0),0)</f>
        <v/>
      </c>
      <c r="BB16">
        <f>IF(BB$4=1,IF(OR(INDEX('×入力'!$A$1:$L$800,103+BB$3,2+BB$2)&lt;&gt;"",INDEX('×入力'!$A$1:$L$800,102,2+BB$2)&lt;&gt;"",INDEX('×入力'!$A$1:$L$800,103+BB$3,1)&lt;&gt;""),1,0),0)</f>
        <v/>
      </c>
      <c r="BC16">
        <f>IF(BC$4=1,IF(OR(INDEX('×入力'!$A$1:$L$800,103+BC$3,2+BC$2)&lt;&gt;"",INDEX('×入力'!$A$1:$L$800,102,2+BC$2)&lt;&gt;"",INDEX('×入力'!$A$1:$L$800,103+BC$3,1)&lt;&gt;""),1,0),0)</f>
        <v/>
      </c>
      <c r="BD16">
        <f>IF(BD$4=1,IF(OR(INDEX('×入力'!$A$1:$L$800,103+BD$3,2+BD$2)&lt;&gt;"",INDEX('×入力'!$A$1:$L$800,102,2+BD$2)&lt;&gt;"",INDEX('×入力'!$A$1:$L$800,103+BD$3,1)&lt;&gt;""),1,0),0)</f>
        <v/>
      </c>
      <c r="BE16">
        <f>IF(BE$4=1,IF(OR(INDEX('×入力'!$A$1:$L$800,103+BE$3,2+BE$2)&lt;&gt;"",INDEX('×入力'!$A$1:$L$800,102,2+BE$2)&lt;&gt;"",INDEX('×入力'!$A$1:$L$800,103+BE$3,1)&lt;&gt;""),1,0),0)</f>
        <v/>
      </c>
      <c r="BF16">
        <f>IF(BF$4=1,IF(OR(INDEX('×入力'!$A$1:$L$800,103+BF$3,2+BF$2)&lt;&gt;"",INDEX('×入力'!$A$1:$L$800,102,2+BF$2)&lt;&gt;"",INDEX('×入力'!$A$1:$L$800,103+BF$3,1)&lt;&gt;""),1,0),0)</f>
        <v/>
      </c>
      <c r="BG16">
        <f>IF(BG$4=1,IF(OR(INDEX('×入力'!$A$1:$L$800,103+BG$3,2+BG$2)&lt;&gt;"",INDEX('×入力'!$A$1:$L$800,102,2+BG$2)&lt;&gt;"",INDEX('×入力'!$A$1:$L$800,103+BG$3,1)&lt;&gt;""),1,0),0)</f>
        <v/>
      </c>
      <c r="BH16">
        <f>IF(BH$4=1,IF(OR(INDEX('×入力'!$A$1:$L$800,103+BH$3,2+BH$2)&lt;&gt;"",INDEX('×入力'!$A$1:$L$800,102,2+BH$2)&lt;&gt;"",INDEX('×入力'!$A$1:$L$800,103+BH$3,1)&lt;&gt;""),1,0),0)</f>
        <v/>
      </c>
      <c r="BI16">
        <f>IF(BI$4=1,IF(OR(INDEX('×入力'!$A$1:$L$800,103+BI$3,2+BI$2)&lt;&gt;"",INDEX('×入力'!$A$1:$L$800,102,2+BI$2)&lt;&gt;"",INDEX('×入力'!$A$1:$L$800,103+BI$3,1)&lt;&gt;""),1,0),0)</f>
        <v/>
      </c>
      <c r="BJ16">
        <f>IF(BJ$4=1,IF(OR(INDEX('×入力'!$A$1:$L$800,103+BJ$3,2+BJ$2)&lt;&gt;"",INDEX('×入力'!$A$1:$L$800,102,2+BJ$2)&lt;&gt;"",INDEX('×入力'!$A$1:$L$800,103+BJ$3,1)&lt;&gt;""),1,0),0)</f>
        <v/>
      </c>
      <c r="BK16">
        <f>IF(BK$4=1,IF(OR(INDEX('×入力'!$A$1:$L$800,103+BK$3,2+BK$2)&lt;&gt;"",INDEX('×入力'!$A$1:$L$800,102,2+BK$2)&lt;&gt;"",INDEX('×入力'!$A$1:$L$800,103+BK$3,1)&lt;&gt;""),1,0),0)</f>
        <v/>
      </c>
      <c r="BL16">
        <f>IF(BL$4=1,IF(OR(INDEX('×入力'!$A$1:$L$800,103+BL$3,2+BL$2)&lt;&gt;"",INDEX('×入力'!$A$1:$L$800,102,2+BL$2)&lt;&gt;"",INDEX('×入力'!$A$1:$L$800,103+BL$3,1)&lt;&gt;""),1,0),0)</f>
        <v/>
      </c>
      <c r="BM16">
        <f>IF(BM$4=1,IF(OR(INDEX('×入力'!$A$1:$L$800,103+BM$3,2+BM$2)&lt;&gt;"",INDEX('×入力'!$A$1:$L$800,102,2+BM$2)&lt;&gt;"",INDEX('×入力'!$A$1:$L$800,103+BM$3,1)&lt;&gt;""),1,0),0)</f>
        <v/>
      </c>
      <c r="BN16">
        <f>IF(BN$4=1,IF(OR(INDEX('×入力'!$A$1:$L$800,103+BN$3,2+BN$2)&lt;&gt;"",INDEX('×入力'!$A$1:$L$800,102,2+BN$2)&lt;&gt;"",INDEX('×入力'!$A$1:$L$800,103+BN$3,1)&lt;&gt;""),1,0),0)</f>
        <v/>
      </c>
      <c r="BO16">
        <f>IF(BO$4=1,IF(OR(INDEX('×入力'!$A$1:$L$800,103+BO$3,2+BO$2)&lt;&gt;"",INDEX('×入力'!$A$1:$L$800,102,2+BO$2)&lt;&gt;"",INDEX('×入力'!$A$1:$L$800,103+BO$3,1)&lt;&gt;""),1,0),0)</f>
        <v/>
      </c>
      <c r="BP16">
        <f>IF(BP$4=1,IF(OR(INDEX('×入力'!$A$1:$L$800,103+BP$3,2+BP$2)&lt;&gt;"",INDEX('×入力'!$A$1:$L$800,102,2+BP$2)&lt;&gt;"",INDEX('×入力'!$A$1:$L$800,103+BP$3,1)&lt;&gt;""),1,0),0)</f>
        <v/>
      </c>
      <c r="BQ16">
        <f>IF(BQ$4=1,IF(OR(INDEX('×入力'!$A$1:$L$800,103+BQ$3,2+BQ$2)&lt;&gt;"",INDEX('×入力'!$A$1:$L$800,102,2+BQ$2)&lt;&gt;"",INDEX('×入力'!$A$1:$L$800,103+BQ$3,1)&lt;&gt;""),1,0),0)</f>
        <v/>
      </c>
      <c r="BR16">
        <f>IF(BR$4=1,IF(OR(INDEX('×入力'!$A$1:$L$800,103+BR$3,2+BR$2)&lt;&gt;"",INDEX('×入力'!$A$1:$L$800,102,2+BR$2)&lt;&gt;"",INDEX('×入力'!$A$1:$L$800,103+BR$3,1)&lt;&gt;""),1,0),0)</f>
        <v/>
      </c>
      <c r="BS16">
        <f>IF(BS$4=1,IF(OR(INDEX('×入力'!$A$1:$L$800,103+BS$3,2+BS$2)&lt;&gt;"",INDEX('×入力'!$A$1:$L$800,102,2+BS$2)&lt;&gt;"",INDEX('×入力'!$A$1:$L$800,103+BS$3,1)&lt;&gt;""),1,0),0)</f>
        <v/>
      </c>
      <c r="BT16">
        <f>IF(BT$4=1,IF(OR(INDEX('×入力'!$A$1:$L$800,103+BT$3,2+BT$2)&lt;&gt;"",INDEX('×入力'!$A$1:$L$800,102,2+BT$2)&lt;&gt;"",INDEX('×入力'!$A$1:$L$800,103+BT$3,1)&lt;&gt;""),1,0),0)</f>
        <v/>
      </c>
      <c r="BU16">
        <f>IF(BU$4=1,IF(OR(INDEX('×入力'!$A$1:$L$800,103+BU$3,2+BU$2)&lt;&gt;"",INDEX('×入力'!$A$1:$L$800,102,2+BU$2)&lt;&gt;"",INDEX('×入力'!$A$1:$L$800,103+BU$3,1)&lt;&gt;""),1,0),0)</f>
        <v/>
      </c>
      <c r="BV16">
        <f>IF(BV$4=1,IF(OR(INDEX('×入力'!$A$1:$L$800,103+BV$3,2+BV$2)&lt;&gt;"",INDEX('×入力'!$A$1:$L$800,102,2+BV$2)&lt;&gt;"",INDEX('×入力'!$A$1:$L$800,103+BV$3,1)&lt;&gt;""),1,0),0)</f>
        <v/>
      </c>
      <c r="BW16">
        <f>IF(BW$4=1,IF(OR(INDEX('×入力'!$A$1:$L$800,103+BW$3,2+BW$2)&lt;&gt;"",INDEX('×入力'!$A$1:$L$800,102,2+BW$2)&lt;&gt;"",INDEX('×入力'!$A$1:$L$800,103+BW$3,1)&lt;&gt;""),1,0),0)</f>
        <v/>
      </c>
      <c r="BX16">
        <f>IF(BX$4=1,IF(OR(INDEX('×入力'!$A$1:$L$800,103+BX$3,2+BX$2)&lt;&gt;"",INDEX('×入力'!$A$1:$L$800,102,2+BX$2)&lt;&gt;"",INDEX('×入力'!$A$1:$L$800,103+BX$3,1)&lt;&gt;""),1,0),0)</f>
        <v/>
      </c>
      <c r="BY16">
        <f>IF(BY$4=1,IF(OR(INDEX('×入力'!$A$1:$L$800,103+BY$3,2+BY$2)&lt;&gt;"",INDEX('×入力'!$A$1:$L$800,102,2+BY$2)&lt;&gt;"",INDEX('×入力'!$A$1:$L$800,103+BY$3,1)&lt;&gt;""),1,0),0)</f>
        <v/>
      </c>
      <c r="BZ16">
        <f>IF(BZ$4=1,IF(OR(INDEX('×入力'!$A$1:$L$800,103+BZ$3,2+BZ$2)&lt;&gt;"",INDEX('×入力'!$A$1:$L$800,102,2+BZ$2)&lt;&gt;"",INDEX('×入力'!$A$1:$L$800,103+BZ$3,1)&lt;&gt;""),1,0),0)</f>
        <v/>
      </c>
      <c r="CA16">
        <f>IF(CA$4=1,IF(OR(INDEX('×入力'!$A$1:$L$800,103+CA$3,2+CA$2)&lt;&gt;"",INDEX('×入力'!$A$1:$L$800,102,2+CA$2)&lt;&gt;"",INDEX('×入力'!$A$1:$L$800,103+CA$3,1)&lt;&gt;""),1,0),0)</f>
        <v/>
      </c>
      <c r="CB16">
        <f>IF(CB$4=1,IF(OR(INDEX('×入力'!$A$1:$L$800,103+CB$3,2+CB$2)&lt;&gt;"",INDEX('×入力'!$A$1:$L$800,102,2+CB$2)&lt;&gt;"",INDEX('×入力'!$A$1:$L$800,103+CB$3,1)&lt;&gt;""),1,0),0)</f>
        <v/>
      </c>
      <c r="CC16">
        <f>IF(CC$4=1,IF(OR(INDEX('×入力'!$A$1:$L$800,103+CC$3,2+CC$2)&lt;&gt;"",INDEX('×入力'!$A$1:$L$800,102,2+CC$2)&lt;&gt;"",INDEX('×入力'!$A$1:$L$800,103+CC$3,1)&lt;&gt;""),1,0),0)</f>
        <v/>
      </c>
      <c r="CD16">
        <f>IF(CD$4=1,IF(OR(INDEX('×入力'!$A$1:$L$800,103+CD$3,2+CD$2)&lt;&gt;"",INDEX('×入力'!$A$1:$L$800,102,2+CD$2)&lt;&gt;"",INDEX('×入力'!$A$1:$L$800,103+CD$3,1)&lt;&gt;""),1,0),0)</f>
        <v/>
      </c>
      <c r="CE16">
        <f>IF(CE$4=1,IF(OR(INDEX('×入力'!$A$1:$L$800,103+CE$3,2+CE$2)&lt;&gt;"",INDEX('×入力'!$A$1:$L$800,102,2+CE$2)&lt;&gt;"",INDEX('×入力'!$A$1:$L$800,103+CE$3,1)&lt;&gt;""),1,0),0)</f>
        <v/>
      </c>
      <c r="CF16">
        <f>IF(CF$4=1,IF(OR(INDEX('×入力'!$A$1:$L$800,103+CF$3,2+CF$2)&lt;&gt;"",INDEX('×入力'!$A$1:$L$800,102,2+CF$2)&lt;&gt;"",INDEX('×入力'!$A$1:$L$800,103+CF$3,1)&lt;&gt;""),1,0),0)</f>
        <v/>
      </c>
      <c r="CG16">
        <f>IF(CG$4=1,IF(OR(INDEX('×入力'!$A$1:$L$800,103+CG$3,2+CG$2)&lt;&gt;"",INDEX('×入力'!$A$1:$L$800,102,2+CG$2)&lt;&gt;"",INDEX('×入力'!$A$1:$L$800,103+CG$3,1)&lt;&gt;""),1,0),0)</f>
        <v/>
      </c>
      <c r="CH16">
        <f>IF(CH$4=1,IF(OR(INDEX('×入力'!$A$1:$L$800,103+CH$3,2+CH$2)&lt;&gt;"",INDEX('×入力'!$A$1:$L$800,102,2+CH$2)&lt;&gt;"",INDEX('×入力'!$A$1:$L$800,103+CH$3,1)&lt;&gt;""),1,0),0)</f>
        <v/>
      </c>
      <c r="CI16">
        <f>IF(CI$4=1,IF(OR(INDEX('×入力'!$A$1:$L$800,103+CI$3,2+CI$2)&lt;&gt;"",INDEX('×入力'!$A$1:$L$800,102,2+CI$2)&lt;&gt;"",INDEX('×入力'!$A$1:$L$800,103+CI$3,1)&lt;&gt;""),1,0),0)</f>
        <v/>
      </c>
      <c r="CJ16">
        <f>IF(CJ$4=1,IF(OR(INDEX('×入力'!$A$1:$L$800,103+CJ$3,2+CJ$2)&lt;&gt;"",INDEX('×入力'!$A$1:$L$800,102,2+CJ$2)&lt;&gt;"",INDEX('×入力'!$A$1:$L$800,103+CJ$3,1)&lt;&gt;""),1,0),0)</f>
        <v/>
      </c>
      <c r="CK16">
        <f>IF(CK$4=1,IF(OR(INDEX('×入力'!$A$1:$L$800,103+CK$3,2+CK$2)&lt;&gt;"",INDEX('×入力'!$A$1:$L$800,102,2+CK$2)&lt;&gt;"",INDEX('×入力'!$A$1:$L$800,103+CK$3,1)&lt;&gt;""),1,0),0)</f>
        <v/>
      </c>
      <c r="CL16">
        <f>IF(CL$4=1,IF(OR(INDEX('×入力'!$A$1:$L$800,103+CL$3,2+CL$2)&lt;&gt;"",INDEX('×入力'!$A$1:$L$800,102,2+CL$2)&lt;&gt;"",INDEX('×入力'!$A$1:$L$800,103+CL$3,1)&lt;&gt;""),1,0),0)</f>
        <v/>
      </c>
      <c r="CM16">
        <f>IF(CM$4=1,IF(OR(INDEX('×入力'!$A$1:$L$800,103+CM$3,2+CM$2)&lt;&gt;"",INDEX('×入力'!$A$1:$L$800,102,2+CM$2)&lt;&gt;"",INDEX('×入力'!$A$1:$L$800,103+CM$3,1)&lt;&gt;""),1,0),0)</f>
        <v/>
      </c>
      <c r="CN16">
        <f>IF(CN$4=1,IF(OR(INDEX('×入力'!$A$1:$L$800,103+CN$3,2+CN$2)&lt;&gt;"",INDEX('×入力'!$A$1:$L$800,102,2+CN$2)&lt;&gt;"",INDEX('×入力'!$A$1:$L$800,103+CN$3,1)&lt;&gt;""),1,0),0)</f>
        <v/>
      </c>
      <c r="CO16">
        <f>IF(CO$4=1,IF(OR(INDEX('×入力'!$A$1:$L$800,103+CO$3,2+CO$2)&lt;&gt;"",INDEX('×入力'!$A$1:$L$800,102,2+CO$2)&lt;&gt;"",INDEX('×入力'!$A$1:$L$800,103+CO$3,1)&lt;&gt;""),1,0),0)</f>
        <v/>
      </c>
      <c r="CP16">
        <f>IF(CP$4=1,IF(OR(INDEX('×入力'!$A$1:$L$800,103+CP$3,2+CP$2)&lt;&gt;"",INDEX('×入力'!$A$1:$L$800,102,2+CP$2)&lt;&gt;"",INDEX('×入力'!$A$1:$L$800,103+CP$3,1)&lt;&gt;""),1,0),0)</f>
        <v/>
      </c>
      <c r="CQ16">
        <f>IF(CQ$4=1,IF(OR(INDEX('×入力'!$A$1:$L$800,103+CQ$3,2+CQ$2)&lt;&gt;"",INDEX('×入力'!$A$1:$L$800,102,2+CQ$2)&lt;&gt;"",INDEX('×入力'!$A$1:$L$800,103+CQ$3,1)&lt;&gt;""),1,0),0)</f>
        <v/>
      </c>
      <c r="CR16">
        <f>IF(CR$4=1,IF(OR(INDEX('×入力'!$A$1:$L$800,103+CR$3,2+CR$2)&lt;&gt;"",INDEX('×入力'!$A$1:$L$800,102,2+CR$2)&lt;&gt;"",INDEX('×入力'!$A$1:$L$800,103+CR$3,1)&lt;&gt;""),1,0),0)</f>
        <v/>
      </c>
      <c r="CS16">
        <f>IF(CS$4=1,IF(OR(INDEX('×入力'!$A$1:$L$800,103+CS$3,2+CS$2)&lt;&gt;"",INDEX('×入力'!$A$1:$L$800,102,2+CS$2)&lt;&gt;"",INDEX('×入力'!$A$1:$L$800,103+CS$3,1)&lt;&gt;""),1,0),0)</f>
        <v/>
      </c>
      <c r="CT16">
        <f>IF(CT$4=1,IF(OR(INDEX('×入力'!$A$1:$L$800,103+CT$3,2+CT$2)&lt;&gt;"",INDEX('×入力'!$A$1:$L$800,102,2+CT$2)&lt;&gt;"",INDEX('×入力'!$A$1:$L$800,103+CT$3,1)&lt;&gt;""),1,0),0)</f>
        <v/>
      </c>
      <c r="CU16">
        <f>IF(CU$4=1,IF(OR(INDEX('×入力'!$A$1:$L$800,103+CU$3,2+CU$2)&lt;&gt;"",INDEX('×入力'!$A$1:$L$800,102,2+CU$2)&lt;&gt;"",INDEX('×入力'!$A$1:$L$800,103+CU$3,1)&lt;&gt;""),1,0),0)</f>
        <v/>
      </c>
      <c r="CV16">
        <f>IF(CV$4=1,IF(OR(INDEX('×入力'!$A$1:$L$800,103+CV$3,2+CV$2)&lt;&gt;"",INDEX('×入力'!$A$1:$L$800,102,2+CV$2)&lt;&gt;"",INDEX('×入力'!$A$1:$L$800,103+CV$3,1)&lt;&gt;""),1,0),0)</f>
        <v/>
      </c>
      <c r="CW16">
        <f>IF(CW$4=1,IF(OR(INDEX('×入力'!$A$1:$L$800,103+CW$3,2+CW$2)&lt;&gt;"",INDEX('×入力'!$A$1:$L$800,102,2+CW$2)&lt;&gt;"",INDEX('×入力'!$A$1:$L$800,103+CW$3,1)&lt;&gt;""),1,0),0)</f>
        <v/>
      </c>
      <c r="CX16">
        <f>IF(CX$4=1,IF(OR(INDEX('×入力'!$A$1:$L$800,103+CX$3,2+CX$2)&lt;&gt;"",INDEX('×入力'!$A$1:$L$800,102,2+CX$2)&lt;&gt;"",INDEX('×入力'!$A$1:$L$800,103+CX$3,1)&lt;&gt;""),1,0),0)</f>
        <v/>
      </c>
      <c r="CY16">
        <f>IF(CY$4=1,IF(OR(INDEX('×入力'!$A$1:$L$800,103+CY$3,2+CY$2)&lt;&gt;"",INDEX('×入力'!$A$1:$L$800,102,2+CY$2)&lt;&gt;"",INDEX('×入力'!$A$1:$L$800,103+CY$3,1)&lt;&gt;""),1,0),0)</f>
        <v/>
      </c>
      <c r="CZ16">
        <f>IF(CZ$4=1,IF(OR(INDEX('×入力'!$A$1:$L$800,103+CZ$3,2+CZ$2)&lt;&gt;"",INDEX('×入力'!$A$1:$L$800,102,2+CZ$2)&lt;&gt;"",INDEX('×入力'!$A$1:$L$800,103+CZ$3,1)&lt;&gt;""),1,0),0)</f>
        <v/>
      </c>
      <c r="DA16">
        <f>IF(DA$4=1,IF(OR(INDEX('×入力'!$A$1:$L$800,103+DA$3,2+DA$2)&lt;&gt;"",INDEX('×入力'!$A$1:$L$800,102,2+DA$2)&lt;&gt;"",INDEX('×入力'!$A$1:$L$800,103+DA$3,1)&lt;&gt;""),1,0),0)</f>
        <v/>
      </c>
      <c r="DB16">
        <f>IF(DB$4=1,IF(OR(INDEX('×入力'!$A$1:$L$800,103+DB$3,2+DB$2)&lt;&gt;"",INDEX('×入力'!$A$1:$L$800,102,2+DB$2)&lt;&gt;"",INDEX('×入力'!$A$1:$L$800,103+DB$3,1)&lt;&gt;""),1,0),0)</f>
        <v/>
      </c>
      <c r="DC16">
        <f>IF(DC$4=1,IF(OR(INDEX('×入力'!$A$1:$L$800,103+DC$3,2+DC$2)&lt;&gt;"",INDEX('×入力'!$A$1:$L$800,102,2+DC$2)&lt;&gt;"",INDEX('×入力'!$A$1:$L$800,103+DC$3,1)&lt;&gt;""),1,0),0)</f>
        <v/>
      </c>
      <c r="DD16">
        <f>IF(DD$4=1,IF(OR(INDEX('×入力'!$A$1:$L$800,103+DD$3,2+DD$2)&lt;&gt;"",INDEX('×入力'!$A$1:$L$800,102,2+DD$2)&lt;&gt;"",INDEX('×入力'!$A$1:$L$800,103+DD$3,1)&lt;&gt;""),1,0),0)</f>
        <v/>
      </c>
      <c r="DE16">
        <f>IF(DE$4=1,IF(OR(INDEX('×入力'!$A$1:$L$800,103+DE$3,2+DE$2)&lt;&gt;"",INDEX('×入力'!$A$1:$L$800,102,2+DE$2)&lt;&gt;"",INDEX('×入力'!$A$1:$L$800,103+DE$3,1)&lt;&gt;""),1,0),0)</f>
        <v/>
      </c>
      <c r="DF16">
        <f>IF(DF$4=1,IF(OR(INDEX('×入力'!$A$1:$L$800,103+DF$3,2+DF$2)&lt;&gt;"",INDEX('×入力'!$A$1:$L$800,102,2+DF$2)&lt;&gt;"",INDEX('×入力'!$A$1:$L$800,103+DF$3,1)&lt;&gt;""),1,0),0)</f>
        <v/>
      </c>
      <c r="DG16">
        <f>IF(DG$4=1,IF(OR(INDEX('×入力'!$A$1:$L$800,103+DG$3,2+DG$2)&lt;&gt;"",INDEX('×入力'!$A$1:$L$800,102,2+DG$2)&lt;&gt;"",INDEX('×入力'!$A$1:$L$800,103+DG$3,1)&lt;&gt;""),1,0),0)</f>
        <v/>
      </c>
      <c r="DH16">
        <f>IF(DH$4=1,IF(OR(INDEX('×入力'!$A$1:$L$800,103+DH$3,2+DH$2)&lt;&gt;"",INDEX('×入力'!$A$1:$L$800,102,2+DH$2)&lt;&gt;"",INDEX('×入力'!$A$1:$L$800,103+DH$3,1)&lt;&gt;""),1,0),0)</f>
        <v/>
      </c>
      <c r="DI16">
        <f>IF(DI$4=1,IF(OR(INDEX('×入力'!$A$1:$L$800,103+DI$3,2+DI$2)&lt;&gt;"",INDEX('×入力'!$A$1:$L$800,102,2+DI$2)&lt;&gt;"",INDEX('×入力'!$A$1:$L$800,103+DI$3,1)&lt;&gt;""),1,0),0)</f>
        <v/>
      </c>
      <c r="DJ16">
        <f>IF(DJ$4=1,IF(OR(INDEX('×入力'!$A$1:$L$800,103+DJ$3,2+DJ$2)&lt;&gt;"",INDEX('×入力'!$A$1:$L$800,102,2+DJ$2)&lt;&gt;"",INDEX('×入力'!$A$1:$L$800,103+DJ$3,1)&lt;&gt;""),1,0),0)</f>
        <v/>
      </c>
      <c r="DK16">
        <f>IF(DK$4=1,IF(OR(INDEX('×入力'!$A$1:$L$800,103+DK$3,2+DK$2)&lt;&gt;"",INDEX('×入力'!$A$1:$L$800,102,2+DK$2)&lt;&gt;"",INDEX('×入力'!$A$1:$L$800,103+DK$3,1)&lt;&gt;""),1,0),0)</f>
        <v/>
      </c>
      <c r="DL16">
        <f>IF(DL$4=1,IF(OR(INDEX('×入力'!$A$1:$L$800,103+DL$3,2+DL$2)&lt;&gt;"",INDEX('×入力'!$A$1:$L$800,102,2+DL$2)&lt;&gt;"",INDEX('×入力'!$A$1:$L$800,103+DL$3,1)&lt;&gt;""),1,0),0)</f>
        <v/>
      </c>
      <c r="DM16">
        <f>IF(DM$4=1,IF(OR(INDEX('×入力'!$A$1:$L$800,103+DM$3,2+DM$2)&lt;&gt;"",INDEX('×入力'!$A$1:$L$800,102,2+DM$2)&lt;&gt;"",INDEX('×入力'!$A$1:$L$800,103+DM$3,1)&lt;&gt;""),1,0),0)</f>
        <v/>
      </c>
      <c r="DN16">
        <f>IF(DN$4=1,IF(OR(INDEX('×入力'!$A$1:$L$800,103+DN$3,2+DN$2)&lt;&gt;"",INDEX('×入力'!$A$1:$L$800,102,2+DN$2)&lt;&gt;"",INDEX('×入力'!$A$1:$L$800,103+DN$3,1)&lt;&gt;""),1,0),0)</f>
        <v/>
      </c>
      <c r="DO16">
        <f>IF(DO$4=1,IF(OR(INDEX('×入力'!$A$1:$L$800,103+DO$3,2+DO$2)&lt;&gt;"",INDEX('×入力'!$A$1:$L$800,102,2+DO$2)&lt;&gt;"",INDEX('×入力'!$A$1:$L$800,103+DO$3,1)&lt;&gt;""),1,0),0)</f>
        <v/>
      </c>
      <c r="DP16">
        <f>IF(DP$4=1,IF(OR(INDEX('×入力'!$A$1:$L$800,103+DP$3,2+DP$2)&lt;&gt;"",INDEX('×入力'!$A$1:$L$800,102,2+DP$2)&lt;&gt;"",INDEX('×入力'!$A$1:$L$800,103+DP$3,1)&lt;&gt;""),1,0),0)</f>
        <v/>
      </c>
      <c r="DQ16">
        <f>IF(DQ$4=1,IF(OR(INDEX('×入力'!$A$1:$L$800,103+DQ$3,2+DQ$2)&lt;&gt;"",INDEX('×入力'!$A$1:$L$800,102,2+DQ$2)&lt;&gt;"",INDEX('×入力'!$A$1:$L$800,103+DQ$3,1)&lt;&gt;""),1,0),0)</f>
        <v/>
      </c>
      <c r="DR16">
        <f>IF(DR$4=1,IF(OR(INDEX('×入力'!$A$1:$L$800,103+DR$3,2+DR$2)&lt;&gt;"",INDEX('×入力'!$A$1:$L$800,102,2+DR$2)&lt;&gt;"",INDEX('×入力'!$A$1:$L$800,103+DR$3,1)&lt;&gt;""),1,0),0)</f>
        <v/>
      </c>
      <c r="DS16">
        <f>IF(DS$4=1,IF(OR(INDEX('×入力'!$A$1:$L$800,103+DS$3,2+DS$2)&lt;&gt;"",INDEX('×入力'!$A$1:$L$800,102,2+DS$2)&lt;&gt;"",INDEX('×入力'!$A$1:$L$800,103+DS$3,1)&lt;&gt;""),1,0),0)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IF(D$4=1,IF(OR(INDEX('×入力'!$A$1:$L$800,119+D$3,2+D$2)&lt;&gt;"",INDEX('×入力'!$A$1:$L$800,118,2+D$2)&lt;&gt;"",INDEX('×入力'!$A$1:$L$800,119+D$3,1)&lt;&gt;""),1,0),0)</f>
        <v/>
      </c>
      <c r="E17">
        <f>IF(E$4=1,IF(OR(INDEX('×入力'!$A$1:$L$800,119+E$3,2+E$2)&lt;&gt;"",INDEX('×入力'!$A$1:$L$800,118,2+E$2)&lt;&gt;"",INDEX('×入力'!$A$1:$L$800,119+E$3,1)&lt;&gt;""),1,0),0)</f>
        <v/>
      </c>
      <c r="F17">
        <f>IF(F$4=1,IF(OR(INDEX('×入力'!$A$1:$L$800,119+F$3,2+F$2)&lt;&gt;"",INDEX('×入力'!$A$1:$L$800,118,2+F$2)&lt;&gt;"",INDEX('×入力'!$A$1:$L$800,119+F$3,1)&lt;&gt;""),1,0),0)</f>
        <v/>
      </c>
      <c r="G17">
        <f>IF(G$4=1,IF(OR(INDEX('×入力'!$A$1:$L$800,119+G$3,2+G$2)&lt;&gt;"",INDEX('×入力'!$A$1:$L$800,118,2+G$2)&lt;&gt;"",INDEX('×入力'!$A$1:$L$800,119+G$3,1)&lt;&gt;""),1,0),0)</f>
        <v/>
      </c>
      <c r="H17">
        <f>IF(H$4=1,IF(OR(INDEX('×入力'!$A$1:$L$800,119+H$3,2+H$2)&lt;&gt;"",INDEX('×入力'!$A$1:$L$800,118,2+H$2)&lt;&gt;"",INDEX('×入力'!$A$1:$L$800,119+H$3,1)&lt;&gt;""),1,0),0)</f>
        <v/>
      </c>
      <c r="I17">
        <f>IF(I$4=1,IF(OR(INDEX('×入力'!$A$1:$L$800,119+I$3,2+I$2)&lt;&gt;"",INDEX('×入力'!$A$1:$L$800,118,2+I$2)&lt;&gt;"",INDEX('×入力'!$A$1:$L$800,119+I$3,1)&lt;&gt;""),1,0),0)</f>
        <v/>
      </c>
      <c r="J17">
        <f>IF(J$4=1,IF(OR(INDEX('×入力'!$A$1:$L$800,119+J$3,2+J$2)&lt;&gt;"",INDEX('×入力'!$A$1:$L$800,118,2+J$2)&lt;&gt;"",INDEX('×入力'!$A$1:$L$800,119+J$3,1)&lt;&gt;""),1,0),0)</f>
        <v/>
      </c>
      <c r="K17">
        <f>IF(K$4=1,IF(OR(INDEX('×入力'!$A$1:$L$800,119+K$3,2+K$2)&lt;&gt;"",INDEX('×入力'!$A$1:$L$800,118,2+K$2)&lt;&gt;"",INDEX('×入力'!$A$1:$L$800,119+K$3,1)&lt;&gt;""),1,0),0)</f>
        <v/>
      </c>
      <c r="L17">
        <f>IF(L$4=1,IF(OR(INDEX('×入力'!$A$1:$L$800,119+L$3,2+L$2)&lt;&gt;"",INDEX('×入力'!$A$1:$L$800,118,2+L$2)&lt;&gt;"",INDEX('×入力'!$A$1:$L$800,119+L$3,1)&lt;&gt;""),1,0),0)</f>
        <v/>
      </c>
      <c r="M17">
        <f>IF(M$4=1,IF(OR(INDEX('×入力'!$A$1:$L$800,119+M$3,2+M$2)&lt;&gt;"",INDEX('×入力'!$A$1:$L$800,118,2+M$2)&lt;&gt;"",INDEX('×入力'!$A$1:$L$800,119+M$3,1)&lt;&gt;""),1,0),0)</f>
        <v/>
      </c>
      <c r="N17">
        <f>IF(N$4=1,IF(OR(INDEX('×入力'!$A$1:$L$800,119+N$3,2+N$2)&lt;&gt;"",INDEX('×入力'!$A$1:$L$800,118,2+N$2)&lt;&gt;"",INDEX('×入力'!$A$1:$L$800,119+N$3,1)&lt;&gt;""),1,0),0)</f>
        <v/>
      </c>
      <c r="O17">
        <f>IF(O$4=1,IF(OR(INDEX('×入力'!$A$1:$L$800,119+O$3,2+O$2)&lt;&gt;"",INDEX('×入力'!$A$1:$L$800,118,2+O$2)&lt;&gt;"",INDEX('×入力'!$A$1:$L$800,119+O$3,1)&lt;&gt;""),1,0),0)</f>
        <v/>
      </c>
      <c r="P17">
        <f>IF(P$4=1,IF(OR(INDEX('×入力'!$A$1:$L$800,119+P$3,2+P$2)&lt;&gt;"",INDEX('×入力'!$A$1:$L$800,118,2+P$2)&lt;&gt;"",INDEX('×入力'!$A$1:$L$800,119+P$3,1)&lt;&gt;""),1,0),0)</f>
        <v/>
      </c>
      <c r="Q17">
        <f>IF(Q$4=1,IF(OR(INDEX('×入力'!$A$1:$L$800,119+Q$3,2+Q$2)&lt;&gt;"",INDEX('×入力'!$A$1:$L$800,118,2+Q$2)&lt;&gt;"",INDEX('×入力'!$A$1:$L$800,119+Q$3,1)&lt;&gt;""),1,0),0)</f>
        <v/>
      </c>
      <c r="R17">
        <f>IF(R$4=1,IF(OR(INDEX('×入力'!$A$1:$L$800,119+R$3,2+R$2)&lt;&gt;"",INDEX('×入力'!$A$1:$L$800,118,2+R$2)&lt;&gt;"",INDEX('×入力'!$A$1:$L$800,119+R$3,1)&lt;&gt;""),1,0),0)</f>
        <v/>
      </c>
      <c r="S17">
        <f>IF(S$4=1,IF(OR(INDEX('×入力'!$A$1:$L$800,119+S$3,2+S$2)&lt;&gt;"",INDEX('×入力'!$A$1:$L$800,118,2+S$2)&lt;&gt;"",INDEX('×入力'!$A$1:$L$800,119+S$3,1)&lt;&gt;""),1,0),0)</f>
        <v/>
      </c>
      <c r="T17">
        <f>IF(T$4=1,IF(OR(INDEX('×入力'!$A$1:$L$800,119+T$3,2+T$2)&lt;&gt;"",INDEX('×入力'!$A$1:$L$800,118,2+T$2)&lt;&gt;"",INDEX('×入力'!$A$1:$L$800,119+T$3,1)&lt;&gt;""),1,0),0)</f>
        <v/>
      </c>
      <c r="U17">
        <f>IF(U$4=1,IF(OR(INDEX('×入力'!$A$1:$L$800,119+U$3,2+U$2)&lt;&gt;"",INDEX('×入力'!$A$1:$L$800,118,2+U$2)&lt;&gt;"",INDEX('×入力'!$A$1:$L$800,119+U$3,1)&lt;&gt;""),1,0),0)</f>
        <v/>
      </c>
      <c r="V17">
        <f>IF(V$4=1,IF(OR(INDEX('×入力'!$A$1:$L$800,119+V$3,2+V$2)&lt;&gt;"",INDEX('×入力'!$A$1:$L$800,118,2+V$2)&lt;&gt;"",INDEX('×入力'!$A$1:$L$800,119+V$3,1)&lt;&gt;""),1,0),0)</f>
        <v/>
      </c>
      <c r="W17">
        <f>IF(W$4=1,IF(OR(INDEX('×入力'!$A$1:$L$800,119+W$3,2+W$2)&lt;&gt;"",INDEX('×入力'!$A$1:$L$800,118,2+W$2)&lt;&gt;"",INDEX('×入力'!$A$1:$L$800,119+W$3,1)&lt;&gt;""),1,0),0)</f>
        <v/>
      </c>
      <c r="X17">
        <f>IF(X$4=1,IF(OR(INDEX('×入力'!$A$1:$L$800,119+X$3,2+X$2)&lt;&gt;"",INDEX('×入力'!$A$1:$L$800,118,2+X$2)&lt;&gt;"",INDEX('×入力'!$A$1:$L$800,119+X$3,1)&lt;&gt;""),1,0),0)</f>
        <v/>
      </c>
      <c r="Y17">
        <f>IF(Y$4=1,IF(OR(INDEX('×入力'!$A$1:$L$800,119+Y$3,2+Y$2)&lt;&gt;"",INDEX('×入力'!$A$1:$L$800,118,2+Y$2)&lt;&gt;"",INDEX('×入力'!$A$1:$L$800,119+Y$3,1)&lt;&gt;""),1,0),0)</f>
        <v/>
      </c>
      <c r="Z17">
        <f>IF(Z$4=1,IF(OR(INDEX('×入力'!$A$1:$L$800,119+Z$3,2+Z$2)&lt;&gt;"",INDEX('×入力'!$A$1:$L$800,118,2+Z$2)&lt;&gt;"",INDEX('×入力'!$A$1:$L$800,119+Z$3,1)&lt;&gt;""),1,0),0)</f>
        <v/>
      </c>
      <c r="AA17">
        <f>IF(AA$4=1,IF(OR(INDEX('×入力'!$A$1:$L$800,119+AA$3,2+AA$2)&lt;&gt;"",INDEX('×入力'!$A$1:$L$800,118,2+AA$2)&lt;&gt;"",INDEX('×入力'!$A$1:$L$800,119+AA$3,1)&lt;&gt;""),1,0),0)</f>
        <v/>
      </c>
      <c r="AB17">
        <f>IF(AB$4=1,IF(OR(INDEX('×入力'!$A$1:$L$800,119+AB$3,2+AB$2)&lt;&gt;"",INDEX('×入力'!$A$1:$L$800,118,2+AB$2)&lt;&gt;"",INDEX('×入力'!$A$1:$L$800,119+AB$3,1)&lt;&gt;""),1,0),0)</f>
        <v/>
      </c>
      <c r="AC17">
        <f>IF(AC$4=1,IF(OR(INDEX('×入力'!$A$1:$L$800,119+AC$3,2+AC$2)&lt;&gt;"",INDEX('×入力'!$A$1:$L$800,118,2+AC$2)&lt;&gt;"",INDEX('×入力'!$A$1:$L$800,119+AC$3,1)&lt;&gt;""),1,0),0)</f>
        <v/>
      </c>
      <c r="AD17">
        <f>IF(AD$4=1,IF(OR(INDEX('×入力'!$A$1:$L$800,119+AD$3,2+AD$2)&lt;&gt;"",INDEX('×入力'!$A$1:$L$800,118,2+AD$2)&lt;&gt;"",INDEX('×入力'!$A$1:$L$800,119+AD$3,1)&lt;&gt;""),1,0),0)</f>
        <v/>
      </c>
      <c r="AE17">
        <f>IF(AE$4=1,IF(OR(INDEX('×入力'!$A$1:$L$800,119+AE$3,2+AE$2)&lt;&gt;"",INDEX('×入力'!$A$1:$L$800,118,2+AE$2)&lt;&gt;"",INDEX('×入力'!$A$1:$L$800,119+AE$3,1)&lt;&gt;""),1,0),0)</f>
        <v/>
      </c>
      <c r="AF17">
        <f>IF(AF$4=1,IF(OR(INDEX('×入力'!$A$1:$L$800,119+AF$3,2+AF$2)&lt;&gt;"",INDEX('×入力'!$A$1:$L$800,118,2+AF$2)&lt;&gt;"",INDEX('×入力'!$A$1:$L$800,119+AF$3,1)&lt;&gt;""),1,0),0)</f>
        <v/>
      </c>
      <c r="AG17">
        <f>IF(AG$4=1,IF(OR(INDEX('×入力'!$A$1:$L$800,119+AG$3,2+AG$2)&lt;&gt;"",INDEX('×入力'!$A$1:$L$800,118,2+AG$2)&lt;&gt;"",INDEX('×入力'!$A$1:$L$800,119+AG$3,1)&lt;&gt;""),1,0),0)</f>
        <v/>
      </c>
      <c r="AH17">
        <f>IF(AH$4=1,IF(OR(INDEX('×入力'!$A$1:$L$800,119+AH$3,2+AH$2)&lt;&gt;"",INDEX('×入力'!$A$1:$L$800,118,2+AH$2)&lt;&gt;"",INDEX('×入力'!$A$1:$L$800,119+AH$3,1)&lt;&gt;""),1,0),0)</f>
        <v/>
      </c>
      <c r="AI17">
        <f>IF(AI$4=1,IF(OR(INDEX('×入力'!$A$1:$L$800,119+AI$3,2+AI$2)&lt;&gt;"",INDEX('×入力'!$A$1:$L$800,118,2+AI$2)&lt;&gt;"",INDEX('×入力'!$A$1:$L$800,119+AI$3,1)&lt;&gt;""),1,0),0)</f>
        <v/>
      </c>
      <c r="AJ17">
        <f>IF(AJ$4=1,IF(OR(INDEX('×入力'!$A$1:$L$800,119+AJ$3,2+AJ$2)&lt;&gt;"",INDEX('×入力'!$A$1:$L$800,118,2+AJ$2)&lt;&gt;"",INDEX('×入力'!$A$1:$L$800,119+AJ$3,1)&lt;&gt;""),1,0),0)</f>
        <v/>
      </c>
      <c r="AK17">
        <f>IF(AK$4=1,IF(OR(INDEX('×入力'!$A$1:$L$800,119+AK$3,2+AK$2)&lt;&gt;"",INDEX('×入力'!$A$1:$L$800,118,2+AK$2)&lt;&gt;"",INDEX('×入力'!$A$1:$L$800,119+AK$3,1)&lt;&gt;""),1,0),0)</f>
        <v/>
      </c>
      <c r="AL17">
        <f>IF(AL$4=1,IF(OR(INDEX('×入力'!$A$1:$L$800,119+AL$3,2+AL$2)&lt;&gt;"",INDEX('×入力'!$A$1:$L$800,118,2+AL$2)&lt;&gt;"",INDEX('×入力'!$A$1:$L$800,119+AL$3,1)&lt;&gt;""),1,0),0)</f>
        <v/>
      </c>
      <c r="AM17">
        <f>IF(AM$4=1,IF(OR(INDEX('×入力'!$A$1:$L$800,119+AM$3,2+AM$2)&lt;&gt;"",INDEX('×入力'!$A$1:$L$800,118,2+AM$2)&lt;&gt;"",INDEX('×入力'!$A$1:$L$800,119+AM$3,1)&lt;&gt;""),1,0),0)</f>
        <v/>
      </c>
      <c r="AN17">
        <f>IF(AN$4=1,IF(OR(INDEX('×入力'!$A$1:$L$800,119+AN$3,2+AN$2)&lt;&gt;"",INDEX('×入力'!$A$1:$L$800,118,2+AN$2)&lt;&gt;"",INDEX('×入力'!$A$1:$L$800,119+AN$3,1)&lt;&gt;""),1,0),0)</f>
        <v/>
      </c>
      <c r="AO17">
        <f>IF(AO$4=1,IF(OR(INDEX('×入力'!$A$1:$L$800,119+AO$3,2+AO$2)&lt;&gt;"",INDEX('×入力'!$A$1:$L$800,118,2+AO$2)&lt;&gt;"",INDEX('×入力'!$A$1:$L$800,119+AO$3,1)&lt;&gt;""),1,0),0)</f>
        <v/>
      </c>
      <c r="AP17">
        <f>IF(AP$4=1,IF(OR(INDEX('×入力'!$A$1:$L$800,119+AP$3,2+AP$2)&lt;&gt;"",INDEX('×入力'!$A$1:$L$800,118,2+AP$2)&lt;&gt;"",INDEX('×入力'!$A$1:$L$800,119+AP$3,1)&lt;&gt;""),1,0),0)</f>
        <v/>
      </c>
      <c r="AQ17">
        <f>IF(AQ$4=1,IF(OR(INDEX('×入力'!$A$1:$L$800,119+AQ$3,2+AQ$2)&lt;&gt;"",INDEX('×入力'!$A$1:$L$800,118,2+AQ$2)&lt;&gt;"",INDEX('×入力'!$A$1:$L$800,119+AQ$3,1)&lt;&gt;""),1,0),0)</f>
        <v/>
      </c>
      <c r="AR17">
        <f>IF(AR$4=1,IF(OR(INDEX('×入力'!$A$1:$L$800,119+AR$3,2+AR$2)&lt;&gt;"",INDEX('×入力'!$A$1:$L$800,118,2+AR$2)&lt;&gt;"",INDEX('×入力'!$A$1:$L$800,119+AR$3,1)&lt;&gt;""),1,0),0)</f>
        <v/>
      </c>
      <c r="AS17">
        <f>IF(AS$4=1,IF(OR(INDEX('×入力'!$A$1:$L$800,119+AS$3,2+AS$2)&lt;&gt;"",INDEX('×入力'!$A$1:$L$800,118,2+AS$2)&lt;&gt;"",INDEX('×入力'!$A$1:$L$800,119+AS$3,1)&lt;&gt;""),1,0),0)</f>
        <v/>
      </c>
      <c r="AT17">
        <f>IF(AT$4=1,IF(OR(INDEX('×入力'!$A$1:$L$800,119+AT$3,2+AT$2)&lt;&gt;"",INDEX('×入力'!$A$1:$L$800,118,2+AT$2)&lt;&gt;"",INDEX('×入力'!$A$1:$L$800,119+AT$3,1)&lt;&gt;""),1,0),0)</f>
        <v/>
      </c>
      <c r="AU17">
        <f>IF(AU$4=1,IF(OR(INDEX('×入力'!$A$1:$L$800,119+AU$3,2+AU$2)&lt;&gt;"",INDEX('×入力'!$A$1:$L$800,118,2+AU$2)&lt;&gt;"",INDEX('×入力'!$A$1:$L$800,119+AU$3,1)&lt;&gt;""),1,0),0)</f>
        <v/>
      </c>
      <c r="AV17">
        <f>IF(AV$4=1,IF(OR(INDEX('×入力'!$A$1:$L$800,119+AV$3,2+AV$2)&lt;&gt;"",INDEX('×入力'!$A$1:$L$800,118,2+AV$2)&lt;&gt;"",INDEX('×入力'!$A$1:$L$800,119+AV$3,1)&lt;&gt;""),1,0),0)</f>
        <v/>
      </c>
      <c r="AW17">
        <f>IF(AW$4=1,IF(OR(INDEX('×入力'!$A$1:$L$800,119+AW$3,2+AW$2)&lt;&gt;"",INDEX('×入力'!$A$1:$L$800,118,2+AW$2)&lt;&gt;"",INDEX('×入力'!$A$1:$L$800,119+AW$3,1)&lt;&gt;""),1,0),0)</f>
        <v/>
      </c>
      <c r="AX17">
        <f>IF(AX$4=1,IF(OR(INDEX('×入力'!$A$1:$L$800,119+AX$3,2+AX$2)&lt;&gt;"",INDEX('×入力'!$A$1:$L$800,118,2+AX$2)&lt;&gt;"",INDEX('×入力'!$A$1:$L$800,119+AX$3,1)&lt;&gt;""),1,0),0)</f>
        <v/>
      </c>
      <c r="AY17">
        <f>IF(AY$4=1,IF(OR(INDEX('×入力'!$A$1:$L$800,119+AY$3,2+AY$2)&lt;&gt;"",INDEX('×入力'!$A$1:$L$800,118,2+AY$2)&lt;&gt;"",INDEX('×入力'!$A$1:$L$800,119+AY$3,1)&lt;&gt;""),1,0),0)</f>
        <v/>
      </c>
      <c r="AZ17">
        <f>IF(AZ$4=1,IF(OR(INDEX('×入力'!$A$1:$L$800,119+AZ$3,2+AZ$2)&lt;&gt;"",INDEX('×入力'!$A$1:$L$800,118,2+AZ$2)&lt;&gt;"",INDEX('×入力'!$A$1:$L$800,119+AZ$3,1)&lt;&gt;""),1,0),0)</f>
        <v/>
      </c>
      <c r="BA17">
        <f>IF(BA$4=1,IF(OR(INDEX('×入力'!$A$1:$L$800,119+BA$3,2+BA$2)&lt;&gt;"",INDEX('×入力'!$A$1:$L$800,118,2+BA$2)&lt;&gt;"",INDEX('×入力'!$A$1:$L$800,119+BA$3,1)&lt;&gt;""),1,0),0)</f>
        <v/>
      </c>
      <c r="BB17">
        <f>IF(BB$4=1,IF(OR(INDEX('×入力'!$A$1:$L$800,119+BB$3,2+BB$2)&lt;&gt;"",INDEX('×入力'!$A$1:$L$800,118,2+BB$2)&lt;&gt;"",INDEX('×入力'!$A$1:$L$800,119+BB$3,1)&lt;&gt;""),1,0),0)</f>
        <v/>
      </c>
      <c r="BC17">
        <f>IF(BC$4=1,IF(OR(INDEX('×入力'!$A$1:$L$800,119+BC$3,2+BC$2)&lt;&gt;"",INDEX('×入力'!$A$1:$L$800,118,2+BC$2)&lt;&gt;"",INDEX('×入力'!$A$1:$L$800,119+BC$3,1)&lt;&gt;""),1,0),0)</f>
        <v/>
      </c>
      <c r="BD17">
        <f>IF(BD$4=1,IF(OR(INDEX('×入力'!$A$1:$L$800,119+BD$3,2+BD$2)&lt;&gt;"",INDEX('×入力'!$A$1:$L$800,118,2+BD$2)&lt;&gt;"",INDEX('×入力'!$A$1:$L$800,119+BD$3,1)&lt;&gt;""),1,0),0)</f>
        <v/>
      </c>
      <c r="BE17">
        <f>IF(BE$4=1,IF(OR(INDEX('×入力'!$A$1:$L$800,119+BE$3,2+BE$2)&lt;&gt;"",INDEX('×入力'!$A$1:$L$800,118,2+BE$2)&lt;&gt;"",INDEX('×入力'!$A$1:$L$800,119+BE$3,1)&lt;&gt;""),1,0),0)</f>
        <v/>
      </c>
      <c r="BF17">
        <f>IF(BF$4=1,IF(OR(INDEX('×入力'!$A$1:$L$800,119+BF$3,2+BF$2)&lt;&gt;"",INDEX('×入力'!$A$1:$L$800,118,2+BF$2)&lt;&gt;"",INDEX('×入力'!$A$1:$L$800,119+BF$3,1)&lt;&gt;""),1,0),0)</f>
        <v/>
      </c>
      <c r="BG17">
        <f>IF(BG$4=1,IF(OR(INDEX('×入力'!$A$1:$L$800,119+BG$3,2+BG$2)&lt;&gt;"",INDEX('×入力'!$A$1:$L$800,118,2+BG$2)&lt;&gt;"",INDEX('×入力'!$A$1:$L$800,119+BG$3,1)&lt;&gt;""),1,0),0)</f>
        <v/>
      </c>
      <c r="BH17">
        <f>IF(BH$4=1,IF(OR(INDEX('×入力'!$A$1:$L$800,119+BH$3,2+BH$2)&lt;&gt;"",INDEX('×入力'!$A$1:$L$800,118,2+BH$2)&lt;&gt;"",INDEX('×入力'!$A$1:$L$800,119+BH$3,1)&lt;&gt;""),1,0),0)</f>
        <v/>
      </c>
      <c r="BI17">
        <f>IF(BI$4=1,IF(OR(INDEX('×入力'!$A$1:$L$800,119+BI$3,2+BI$2)&lt;&gt;"",INDEX('×入力'!$A$1:$L$800,118,2+BI$2)&lt;&gt;"",INDEX('×入力'!$A$1:$L$800,119+BI$3,1)&lt;&gt;""),1,0),0)</f>
        <v/>
      </c>
      <c r="BJ17">
        <f>IF(BJ$4=1,IF(OR(INDEX('×入力'!$A$1:$L$800,119+BJ$3,2+BJ$2)&lt;&gt;"",INDEX('×入力'!$A$1:$L$800,118,2+BJ$2)&lt;&gt;"",INDEX('×入力'!$A$1:$L$800,119+BJ$3,1)&lt;&gt;""),1,0),0)</f>
        <v/>
      </c>
      <c r="BK17">
        <f>IF(BK$4=1,IF(OR(INDEX('×入力'!$A$1:$L$800,119+BK$3,2+BK$2)&lt;&gt;"",INDEX('×入力'!$A$1:$L$800,118,2+BK$2)&lt;&gt;"",INDEX('×入力'!$A$1:$L$800,119+BK$3,1)&lt;&gt;""),1,0),0)</f>
        <v/>
      </c>
      <c r="BL17">
        <f>IF(BL$4=1,IF(OR(INDEX('×入力'!$A$1:$L$800,119+BL$3,2+BL$2)&lt;&gt;"",INDEX('×入力'!$A$1:$L$800,118,2+BL$2)&lt;&gt;"",INDEX('×入力'!$A$1:$L$800,119+BL$3,1)&lt;&gt;""),1,0),0)</f>
        <v/>
      </c>
      <c r="BM17">
        <f>IF(BM$4=1,IF(OR(INDEX('×入力'!$A$1:$L$800,119+BM$3,2+BM$2)&lt;&gt;"",INDEX('×入力'!$A$1:$L$800,118,2+BM$2)&lt;&gt;"",INDEX('×入力'!$A$1:$L$800,119+BM$3,1)&lt;&gt;""),1,0),0)</f>
        <v/>
      </c>
      <c r="BN17">
        <f>IF(BN$4=1,IF(OR(INDEX('×入力'!$A$1:$L$800,119+BN$3,2+BN$2)&lt;&gt;"",INDEX('×入力'!$A$1:$L$800,118,2+BN$2)&lt;&gt;"",INDEX('×入力'!$A$1:$L$800,119+BN$3,1)&lt;&gt;""),1,0),0)</f>
        <v/>
      </c>
      <c r="BO17">
        <f>IF(BO$4=1,IF(OR(INDEX('×入力'!$A$1:$L$800,119+BO$3,2+BO$2)&lt;&gt;"",INDEX('×入力'!$A$1:$L$800,118,2+BO$2)&lt;&gt;"",INDEX('×入力'!$A$1:$L$800,119+BO$3,1)&lt;&gt;""),1,0),0)</f>
        <v/>
      </c>
      <c r="BP17">
        <f>IF(BP$4=1,IF(OR(INDEX('×入力'!$A$1:$L$800,119+BP$3,2+BP$2)&lt;&gt;"",INDEX('×入力'!$A$1:$L$800,118,2+BP$2)&lt;&gt;"",INDEX('×入力'!$A$1:$L$800,119+BP$3,1)&lt;&gt;""),1,0),0)</f>
        <v/>
      </c>
      <c r="BQ17">
        <f>IF(BQ$4=1,IF(OR(INDEX('×入力'!$A$1:$L$800,119+BQ$3,2+BQ$2)&lt;&gt;"",INDEX('×入力'!$A$1:$L$800,118,2+BQ$2)&lt;&gt;"",INDEX('×入力'!$A$1:$L$800,119+BQ$3,1)&lt;&gt;""),1,0),0)</f>
        <v/>
      </c>
      <c r="BR17">
        <f>IF(BR$4=1,IF(OR(INDEX('×入力'!$A$1:$L$800,119+BR$3,2+BR$2)&lt;&gt;"",INDEX('×入力'!$A$1:$L$800,118,2+BR$2)&lt;&gt;"",INDEX('×入力'!$A$1:$L$800,119+BR$3,1)&lt;&gt;""),1,0),0)</f>
        <v/>
      </c>
      <c r="BS17">
        <f>IF(BS$4=1,IF(OR(INDEX('×入力'!$A$1:$L$800,119+BS$3,2+BS$2)&lt;&gt;"",INDEX('×入力'!$A$1:$L$800,118,2+BS$2)&lt;&gt;"",INDEX('×入力'!$A$1:$L$800,119+BS$3,1)&lt;&gt;""),1,0),0)</f>
        <v/>
      </c>
      <c r="BT17">
        <f>IF(BT$4=1,IF(OR(INDEX('×入力'!$A$1:$L$800,119+BT$3,2+BT$2)&lt;&gt;"",INDEX('×入力'!$A$1:$L$800,118,2+BT$2)&lt;&gt;"",INDEX('×入力'!$A$1:$L$800,119+BT$3,1)&lt;&gt;""),1,0),0)</f>
        <v/>
      </c>
      <c r="BU17">
        <f>IF(BU$4=1,IF(OR(INDEX('×入力'!$A$1:$L$800,119+BU$3,2+BU$2)&lt;&gt;"",INDEX('×入力'!$A$1:$L$800,118,2+BU$2)&lt;&gt;"",INDEX('×入力'!$A$1:$L$800,119+BU$3,1)&lt;&gt;""),1,0),0)</f>
        <v/>
      </c>
      <c r="BV17">
        <f>IF(BV$4=1,IF(OR(INDEX('×入力'!$A$1:$L$800,119+BV$3,2+BV$2)&lt;&gt;"",INDEX('×入力'!$A$1:$L$800,118,2+BV$2)&lt;&gt;"",INDEX('×入力'!$A$1:$L$800,119+BV$3,1)&lt;&gt;""),1,0),0)</f>
        <v/>
      </c>
      <c r="BW17">
        <f>IF(BW$4=1,IF(OR(INDEX('×入力'!$A$1:$L$800,119+BW$3,2+BW$2)&lt;&gt;"",INDEX('×入力'!$A$1:$L$800,118,2+BW$2)&lt;&gt;"",INDEX('×入力'!$A$1:$L$800,119+BW$3,1)&lt;&gt;""),1,0),0)</f>
        <v/>
      </c>
      <c r="BX17">
        <f>IF(BX$4=1,IF(OR(INDEX('×入力'!$A$1:$L$800,119+BX$3,2+BX$2)&lt;&gt;"",INDEX('×入力'!$A$1:$L$800,118,2+BX$2)&lt;&gt;"",INDEX('×入力'!$A$1:$L$800,119+BX$3,1)&lt;&gt;""),1,0),0)</f>
        <v/>
      </c>
      <c r="BY17">
        <f>IF(BY$4=1,IF(OR(INDEX('×入力'!$A$1:$L$800,119+BY$3,2+BY$2)&lt;&gt;"",INDEX('×入力'!$A$1:$L$800,118,2+BY$2)&lt;&gt;"",INDEX('×入力'!$A$1:$L$800,119+BY$3,1)&lt;&gt;""),1,0),0)</f>
        <v/>
      </c>
      <c r="BZ17">
        <f>IF(BZ$4=1,IF(OR(INDEX('×入力'!$A$1:$L$800,119+BZ$3,2+BZ$2)&lt;&gt;"",INDEX('×入力'!$A$1:$L$800,118,2+BZ$2)&lt;&gt;"",INDEX('×入力'!$A$1:$L$800,119+BZ$3,1)&lt;&gt;""),1,0),0)</f>
        <v/>
      </c>
      <c r="CA17">
        <f>IF(CA$4=1,IF(OR(INDEX('×入力'!$A$1:$L$800,119+CA$3,2+CA$2)&lt;&gt;"",INDEX('×入力'!$A$1:$L$800,118,2+CA$2)&lt;&gt;"",INDEX('×入力'!$A$1:$L$800,119+CA$3,1)&lt;&gt;""),1,0),0)</f>
        <v/>
      </c>
      <c r="CB17">
        <f>IF(CB$4=1,IF(OR(INDEX('×入力'!$A$1:$L$800,119+CB$3,2+CB$2)&lt;&gt;"",INDEX('×入力'!$A$1:$L$800,118,2+CB$2)&lt;&gt;"",INDEX('×入力'!$A$1:$L$800,119+CB$3,1)&lt;&gt;""),1,0),0)</f>
        <v/>
      </c>
      <c r="CC17">
        <f>IF(CC$4=1,IF(OR(INDEX('×入力'!$A$1:$L$800,119+CC$3,2+CC$2)&lt;&gt;"",INDEX('×入力'!$A$1:$L$800,118,2+CC$2)&lt;&gt;"",INDEX('×入力'!$A$1:$L$800,119+CC$3,1)&lt;&gt;""),1,0),0)</f>
        <v/>
      </c>
      <c r="CD17">
        <f>IF(CD$4=1,IF(OR(INDEX('×入力'!$A$1:$L$800,119+CD$3,2+CD$2)&lt;&gt;"",INDEX('×入力'!$A$1:$L$800,118,2+CD$2)&lt;&gt;"",INDEX('×入力'!$A$1:$L$800,119+CD$3,1)&lt;&gt;""),1,0),0)</f>
        <v/>
      </c>
      <c r="CE17">
        <f>IF(CE$4=1,IF(OR(INDEX('×入力'!$A$1:$L$800,119+CE$3,2+CE$2)&lt;&gt;"",INDEX('×入力'!$A$1:$L$800,118,2+CE$2)&lt;&gt;"",INDEX('×入力'!$A$1:$L$800,119+CE$3,1)&lt;&gt;""),1,0),0)</f>
        <v/>
      </c>
      <c r="CF17">
        <f>IF(CF$4=1,IF(OR(INDEX('×入力'!$A$1:$L$800,119+CF$3,2+CF$2)&lt;&gt;"",INDEX('×入力'!$A$1:$L$800,118,2+CF$2)&lt;&gt;"",INDEX('×入力'!$A$1:$L$800,119+CF$3,1)&lt;&gt;""),1,0),0)</f>
        <v/>
      </c>
      <c r="CG17">
        <f>IF(CG$4=1,IF(OR(INDEX('×入力'!$A$1:$L$800,119+CG$3,2+CG$2)&lt;&gt;"",INDEX('×入力'!$A$1:$L$800,118,2+CG$2)&lt;&gt;"",INDEX('×入力'!$A$1:$L$800,119+CG$3,1)&lt;&gt;""),1,0),0)</f>
        <v/>
      </c>
      <c r="CH17">
        <f>IF(CH$4=1,IF(OR(INDEX('×入力'!$A$1:$L$800,119+CH$3,2+CH$2)&lt;&gt;"",INDEX('×入力'!$A$1:$L$800,118,2+CH$2)&lt;&gt;"",INDEX('×入力'!$A$1:$L$800,119+CH$3,1)&lt;&gt;""),1,0),0)</f>
        <v/>
      </c>
      <c r="CI17">
        <f>IF(CI$4=1,IF(OR(INDEX('×入力'!$A$1:$L$800,119+CI$3,2+CI$2)&lt;&gt;"",INDEX('×入力'!$A$1:$L$800,118,2+CI$2)&lt;&gt;"",INDEX('×入力'!$A$1:$L$800,119+CI$3,1)&lt;&gt;""),1,0),0)</f>
        <v/>
      </c>
      <c r="CJ17">
        <f>IF(CJ$4=1,IF(OR(INDEX('×入力'!$A$1:$L$800,119+CJ$3,2+CJ$2)&lt;&gt;"",INDEX('×入力'!$A$1:$L$800,118,2+CJ$2)&lt;&gt;"",INDEX('×入力'!$A$1:$L$800,119+CJ$3,1)&lt;&gt;""),1,0),0)</f>
        <v/>
      </c>
      <c r="CK17">
        <f>IF(CK$4=1,IF(OR(INDEX('×入力'!$A$1:$L$800,119+CK$3,2+CK$2)&lt;&gt;"",INDEX('×入力'!$A$1:$L$800,118,2+CK$2)&lt;&gt;"",INDEX('×入力'!$A$1:$L$800,119+CK$3,1)&lt;&gt;""),1,0),0)</f>
        <v/>
      </c>
      <c r="CL17">
        <f>IF(CL$4=1,IF(OR(INDEX('×入力'!$A$1:$L$800,119+CL$3,2+CL$2)&lt;&gt;"",INDEX('×入力'!$A$1:$L$800,118,2+CL$2)&lt;&gt;"",INDEX('×入力'!$A$1:$L$800,119+CL$3,1)&lt;&gt;""),1,0),0)</f>
        <v/>
      </c>
      <c r="CM17">
        <f>IF(CM$4=1,IF(OR(INDEX('×入力'!$A$1:$L$800,119+CM$3,2+CM$2)&lt;&gt;"",INDEX('×入力'!$A$1:$L$800,118,2+CM$2)&lt;&gt;"",INDEX('×入力'!$A$1:$L$800,119+CM$3,1)&lt;&gt;""),1,0),0)</f>
        <v/>
      </c>
      <c r="CN17">
        <f>IF(CN$4=1,IF(OR(INDEX('×入力'!$A$1:$L$800,119+CN$3,2+CN$2)&lt;&gt;"",INDEX('×入力'!$A$1:$L$800,118,2+CN$2)&lt;&gt;"",INDEX('×入力'!$A$1:$L$800,119+CN$3,1)&lt;&gt;""),1,0),0)</f>
        <v/>
      </c>
      <c r="CO17">
        <f>IF(CO$4=1,IF(OR(INDEX('×入力'!$A$1:$L$800,119+CO$3,2+CO$2)&lt;&gt;"",INDEX('×入力'!$A$1:$L$800,118,2+CO$2)&lt;&gt;"",INDEX('×入力'!$A$1:$L$800,119+CO$3,1)&lt;&gt;""),1,0),0)</f>
        <v/>
      </c>
      <c r="CP17">
        <f>IF(CP$4=1,IF(OR(INDEX('×入力'!$A$1:$L$800,119+CP$3,2+CP$2)&lt;&gt;"",INDEX('×入力'!$A$1:$L$800,118,2+CP$2)&lt;&gt;"",INDEX('×入力'!$A$1:$L$800,119+CP$3,1)&lt;&gt;""),1,0),0)</f>
        <v/>
      </c>
      <c r="CQ17">
        <f>IF(CQ$4=1,IF(OR(INDEX('×入力'!$A$1:$L$800,119+CQ$3,2+CQ$2)&lt;&gt;"",INDEX('×入力'!$A$1:$L$800,118,2+CQ$2)&lt;&gt;"",INDEX('×入力'!$A$1:$L$800,119+CQ$3,1)&lt;&gt;""),1,0),0)</f>
        <v/>
      </c>
      <c r="CR17">
        <f>IF(CR$4=1,IF(OR(INDEX('×入力'!$A$1:$L$800,119+CR$3,2+CR$2)&lt;&gt;"",INDEX('×入力'!$A$1:$L$800,118,2+CR$2)&lt;&gt;"",INDEX('×入力'!$A$1:$L$800,119+CR$3,1)&lt;&gt;""),1,0),0)</f>
        <v/>
      </c>
      <c r="CS17">
        <f>IF(CS$4=1,IF(OR(INDEX('×入力'!$A$1:$L$800,119+CS$3,2+CS$2)&lt;&gt;"",INDEX('×入力'!$A$1:$L$800,118,2+CS$2)&lt;&gt;"",INDEX('×入力'!$A$1:$L$800,119+CS$3,1)&lt;&gt;""),1,0),0)</f>
        <v/>
      </c>
      <c r="CT17">
        <f>IF(CT$4=1,IF(OR(INDEX('×入力'!$A$1:$L$800,119+CT$3,2+CT$2)&lt;&gt;"",INDEX('×入力'!$A$1:$L$800,118,2+CT$2)&lt;&gt;"",INDEX('×入力'!$A$1:$L$800,119+CT$3,1)&lt;&gt;""),1,0),0)</f>
        <v/>
      </c>
      <c r="CU17">
        <f>IF(CU$4=1,IF(OR(INDEX('×入力'!$A$1:$L$800,119+CU$3,2+CU$2)&lt;&gt;"",INDEX('×入力'!$A$1:$L$800,118,2+CU$2)&lt;&gt;"",INDEX('×入力'!$A$1:$L$800,119+CU$3,1)&lt;&gt;""),1,0),0)</f>
        <v/>
      </c>
      <c r="CV17">
        <f>IF(CV$4=1,IF(OR(INDEX('×入力'!$A$1:$L$800,119+CV$3,2+CV$2)&lt;&gt;"",INDEX('×入力'!$A$1:$L$800,118,2+CV$2)&lt;&gt;"",INDEX('×入力'!$A$1:$L$800,119+CV$3,1)&lt;&gt;""),1,0),0)</f>
        <v/>
      </c>
      <c r="CW17">
        <f>IF(CW$4=1,IF(OR(INDEX('×入力'!$A$1:$L$800,119+CW$3,2+CW$2)&lt;&gt;"",INDEX('×入力'!$A$1:$L$800,118,2+CW$2)&lt;&gt;"",INDEX('×入力'!$A$1:$L$800,119+CW$3,1)&lt;&gt;""),1,0),0)</f>
        <v/>
      </c>
      <c r="CX17">
        <f>IF(CX$4=1,IF(OR(INDEX('×入力'!$A$1:$L$800,119+CX$3,2+CX$2)&lt;&gt;"",INDEX('×入力'!$A$1:$L$800,118,2+CX$2)&lt;&gt;"",INDEX('×入力'!$A$1:$L$800,119+CX$3,1)&lt;&gt;""),1,0),0)</f>
        <v/>
      </c>
      <c r="CY17">
        <f>IF(CY$4=1,IF(OR(INDEX('×入力'!$A$1:$L$800,119+CY$3,2+CY$2)&lt;&gt;"",INDEX('×入力'!$A$1:$L$800,118,2+CY$2)&lt;&gt;"",INDEX('×入力'!$A$1:$L$800,119+CY$3,1)&lt;&gt;""),1,0),0)</f>
        <v/>
      </c>
      <c r="CZ17">
        <f>IF(CZ$4=1,IF(OR(INDEX('×入力'!$A$1:$L$800,119+CZ$3,2+CZ$2)&lt;&gt;"",INDEX('×入力'!$A$1:$L$800,118,2+CZ$2)&lt;&gt;"",INDEX('×入力'!$A$1:$L$800,119+CZ$3,1)&lt;&gt;""),1,0),0)</f>
        <v/>
      </c>
      <c r="DA17">
        <f>IF(DA$4=1,IF(OR(INDEX('×入力'!$A$1:$L$800,119+DA$3,2+DA$2)&lt;&gt;"",INDEX('×入力'!$A$1:$L$800,118,2+DA$2)&lt;&gt;"",INDEX('×入力'!$A$1:$L$800,119+DA$3,1)&lt;&gt;""),1,0),0)</f>
        <v/>
      </c>
      <c r="DB17">
        <f>IF(DB$4=1,IF(OR(INDEX('×入力'!$A$1:$L$800,119+DB$3,2+DB$2)&lt;&gt;"",INDEX('×入力'!$A$1:$L$800,118,2+DB$2)&lt;&gt;"",INDEX('×入力'!$A$1:$L$800,119+DB$3,1)&lt;&gt;""),1,0),0)</f>
        <v/>
      </c>
      <c r="DC17">
        <f>IF(DC$4=1,IF(OR(INDEX('×入力'!$A$1:$L$800,119+DC$3,2+DC$2)&lt;&gt;"",INDEX('×入力'!$A$1:$L$800,118,2+DC$2)&lt;&gt;"",INDEX('×入力'!$A$1:$L$800,119+DC$3,1)&lt;&gt;""),1,0),0)</f>
        <v/>
      </c>
      <c r="DD17">
        <f>IF(DD$4=1,IF(OR(INDEX('×入力'!$A$1:$L$800,119+DD$3,2+DD$2)&lt;&gt;"",INDEX('×入力'!$A$1:$L$800,118,2+DD$2)&lt;&gt;"",INDEX('×入力'!$A$1:$L$800,119+DD$3,1)&lt;&gt;""),1,0),0)</f>
        <v/>
      </c>
      <c r="DE17">
        <f>IF(DE$4=1,IF(OR(INDEX('×入力'!$A$1:$L$800,119+DE$3,2+DE$2)&lt;&gt;"",INDEX('×入力'!$A$1:$L$800,118,2+DE$2)&lt;&gt;"",INDEX('×入力'!$A$1:$L$800,119+DE$3,1)&lt;&gt;""),1,0),0)</f>
        <v/>
      </c>
      <c r="DF17">
        <f>IF(DF$4=1,IF(OR(INDEX('×入力'!$A$1:$L$800,119+DF$3,2+DF$2)&lt;&gt;"",INDEX('×入力'!$A$1:$L$800,118,2+DF$2)&lt;&gt;"",INDEX('×入力'!$A$1:$L$800,119+DF$3,1)&lt;&gt;""),1,0),0)</f>
        <v/>
      </c>
      <c r="DG17">
        <f>IF(DG$4=1,IF(OR(INDEX('×入力'!$A$1:$L$800,119+DG$3,2+DG$2)&lt;&gt;"",INDEX('×入力'!$A$1:$L$800,118,2+DG$2)&lt;&gt;"",INDEX('×入力'!$A$1:$L$800,119+DG$3,1)&lt;&gt;""),1,0),0)</f>
        <v/>
      </c>
      <c r="DH17">
        <f>IF(DH$4=1,IF(OR(INDEX('×入力'!$A$1:$L$800,119+DH$3,2+DH$2)&lt;&gt;"",INDEX('×入力'!$A$1:$L$800,118,2+DH$2)&lt;&gt;"",INDEX('×入力'!$A$1:$L$800,119+DH$3,1)&lt;&gt;""),1,0),0)</f>
        <v/>
      </c>
      <c r="DI17">
        <f>IF(DI$4=1,IF(OR(INDEX('×入力'!$A$1:$L$800,119+DI$3,2+DI$2)&lt;&gt;"",INDEX('×入力'!$A$1:$L$800,118,2+DI$2)&lt;&gt;"",INDEX('×入力'!$A$1:$L$800,119+DI$3,1)&lt;&gt;""),1,0),0)</f>
        <v/>
      </c>
      <c r="DJ17">
        <f>IF(DJ$4=1,IF(OR(INDEX('×入力'!$A$1:$L$800,119+DJ$3,2+DJ$2)&lt;&gt;"",INDEX('×入力'!$A$1:$L$800,118,2+DJ$2)&lt;&gt;"",INDEX('×入力'!$A$1:$L$800,119+DJ$3,1)&lt;&gt;""),1,0),0)</f>
        <v/>
      </c>
      <c r="DK17">
        <f>IF(DK$4=1,IF(OR(INDEX('×入力'!$A$1:$L$800,119+DK$3,2+DK$2)&lt;&gt;"",INDEX('×入力'!$A$1:$L$800,118,2+DK$2)&lt;&gt;"",INDEX('×入力'!$A$1:$L$800,119+DK$3,1)&lt;&gt;""),1,0),0)</f>
        <v/>
      </c>
      <c r="DL17">
        <f>IF(DL$4=1,IF(OR(INDEX('×入力'!$A$1:$L$800,119+DL$3,2+DL$2)&lt;&gt;"",INDEX('×入力'!$A$1:$L$800,118,2+DL$2)&lt;&gt;"",INDEX('×入力'!$A$1:$L$800,119+DL$3,1)&lt;&gt;""),1,0),0)</f>
        <v/>
      </c>
      <c r="DM17">
        <f>IF(DM$4=1,IF(OR(INDEX('×入力'!$A$1:$L$800,119+DM$3,2+DM$2)&lt;&gt;"",INDEX('×入力'!$A$1:$L$800,118,2+DM$2)&lt;&gt;"",INDEX('×入力'!$A$1:$L$800,119+DM$3,1)&lt;&gt;""),1,0),0)</f>
        <v/>
      </c>
      <c r="DN17">
        <f>IF(DN$4=1,IF(OR(INDEX('×入力'!$A$1:$L$800,119+DN$3,2+DN$2)&lt;&gt;"",INDEX('×入力'!$A$1:$L$800,118,2+DN$2)&lt;&gt;"",INDEX('×入力'!$A$1:$L$800,119+DN$3,1)&lt;&gt;""),1,0),0)</f>
        <v/>
      </c>
      <c r="DO17">
        <f>IF(DO$4=1,IF(OR(INDEX('×入力'!$A$1:$L$800,119+DO$3,2+DO$2)&lt;&gt;"",INDEX('×入力'!$A$1:$L$800,118,2+DO$2)&lt;&gt;"",INDEX('×入力'!$A$1:$L$800,119+DO$3,1)&lt;&gt;""),1,0),0)</f>
        <v/>
      </c>
      <c r="DP17">
        <f>IF(DP$4=1,IF(OR(INDEX('×入力'!$A$1:$L$800,119+DP$3,2+DP$2)&lt;&gt;"",INDEX('×入力'!$A$1:$L$800,118,2+DP$2)&lt;&gt;"",INDEX('×入力'!$A$1:$L$800,119+DP$3,1)&lt;&gt;""),1,0),0)</f>
        <v/>
      </c>
      <c r="DQ17">
        <f>IF(DQ$4=1,IF(OR(INDEX('×入力'!$A$1:$L$800,119+DQ$3,2+DQ$2)&lt;&gt;"",INDEX('×入力'!$A$1:$L$800,118,2+DQ$2)&lt;&gt;"",INDEX('×入力'!$A$1:$L$800,119+DQ$3,1)&lt;&gt;""),1,0),0)</f>
        <v/>
      </c>
      <c r="DR17">
        <f>IF(DR$4=1,IF(OR(INDEX('×入力'!$A$1:$L$800,119+DR$3,2+DR$2)&lt;&gt;"",INDEX('×入力'!$A$1:$L$800,118,2+DR$2)&lt;&gt;"",INDEX('×入力'!$A$1:$L$800,119+DR$3,1)&lt;&gt;""),1,0),0)</f>
        <v/>
      </c>
      <c r="DS17">
        <f>IF(DS$4=1,IF(OR(INDEX('×入力'!$A$1:$L$800,119+DS$3,2+DS$2)&lt;&gt;"",INDEX('×入力'!$A$1:$L$800,118,2+DS$2)&lt;&gt;"",INDEX('×入力'!$A$1:$L$800,119+DS$3,1)&lt;&gt;""),1,0),0)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IF(D$4=1,IF(OR(INDEX('×入力'!$A$1:$L$800,135+D$3,2+D$2)&lt;&gt;"",INDEX('×入力'!$A$1:$L$800,134,2+D$2)&lt;&gt;"",INDEX('×入力'!$A$1:$L$800,135+D$3,1)&lt;&gt;""),1,0),0)</f>
        <v/>
      </c>
      <c r="E18">
        <f>IF(E$4=1,IF(OR(INDEX('×入力'!$A$1:$L$800,135+E$3,2+E$2)&lt;&gt;"",INDEX('×入力'!$A$1:$L$800,134,2+E$2)&lt;&gt;"",INDEX('×入力'!$A$1:$L$800,135+E$3,1)&lt;&gt;""),1,0),0)</f>
        <v/>
      </c>
      <c r="F18">
        <f>IF(F$4=1,IF(OR(INDEX('×入力'!$A$1:$L$800,135+F$3,2+F$2)&lt;&gt;"",INDEX('×入力'!$A$1:$L$800,134,2+F$2)&lt;&gt;"",INDEX('×入力'!$A$1:$L$800,135+F$3,1)&lt;&gt;""),1,0),0)</f>
        <v/>
      </c>
      <c r="G18">
        <f>IF(G$4=1,IF(OR(INDEX('×入力'!$A$1:$L$800,135+G$3,2+G$2)&lt;&gt;"",INDEX('×入力'!$A$1:$L$800,134,2+G$2)&lt;&gt;"",INDEX('×入力'!$A$1:$L$800,135+G$3,1)&lt;&gt;""),1,0),0)</f>
        <v/>
      </c>
      <c r="H18">
        <f>IF(H$4=1,IF(OR(INDEX('×入力'!$A$1:$L$800,135+H$3,2+H$2)&lt;&gt;"",INDEX('×入力'!$A$1:$L$800,134,2+H$2)&lt;&gt;"",INDEX('×入力'!$A$1:$L$800,135+H$3,1)&lt;&gt;""),1,0),0)</f>
        <v/>
      </c>
      <c r="I18">
        <f>IF(I$4=1,IF(OR(INDEX('×入力'!$A$1:$L$800,135+I$3,2+I$2)&lt;&gt;"",INDEX('×入力'!$A$1:$L$800,134,2+I$2)&lt;&gt;"",INDEX('×入力'!$A$1:$L$800,135+I$3,1)&lt;&gt;""),1,0),0)</f>
        <v/>
      </c>
      <c r="J18">
        <f>IF(J$4=1,IF(OR(INDEX('×入力'!$A$1:$L$800,135+J$3,2+J$2)&lt;&gt;"",INDEX('×入力'!$A$1:$L$800,134,2+J$2)&lt;&gt;"",INDEX('×入力'!$A$1:$L$800,135+J$3,1)&lt;&gt;""),1,0),0)</f>
        <v/>
      </c>
      <c r="K18">
        <f>IF(K$4=1,IF(OR(INDEX('×入力'!$A$1:$L$800,135+K$3,2+K$2)&lt;&gt;"",INDEX('×入力'!$A$1:$L$800,134,2+K$2)&lt;&gt;"",INDEX('×入力'!$A$1:$L$800,135+K$3,1)&lt;&gt;""),1,0),0)</f>
        <v/>
      </c>
      <c r="L18">
        <f>IF(L$4=1,IF(OR(INDEX('×入力'!$A$1:$L$800,135+L$3,2+L$2)&lt;&gt;"",INDEX('×入力'!$A$1:$L$800,134,2+L$2)&lt;&gt;"",INDEX('×入力'!$A$1:$L$800,135+L$3,1)&lt;&gt;""),1,0),0)</f>
        <v/>
      </c>
      <c r="M18">
        <f>IF(M$4=1,IF(OR(INDEX('×入力'!$A$1:$L$800,135+M$3,2+M$2)&lt;&gt;"",INDEX('×入力'!$A$1:$L$800,134,2+M$2)&lt;&gt;"",INDEX('×入力'!$A$1:$L$800,135+M$3,1)&lt;&gt;""),1,0),0)</f>
        <v/>
      </c>
      <c r="N18">
        <f>IF(N$4=1,IF(OR(INDEX('×入力'!$A$1:$L$800,135+N$3,2+N$2)&lt;&gt;"",INDEX('×入力'!$A$1:$L$800,134,2+N$2)&lt;&gt;"",INDEX('×入力'!$A$1:$L$800,135+N$3,1)&lt;&gt;""),1,0),0)</f>
        <v/>
      </c>
      <c r="O18">
        <f>IF(O$4=1,IF(OR(INDEX('×入力'!$A$1:$L$800,135+O$3,2+O$2)&lt;&gt;"",INDEX('×入力'!$A$1:$L$800,134,2+O$2)&lt;&gt;"",INDEX('×入力'!$A$1:$L$800,135+O$3,1)&lt;&gt;""),1,0),0)</f>
        <v/>
      </c>
      <c r="P18">
        <f>IF(P$4=1,IF(OR(INDEX('×入力'!$A$1:$L$800,135+P$3,2+P$2)&lt;&gt;"",INDEX('×入力'!$A$1:$L$800,134,2+P$2)&lt;&gt;"",INDEX('×入力'!$A$1:$L$800,135+P$3,1)&lt;&gt;""),1,0),0)</f>
        <v/>
      </c>
      <c r="Q18">
        <f>IF(Q$4=1,IF(OR(INDEX('×入力'!$A$1:$L$800,135+Q$3,2+Q$2)&lt;&gt;"",INDEX('×入力'!$A$1:$L$800,134,2+Q$2)&lt;&gt;"",INDEX('×入力'!$A$1:$L$800,135+Q$3,1)&lt;&gt;""),1,0),0)</f>
        <v/>
      </c>
      <c r="R18">
        <f>IF(R$4=1,IF(OR(INDEX('×入力'!$A$1:$L$800,135+R$3,2+R$2)&lt;&gt;"",INDEX('×入力'!$A$1:$L$800,134,2+R$2)&lt;&gt;"",INDEX('×入力'!$A$1:$L$800,135+R$3,1)&lt;&gt;""),1,0),0)</f>
        <v/>
      </c>
      <c r="S18">
        <f>IF(S$4=1,IF(OR(INDEX('×入力'!$A$1:$L$800,135+S$3,2+S$2)&lt;&gt;"",INDEX('×入力'!$A$1:$L$800,134,2+S$2)&lt;&gt;"",INDEX('×入力'!$A$1:$L$800,135+S$3,1)&lt;&gt;""),1,0),0)</f>
        <v/>
      </c>
      <c r="T18">
        <f>IF(T$4=1,IF(OR(INDEX('×入力'!$A$1:$L$800,135+T$3,2+T$2)&lt;&gt;"",INDEX('×入力'!$A$1:$L$800,134,2+T$2)&lt;&gt;"",INDEX('×入力'!$A$1:$L$800,135+T$3,1)&lt;&gt;""),1,0),0)</f>
        <v/>
      </c>
      <c r="U18">
        <f>IF(U$4=1,IF(OR(INDEX('×入力'!$A$1:$L$800,135+U$3,2+U$2)&lt;&gt;"",INDEX('×入力'!$A$1:$L$800,134,2+U$2)&lt;&gt;"",INDEX('×入力'!$A$1:$L$800,135+U$3,1)&lt;&gt;""),1,0),0)</f>
        <v/>
      </c>
      <c r="V18">
        <f>IF(V$4=1,IF(OR(INDEX('×入力'!$A$1:$L$800,135+V$3,2+V$2)&lt;&gt;"",INDEX('×入力'!$A$1:$L$800,134,2+V$2)&lt;&gt;"",INDEX('×入力'!$A$1:$L$800,135+V$3,1)&lt;&gt;""),1,0),0)</f>
        <v/>
      </c>
      <c r="W18">
        <f>IF(W$4=1,IF(OR(INDEX('×入力'!$A$1:$L$800,135+W$3,2+W$2)&lt;&gt;"",INDEX('×入力'!$A$1:$L$800,134,2+W$2)&lt;&gt;"",INDEX('×入力'!$A$1:$L$800,135+W$3,1)&lt;&gt;""),1,0),0)</f>
        <v/>
      </c>
      <c r="X18">
        <f>IF(X$4=1,IF(OR(INDEX('×入力'!$A$1:$L$800,135+X$3,2+X$2)&lt;&gt;"",INDEX('×入力'!$A$1:$L$800,134,2+X$2)&lt;&gt;"",INDEX('×入力'!$A$1:$L$800,135+X$3,1)&lt;&gt;""),1,0),0)</f>
        <v/>
      </c>
      <c r="Y18">
        <f>IF(Y$4=1,IF(OR(INDEX('×入力'!$A$1:$L$800,135+Y$3,2+Y$2)&lt;&gt;"",INDEX('×入力'!$A$1:$L$800,134,2+Y$2)&lt;&gt;"",INDEX('×入力'!$A$1:$L$800,135+Y$3,1)&lt;&gt;""),1,0),0)</f>
        <v/>
      </c>
      <c r="Z18">
        <f>IF(Z$4=1,IF(OR(INDEX('×入力'!$A$1:$L$800,135+Z$3,2+Z$2)&lt;&gt;"",INDEX('×入力'!$A$1:$L$800,134,2+Z$2)&lt;&gt;"",INDEX('×入力'!$A$1:$L$800,135+Z$3,1)&lt;&gt;""),1,0),0)</f>
        <v/>
      </c>
      <c r="AA18">
        <f>IF(AA$4=1,IF(OR(INDEX('×入力'!$A$1:$L$800,135+AA$3,2+AA$2)&lt;&gt;"",INDEX('×入力'!$A$1:$L$800,134,2+AA$2)&lt;&gt;"",INDEX('×入力'!$A$1:$L$800,135+AA$3,1)&lt;&gt;""),1,0),0)</f>
        <v/>
      </c>
      <c r="AB18">
        <f>IF(AB$4=1,IF(OR(INDEX('×入力'!$A$1:$L$800,135+AB$3,2+AB$2)&lt;&gt;"",INDEX('×入力'!$A$1:$L$800,134,2+AB$2)&lt;&gt;"",INDEX('×入力'!$A$1:$L$800,135+AB$3,1)&lt;&gt;""),1,0),0)</f>
        <v/>
      </c>
      <c r="AC18">
        <f>IF(AC$4=1,IF(OR(INDEX('×入力'!$A$1:$L$800,135+AC$3,2+AC$2)&lt;&gt;"",INDEX('×入力'!$A$1:$L$800,134,2+AC$2)&lt;&gt;"",INDEX('×入力'!$A$1:$L$800,135+AC$3,1)&lt;&gt;""),1,0),0)</f>
        <v/>
      </c>
      <c r="AD18">
        <f>IF(AD$4=1,IF(OR(INDEX('×入力'!$A$1:$L$800,135+AD$3,2+AD$2)&lt;&gt;"",INDEX('×入力'!$A$1:$L$800,134,2+AD$2)&lt;&gt;"",INDEX('×入力'!$A$1:$L$800,135+AD$3,1)&lt;&gt;""),1,0),0)</f>
        <v/>
      </c>
      <c r="AE18">
        <f>IF(AE$4=1,IF(OR(INDEX('×入力'!$A$1:$L$800,135+AE$3,2+AE$2)&lt;&gt;"",INDEX('×入力'!$A$1:$L$800,134,2+AE$2)&lt;&gt;"",INDEX('×入力'!$A$1:$L$800,135+AE$3,1)&lt;&gt;""),1,0),0)</f>
        <v/>
      </c>
      <c r="AF18">
        <f>IF(AF$4=1,IF(OR(INDEX('×入力'!$A$1:$L$800,135+AF$3,2+AF$2)&lt;&gt;"",INDEX('×入力'!$A$1:$L$800,134,2+AF$2)&lt;&gt;"",INDEX('×入力'!$A$1:$L$800,135+AF$3,1)&lt;&gt;""),1,0),0)</f>
        <v/>
      </c>
      <c r="AG18">
        <f>IF(AG$4=1,IF(OR(INDEX('×入力'!$A$1:$L$800,135+AG$3,2+AG$2)&lt;&gt;"",INDEX('×入力'!$A$1:$L$800,134,2+AG$2)&lt;&gt;"",INDEX('×入力'!$A$1:$L$800,135+AG$3,1)&lt;&gt;""),1,0),0)</f>
        <v/>
      </c>
      <c r="AH18">
        <f>IF(AH$4=1,IF(OR(INDEX('×入力'!$A$1:$L$800,135+AH$3,2+AH$2)&lt;&gt;"",INDEX('×入力'!$A$1:$L$800,134,2+AH$2)&lt;&gt;"",INDEX('×入力'!$A$1:$L$800,135+AH$3,1)&lt;&gt;""),1,0),0)</f>
        <v/>
      </c>
      <c r="AI18">
        <f>IF(AI$4=1,IF(OR(INDEX('×入力'!$A$1:$L$800,135+AI$3,2+AI$2)&lt;&gt;"",INDEX('×入力'!$A$1:$L$800,134,2+AI$2)&lt;&gt;"",INDEX('×入力'!$A$1:$L$800,135+AI$3,1)&lt;&gt;""),1,0),0)</f>
        <v/>
      </c>
      <c r="AJ18">
        <f>IF(AJ$4=1,IF(OR(INDEX('×入力'!$A$1:$L$800,135+AJ$3,2+AJ$2)&lt;&gt;"",INDEX('×入力'!$A$1:$L$800,134,2+AJ$2)&lt;&gt;"",INDEX('×入力'!$A$1:$L$800,135+AJ$3,1)&lt;&gt;""),1,0),0)</f>
        <v/>
      </c>
      <c r="AK18">
        <f>IF(AK$4=1,IF(OR(INDEX('×入力'!$A$1:$L$800,135+AK$3,2+AK$2)&lt;&gt;"",INDEX('×入力'!$A$1:$L$800,134,2+AK$2)&lt;&gt;"",INDEX('×入力'!$A$1:$L$800,135+AK$3,1)&lt;&gt;""),1,0),0)</f>
        <v/>
      </c>
      <c r="AL18">
        <f>IF(AL$4=1,IF(OR(INDEX('×入力'!$A$1:$L$800,135+AL$3,2+AL$2)&lt;&gt;"",INDEX('×入力'!$A$1:$L$800,134,2+AL$2)&lt;&gt;"",INDEX('×入力'!$A$1:$L$800,135+AL$3,1)&lt;&gt;""),1,0),0)</f>
        <v/>
      </c>
      <c r="AM18">
        <f>IF(AM$4=1,IF(OR(INDEX('×入力'!$A$1:$L$800,135+AM$3,2+AM$2)&lt;&gt;"",INDEX('×入力'!$A$1:$L$800,134,2+AM$2)&lt;&gt;"",INDEX('×入力'!$A$1:$L$800,135+AM$3,1)&lt;&gt;""),1,0),0)</f>
        <v/>
      </c>
      <c r="AN18">
        <f>IF(AN$4=1,IF(OR(INDEX('×入力'!$A$1:$L$800,135+AN$3,2+AN$2)&lt;&gt;"",INDEX('×入力'!$A$1:$L$800,134,2+AN$2)&lt;&gt;"",INDEX('×入力'!$A$1:$L$800,135+AN$3,1)&lt;&gt;""),1,0),0)</f>
        <v/>
      </c>
      <c r="AO18">
        <f>IF(AO$4=1,IF(OR(INDEX('×入力'!$A$1:$L$800,135+AO$3,2+AO$2)&lt;&gt;"",INDEX('×入力'!$A$1:$L$800,134,2+AO$2)&lt;&gt;"",INDEX('×入力'!$A$1:$L$800,135+AO$3,1)&lt;&gt;""),1,0),0)</f>
        <v/>
      </c>
      <c r="AP18">
        <f>IF(AP$4=1,IF(OR(INDEX('×入力'!$A$1:$L$800,135+AP$3,2+AP$2)&lt;&gt;"",INDEX('×入力'!$A$1:$L$800,134,2+AP$2)&lt;&gt;"",INDEX('×入力'!$A$1:$L$800,135+AP$3,1)&lt;&gt;""),1,0),0)</f>
        <v/>
      </c>
      <c r="AQ18">
        <f>IF(AQ$4=1,IF(OR(INDEX('×入力'!$A$1:$L$800,135+AQ$3,2+AQ$2)&lt;&gt;"",INDEX('×入力'!$A$1:$L$800,134,2+AQ$2)&lt;&gt;"",INDEX('×入力'!$A$1:$L$800,135+AQ$3,1)&lt;&gt;""),1,0),0)</f>
        <v/>
      </c>
      <c r="AR18">
        <f>IF(AR$4=1,IF(OR(INDEX('×入力'!$A$1:$L$800,135+AR$3,2+AR$2)&lt;&gt;"",INDEX('×入力'!$A$1:$L$800,134,2+AR$2)&lt;&gt;"",INDEX('×入力'!$A$1:$L$800,135+AR$3,1)&lt;&gt;""),1,0),0)</f>
        <v/>
      </c>
      <c r="AS18">
        <f>IF(AS$4=1,IF(OR(INDEX('×入力'!$A$1:$L$800,135+AS$3,2+AS$2)&lt;&gt;"",INDEX('×入力'!$A$1:$L$800,134,2+AS$2)&lt;&gt;"",INDEX('×入力'!$A$1:$L$800,135+AS$3,1)&lt;&gt;""),1,0),0)</f>
        <v/>
      </c>
      <c r="AT18">
        <f>IF(AT$4=1,IF(OR(INDEX('×入力'!$A$1:$L$800,135+AT$3,2+AT$2)&lt;&gt;"",INDEX('×入力'!$A$1:$L$800,134,2+AT$2)&lt;&gt;"",INDEX('×入力'!$A$1:$L$800,135+AT$3,1)&lt;&gt;""),1,0),0)</f>
        <v/>
      </c>
      <c r="AU18">
        <f>IF(AU$4=1,IF(OR(INDEX('×入力'!$A$1:$L$800,135+AU$3,2+AU$2)&lt;&gt;"",INDEX('×入力'!$A$1:$L$800,134,2+AU$2)&lt;&gt;"",INDEX('×入力'!$A$1:$L$800,135+AU$3,1)&lt;&gt;""),1,0),0)</f>
        <v/>
      </c>
      <c r="AV18">
        <f>IF(AV$4=1,IF(OR(INDEX('×入力'!$A$1:$L$800,135+AV$3,2+AV$2)&lt;&gt;"",INDEX('×入力'!$A$1:$L$800,134,2+AV$2)&lt;&gt;"",INDEX('×入力'!$A$1:$L$800,135+AV$3,1)&lt;&gt;""),1,0),0)</f>
        <v/>
      </c>
      <c r="AW18">
        <f>IF(AW$4=1,IF(OR(INDEX('×入力'!$A$1:$L$800,135+AW$3,2+AW$2)&lt;&gt;"",INDEX('×入力'!$A$1:$L$800,134,2+AW$2)&lt;&gt;"",INDEX('×入力'!$A$1:$L$800,135+AW$3,1)&lt;&gt;""),1,0),0)</f>
        <v/>
      </c>
      <c r="AX18">
        <f>IF(AX$4=1,IF(OR(INDEX('×入力'!$A$1:$L$800,135+AX$3,2+AX$2)&lt;&gt;"",INDEX('×入力'!$A$1:$L$800,134,2+AX$2)&lt;&gt;"",INDEX('×入力'!$A$1:$L$800,135+AX$3,1)&lt;&gt;""),1,0),0)</f>
        <v/>
      </c>
      <c r="AY18">
        <f>IF(AY$4=1,IF(OR(INDEX('×入力'!$A$1:$L$800,135+AY$3,2+AY$2)&lt;&gt;"",INDEX('×入力'!$A$1:$L$800,134,2+AY$2)&lt;&gt;"",INDEX('×入力'!$A$1:$L$800,135+AY$3,1)&lt;&gt;""),1,0),0)</f>
        <v/>
      </c>
      <c r="AZ18">
        <f>IF(AZ$4=1,IF(OR(INDEX('×入力'!$A$1:$L$800,135+AZ$3,2+AZ$2)&lt;&gt;"",INDEX('×入力'!$A$1:$L$800,134,2+AZ$2)&lt;&gt;"",INDEX('×入力'!$A$1:$L$800,135+AZ$3,1)&lt;&gt;""),1,0),0)</f>
        <v/>
      </c>
      <c r="BA18">
        <f>IF(BA$4=1,IF(OR(INDEX('×入力'!$A$1:$L$800,135+BA$3,2+BA$2)&lt;&gt;"",INDEX('×入力'!$A$1:$L$800,134,2+BA$2)&lt;&gt;"",INDEX('×入力'!$A$1:$L$800,135+BA$3,1)&lt;&gt;""),1,0),0)</f>
        <v/>
      </c>
      <c r="BB18">
        <f>IF(BB$4=1,IF(OR(INDEX('×入力'!$A$1:$L$800,135+BB$3,2+BB$2)&lt;&gt;"",INDEX('×入力'!$A$1:$L$800,134,2+BB$2)&lt;&gt;"",INDEX('×入力'!$A$1:$L$800,135+BB$3,1)&lt;&gt;""),1,0),0)</f>
        <v/>
      </c>
      <c r="BC18">
        <f>IF(BC$4=1,IF(OR(INDEX('×入力'!$A$1:$L$800,135+BC$3,2+BC$2)&lt;&gt;"",INDEX('×入力'!$A$1:$L$800,134,2+BC$2)&lt;&gt;"",INDEX('×入力'!$A$1:$L$800,135+BC$3,1)&lt;&gt;""),1,0),0)</f>
        <v/>
      </c>
      <c r="BD18">
        <f>IF(BD$4=1,IF(OR(INDEX('×入力'!$A$1:$L$800,135+BD$3,2+BD$2)&lt;&gt;"",INDEX('×入力'!$A$1:$L$800,134,2+BD$2)&lt;&gt;"",INDEX('×入力'!$A$1:$L$800,135+BD$3,1)&lt;&gt;""),1,0),0)</f>
        <v/>
      </c>
      <c r="BE18">
        <f>IF(BE$4=1,IF(OR(INDEX('×入力'!$A$1:$L$800,135+BE$3,2+BE$2)&lt;&gt;"",INDEX('×入力'!$A$1:$L$800,134,2+BE$2)&lt;&gt;"",INDEX('×入力'!$A$1:$L$800,135+BE$3,1)&lt;&gt;""),1,0),0)</f>
        <v/>
      </c>
      <c r="BF18">
        <f>IF(BF$4=1,IF(OR(INDEX('×入力'!$A$1:$L$800,135+BF$3,2+BF$2)&lt;&gt;"",INDEX('×入力'!$A$1:$L$800,134,2+BF$2)&lt;&gt;"",INDEX('×入力'!$A$1:$L$800,135+BF$3,1)&lt;&gt;""),1,0),0)</f>
        <v/>
      </c>
      <c r="BG18">
        <f>IF(BG$4=1,IF(OR(INDEX('×入力'!$A$1:$L$800,135+BG$3,2+BG$2)&lt;&gt;"",INDEX('×入力'!$A$1:$L$800,134,2+BG$2)&lt;&gt;"",INDEX('×入力'!$A$1:$L$800,135+BG$3,1)&lt;&gt;""),1,0),0)</f>
        <v/>
      </c>
      <c r="BH18">
        <f>IF(BH$4=1,IF(OR(INDEX('×入力'!$A$1:$L$800,135+BH$3,2+BH$2)&lt;&gt;"",INDEX('×入力'!$A$1:$L$800,134,2+BH$2)&lt;&gt;"",INDEX('×入力'!$A$1:$L$800,135+BH$3,1)&lt;&gt;""),1,0),0)</f>
        <v/>
      </c>
      <c r="BI18">
        <f>IF(BI$4=1,IF(OR(INDEX('×入力'!$A$1:$L$800,135+BI$3,2+BI$2)&lt;&gt;"",INDEX('×入力'!$A$1:$L$800,134,2+BI$2)&lt;&gt;"",INDEX('×入力'!$A$1:$L$800,135+BI$3,1)&lt;&gt;""),1,0),0)</f>
        <v/>
      </c>
      <c r="BJ18">
        <f>IF(BJ$4=1,IF(OR(INDEX('×入力'!$A$1:$L$800,135+BJ$3,2+BJ$2)&lt;&gt;"",INDEX('×入力'!$A$1:$L$800,134,2+BJ$2)&lt;&gt;"",INDEX('×入力'!$A$1:$L$800,135+BJ$3,1)&lt;&gt;""),1,0),0)</f>
        <v/>
      </c>
      <c r="BK18">
        <f>IF(BK$4=1,IF(OR(INDEX('×入力'!$A$1:$L$800,135+BK$3,2+BK$2)&lt;&gt;"",INDEX('×入力'!$A$1:$L$800,134,2+BK$2)&lt;&gt;"",INDEX('×入力'!$A$1:$L$800,135+BK$3,1)&lt;&gt;""),1,0),0)</f>
        <v/>
      </c>
      <c r="BL18">
        <f>IF(BL$4=1,IF(OR(INDEX('×入力'!$A$1:$L$800,135+BL$3,2+BL$2)&lt;&gt;"",INDEX('×入力'!$A$1:$L$800,134,2+BL$2)&lt;&gt;"",INDEX('×入力'!$A$1:$L$800,135+BL$3,1)&lt;&gt;""),1,0),0)</f>
        <v/>
      </c>
      <c r="BM18">
        <f>IF(BM$4=1,IF(OR(INDEX('×入力'!$A$1:$L$800,135+BM$3,2+BM$2)&lt;&gt;"",INDEX('×入力'!$A$1:$L$800,134,2+BM$2)&lt;&gt;"",INDEX('×入力'!$A$1:$L$800,135+BM$3,1)&lt;&gt;""),1,0),0)</f>
        <v/>
      </c>
      <c r="BN18">
        <f>IF(BN$4=1,IF(OR(INDEX('×入力'!$A$1:$L$800,135+BN$3,2+BN$2)&lt;&gt;"",INDEX('×入力'!$A$1:$L$800,134,2+BN$2)&lt;&gt;"",INDEX('×入力'!$A$1:$L$800,135+BN$3,1)&lt;&gt;""),1,0),0)</f>
        <v/>
      </c>
      <c r="BO18">
        <f>IF(BO$4=1,IF(OR(INDEX('×入力'!$A$1:$L$800,135+BO$3,2+BO$2)&lt;&gt;"",INDEX('×入力'!$A$1:$L$800,134,2+BO$2)&lt;&gt;"",INDEX('×入力'!$A$1:$L$800,135+BO$3,1)&lt;&gt;""),1,0),0)</f>
        <v/>
      </c>
      <c r="BP18">
        <f>IF(BP$4=1,IF(OR(INDEX('×入力'!$A$1:$L$800,135+BP$3,2+BP$2)&lt;&gt;"",INDEX('×入力'!$A$1:$L$800,134,2+BP$2)&lt;&gt;"",INDEX('×入力'!$A$1:$L$800,135+BP$3,1)&lt;&gt;""),1,0),0)</f>
        <v/>
      </c>
      <c r="BQ18">
        <f>IF(BQ$4=1,IF(OR(INDEX('×入力'!$A$1:$L$800,135+BQ$3,2+BQ$2)&lt;&gt;"",INDEX('×入力'!$A$1:$L$800,134,2+BQ$2)&lt;&gt;"",INDEX('×入力'!$A$1:$L$800,135+BQ$3,1)&lt;&gt;""),1,0),0)</f>
        <v/>
      </c>
      <c r="BR18">
        <f>IF(BR$4=1,IF(OR(INDEX('×入力'!$A$1:$L$800,135+BR$3,2+BR$2)&lt;&gt;"",INDEX('×入力'!$A$1:$L$800,134,2+BR$2)&lt;&gt;"",INDEX('×入力'!$A$1:$L$800,135+BR$3,1)&lt;&gt;""),1,0),0)</f>
        <v/>
      </c>
      <c r="BS18">
        <f>IF(BS$4=1,IF(OR(INDEX('×入力'!$A$1:$L$800,135+BS$3,2+BS$2)&lt;&gt;"",INDEX('×入力'!$A$1:$L$800,134,2+BS$2)&lt;&gt;"",INDEX('×入力'!$A$1:$L$800,135+BS$3,1)&lt;&gt;""),1,0),0)</f>
        <v/>
      </c>
      <c r="BT18">
        <f>IF(BT$4=1,IF(OR(INDEX('×入力'!$A$1:$L$800,135+BT$3,2+BT$2)&lt;&gt;"",INDEX('×入力'!$A$1:$L$800,134,2+BT$2)&lt;&gt;"",INDEX('×入力'!$A$1:$L$800,135+BT$3,1)&lt;&gt;""),1,0),0)</f>
        <v/>
      </c>
      <c r="BU18">
        <f>IF(BU$4=1,IF(OR(INDEX('×入力'!$A$1:$L$800,135+BU$3,2+BU$2)&lt;&gt;"",INDEX('×入力'!$A$1:$L$800,134,2+BU$2)&lt;&gt;"",INDEX('×入力'!$A$1:$L$800,135+BU$3,1)&lt;&gt;""),1,0),0)</f>
        <v/>
      </c>
      <c r="BV18">
        <f>IF(BV$4=1,IF(OR(INDEX('×入力'!$A$1:$L$800,135+BV$3,2+BV$2)&lt;&gt;"",INDEX('×入力'!$A$1:$L$800,134,2+BV$2)&lt;&gt;"",INDEX('×入力'!$A$1:$L$800,135+BV$3,1)&lt;&gt;""),1,0),0)</f>
        <v/>
      </c>
      <c r="BW18">
        <f>IF(BW$4=1,IF(OR(INDEX('×入力'!$A$1:$L$800,135+BW$3,2+BW$2)&lt;&gt;"",INDEX('×入力'!$A$1:$L$800,134,2+BW$2)&lt;&gt;"",INDEX('×入力'!$A$1:$L$800,135+BW$3,1)&lt;&gt;""),1,0),0)</f>
        <v/>
      </c>
      <c r="BX18">
        <f>IF(BX$4=1,IF(OR(INDEX('×入力'!$A$1:$L$800,135+BX$3,2+BX$2)&lt;&gt;"",INDEX('×入力'!$A$1:$L$800,134,2+BX$2)&lt;&gt;"",INDEX('×入力'!$A$1:$L$800,135+BX$3,1)&lt;&gt;""),1,0),0)</f>
        <v/>
      </c>
      <c r="BY18">
        <f>IF(BY$4=1,IF(OR(INDEX('×入力'!$A$1:$L$800,135+BY$3,2+BY$2)&lt;&gt;"",INDEX('×入力'!$A$1:$L$800,134,2+BY$2)&lt;&gt;"",INDEX('×入力'!$A$1:$L$800,135+BY$3,1)&lt;&gt;""),1,0),0)</f>
        <v/>
      </c>
      <c r="BZ18">
        <f>IF(BZ$4=1,IF(OR(INDEX('×入力'!$A$1:$L$800,135+BZ$3,2+BZ$2)&lt;&gt;"",INDEX('×入力'!$A$1:$L$800,134,2+BZ$2)&lt;&gt;"",INDEX('×入力'!$A$1:$L$800,135+BZ$3,1)&lt;&gt;""),1,0),0)</f>
        <v/>
      </c>
      <c r="CA18">
        <f>IF(CA$4=1,IF(OR(INDEX('×入力'!$A$1:$L$800,135+CA$3,2+CA$2)&lt;&gt;"",INDEX('×入力'!$A$1:$L$800,134,2+CA$2)&lt;&gt;"",INDEX('×入力'!$A$1:$L$800,135+CA$3,1)&lt;&gt;""),1,0),0)</f>
        <v/>
      </c>
      <c r="CB18">
        <f>IF(CB$4=1,IF(OR(INDEX('×入力'!$A$1:$L$800,135+CB$3,2+CB$2)&lt;&gt;"",INDEX('×入力'!$A$1:$L$800,134,2+CB$2)&lt;&gt;"",INDEX('×入力'!$A$1:$L$800,135+CB$3,1)&lt;&gt;""),1,0),0)</f>
        <v/>
      </c>
      <c r="CC18">
        <f>IF(CC$4=1,IF(OR(INDEX('×入力'!$A$1:$L$800,135+CC$3,2+CC$2)&lt;&gt;"",INDEX('×入力'!$A$1:$L$800,134,2+CC$2)&lt;&gt;"",INDEX('×入力'!$A$1:$L$800,135+CC$3,1)&lt;&gt;""),1,0),0)</f>
        <v/>
      </c>
      <c r="CD18">
        <f>IF(CD$4=1,IF(OR(INDEX('×入力'!$A$1:$L$800,135+CD$3,2+CD$2)&lt;&gt;"",INDEX('×入力'!$A$1:$L$800,134,2+CD$2)&lt;&gt;"",INDEX('×入力'!$A$1:$L$800,135+CD$3,1)&lt;&gt;""),1,0),0)</f>
        <v/>
      </c>
      <c r="CE18">
        <f>IF(CE$4=1,IF(OR(INDEX('×入力'!$A$1:$L$800,135+CE$3,2+CE$2)&lt;&gt;"",INDEX('×入力'!$A$1:$L$800,134,2+CE$2)&lt;&gt;"",INDEX('×入力'!$A$1:$L$800,135+CE$3,1)&lt;&gt;""),1,0),0)</f>
        <v/>
      </c>
      <c r="CF18">
        <f>IF(CF$4=1,IF(OR(INDEX('×入力'!$A$1:$L$800,135+CF$3,2+CF$2)&lt;&gt;"",INDEX('×入力'!$A$1:$L$800,134,2+CF$2)&lt;&gt;"",INDEX('×入力'!$A$1:$L$800,135+CF$3,1)&lt;&gt;""),1,0),0)</f>
        <v/>
      </c>
      <c r="CG18">
        <f>IF(CG$4=1,IF(OR(INDEX('×入力'!$A$1:$L$800,135+CG$3,2+CG$2)&lt;&gt;"",INDEX('×入力'!$A$1:$L$800,134,2+CG$2)&lt;&gt;"",INDEX('×入力'!$A$1:$L$800,135+CG$3,1)&lt;&gt;""),1,0),0)</f>
        <v/>
      </c>
      <c r="CH18">
        <f>IF(CH$4=1,IF(OR(INDEX('×入力'!$A$1:$L$800,135+CH$3,2+CH$2)&lt;&gt;"",INDEX('×入力'!$A$1:$L$800,134,2+CH$2)&lt;&gt;"",INDEX('×入力'!$A$1:$L$800,135+CH$3,1)&lt;&gt;""),1,0),0)</f>
        <v/>
      </c>
      <c r="CI18">
        <f>IF(CI$4=1,IF(OR(INDEX('×入力'!$A$1:$L$800,135+CI$3,2+CI$2)&lt;&gt;"",INDEX('×入力'!$A$1:$L$800,134,2+CI$2)&lt;&gt;"",INDEX('×入力'!$A$1:$L$800,135+CI$3,1)&lt;&gt;""),1,0),0)</f>
        <v/>
      </c>
      <c r="CJ18">
        <f>IF(CJ$4=1,IF(OR(INDEX('×入力'!$A$1:$L$800,135+CJ$3,2+CJ$2)&lt;&gt;"",INDEX('×入力'!$A$1:$L$800,134,2+CJ$2)&lt;&gt;"",INDEX('×入力'!$A$1:$L$800,135+CJ$3,1)&lt;&gt;""),1,0),0)</f>
        <v/>
      </c>
      <c r="CK18">
        <f>IF(CK$4=1,IF(OR(INDEX('×入力'!$A$1:$L$800,135+CK$3,2+CK$2)&lt;&gt;"",INDEX('×入力'!$A$1:$L$800,134,2+CK$2)&lt;&gt;"",INDEX('×入力'!$A$1:$L$800,135+CK$3,1)&lt;&gt;""),1,0),0)</f>
        <v/>
      </c>
      <c r="CL18">
        <f>IF(CL$4=1,IF(OR(INDEX('×入力'!$A$1:$L$800,135+CL$3,2+CL$2)&lt;&gt;"",INDEX('×入力'!$A$1:$L$800,134,2+CL$2)&lt;&gt;"",INDEX('×入力'!$A$1:$L$800,135+CL$3,1)&lt;&gt;""),1,0),0)</f>
        <v/>
      </c>
      <c r="CM18">
        <f>IF(CM$4=1,IF(OR(INDEX('×入力'!$A$1:$L$800,135+CM$3,2+CM$2)&lt;&gt;"",INDEX('×入力'!$A$1:$L$800,134,2+CM$2)&lt;&gt;"",INDEX('×入力'!$A$1:$L$800,135+CM$3,1)&lt;&gt;""),1,0),0)</f>
        <v/>
      </c>
      <c r="CN18">
        <f>IF(CN$4=1,IF(OR(INDEX('×入力'!$A$1:$L$800,135+CN$3,2+CN$2)&lt;&gt;"",INDEX('×入力'!$A$1:$L$800,134,2+CN$2)&lt;&gt;"",INDEX('×入力'!$A$1:$L$800,135+CN$3,1)&lt;&gt;""),1,0),0)</f>
        <v/>
      </c>
      <c r="CO18">
        <f>IF(CO$4=1,IF(OR(INDEX('×入力'!$A$1:$L$800,135+CO$3,2+CO$2)&lt;&gt;"",INDEX('×入力'!$A$1:$L$800,134,2+CO$2)&lt;&gt;"",INDEX('×入力'!$A$1:$L$800,135+CO$3,1)&lt;&gt;""),1,0),0)</f>
        <v/>
      </c>
      <c r="CP18">
        <f>IF(CP$4=1,IF(OR(INDEX('×入力'!$A$1:$L$800,135+CP$3,2+CP$2)&lt;&gt;"",INDEX('×入力'!$A$1:$L$800,134,2+CP$2)&lt;&gt;"",INDEX('×入力'!$A$1:$L$800,135+CP$3,1)&lt;&gt;""),1,0),0)</f>
        <v/>
      </c>
      <c r="CQ18">
        <f>IF(CQ$4=1,IF(OR(INDEX('×入力'!$A$1:$L$800,135+CQ$3,2+CQ$2)&lt;&gt;"",INDEX('×入力'!$A$1:$L$800,134,2+CQ$2)&lt;&gt;"",INDEX('×入力'!$A$1:$L$800,135+CQ$3,1)&lt;&gt;""),1,0),0)</f>
        <v/>
      </c>
      <c r="CR18">
        <f>IF(CR$4=1,IF(OR(INDEX('×入力'!$A$1:$L$800,135+CR$3,2+CR$2)&lt;&gt;"",INDEX('×入力'!$A$1:$L$800,134,2+CR$2)&lt;&gt;"",INDEX('×入力'!$A$1:$L$800,135+CR$3,1)&lt;&gt;""),1,0),0)</f>
        <v/>
      </c>
      <c r="CS18">
        <f>IF(CS$4=1,IF(OR(INDEX('×入力'!$A$1:$L$800,135+CS$3,2+CS$2)&lt;&gt;"",INDEX('×入力'!$A$1:$L$800,134,2+CS$2)&lt;&gt;"",INDEX('×入力'!$A$1:$L$800,135+CS$3,1)&lt;&gt;""),1,0),0)</f>
        <v/>
      </c>
      <c r="CT18">
        <f>IF(CT$4=1,IF(OR(INDEX('×入力'!$A$1:$L$800,135+CT$3,2+CT$2)&lt;&gt;"",INDEX('×入力'!$A$1:$L$800,134,2+CT$2)&lt;&gt;"",INDEX('×入力'!$A$1:$L$800,135+CT$3,1)&lt;&gt;""),1,0),0)</f>
        <v/>
      </c>
      <c r="CU18">
        <f>IF(CU$4=1,IF(OR(INDEX('×入力'!$A$1:$L$800,135+CU$3,2+CU$2)&lt;&gt;"",INDEX('×入力'!$A$1:$L$800,134,2+CU$2)&lt;&gt;"",INDEX('×入力'!$A$1:$L$800,135+CU$3,1)&lt;&gt;""),1,0),0)</f>
        <v/>
      </c>
      <c r="CV18">
        <f>IF(CV$4=1,IF(OR(INDEX('×入力'!$A$1:$L$800,135+CV$3,2+CV$2)&lt;&gt;"",INDEX('×入力'!$A$1:$L$800,134,2+CV$2)&lt;&gt;"",INDEX('×入力'!$A$1:$L$800,135+CV$3,1)&lt;&gt;""),1,0),0)</f>
        <v/>
      </c>
      <c r="CW18">
        <f>IF(CW$4=1,IF(OR(INDEX('×入力'!$A$1:$L$800,135+CW$3,2+CW$2)&lt;&gt;"",INDEX('×入力'!$A$1:$L$800,134,2+CW$2)&lt;&gt;"",INDEX('×入力'!$A$1:$L$800,135+CW$3,1)&lt;&gt;""),1,0),0)</f>
        <v/>
      </c>
      <c r="CX18">
        <f>IF(CX$4=1,IF(OR(INDEX('×入力'!$A$1:$L$800,135+CX$3,2+CX$2)&lt;&gt;"",INDEX('×入力'!$A$1:$L$800,134,2+CX$2)&lt;&gt;"",INDEX('×入力'!$A$1:$L$800,135+CX$3,1)&lt;&gt;""),1,0),0)</f>
        <v/>
      </c>
      <c r="CY18">
        <f>IF(CY$4=1,IF(OR(INDEX('×入力'!$A$1:$L$800,135+CY$3,2+CY$2)&lt;&gt;"",INDEX('×入力'!$A$1:$L$800,134,2+CY$2)&lt;&gt;"",INDEX('×入力'!$A$1:$L$800,135+CY$3,1)&lt;&gt;""),1,0),0)</f>
        <v/>
      </c>
      <c r="CZ18">
        <f>IF(CZ$4=1,IF(OR(INDEX('×入力'!$A$1:$L$800,135+CZ$3,2+CZ$2)&lt;&gt;"",INDEX('×入力'!$A$1:$L$800,134,2+CZ$2)&lt;&gt;"",INDEX('×入力'!$A$1:$L$800,135+CZ$3,1)&lt;&gt;""),1,0),0)</f>
        <v/>
      </c>
      <c r="DA18">
        <f>IF(DA$4=1,IF(OR(INDEX('×入力'!$A$1:$L$800,135+DA$3,2+DA$2)&lt;&gt;"",INDEX('×入力'!$A$1:$L$800,134,2+DA$2)&lt;&gt;"",INDEX('×入力'!$A$1:$L$800,135+DA$3,1)&lt;&gt;""),1,0),0)</f>
        <v/>
      </c>
      <c r="DB18">
        <f>IF(DB$4=1,IF(OR(INDEX('×入力'!$A$1:$L$800,135+DB$3,2+DB$2)&lt;&gt;"",INDEX('×入力'!$A$1:$L$800,134,2+DB$2)&lt;&gt;"",INDEX('×入力'!$A$1:$L$800,135+DB$3,1)&lt;&gt;""),1,0),0)</f>
        <v/>
      </c>
      <c r="DC18">
        <f>IF(DC$4=1,IF(OR(INDEX('×入力'!$A$1:$L$800,135+DC$3,2+DC$2)&lt;&gt;"",INDEX('×入力'!$A$1:$L$800,134,2+DC$2)&lt;&gt;"",INDEX('×入力'!$A$1:$L$800,135+DC$3,1)&lt;&gt;""),1,0),0)</f>
        <v/>
      </c>
      <c r="DD18">
        <f>IF(DD$4=1,IF(OR(INDEX('×入力'!$A$1:$L$800,135+DD$3,2+DD$2)&lt;&gt;"",INDEX('×入力'!$A$1:$L$800,134,2+DD$2)&lt;&gt;"",INDEX('×入力'!$A$1:$L$800,135+DD$3,1)&lt;&gt;""),1,0),0)</f>
        <v/>
      </c>
      <c r="DE18">
        <f>IF(DE$4=1,IF(OR(INDEX('×入力'!$A$1:$L$800,135+DE$3,2+DE$2)&lt;&gt;"",INDEX('×入力'!$A$1:$L$800,134,2+DE$2)&lt;&gt;"",INDEX('×入力'!$A$1:$L$800,135+DE$3,1)&lt;&gt;""),1,0),0)</f>
        <v/>
      </c>
      <c r="DF18">
        <f>IF(DF$4=1,IF(OR(INDEX('×入力'!$A$1:$L$800,135+DF$3,2+DF$2)&lt;&gt;"",INDEX('×入力'!$A$1:$L$800,134,2+DF$2)&lt;&gt;"",INDEX('×入力'!$A$1:$L$800,135+DF$3,1)&lt;&gt;""),1,0),0)</f>
        <v/>
      </c>
      <c r="DG18">
        <f>IF(DG$4=1,IF(OR(INDEX('×入力'!$A$1:$L$800,135+DG$3,2+DG$2)&lt;&gt;"",INDEX('×入力'!$A$1:$L$800,134,2+DG$2)&lt;&gt;"",INDEX('×入力'!$A$1:$L$800,135+DG$3,1)&lt;&gt;""),1,0),0)</f>
        <v/>
      </c>
      <c r="DH18">
        <f>IF(DH$4=1,IF(OR(INDEX('×入力'!$A$1:$L$800,135+DH$3,2+DH$2)&lt;&gt;"",INDEX('×入力'!$A$1:$L$800,134,2+DH$2)&lt;&gt;"",INDEX('×入力'!$A$1:$L$800,135+DH$3,1)&lt;&gt;""),1,0),0)</f>
        <v/>
      </c>
      <c r="DI18">
        <f>IF(DI$4=1,IF(OR(INDEX('×入力'!$A$1:$L$800,135+DI$3,2+DI$2)&lt;&gt;"",INDEX('×入力'!$A$1:$L$800,134,2+DI$2)&lt;&gt;"",INDEX('×入力'!$A$1:$L$800,135+DI$3,1)&lt;&gt;""),1,0),0)</f>
        <v/>
      </c>
      <c r="DJ18">
        <f>IF(DJ$4=1,IF(OR(INDEX('×入力'!$A$1:$L$800,135+DJ$3,2+DJ$2)&lt;&gt;"",INDEX('×入力'!$A$1:$L$800,134,2+DJ$2)&lt;&gt;"",INDEX('×入力'!$A$1:$L$800,135+DJ$3,1)&lt;&gt;""),1,0),0)</f>
        <v/>
      </c>
      <c r="DK18">
        <f>IF(DK$4=1,IF(OR(INDEX('×入力'!$A$1:$L$800,135+DK$3,2+DK$2)&lt;&gt;"",INDEX('×入力'!$A$1:$L$800,134,2+DK$2)&lt;&gt;"",INDEX('×入力'!$A$1:$L$800,135+DK$3,1)&lt;&gt;""),1,0),0)</f>
        <v/>
      </c>
      <c r="DL18">
        <f>IF(DL$4=1,IF(OR(INDEX('×入力'!$A$1:$L$800,135+DL$3,2+DL$2)&lt;&gt;"",INDEX('×入力'!$A$1:$L$800,134,2+DL$2)&lt;&gt;"",INDEX('×入力'!$A$1:$L$800,135+DL$3,1)&lt;&gt;""),1,0),0)</f>
        <v/>
      </c>
      <c r="DM18">
        <f>IF(DM$4=1,IF(OR(INDEX('×入力'!$A$1:$L$800,135+DM$3,2+DM$2)&lt;&gt;"",INDEX('×入力'!$A$1:$L$800,134,2+DM$2)&lt;&gt;"",INDEX('×入力'!$A$1:$L$800,135+DM$3,1)&lt;&gt;""),1,0),0)</f>
        <v/>
      </c>
      <c r="DN18">
        <f>IF(DN$4=1,IF(OR(INDEX('×入力'!$A$1:$L$800,135+DN$3,2+DN$2)&lt;&gt;"",INDEX('×入力'!$A$1:$L$800,134,2+DN$2)&lt;&gt;"",INDEX('×入力'!$A$1:$L$800,135+DN$3,1)&lt;&gt;""),1,0),0)</f>
        <v/>
      </c>
      <c r="DO18">
        <f>IF(DO$4=1,IF(OR(INDEX('×入力'!$A$1:$L$800,135+DO$3,2+DO$2)&lt;&gt;"",INDEX('×入力'!$A$1:$L$800,134,2+DO$2)&lt;&gt;"",INDEX('×入力'!$A$1:$L$800,135+DO$3,1)&lt;&gt;""),1,0),0)</f>
        <v/>
      </c>
      <c r="DP18">
        <f>IF(DP$4=1,IF(OR(INDEX('×入力'!$A$1:$L$800,135+DP$3,2+DP$2)&lt;&gt;"",INDEX('×入力'!$A$1:$L$800,134,2+DP$2)&lt;&gt;"",INDEX('×入力'!$A$1:$L$800,135+DP$3,1)&lt;&gt;""),1,0),0)</f>
        <v/>
      </c>
      <c r="DQ18">
        <f>IF(DQ$4=1,IF(OR(INDEX('×入力'!$A$1:$L$800,135+DQ$3,2+DQ$2)&lt;&gt;"",INDEX('×入力'!$A$1:$L$800,134,2+DQ$2)&lt;&gt;"",INDEX('×入力'!$A$1:$L$800,135+DQ$3,1)&lt;&gt;""),1,0),0)</f>
        <v/>
      </c>
      <c r="DR18">
        <f>IF(DR$4=1,IF(OR(INDEX('×入力'!$A$1:$L$800,135+DR$3,2+DR$2)&lt;&gt;"",INDEX('×入力'!$A$1:$L$800,134,2+DR$2)&lt;&gt;"",INDEX('×入力'!$A$1:$L$800,135+DR$3,1)&lt;&gt;""),1,0),0)</f>
        <v/>
      </c>
      <c r="DS18">
        <f>IF(DS$4=1,IF(OR(INDEX('×入力'!$A$1:$L$800,135+DS$3,2+DS$2)&lt;&gt;"",INDEX('×入力'!$A$1:$L$800,134,2+DS$2)&lt;&gt;"",INDEX('×入力'!$A$1:$L$800,135+DS$3,1)&lt;&gt;""),1,0),0)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IF(D$4=1,IF(OR(INDEX('×入力'!$A$1:$L$800,151+D$3,2+D$2)&lt;&gt;"",INDEX('×入力'!$A$1:$L$800,150,2+D$2)&lt;&gt;"",INDEX('×入力'!$A$1:$L$800,151+D$3,1)&lt;&gt;""),1,0),0)</f>
        <v/>
      </c>
      <c r="E19">
        <f>IF(E$4=1,IF(OR(INDEX('×入力'!$A$1:$L$800,151+E$3,2+E$2)&lt;&gt;"",INDEX('×入力'!$A$1:$L$800,150,2+E$2)&lt;&gt;"",INDEX('×入力'!$A$1:$L$800,151+E$3,1)&lt;&gt;""),1,0),0)</f>
        <v/>
      </c>
      <c r="F19">
        <f>IF(F$4=1,IF(OR(INDEX('×入力'!$A$1:$L$800,151+F$3,2+F$2)&lt;&gt;"",INDEX('×入力'!$A$1:$L$800,150,2+F$2)&lt;&gt;"",INDEX('×入力'!$A$1:$L$800,151+F$3,1)&lt;&gt;""),1,0),0)</f>
        <v/>
      </c>
      <c r="G19">
        <f>IF(G$4=1,IF(OR(INDEX('×入力'!$A$1:$L$800,151+G$3,2+G$2)&lt;&gt;"",INDEX('×入力'!$A$1:$L$800,150,2+G$2)&lt;&gt;"",INDEX('×入力'!$A$1:$L$800,151+G$3,1)&lt;&gt;""),1,0),0)</f>
        <v/>
      </c>
      <c r="H19">
        <f>IF(H$4=1,IF(OR(INDEX('×入力'!$A$1:$L$800,151+H$3,2+H$2)&lt;&gt;"",INDEX('×入力'!$A$1:$L$800,150,2+H$2)&lt;&gt;"",INDEX('×入力'!$A$1:$L$800,151+H$3,1)&lt;&gt;""),1,0),0)</f>
        <v/>
      </c>
      <c r="I19">
        <f>IF(I$4=1,IF(OR(INDEX('×入力'!$A$1:$L$800,151+I$3,2+I$2)&lt;&gt;"",INDEX('×入力'!$A$1:$L$800,150,2+I$2)&lt;&gt;"",INDEX('×入力'!$A$1:$L$800,151+I$3,1)&lt;&gt;""),1,0),0)</f>
        <v/>
      </c>
      <c r="J19">
        <f>IF(J$4=1,IF(OR(INDEX('×入力'!$A$1:$L$800,151+J$3,2+J$2)&lt;&gt;"",INDEX('×入力'!$A$1:$L$800,150,2+J$2)&lt;&gt;"",INDEX('×入力'!$A$1:$L$800,151+J$3,1)&lt;&gt;""),1,0),0)</f>
        <v/>
      </c>
      <c r="K19">
        <f>IF(K$4=1,IF(OR(INDEX('×入力'!$A$1:$L$800,151+K$3,2+K$2)&lt;&gt;"",INDEX('×入力'!$A$1:$L$800,150,2+K$2)&lt;&gt;"",INDEX('×入力'!$A$1:$L$800,151+K$3,1)&lt;&gt;""),1,0),0)</f>
        <v/>
      </c>
      <c r="L19">
        <f>IF(L$4=1,IF(OR(INDEX('×入力'!$A$1:$L$800,151+L$3,2+L$2)&lt;&gt;"",INDEX('×入力'!$A$1:$L$800,150,2+L$2)&lt;&gt;"",INDEX('×入力'!$A$1:$L$800,151+L$3,1)&lt;&gt;""),1,0),0)</f>
        <v/>
      </c>
      <c r="M19">
        <f>IF(M$4=1,IF(OR(INDEX('×入力'!$A$1:$L$800,151+M$3,2+M$2)&lt;&gt;"",INDEX('×入力'!$A$1:$L$800,150,2+M$2)&lt;&gt;"",INDEX('×入力'!$A$1:$L$800,151+M$3,1)&lt;&gt;""),1,0),0)</f>
        <v/>
      </c>
      <c r="N19">
        <f>IF(N$4=1,IF(OR(INDEX('×入力'!$A$1:$L$800,151+N$3,2+N$2)&lt;&gt;"",INDEX('×入力'!$A$1:$L$800,150,2+N$2)&lt;&gt;"",INDEX('×入力'!$A$1:$L$800,151+N$3,1)&lt;&gt;""),1,0),0)</f>
        <v/>
      </c>
      <c r="O19">
        <f>IF(O$4=1,IF(OR(INDEX('×入力'!$A$1:$L$800,151+O$3,2+O$2)&lt;&gt;"",INDEX('×入力'!$A$1:$L$800,150,2+O$2)&lt;&gt;"",INDEX('×入力'!$A$1:$L$800,151+O$3,1)&lt;&gt;""),1,0),0)</f>
        <v/>
      </c>
      <c r="P19">
        <f>IF(P$4=1,IF(OR(INDEX('×入力'!$A$1:$L$800,151+P$3,2+P$2)&lt;&gt;"",INDEX('×入力'!$A$1:$L$800,150,2+P$2)&lt;&gt;"",INDEX('×入力'!$A$1:$L$800,151+P$3,1)&lt;&gt;""),1,0),0)</f>
        <v/>
      </c>
      <c r="Q19">
        <f>IF(Q$4=1,IF(OR(INDEX('×入力'!$A$1:$L$800,151+Q$3,2+Q$2)&lt;&gt;"",INDEX('×入力'!$A$1:$L$800,150,2+Q$2)&lt;&gt;"",INDEX('×入力'!$A$1:$L$800,151+Q$3,1)&lt;&gt;""),1,0),0)</f>
        <v/>
      </c>
      <c r="R19">
        <f>IF(R$4=1,IF(OR(INDEX('×入力'!$A$1:$L$800,151+R$3,2+R$2)&lt;&gt;"",INDEX('×入力'!$A$1:$L$800,150,2+R$2)&lt;&gt;"",INDEX('×入力'!$A$1:$L$800,151+R$3,1)&lt;&gt;""),1,0),0)</f>
        <v/>
      </c>
      <c r="S19">
        <f>IF(S$4=1,IF(OR(INDEX('×入力'!$A$1:$L$800,151+S$3,2+S$2)&lt;&gt;"",INDEX('×入力'!$A$1:$L$800,150,2+S$2)&lt;&gt;"",INDEX('×入力'!$A$1:$L$800,151+S$3,1)&lt;&gt;""),1,0),0)</f>
        <v/>
      </c>
      <c r="T19">
        <f>IF(T$4=1,IF(OR(INDEX('×入力'!$A$1:$L$800,151+T$3,2+T$2)&lt;&gt;"",INDEX('×入力'!$A$1:$L$800,150,2+T$2)&lt;&gt;"",INDEX('×入力'!$A$1:$L$800,151+T$3,1)&lt;&gt;""),1,0),0)</f>
        <v/>
      </c>
      <c r="U19">
        <f>IF(U$4=1,IF(OR(INDEX('×入力'!$A$1:$L$800,151+U$3,2+U$2)&lt;&gt;"",INDEX('×入力'!$A$1:$L$800,150,2+U$2)&lt;&gt;"",INDEX('×入力'!$A$1:$L$800,151+U$3,1)&lt;&gt;""),1,0),0)</f>
        <v/>
      </c>
      <c r="V19">
        <f>IF(V$4=1,IF(OR(INDEX('×入力'!$A$1:$L$800,151+V$3,2+V$2)&lt;&gt;"",INDEX('×入力'!$A$1:$L$800,150,2+V$2)&lt;&gt;"",INDEX('×入力'!$A$1:$L$800,151+V$3,1)&lt;&gt;""),1,0),0)</f>
        <v/>
      </c>
      <c r="W19">
        <f>IF(W$4=1,IF(OR(INDEX('×入力'!$A$1:$L$800,151+W$3,2+W$2)&lt;&gt;"",INDEX('×入力'!$A$1:$L$800,150,2+W$2)&lt;&gt;"",INDEX('×入力'!$A$1:$L$800,151+W$3,1)&lt;&gt;""),1,0),0)</f>
        <v/>
      </c>
      <c r="X19">
        <f>IF(X$4=1,IF(OR(INDEX('×入力'!$A$1:$L$800,151+X$3,2+X$2)&lt;&gt;"",INDEX('×入力'!$A$1:$L$800,150,2+X$2)&lt;&gt;"",INDEX('×入力'!$A$1:$L$800,151+X$3,1)&lt;&gt;""),1,0),0)</f>
        <v/>
      </c>
      <c r="Y19">
        <f>IF(Y$4=1,IF(OR(INDEX('×入力'!$A$1:$L$800,151+Y$3,2+Y$2)&lt;&gt;"",INDEX('×入力'!$A$1:$L$800,150,2+Y$2)&lt;&gt;"",INDEX('×入力'!$A$1:$L$800,151+Y$3,1)&lt;&gt;""),1,0),0)</f>
        <v/>
      </c>
      <c r="Z19">
        <f>IF(Z$4=1,IF(OR(INDEX('×入力'!$A$1:$L$800,151+Z$3,2+Z$2)&lt;&gt;"",INDEX('×入力'!$A$1:$L$800,150,2+Z$2)&lt;&gt;"",INDEX('×入力'!$A$1:$L$800,151+Z$3,1)&lt;&gt;""),1,0),0)</f>
        <v/>
      </c>
      <c r="AA19">
        <f>IF(AA$4=1,IF(OR(INDEX('×入力'!$A$1:$L$800,151+AA$3,2+AA$2)&lt;&gt;"",INDEX('×入力'!$A$1:$L$800,150,2+AA$2)&lt;&gt;"",INDEX('×入力'!$A$1:$L$800,151+AA$3,1)&lt;&gt;""),1,0),0)</f>
        <v/>
      </c>
      <c r="AB19">
        <f>IF(AB$4=1,IF(OR(INDEX('×入力'!$A$1:$L$800,151+AB$3,2+AB$2)&lt;&gt;"",INDEX('×入力'!$A$1:$L$800,150,2+AB$2)&lt;&gt;"",INDEX('×入力'!$A$1:$L$800,151+AB$3,1)&lt;&gt;""),1,0),0)</f>
        <v/>
      </c>
      <c r="AC19">
        <f>IF(AC$4=1,IF(OR(INDEX('×入力'!$A$1:$L$800,151+AC$3,2+AC$2)&lt;&gt;"",INDEX('×入力'!$A$1:$L$800,150,2+AC$2)&lt;&gt;"",INDEX('×入力'!$A$1:$L$800,151+AC$3,1)&lt;&gt;""),1,0),0)</f>
        <v/>
      </c>
      <c r="AD19">
        <f>IF(AD$4=1,IF(OR(INDEX('×入力'!$A$1:$L$800,151+AD$3,2+AD$2)&lt;&gt;"",INDEX('×入力'!$A$1:$L$800,150,2+AD$2)&lt;&gt;"",INDEX('×入力'!$A$1:$L$800,151+AD$3,1)&lt;&gt;""),1,0),0)</f>
        <v/>
      </c>
      <c r="AE19">
        <f>IF(AE$4=1,IF(OR(INDEX('×入力'!$A$1:$L$800,151+AE$3,2+AE$2)&lt;&gt;"",INDEX('×入力'!$A$1:$L$800,150,2+AE$2)&lt;&gt;"",INDEX('×入力'!$A$1:$L$800,151+AE$3,1)&lt;&gt;""),1,0),0)</f>
        <v/>
      </c>
      <c r="AF19">
        <f>IF(AF$4=1,IF(OR(INDEX('×入力'!$A$1:$L$800,151+AF$3,2+AF$2)&lt;&gt;"",INDEX('×入力'!$A$1:$L$800,150,2+AF$2)&lt;&gt;"",INDEX('×入力'!$A$1:$L$800,151+AF$3,1)&lt;&gt;""),1,0),0)</f>
        <v/>
      </c>
      <c r="AG19">
        <f>IF(AG$4=1,IF(OR(INDEX('×入力'!$A$1:$L$800,151+AG$3,2+AG$2)&lt;&gt;"",INDEX('×入力'!$A$1:$L$800,150,2+AG$2)&lt;&gt;"",INDEX('×入力'!$A$1:$L$800,151+AG$3,1)&lt;&gt;""),1,0),0)</f>
        <v/>
      </c>
      <c r="AH19">
        <f>IF(AH$4=1,IF(OR(INDEX('×入力'!$A$1:$L$800,151+AH$3,2+AH$2)&lt;&gt;"",INDEX('×入力'!$A$1:$L$800,150,2+AH$2)&lt;&gt;"",INDEX('×入力'!$A$1:$L$800,151+AH$3,1)&lt;&gt;""),1,0),0)</f>
        <v/>
      </c>
      <c r="AI19">
        <f>IF(AI$4=1,IF(OR(INDEX('×入力'!$A$1:$L$800,151+AI$3,2+AI$2)&lt;&gt;"",INDEX('×入力'!$A$1:$L$800,150,2+AI$2)&lt;&gt;"",INDEX('×入力'!$A$1:$L$800,151+AI$3,1)&lt;&gt;""),1,0),0)</f>
        <v/>
      </c>
      <c r="AJ19">
        <f>IF(AJ$4=1,IF(OR(INDEX('×入力'!$A$1:$L$800,151+AJ$3,2+AJ$2)&lt;&gt;"",INDEX('×入力'!$A$1:$L$800,150,2+AJ$2)&lt;&gt;"",INDEX('×入力'!$A$1:$L$800,151+AJ$3,1)&lt;&gt;""),1,0),0)</f>
        <v/>
      </c>
      <c r="AK19">
        <f>IF(AK$4=1,IF(OR(INDEX('×入力'!$A$1:$L$800,151+AK$3,2+AK$2)&lt;&gt;"",INDEX('×入力'!$A$1:$L$800,150,2+AK$2)&lt;&gt;"",INDEX('×入力'!$A$1:$L$800,151+AK$3,1)&lt;&gt;""),1,0),0)</f>
        <v/>
      </c>
      <c r="AL19">
        <f>IF(AL$4=1,IF(OR(INDEX('×入力'!$A$1:$L$800,151+AL$3,2+AL$2)&lt;&gt;"",INDEX('×入力'!$A$1:$L$800,150,2+AL$2)&lt;&gt;"",INDEX('×入力'!$A$1:$L$800,151+AL$3,1)&lt;&gt;""),1,0),0)</f>
        <v/>
      </c>
      <c r="AM19">
        <f>IF(AM$4=1,IF(OR(INDEX('×入力'!$A$1:$L$800,151+AM$3,2+AM$2)&lt;&gt;"",INDEX('×入力'!$A$1:$L$800,150,2+AM$2)&lt;&gt;"",INDEX('×入力'!$A$1:$L$800,151+AM$3,1)&lt;&gt;""),1,0),0)</f>
        <v/>
      </c>
      <c r="AN19">
        <f>IF(AN$4=1,IF(OR(INDEX('×入力'!$A$1:$L$800,151+AN$3,2+AN$2)&lt;&gt;"",INDEX('×入力'!$A$1:$L$800,150,2+AN$2)&lt;&gt;"",INDEX('×入力'!$A$1:$L$800,151+AN$3,1)&lt;&gt;""),1,0),0)</f>
        <v/>
      </c>
      <c r="AO19">
        <f>IF(AO$4=1,IF(OR(INDEX('×入力'!$A$1:$L$800,151+AO$3,2+AO$2)&lt;&gt;"",INDEX('×入力'!$A$1:$L$800,150,2+AO$2)&lt;&gt;"",INDEX('×入力'!$A$1:$L$800,151+AO$3,1)&lt;&gt;""),1,0),0)</f>
        <v/>
      </c>
      <c r="AP19">
        <f>IF(AP$4=1,IF(OR(INDEX('×入力'!$A$1:$L$800,151+AP$3,2+AP$2)&lt;&gt;"",INDEX('×入力'!$A$1:$L$800,150,2+AP$2)&lt;&gt;"",INDEX('×入力'!$A$1:$L$800,151+AP$3,1)&lt;&gt;""),1,0),0)</f>
        <v/>
      </c>
      <c r="AQ19">
        <f>IF(AQ$4=1,IF(OR(INDEX('×入力'!$A$1:$L$800,151+AQ$3,2+AQ$2)&lt;&gt;"",INDEX('×入力'!$A$1:$L$800,150,2+AQ$2)&lt;&gt;"",INDEX('×入力'!$A$1:$L$800,151+AQ$3,1)&lt;&gt;""),1,0),0)</f>
        <v/>
      </c>
      <c r="AR19">
        <f>IF(AR$4=1,IF(OR(INDEX('×入力'!$A$1:$L$800,151+AR$3,2+AR$2)&lt;&gt;"",INDEX('×入力'!$A$1:$L$800,150,2+AR$2)&lt;&gt;"",INDEX('×入力'!$A$1:$L$800,151+AR$3,1)&lt;&gt;""),1,0),0)</f>
        <v/>
      </c>
      <c r="AS19">
        <f>IF(AS$4=1,IF(OR(INDEX('×入力'!$A$1:$L$800,151+AS$3,2+AS$2)&lt;&gt;"",INDEX('×入力'!$A$1:$L$800,150,2+AS$2)&lt;&gt;"",INDEX('×入力'!$A$1:$L$800,151+AS$3,1)&lt;&gt;""),1,0),0)</f>
        <v/>
      </c>
      <c r="AT19">
        <f>IF(AT$4=1,IF(OR(INDEX('×入力'!$A$1:$L$800,151+AT$3,2+AT$2)&lt;&gt;"",INDEX('×入力'!$A$1:$L$800,150,2+AT$2)&lt;&gt;"",INDEX('×入力'!$A$1:$L$800,151+AT$3,1)&lt;&gt;""),1,0),0)</f>
        <v/>
      </c>
      <c r="AU19">
        <f>IF(AU$4=1,IF(OR(INDEX('×入力'!$A$1:$L$800,151+AU$3,2+AU$2)&lt;&gt;"",INDEX('×入力'!$A$1:$L$800,150,2+AU$2)&lt;&gt;"",INDEX('×入力'!$A$1:$L$800,151+AU$3,1)&lt;&gt;""),1,0),0)</f>
        <v/>
      </c>
      <c r="AV19">
        <f>IF(AV$4=1,IF(OR(INDEX('×入力'!$A$1:$L$800,151+AV$3,2+AV$2)&lt;&gt;"",INDEX('×入力'!$A$1:$L$800,150,2+AV$2)&lt;&gt;"",INDEX('×入力'!$A$1:$L$800,151+AV$3,1)&lt;&gt;""),1,0),0)</f>
        <v/>
      </c>
      <c r="AW19">
        <f>IF(AW$4=1,IF(OR(INDEX('×入力'!$A$1:$L$800,151+AW$3,2+AW$2)&lt;&gt;"",INDEX('×入力'!$A$1:$L$800,150,2+AW$2)&lt;&gt;"",INDEX('×入力'!$A$1:$L$800,151+AW$3,1)&lt;&gt;""),1,0),0)</f>
        <v/>
      </c>
      <c r="AX19">
        <f>IF(AX$4=1,IF(OR(INDEX('×入力'!$A$1:$L$800,151+AX$3,2+AX$2)&lt;&gt;"",INDEX('×入力'!$A$1:$L$800,150,2+AX$2)&lt;&gt;"",INDEX('×入力'!$A$1:$L$800,151+AX$3,1)&lt;&gt;""),1,0),0)</f>
        <v/>
      </c>
      <c r="AY19">
        <f>IF(AY$4=1,IF(OR(INDEX('×入力'!$A$1:$L$800,151+AY$3,2+AY$2)&lt;&gt;"",INDEX('×入力'!$A$1:$L$800,150,2+AY$2)&lt;&gt;"",INDEX('×入力'!$A$1:$L$800,151+AY$3,1)&lt;&gt;""),1,0),0)</f>
        <v/>
      </c>
      <c r="AZ19">
        <f>IF(AZ$4=1,IF(OR(INDEX('×入力'!$A$1:$L$800,151+AZ$3,2+AZ$2)&lt;&gt;"",INDEX('×入力'!$A$1:$L$800,150,2+AZ$2)&lt;&gt;"",INDEX('×入力'!$A$1:$L$800,151+AZ$3,1)&lt;&gt;""),1,0),0)</f>
        <v/>
      </c>
      <c r="BA19">
        <f>IF(BA$4=1,IF(OR(INDEX('×入力'!$A$1:$L$800,151+BA$3,2+BA$2)&lt;&gt;"",INDEX('×入力'!$A$1:$L$800,150,2+BA$2)&lt;&gt;"",INDEX('×入力'!$A$1:$L$800,151+BA$3,1)&lt;&gt;""),1,0),0)</f>
        <v/>
      </c>
      <c r="BB19">
        <f>IF(BB$4=1,IF(OR(INDEX('×入力'!$A$1:$L$800,151+BB$3,2+BB$2)&lt;&gt;"",INDEX('×入力'!$A$1:$L$800,150,2+BB$2)&lt;&gt;"",INDEX('×入力'!$A$1:$L$800,151+BB$3,1)&lt;&gt;""),1,0),0)</f>
        <v/>
      </c>
      <c r="BC19">
        <f>IF(BC$4=1,IF(OR(INDEX('×入力'!$A$1:$L$800,151+BC$3,2+BC$2)&lt;&gt;"",INDEX('×入力'!$A$1:$L$800,150,2+BC$2)&lt;&gt;"",INDEX('×入力'!$A$1:$L$800,151+BC$3,1)&lt;&gt;""),1,0),0)</f>
        <v/>
      </c>
      <c r="BD19">
        <f>IF(BD$4=1,IF(OR(INDEX('×入力'!$A$1:$L$800,151+BD$3,2+BD$2)&lt;&gt;"",INDEX('×入力'!$A$1:$L$800,150,2+BD$2)&lt;&gt;"",INDEX('×入力'!$A$1:$L$800,151+BD$3,1)&lt;&gt;""),1,0),0)</f>
        <v/>
      </c>
      <c r="BE19">
        <f>IF(BE$4=1,IF(OR(INDEX('×入力'!$A$1:$L$800,151+BE$3,2+BE$2)&lt;&gt;"",INDEX('×入力'!$A$1:$L$800,150,2+BE$2)&lt;&gt;"",INDEX('×入力'!$A$1:$L$800,151+BE$3,1)&lt;&gt;""),1,0),0)</f>
        <v/>
      </c>
      <c r="BF19">
        <f>IF(BF$4=1,IF(OR(INDEX('×入力'!$A$1:$L$800,151+BF$3,2+BF$2)&lt;&gt;"",INDEX('×入力'!$A$1:$L$800,150,2+BF$2)&lt;&gt;"",INDEX('×入力'!$A$1:$L$800,151+BF$3,1)&lt;&gt;""),1,0),0)</f>
        <v/>
      </c>
      <c r="BG19">
        <f>IF(BG$4=1,IF(OR(INDEX('×入力'!$A$1:$L$800,151+BG$3,2+BG$2)&lt;&gt;"",INDEX('×入力'!$A$1:$L$800,150,2+BG$2)&lt;&gt;"",INDEX('×入力'!$A$1:$L$800,151+BG$3,1)&lt;&gt;""),1,0),0)</f>
        <v/>
      </c>
      <c r="BH19">
        <f>IF(BH$4=1,IF(OR(INDEX('×入力'!$A$1:$L$800,151+BH$3,2+BH$2)&lt;&gt;"",INDEX('×入力'!$A$1:$L$800,150,2+BH$2)&lt;&gt;"",INDEX('×入力'!$A$1:$L$800,151+BH$3,1)&lt;&gt;""),1,0),0)</f>
        <v/>
      </c>
      <c r="BI19">
        <f>IF(BI$4=1,IF(OR(INDEX('×入力'!$A$1:$L$800,151+BI$3,2+BI$2)&lt;&gt;"",INDEX('×入力'!$A$1:$L$800,150,2+BI$2)&lt;&gt;"",INDEX('×入力'!$A$1:$L$800,151+BI$3,1)&lt;&gt;""),1,0),0)</f>
        <v/>
      </c>
      <c r="BJ19">
        <f>IF(BJ$4=1,IF(OR(INDEX('×入力'!$A$1:$L$800,151+BJ$3,2+BJ$2)&lt;&gt;"",INDEX('×入力'!$A$1:$L$800,150,2+BJ$2)&lt;&gt;"",INDEX('×入力'!$A$1:$L$800,151+BJ$3,1)&lt;&gt;""),1,0),0)</f>
        <v/>
      </c>
      <c r="BK19">
        <f>IF(BK$4=1,IF(OR(INDEX('×入力'!$A$1:$L$800,151+BK$3,2+BK$2)&lt;&gt;"",INDEX('×入力'!$A$1:$L$800,150,2+BK$2)&lt;&gt;"",INDEX('×入力'!$A$1:$L$800,151+BK$3,1)&lt;&gt;""),1,0),0)</f>
        <v/>
      </c>
      <c r="BL19">
        <f>IF(BL$4=1,IF(OR(INDEX('×入力'!$A$1:$L$800,151+BL$3,2+BL$2)&lt;&gt;"",INDEX('×入力'!$A$1:$L$800,150,2+BL$2)&lt;&gt;"",INDEX('×入力'!$A$1:$L$800,151+BL$3,1)&lt;&gt;""),1,0),0)</f>
        <v/>
      </c>
      <c r="BM19">
        <f>IF(BM$4=1,IF(OR(INDEX('×入力'!$A$1:$L$800,151+BM$3,2+BM$2)&lt;&gt;"",INDEX('×入力'!$A$1:$L$800,150,2+BM$2)&lt;&gt;"",INDEX('×入力'!$A$1:$L$800,151+BM$3,1)&lt;&gt;""),1,0),0)</f>
        <v/>
      </c>
      <c r="BN19">
        <f>IF(BN$4=1,IF(OR(INDEX('×入力'!$A$1:$L$800,151+BN$3,2+BN$2)&lt;&gt;"",INDEX('×入力'!$A$1:$L$800,150,2+BN$2)&lt;&gt;"",INDEX('×入力'!$A$1:$L$800,151+BN$3,1)&lt;&gt;""),1,0),0)</f>
        <v/>
      </c>
      <c r="BO19">
        <f>IF(BO$4=1,IF(OR(INDEX('×入力'!$A$1:$L$800,151+BO$3,2+BO$2)&lt;&gt;"",INDEX('×入力'!$A$1:$L$800,150,2+BO$2)&lt;&gt;"",INDEX('×入力'!$A$1:$L$800,151+BO$3,1)&lt;&gt;""),1,0),0)</f>
        <v/>
      </c>
      <c r="BP19">
        <f>IF(BP$4=1,IF(OR(INDEX('×入力'!$A$1:$L$800,151+BP$3,2+BP$2)&lt;&gt;"",INDEX('×入力'!$A$1:$L$800,150,2+BP$2)&lt;&gt;"",INDEX('×入力'!$A$1:$L$800,151+BP$3,1)&lt;&gt;""),1,0),0)</f>
        <v/>
      </c>
      <c r="BQ19">
        <f>IF(BQ$4=1,IF(OR(INDEX('×入力'!$A$1:$L$800,151+BQ$3,2+BQ$2)&lt;&gt;"",INDEX('×入力'!$A$1:$L$800,150,2+BQ$2)&lt;&gt;"",INDEX('×入力'!$A$1:$L$800,151+BQ$3,1)&lt;&gt;""),1,0),0)</f>
        <v/>
      </c>
      <c r="BR19">
        <f>IF(BR$4=1,IF(OR(INDEX('×入力'!$A$1:$L$800,151+BR$3,2+BR$2)&lt;&gt;"",INDEX('×入力'!$A$1:$L$800,150,2+BR$2)&lt;&gt;"",INDEX('×入力'!$A$1:$L$800,151+BR$3,1)&lt;&gt;""),1,0),0)</f>
        <v/>
      </c>
      <c r="BS19">
        <f>IF(BS$4=1,IF(OR(INDEX('×入力'!$A$1:$L$800,151+BS$3,2+BS$2)&lt;&gt;"",INDEX('×入力'!$A$1:$L$800,150,2+BS$2)&lt;&gt;"",INDEX('×入力'!$A$1:$L$800,151+BS$3,1)&lt;&gt;""),1,0),0)</f>
        <v/>
      </c>
      <c r="BT19">
        <f>IF(BT$4=1,IF(OR(INDEX('×入力'!$A$1:$L$800,151+BT$3,2+BT$2)&lt;&gt;"",INDEX('×入力'!$A$1:$L$800,150,2+BT$2)&lt;&gt;"",INDEX('×入力'!$A$1:$L$800,151+BT$3,1)&lt;&gt;""),1,0),0)</f>
        <v/>
      </c>
      <c r="BU19">
        <f>IF(BU$4=1,IF(OR(INDEX('×入力'!$A$1:$L$800,151+BU$3,2+BU$2)&lt;&gt;"",INDEX('×入力'!$A$1:$L$800,150,2+BU$2)&lt;&gt;"",INDEX('×入力'!$A$1:$L$800,151+BU$3,1)&lt;&gt;""),1,0),0)</f>
        <v/>
      </c>
      <c r="BV19">
        <f>IF(BV$4=1,IF(OR(INDEX('×入力'!$A$1:$L$800,151+BV$3,2+BV$2)&lt;&gt;"",INDEX('×入力'!$A$1:$L$800,150,2+BV$2)&lt;&gt;"",INDEX('×入力'!$A$1:$L$800,151+BV$3,1)&lt;&gt;""),1,0),0)</f>
        <v/>
      </c>
      <c r="BW19">
        <f>IF(BW$4=1,IF(OR(INDEX('×入力'!$A$1:$L$800,151+BW$3,2+BW$2)&lt;&gt;"",INDEX('×入力'!$A$1:$L$800,150,2+BW$2)&lt;&gt;"",INDEX('×入力'!$A$1:$L$800,151+BW$3,1)&lt;&gt;""),1,0),0)</f>
        <v/>
      </c>
      <c r="BX19">
        <f>IF(BX$4=1,IF(OR(INDEX('×入力'!$A$1:$L$800,151+BX$3,2+BX$2)&lt;&gt;"",INDEX('×入力'!$A$1:$L$800,150,2+BX$2)&lt;&gt;"",INDEX('×入力'!$A$1:$L$800,151+BX$3,1)&lt;&gt;""),1,0),0)</f>
        <v/>
      </c>
      <c r="BY19">
        <f>IF(BY$4=1,IF(OR(INDEX('×入力'!$A$1:$L$800,151+BY$3,2+BY$2)&lt;&gt;"",INDEX('×入力'!$A$1:$L$800,150,2+BY$2)&lt;&gt;"",INDEX('×入力'!$A$1:$L$800,151+BY$3,1)&lt;&gt;""),1,0),0)</f>
        <v/>
      </c>
      <c r="BZ19">
        <f>IF(BZ$4=1,IF(OR(INDEX('×入力'!$A$1:$L$800,151+BZ$3,2+BZ$2)&lt;&gt;"",INDEX('×入力'!$A$1:$L$800,150,2+BZ$2)&lt;&gt;"",INDEX('×入力'!$A$1:$L$800,151+BZ$3,1)&lt;&gt;""),1,0),0)</f>
        <v/>
      </c>
      <c r="CA19">
        <f>IF(CA$4=1,IF(OR(INDEX('×入力'!$A$1:$L$800,151+CA$3,2+CA$2)&lt;&gt;"",INDEX('×入力'!$A$1:$L$800,150,2+CA$2)&lt;&gt;"",INDEX('×入力'!$A$1:$L$800,151+CA$3,1)&lt;&gt;""),1,0),0)</f>
        <v/>
      </c>
      <c r="CB19">
        <f>IF(CB$4=1,IF(OR(INDEX('×入力'!$A$1:$L$800,151+CB$3,2+CB$2)&lt;&gt;"",INDEX('×入力'!$A$1:$L$800,150,2+CB$2)&lt;&gt;"",INDEX('×入力'!$A$1:$L$800,151+CB$3,1)&lt;&gt;""),1,0),0)</f>
        <v/>
      </c>
      <c r="CC19">
        <f>IF(CC$4=1,IF(OR(INDEX('×入力'!$A$1:$L$800,151+CC$3,2+CC$2)&lt;&gt;"",INDEX('×入力'!$A$1:$L$800,150,2+CC$2)&lt;&gt;"",INDEX('×入力'!$A$1:$L$800,151+CC$3,1)&lt;&gt;""),1,0),0)</f>
        <v/>
      </c>
      <c r="CD19">
        <f>IF(CD$4=1,IF(OR(INDEX('×入力'!$A$1:$L$800,151+CD$3,2+CD$2)&lt;&gt;"",INDEX('×入力'!$A$1:$L$800,150,2+CD$2)&lt;&gt;"",INDEX('×入力'!$A$1:$L$800,151+CD$3,1)&lt;&gt;""),1,0),0)</f>
        <v/>
      </c>
      <c r="CE19">
        <f>IF(CE$4=1,IF(OR(INDEX('×入力'!$A$1:$L$800,151+CE$3,2+CE$2)&lt;&gt;"",INDEX('×入力'!$A$1:$L$800,150,2+CE$2)&lt;&gt;"",INDEX('×入力'!$A$1:$L$800,151+CE$3,1)&lt;&gt;""),1,0),0)</f>
        <v/>
      </c>
      <c r="CF19">
        <f>IF(CF$4=1,IF(OR(INDEX('×入力'!$A$1:$L$800,151+CF$3,2+CF$2)&lt;&gt;"",INDEX('×入力'!$A$1:$L$800,150,2+CF$2)&lt;&gt;"",INDEX('×入力'!$A$1:$L$800,151+CF$3,1)&lt;&gt;""),1,0),0)</f>
        <v/>
      </c>
      <c r="CG19">
        <f>IF(CG$4=1,IF(OR(INDEX('×入力'!$A$1:$L$800,151+CG$3,2+CG$2)&lt;&gt;"",INDEX('×入力'!$A$1:$L$800,150,2+CG$2)&lt;&gt;"",INDEX('×入力'!$A$1:$L$800,151+CG$3,1)&lt;&gt;""),1,0),0)</f>
        <v/>
      </c>
      <c r="CH19">
        <f>IF(CH$4=1,IF(OR(INDEX('×入力'!$A$1:$L$800,151+CH$3,2+CH$2)&lt;&gt;"",INDEX('×入力'!$A$1:$L$800,150,2+CH$2)&lt;&gt;"",INDEX('×入力'!$A$1:$L$800,151+CH$3,1)&lt;&gt;""),1,0),0)</f>
        <v/>
      </c>
      <c r="CI19">
        <f>IF(CI$4=1,IF(OR(INDEX('×入力'!$A$1:$L$800,151+CI$3,2+CI$2)&lt;&gt;"",INDEX('×入力'!$A$1:$L$800,150,2+CI$2)&lt;&gt;"",INDEX('×入力'!$A$1:$L$800,151+CI$3,1)&lt;&gt;""),1,0),0)</f>
        <v/>
      </c>
      <c r="CJ19">
        <f>IF(CJ$4=1,IF(OR(INDEX('×入力'!$A$1:$L$800,151+CJ$3,2+CJ$2)&lt;&gt;"",INDEX('×入力'!$A$1:$L$800,150,2+CJ$2)&lt;&gt;"",INDEX('×入力'!$A$1:$L$800,151+CJ$3,1)&lt;&gt;""),1,0),0)</f>
        <v/>
      </c>
      <c r="CK19">
        <f>IF(CK$4=1,IF(OR(INDEX('×入力'!$A$1:$L$800,151+CK$3,2+CK$2)&lt;&gt;"",INDEX('×入力'!$A$1:$L$800,150,2+CK$2)&lt;&gt;"",INDEX('×入力'!$A$1:$L$800,151+CK$3,1)&lt;&gt;""),1,0),0)</f>
        <v/>
      </c>
      <c r="CL19">
        <f>IF(CL$4=1,IF(OR(INDEX('×入力'!$A$1:$L$800,151+CL$3,2+CL$2)&lt;&gt;"",INDEX('×入力'!$A$1:$L$800,150,2+CL$2)&lt;&gt;"",INDEX('×入力'!$A$1:$L$800,151+CL$3,1)&lt;&gt;""),1,0),0)</f>
        <v/>
      </c>
      <c r="CM19">
        <f>IF(CM$4=1,IF(OR(INDEX('×入力'!$A$1:$L$800,151+CM$3,2+CM$2)&lt;&gt;"",INDEX('×入力'!$A$1:$L$800,150,2+CM$2)&lt;&gt;"",INDEX('×入力'!$A$1:$L$800,151+CM$3,1)&lt;&gt;""),1,0),0)</f>
        <v/>
      </c>
      <c r="CN19">
        <f>IF(CN$4=1,IF(OR(INDEX('×入力'!$A$1:$L$800,151+CN$3,2+CN$2)&lt;&gt;"",INDEX('×入力'!$A$1:$L$800,150,2+CN$2)&lt;&gt;"",INDEX('×入力'!$A$1:$L$800,151+CN$3,1)&lt;&gt;""),1,0),0)</f>
        <v/>
      </c>
      <c r="CO19">
        <f>IF(CO$4=1,IF(OR(INDEX('×入力'!$A$1:$L$800,151+CO$3,2+CO$2)&lt;&gt;"",INDEX('×入力'!$A$1:$L$800,150,2+CO$2)&lt;&gt;"",INDEX('×入力'!$A$1:$L$800,151+CO$3,1)&lt;&gt;""),1,0),0)</f>
        <v/>
      </c>
      <c r="CP19">
        <f>IF(CP$4=1,IF(OR(INDEX('×入力'!$A$1:$L$800,151+CP$3,2+CP$2)&lt;&gt;"",INDEX('×入力'!$A$1:$L$800,150,2+CP$2)&lt;&gt;"",INDEX('×入力'!$A$1:$L$800,151+CP$3,1)&lt;&gt;""),1,0),0)</f>
        <v/>
      </c>
      <c r="CQ19">
        <f>IF(CQ$4=1,IF(OR(INDEX('×入力'!$A$1:$L$800,151+CQ$3,2+CQ$2)&lt;&gt;"",INDEX('×入力'!$A$1:$L$800,150,2+CQ$2)&lt;&gt;"",INDEX('×入力'!$A$1:$L$800,151+CQ$3,1)&lt;&gt;""),1,0),0)</f>
        <v/>
      </c>
      <c r="CR19">
        <f>IF(CR$4=1,IF(OR(INDEX('×入力'!$A$1:$L$800,151+CR$3,2+CR$2)&lt;&gt;"",INDEX('×入力'!$A$1:$L$800,150,2+CR$2)&lt;&gt;"",INDEX('×入力'!$A$1:$L$800,151+CR$3,1)&lt;&gt;""),1,0),0)</f>
        <v/>
      </c>
      <c r="CS19">
        <f>IF(CS$4=1,IF(OR(INDEX('×入力'!$A$1:$L$800,151+CS$3,2+CS$2)&lt;&gt;"",INDEX('×入力'!$A$1:$L$800,150,2+CS$2)&lt;&gt;"",INDEX('×入力'!$A$1:$L$800,151+CS$3,1)&lt;&gt;""),1,0),0)</f>
        <v/>
      </c>
      <c r="CT19">
        <f>IF(CT$4=1,IF(OR(INDEX('×入力'!$A$1:$L$800,151+CT$3,2+CT$2)&lt;&gt;"",INDEX('×入力'!$A$1:$L$800,150,2+CT$2)&lt;&gt;"",INDEX('×入力'!$A$1:$L$800,151+CT$3,1)&lt;&gt;""),1,0),0)</f>
        <v/>
      </c>
      <c r="CU19">
        <f>IF(CU$4=1,IF(OR(INDEX('×入力'!$A$1:$L$800,151+CU$3,2+CU$2)&lt;&gt;"",INDEX('×入力'!$A$1:$L$800,150,2+CU$2)&lt;&gt;"",INDEX('×入力'!$A$1:$L$800,151+CU$3,1)&lt;&gt;""),1,0),0)</f>
        <v/>
      </c>
      <c r="CV19">
        <f>IF(CV$4=1,IF(OR(INDEX('×入力'!$A$1:$L$800,151+CV$3,2+CV$2)&lt;&gt;"",INDEX('×入力'!$A$1:$L$800,150,2+CV$2)&lt;&gt;"",INDEX('×入力'!$A$1:$L$800,151+CV$3,1)&lt;&gt;""),1,0),0)</f>
        <v/>
      </c>
      <c r="CW19">
        <f>IF(CW$4=1,IF(OR(INDEX('×入力'!$A$1:$L$800,151+CW$3,2+CW$2)&lt;&gt;"",INDEX('×入力'!$A$1:$L$800,150,2+CW$2)&lt;&gt;"",INDEX('×入力'!$A$1:$L$800,151+CW$3,1)&lt;&gt;""),1,0),0)</f>
        <v/>
      </c>
      <c r="CX19">
        <f>IF(CX$4=1,IF(OR(INDEX('×入力'!$A$1:$L$800,151+CX$3,2+CX$2)&lt;&gt;"",INDEX('×入力'!$A$1:$L$800,150,2+CX$2)&lt;&gt;"",INDEX('×入力'!$A$1:$L$800,151+CX$3,1)&lt;&gt;""),1,0),0)</f>
        <v/>
      </c>
      <c r="CY19">
        <f>IF(CY$4=1,IF(OR(INDEX('×入力'!$A$1:$L$800,151+CY$3,2+CY$2)&lt;&gt;"",INDEX('×入力'!$A$1:$L$800,150,2+CY$2)&lt;&gt;"",INDEX('×入力'!$A$1:$L$800,151+CY$3,1)&lt;&gt;""),1,0),0)</f>
        <v/>
      </c>
      <c r="CZ19">
        <f>IF(CZ$4=1,IF(OR(INDEX('×入力'!$A$1:$L$800,151+CZ$3,2+CZ$2)&lt;&gt;"",INDEX('×入力'!$A$1:$L$800,150,2+CZ$2)&lt;&gt;"",INDEX('×入力'!$A$1:$L$800,151+CZ$3,1)&lt;&gt;""),1,0),0)</f>
        <v/>
      </c>
      <c r="DA19">
        <f>IF(DA$4=1,IF(OR(INDEX('×入力'!$A$1:$L$800,151+DA$3,2+DA$2)&lt;&gt;"",INDEX('×入力'!$A$1:$L$800,150,2+DA$2)&lt;&gt;"",INDEX('×入力'!$A$1:$L$800,151+DA$3,1)&lt;&gt;""),1,0),0)</f>
        <v/>
      </c>
      <c r="DB19">
        <f>IF(DB$4=1,IF(OR(INDEX('×入力'!$A$1:$L$800,151+DB$3,2+DB$2)&lt;&gt;"",INDEX('×入力'!$A$1:$L$800,150,2+DB$2)&lt;&gt;"",INDEX('×入力'!$A$1:$L$800,151+DB$3,1)&lt;&gt;""),1,0),0)</f>
        <v/>
      </c>
      <c r="DC19">
        <f>IF(DC$4=1,IF(OR(INDEX('×入力'!$A$1:$L$800,151+DC$3,2+DC$2)&lt;&gt;"",INDEX('×入力'!$A$1:$L$800,150,2+DC$2)&lt;&gt;"",INDEX('×入力'!$A$1:$L$800,151+DC$3,1)&lt;&gt;""),1,0),0)</f>
        <v/>
      </c>
      <c r="DD19">
        <f>IF(DD$4=1,IF(OR(INDEX('×入力'!$A$1:$L$800,151+DD$3,2+DD$2)&lt;&gt;"",INDEX('×入力'!$A$1:$L$800,150,2+DD$2)&lt;&gt;"",INDEX('×入力'!$A$1:$L$800,151+DD$3,1)&lt;&gt;""),1,0),0)</f>
        <v/>
      </c>
      <c r="DE19">
        <f>IF(DE$4=1,IF(OR(INDEX('×入力'!$A$1:$L$800,151+DE$3,2+DE$2)&lt;&gt;"",INDEX('×入力'!$A$1:$L$800,150,2+DE$2)&lt;&gt;"",INDEX('×入力'!$A$1:$L$800,151+DE$3,1)&lt;&gt;""),1,0),0)</f>
        <v/>
      </c>
      <c r="DF19">
        <f>IF(DF$4=1,IF(OR(INDEX('×入力'!$A$1:$L$800,151+DF$3,2+DF$2)&lt;&gt;"",INDEX('×入力'!$A$1:$L$800,150,2+DF$2)&lt;&gt;"",INDEX('×入力'!$A$1:$L$800,151+DF$3,1)&lt;&gt;""),1,0),0)</f>
        <v/>
      </c>
      <c r="DG19">
        <f>IF(DG$4=1,IF(OR(INDEX('×入力'!$A$1:$L$800,151+DG$3,2+DG$2)&lt;&gt;"",INDEX('×入力'!$A$1:$L$800,150,2+DG$2)&lt;&gt;"",INDEX('×入力'!$A$1:$L$800,151+DG$3,1)&lt;&gt;""),1,0),0)</f>
        <v/>
      </c>
      <c r="DH19">
        <f>IF(DH$4=1,IF(OR(INDEX('×入力'!$A$1:$L$800,151+DH$3,2+DH$2)&lt;&gt;"",INDEX('×入力'!$A$1:$L$800,150,2+DH$2)&lt;&gt;"",INDEX('×入力'!$A$1:$L$800,151+DH$3,1)&lt;&gt;""),1,0),0)</f>
        <v/>
      </c>
      <c r="DI19">
        <f>IF(DI$4=1,IF(OR(INDEX('×入力'!$A$1:$L$800,151+DI$3,2+DI$2)&lt;&gt;"",INDEX('×入力'!$A$1:$L$800,150,2+DI$2)&lt;&gt;"",INDEX('×入力'!$A$1:$L$800,151+DI$3,1)&lt;&gt;""),1,0),0)</f>
        <v/>
      </c>
      <c r="DJ19">
        <f>IF(DJ$4=1,IF(OR(INDEX('×入力'!$A$1:$L$800,151+DJ$3,2+DJ$2)&lt;&gt;"",INDEX('×入力'!$A$1:$L$800,150,2+DJ$2)&lt;&gt;"",INDEX('×入力'!$A$1:$L$800,151+DJ$3,1)&lt;&gt;""),1,0),0)</f>
        <v/>
      </c>
      <c r="DK19">
        <f>IF(DK$4=1,IF(OR(INDEX('×入力'!$A$1:$L$800,151+DK$3,2+DK$2)&lt;&gt;"",INDEX('×入力'!$A$1:$L$800,150,2+DK$2)&lt;&gt;"",INDEX('×入力'!$A$1:$L$800,151+DK$3,1)&lt;&gt;""),1,0),0)</f>
        <v/>
      </c>
      <c r="DL19">
        <f>IF(DL$4=1,IF(OR(INDEX('×入力'!$A$1:$L$800,151+DL$3,2+DL$2)&lt;&gt;"",INDEX('×入力'!$A$1:$L$800,150,2+DL$2)&lt;&gt;"",INDEX('×入力'!$A$1:$L$800,151+DL$3,1)&lt;&gt;""),1,0),0)</f>
        <v/>
      </c>
      <c r="DM19">
        <f>IF(DM$4=1,IF(OR(INDEX('×入力'!$A$1:$L$800,151+DM$3,2+DM$2)&lt;&gt;"",INDEX('×入力'!$A$1:$L$800,150,2+DM$2)&lt;&gt;"",INDEX('×入力'!$A$1:$L$800,151+DM$3,1)&lt;&gt;""),1,0),0)</f>
        <v/>
      </c>
      <c r="DN19">
        <f>IF(DN$4=1,IF(OR(INDEX('×入力'!$A$1:$L$800,151+DN$3,2+DN$2)&lt;&gt;"",INDEX('×入力'!$A$1:$L$800,150,2+DN$2)&lt;&gt;"",INDEX('×入力'!$A$1:$L$800,151+DN$3,1)&lt;&gt;""),1,0),0)</f>
        <v/>
      </c>
      <c r="DO19">
        <f>IF(DO$4=1,IF(OR(INDEX('×入力'!$A$1:$L$800,151+DO$3,2+DO$2)&lt;&gt;"",INDEX('×入力'!$A$1:$L$800,150,2+DO$2)&lt;&gt;"",INDEX('×入力'!$A$1:$L$800,151+DO$3,1)&lt;&gt;""),1,0),0)</f>
        <v/>
      </c>
      <c r="DP19">
        <f>IF(DP$4=1,IF(OR(INDEX('×入力'!$A$1:$L$800,151+DP$3,2+DP$2)&lt;&gt;"",INDEX('×入力'!$A$1:$L$800,150,2+DP$2)&lt;&gt;"",INDEX('×入力'!$A$1:$L$800,151+DP$3,1)&lt;&gt;""),1,0),0)</f>
        <v/>
      </c>
      <c r="DQ19">
        <f>IF(DQ$4=1,IF(OR(INDEX('×入力'!$A$1:$L$800,151+DQ$3,2+DQ$2)&lt;&gt;"",INDEX('×入力'!$A$1:$L$800,150,2+DQ$2)&lt;&gt;"",INDEX('×入力'!$A$1:$L$800,151+DQ$3,1)&lt;&gt;""),1,0),0)</f>
        <v/>
      </c>
      <c r="DR19">
        <f>IF(DR$4=1,IF(OR(INDEX('×入力'!$A$1:$L$800,151+DR$3,2+DR$2)&lt;&gt;"",INDEX('×入力'!$A$1:$L$800,150,2+DR$2)&lt;&gt;"",INDEX('×入力'!$A$1:$L$800,151+DR$3,1)&lt;&gt;""),1,0),0)</f>
        <v/>
      </c>
      <c r="DS19">
        <f>IF(DS$4=1,IF(OR(INDEX('×入力'!$A$1:$L$800,151+DS$3,2+DS$2)&lt;&gt;"",INDEX('×入力'!$A$1:$L$800,150,2+DS$2)&lt;&gt;"",INDEX('×入力'!$A$1:$L$800,151+DS$3,1)&lt;&gt;""),1,0),0)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IF(D$4=1,IF(OR(INDEX('×入力'!$A$1:$L$800,167+D$3,2+D$2)&lt;&gt;"",INDEX('×入力'!$A$1:$L$800,166,2+D$2)&lt;&gt;"",INDEX('×入力'!$A$1:$L$800,167+D$3,1)&lt;&gt;""),1,0),0)</f>
        <v/>
      </c>
      <c r="E20">
        <f>IF(E$4=1,IF(OR(INDEX('×入力'!$A$1:$L$800,167+E$3,2+E$2)&lt;&gt;"",INDEX('×入力'!$A$1:$L$800,166,2+E$2)&lt;&gt;"",INDEX('×入力'!$A$1:$L$800,167+E$3,1)&lt;&gt;""),1,0),0)</f>
        <v/>
      </c>
      <c r="F20">
        <f>IF(F$4=1,IF(OR(INDEX('×入力'!$A$1:$L$800,167+F$3,2+F$2)&lt;&gt;"",INDEX('×入力'!$A$1:$L$800,166,2+F$2)&lt;&gt;"",INDEX('×入力'!$A$1:$L$800,167+F$3,1)&lt;&gt;""),1,0),0)</f>
        <v/>
      </c>
      <c r="G20">
        <f>IF(G$4=1,IF(OR(INDEX('×入力'!$A$1:$L$800,167+G$3,2+G$2)&lt;&gt;"",INDEX('×入力'!$A$1:$L$800,166,2+G$2)&lt;&gt;"",INDEX('×入力'!$A$1:$L$800,167+G$3,1)&lt;&gt;""),1,0),0)</f>
        <v/>
      </c>
      <c r="H20">
        <f>IF(H$4=1,IF(OR(INDEX('×入力'!$A$1:$L$800,167+H$3,2+H$2)&lt;&gt;"",INDEX('×入力'!$A$1:$L$800,166,2+H$2)&lt;&gt;"",INDEX('×入力'!$A$1:$L$800,167+H$3,1)&lt;&gt;""),1,0),0)</f>
        <v/>
      </c>
      <c r="I20">
        <f>IF(I$4=1,IF(OR(INDEX('×入力'!$A$1:$L$800,167+I$3,2+I$2)&lt;&gt;"",INDEX('×入力'!$A$1:$L$800,166,2+I$2)&lt;&gt;"",INDEX('×入力'!$A$1:$L$800,167+I$3,1)&lt;&gt;""),1,0),0)</f>
        <v/>
      </c>
      <c r="J20">
        <f>IF(J$4=1,IF(OR(INDEX('×入力'!$A$1:$L$800,167+J$3,2+J$2)&lt;&gt;"",INDEX('×入力'!$A$1:$L$800,166,2+J$2)&lt;&gt;"",INDEX('×入力'!$A$1:$L$800,167+J$3,1)&lt;&gt;""),1,0),0)</f>
        <v/>
      </c>
      <c r="K20">
        <f>IF(K$4=1,IF(OR(INDEX('×入力'!$A$1:$L$800,167+K$3,2+K$2)&lt;&gt;"",INDEX('×入力'!$A$1:$L$800,166,2+K$2)&lt;&gt;"",INDEX('×入力'!$A$1:$L$800,167+K$3,1)&lt;&gt;""),1,0),0)</f>
        <v/>
      </c>
      <c r="L20">
        <f>IF(L$4=1,IF(OR(INDEX('×入力'!$A$1:$L$800,167+L$3,2+L$2)&lt;&gt;"",INDEX('×入力'!$A$1:$L$800,166,2+L$2)&lt;&gt;"",INDEX('×入力'!$A$1:$L$800,167+L$3,1)&lt;&gt;""),1,0),0)</f>
        <v/>
      </c>
      <c r="M20">
        <f>IF(M$4=1,IF(OR(INDEX('×入力'!$A$1:$L$800,167+M$3,2+M$2)&lt;&gt;"",INDEX('×入力'!$A$1:$L$800,166,2+M$2)&lt;&gt;"",INDEX('×入力'!$A$1:$L$800,167+M$3,1)&lt;&gt;""),1,0),0)</f>
        <v/>
      </c>
      <c r="N20">
        <f>IF(N$4=1,IF(OR(INDEX('×入力'!$A$1:$L$800,167+N$3,2+N$2)&lt;&gt;"",INDEX('×入力'!$A$1:$L$800,166,2+N$2)&lt;&gt;"",INDEX('×入力'!$A$1:$L$800,167+N$3,1)&lt;&gt;""),1,0),0)</f>
        <v/>
      </c>
      <c r="O20">
        <f>IF(O$4=1,IF(OR(INDEX('×入力'!$A$1:$L$800,167+O$3,2+O$2)&lt;&gt;"",INDEX('×入力'!$A$1:$L$800,166,2+O$2)&lt;&gt;"",INDEX('×入力'!$A$1:$L$800,167+O$3,1)&lt;&gt;""),1,0),0)</f>
        <v/>
      </c>
      <c r="P20">
        <f>IF(P$4=1,IF(OR(INDEX('×入力'!$A$1:$L$800,167+P$3,2+P$2)&lt;&gt;"",INDEX('×入力'!$A$1:$L$800,166,2+P$2)&lt;&gt;"",INDEX('×入力'!$A$1:$L$800,167+P$3,1)&lt;&gt;""),1,0),0)</f>
        <v/>
      </c>
      <c r="Q20">
        <f>IF(Q$4=1,IF(OR(INDEX('×入力'!$A$1:$L$800,167+Q$3,2+Q$2)&lt;&gt;"",INDEX('×入力'!$A$1:$L$800,166,2+Q$2)&lt;&gt;"",INDEX('×入力'!$A$1:$L$800,167+Q$3,1)&lt;&gt;""),1,0),0)</f>
        <v/>
      </c>
      <c r="R20">
        <f>IF(R$4=1,IF(OR(INDEX('×入力'!$A$1:$L$800,167+R$3,2+R$2)&lt;&gt;"",INDEX('×入力'!$A$1:$L$800,166,2+R$2)&lt;&gt;"",INDEX('×入力'!$A$1:$L$800,167+R$3,1)&lt;&gt;""),1,0),0)</f>
        <v/>
      </c>
      <c r="S20">
        <f>IF(S$4=1,IF(OR(INDEX('×入力'!$A$1:$L$800,167+S$3,2+S$2)&lt;&gt;"",INDEX('×入力'!$A$1:$L$800,166,2+S$2)&lt;&gt;"",INDEX('×入力'!$A$1:$L$800,167+S$3,1)&lt;&gt;""),1,0),0)</f>
        <v/>
      </c>
      <c r="T20">
        <f>IF(T$4=1,IF(OR(INDEX('×入力'!$A$1:$L$800,167+T$3,2+T$2)&lt;&gt;"",INDEX('×入力'!$A$1:$L$800,166,2+T$2)&lt;&gt;"",INDEX('×入力'!$A$1:$L$800,167+T$3,1)&lt;&gt;""),1,0),0)</f>
        <v/>
      </c>
      <c r="U20">
        <f>IF(U$4=1,IF(OR(INDEX('×入力'!$A$1:$L$800,167+U$3,2+U$2)&lt;&gt;"",INDEX('×入力'!$A$1:$L$800,166,2+U$2)&lt;&gt;"",INDEX('×入力'!$A$1:$L$800,167+U$3,1)&lt;&gt;""),1,0),0)</f>
        <v/>
      </c>
      <c r="V20">
        <f>IF(V$4=1,IF(OR(INDEX('×入力'!$A$1:$L$800,167+V$3,2+V$2)&lt;&gt;"",INDEX('×入力'!$A$1:$L$800,166,2+V$2)&lt;&gt;"",INDEX('×入力'!$A$1:$L$800,167+V$3,1)&lt;&gt;""),1,0),0)</f>
        <v/>
      </c>
      <c r="W20">
        <f>IF(W$4=1,IF(OR(INDEX('×入力'!$A$1:$L$800,167+W$3,2+W$2)&lt;&gt;"",INDEX('×入力'!$A$1:$L$800,166,2+W$2)&lt;&gt;"",INDEX('×入力'!$A$1:$L$800,167+W$3,1)&lt;&gt;""),1,0),0)</f>
        <v/>
      </c>
      <c r="X20">
        <f>IF(X$4=1,IF(OR(INDEX('×入力'!$A$1:$L$800,167+X$3,2+X$2)&lt;&gt;"",INDEX('×入力'!$A$1:$L$800,166,2+X$2)&lt;&gt;"",INDEX('×入力'!$A$1:$L$800,167+X$3,1)&lt;&gt;""),1,0),0)</f>
        <v/>
      </c>
      <c r="Y20">
        <f>IF(Y$4=1,IF(OR(INDEX('×入力'!$A$1:$L$800,167+Y$3,2+Y$2)&lt;&gt;"",INDEX('×入力'!$A$1:$L$800,166,2+Y$2)&lt;&gt;"",INDEX('×入力'!$A$1:$L$800,167+Y$3,1)&lt;&gt;""),1,0),0)</f>
        <v/>
      </c>
      <c r="Z20">
        <f>IF(Z$4=1,IF(OR(INDEX('×入力'!$A$1:$L$800,167+Z$3,2+Z$2)&lt;&gt;"",INDEX('×入力'!$A$1:$L$800,166,2+Z$2)&lt;&gt;"",INDEX('×入力'!$A$1:$L$800,167+Z$3,1)&lt;&gt;""),1,0),0)</f>
        <v/>
      </c>
      <c r="AA20">
        <f>IF(AA$4=1,IF(OR(INDEX('×入力'!$A$1:$L$800,167+AA$3,2+AA$2)&lt;&gt;"",INDEX('×入力'!$A$1:$L$800,166,2+AA$2)&lt;&gt;"",INDEX('×入力'!$A$1:$L$800,167+AA$3,1)&lt;&gt;""),1,0),0)</f>
        <v/>
      </c>
      <c r="AB20">
        <f>IF(AB$4=1,IF(OR(INDEX('×入力'!$A$1:$L$800,167+AB$3,2+AB$2)&lt;&gt;"",INDEX('×入力'!$A$1:$L$800,166,2+AB$2)&lt;&gt;"",INDEX('×入力'!$A$1:$L$800,167+AB$3,1)&lt;&gt;""),1,0),0)</f>
        <v/>
      </c>
      <c r="AC20">
        <f>IF(AC$4=1,IF(OR(INDEX('×入力'!$A$1:$L$800,167+AC$3,2+AC$2)&lt;&gt;"",INDEX('×入力'!$A$1:$L$800,166,2+AC$2)&lt;&gt;"",INDEX('×入力'!$A$1:$L$800,167+AC$3,1)&lt;&gt;""),1,0),0)</f>
        <v/>
      </c>
      <c r="AD20">
        <f>IF(AD$4=1,IF(OR(INDEX('×入力'!$A$1:$L$800,167+AD$3,2+AD$2)&lt;&gt;"",INDEX('×入力'!$A$1:$L$800,166,2+AD$2)&lt;&gt;"",INDEX('×入力'!$A$1:$L$800,167+AD$3,1)&lt;&gt;""),1,0),0)</f>
        <v/>
      </c>
      <c r="AE20">
        <f>IF(AE$4=1,IF(OR(INDEX('×入力'!$A$1:$L$800,167+AE$3,2+AE$2)&lt;&gt;"",INDEX('×入力'!$A$1:$L$800,166,2+AE$2)&lt;&gt;"",INDEX('×入力'!$A$1:$L$800,167+AE$3,1)&lt;&gt;""),1,0),0)</f>
        <v/>
      </c>
      <c r="AF20">
        <f>IF(AF$4=1,IF(OR(INDEX('×入力'!$A$1:$L$800,167+AF$3,2+AF$2)&lt;&gt;"",INDEX('×入力'!$A$1:$L$800,166,2+AF$2)&lt;&gt;"",INDEX('×入力'!$A$1:$L$800,167+AF$3,1)&lt;&gt;""),1,0),0)</f>
        <v/>
      </c>
      <c r="AG20">
        <f>IF(AG$4=1,IF(OR(INDEX('×入力'!$A$1:$L$800,167+AG$3,2+AG$2)&lt;&gt;"",INDEX('×入力'!$A$1:$L$800,166,2+AG$2)&lt;&gt;"",INDEX('×入力'!$A$1:$L$800,167+AG$3,1)&lt;&gt;""),1,0),0)</f>
        <v/>
      </c>
      <c r="AH20">
        <f>IF(AH$4=1,IF(OR(INDEX('×入力'!$A$1:$L$800,167+AH$3,2+AH$2)&lt;&gt;"",INDEX('×入力'!$A$1:$L$800,166,2+AH$2)&lt;&gt;"",INDEX('×入力'!$A$1:$L$800,167+AH$3,1)&lt;&gt;""),1,0),0)</f>
        <v/>
      </c>
      <c r="AI20">
        <f>IF(AI$4=1,IF(OR(INDEX('×入力'!$A$1:$L$800,167+AI$3,2+AI$2)&lt;&gt;"",INDEX('×入力'!$A$1:$L$800,166,2+AI$2)&lt;&gt;"",INDEX('×入力'!$A$1:$L$800,167+AI$3,1)&lt;&gt;""),1,0),0)</f>
        <v/>
      </c>
      <c r="AJ20">
        <f>IF(AJ$4=1,IF(OR(INDEX('×入力'!$A$1:$L$800,167+AJ$3,2+AJ$2)&lt;&gt;"",INDEX('×入力'!$A$1:$L$800,166,2+AJ$2)&lt;&gt;"",INDEX('×入力'!$A$1:$L$800,167+AJ$3,1)&lt;&gt;""),1,0),0)</f>
        <v/>
      </c>
      <c r="AK20">
        <f>IF(AK$4=1,IF(OR(INDEX('×入力'!$A$1:$L$800,167+AK$3,2+AK$2)&lt;&gt;"",INDEX('×入力'!$A$1:$L$800,166,2+AK$2)&lt;&gt;"",INDEX('×入力'!$A$1:$L$800,167+AK$3,1)&lt;&gt;""),1,0),0)</f>
        <v/>
      </c>
      <c r="AL20">
        <f>IF(AL$4=1,IF(OR(INDEX('×入力'!$A$1:$L$800,167+AL$3,2+AL$2)&lt;&gt;"",INDEX('×入力'!$A$1:$L$800,166,2+AL$2)&lt;&gt;"",INDEX('×入力'!$A$1:$L$800,167+AL$3,1)&lt;&gt;""),1,0),0)</f>
        <v/>
      </c>
      <c r="AM20">
        <f>IF(AM$4=1,IF(OR(INDEX('×入力'!$A$1:$L$800,167+AM$3,2+AM$2)&lt;&gt;"",INDEX('×入力'!$A$1:$L$800,166,2+AM$2)&lt;&gt;"",INDEX('×入力'!$A$1:$L$800,167+AM$3,1)&lt;&gt;""),1,0),0)</f>
        <v/>
      </c>
      <c r="AN20">
        <f>IF(AN$4=1,IF(OR(INDEX('×入力'!$A$1:$L$800,167+AN$3,2+AN$2)&lt;&gt;"",INDEX('×入力'!$A$1:$L$800,166,2+AN$2)&lt;&gt;"",INDEX('×入力'!$A$1:$L$800,167+AN$3,1)&lt;&gt;""),1,0),0)</f>
        <v/>
      </c>
      <c r="AO20">
        <f>IF(AO$4=1,IF(OR(INDEX('×入力'!$A$1:$L$800,167+AO$3,2+AO$2)&lt;&gt;"",INDEX('×入力'!$A$1:$L$800,166,2+AO$2)&lt;&gt;"",INDEX('×入力'!$A$1:$L$800,167+AO$3,1)&lt;&gt;""),1,0),0)</f>
        <v/>
      </c>
      <c r="AP20">
        <f>IF(AP$4=1,IF(OR(INDEX('×入力'!$A$1:$L$800,167+AP$3,2+AP$2)&lt;&gt;"",INDEX('×入力'!$A$1:$L$800,166,2+AP$2)&lt;&gt;"",INDEX('×入力'!$A$1:$L$800,167+AP$3,1)&lt;&gt;""),1,0),0)</f>
        <v/>
      </c>
      <c r="AQ20">
        <f>IF(AQ$4=1,IF(OR(INDEX('×入力'!$A$1:$L$800,167+AQ$3,2+AQ$2)&lt;&gt;"",INDEX('×入力'!$A$1:$L$800,166,2+AQ$2)&lt;&gt;"",INDEX('×入力'!$A$1:$L$800,167+AQ$3,1)&lt;&gt;""),1,0),0)</f>
        <v/>
      </c>
      <c r="AR20">
        <f>IF(AR$4=1,IF(OR(INDEX('×入力'!$A$1:$L$800,167+AR$3,2+AR$2)&lt;&gt;"",INDEX('×入力'!$A$1:$L$800,166,2+AR$2)&lt;&gt;"",INDEX('×入力'!$A$1:$L$800,167+AR$3,1)&lt;&gt;""),1,0),0)</f>
        <v/>
      </c>
      <c r="AS20">
        <f>IF(AS$4=1,IF(OR(INDEX('×入力'!$A$1:$L$800,167+AS$3,2+AS$2)&lt;&gt;"",INDEX('×入力'!$A$1:$L$800,166,2+AS$2)&lt;&gt;"",INDEX('×入力'!$A$1:$L$800,167+AS$3,1)&lt;&gt;""),1,0),0)</f>
        <v/>
      </c>
      <c r="AT20">
        <f>IF(AT$4=1,IF(OR(INDEX('×入力'!$A$1:$L$800,167+AT$3,2+AT$2)&lt;&gt;"",INDEX('×入力'!$A$1:$L$800,166,2+AT$2)&lt;&gt;"",INDEX('×入力'!$A$1:$L$800,167+AT$3,1)&lt;&gt;""),1,0),0)</f>
        <v/>
      </c>
      <c r="AU20">
        <f>IF(AU$4=1,IF(OR(INDEX('×入力'!$A$1:$L$800,167+AU$3,2+AU$2)&lt;&gt;"",INDEX('×入力'!$A$1:$L$800,166,2+AU$2)&lt;&gt;"",INDEX('×入力'!$A$1:$L$800,167+AU$3,1)&lt;&gt;""),1,0),0)</f>
        <v/>
      </c>
      <c r="AV20">
        <f>IF(AV$4=1,IF(OR(INDEX('×入力'!$A$1:$L$800,167+AV$3,2+AV$2)&lt;&gt;"",INDEX('×入力'!$A$1:$L$800,166,2+AV$2)&lt;&gt;"",INDEX('×入力'!$A$1:$L$800,167+AV$3,1)&lt;&gt;""),1,0),0)</f>
        <v/>
      </c>
      <c r="AW20">
        <f>IF(AW$4=1,IF(OR(INDEX('×入力'!$A$1:$L$800,167+AW$3,2+AW$2)&lt;&gt;"",INDEX('×入力'!$A$1:$L$800,166,2+AW$2)&lt;&gt;"",INDEX('×入力'!$A$1:$L$800,167+AW$3,1)&lt;&gt;""),1,0),0)</f>
        <v/>
      </c>
      <c r="AX20">
        <f>IF(AX$4=1,IF(OR(INDEX('×入力'!$A$1:$L$800,167+AX$3,2+AX$2)&lt;&gt;"",INDEX('×入力'!$A$1:$L$800,166,2+AX$2)&lt;&gt;"",INDEX('×入力'!$A$1:$L$800,167+AX$3,1)&lt;&gt;""),1,0),0)</f>
        <v/>
      </c>
      <c r="AY20">
        <f>IF(AY$4=1,IF(OR(INDEX('×入力'!$A$1:$L$800,167+AY$3,2+AY$2)&lt;&gt;"",INDEX('×入力'!$A$1:$L$800,166,2+AY$2)&lt;&gt;"",INDEX('×入力'!$A$1:$L$800,167+AY$3,1)&lt;&gt;""),1,0),0)</f>
        <v/>
      </c>
      <c r="AZ20">
        <f>IF(AZ$4=1,IF(OR(INDEX('×入力'!$A$1:$L$800,167+AZ$3,2+AZ$2)&lt;&gt;"",INDEX('×入力'!$A$1:$L$800,166,2+AZ$2)&lt;&gt;"",INDEX('×入力'!$A$1:$L$800,167+AZ$3,1)&lt;&gt;""),1,0),0)</f>
        <v/>
      </c>
      <c r="BA20">
        <f>IF(BA$4=1,IF(OR(INDEX('×入力'!$A$1:$L$800,167+BA$3,2+BA$2)&lt;&gt;"",INDEX('×入力'!$A$1:$L$800,166,2+BA$2)&lt;&gt;"",INDEX('×入力'!$A$1:$L$800,167+BA$3,1)&lt;&gt;""),1,0),0)</f>
        <v/>
      </c>
      <c r="BB20">
        <f>IF(BB$4=1,IF(OR(INDEX('×入力'!$A$1:$L$800,167+BB$3,2+BB$2)&lt;&gt;"",INDEX('×入力'!$A$1:$L$800,166,2+BB$2)&lt;&gt;"",INDEX('×入力'!$A$1:$L$800,167+BB$3,1)&lt;&gt;""),1,0),0)</f>
        <v/>
      </c>
      <c r="BC20">
        <f>IF(BC$4=1,IF(OR(INDEX('×入力'!$A$1:$L$800,167+BC$3,2+BC$2)&lt;&gt;"",INDEX('×入力'!$A$1:$L$800,166,2+BC$2)&lt;&gt;"",INDEX('×入力'!$A$1:$L$800,167+BC$3,1)&lt;&gt;""),1,0),0)</f>
        <v/>
      </c>
      <c r="BD20">
        <f>IF(BD$4=1,IF(OR(INDEX('×入力'!$A$1:$L$800,167+BD$3,2+BD$2)&lt;&gt;"",INDEX('×入力'!$A$1:$L$800,166,2+BD$2)&lt;&gt;"",INDEX('×入力'!$A$1:$L$800,167+BD$3,1)&lt;&gt;""),1,0),0)</f>
        <v/>
      </c>
      <c r="BE20">
        <f>IF(BE$4=1,IF(OR(INDEX('×入力'!$A$1:$L$800,167+BE$3,2+BE$2)&lt;&gt;"",INDEX('×入力'!$A$1:$L$800,166,2+BE$2)&lt;&gt;"",INDEX('×入力'!$A$1:$L$800,167+BE$3,1)&lt;&gt;""),1,0),0)</f>
        <v/>
      </c>
      <c r="BF20">
        <f>IF(BF$4=1,IF(OR(INDEX('×入力'!$A$1:$L$800,167+BF$3,2+BF$2)&lt;&gt;"",INDEX('×入力'!$A$1:$L$800,166,2+BF$2)&lt;&gt;"",INDEX('×入力'!$A$1:$L$800,167+BF$3,1)&lt;&gt;""),1,0),0)</f>
        <v/>
      </c>
      <c r="BG20">
        <f>IF(BG$4=1,IF(OR(INDEX('×入力'!$A$1:$L$800,167+BG$3,2+BG$2)&lt;&gt;"",INDEX('×入力'!$A$1:$L$800,166,2+BG$2)&lt;&gt;"",INDEX('×入力'!$A$1:$L$800,167+BG$3,1)&lt;&gt;""),1,0),0)</f>
        <v/>
      </c>
      <c r="BH20">
        <f>IF(BH$4=1,IF(OR(INDEX('×入力'!$A$1:$L$800,167+BH$3,2+BH$2)&lt;&gt;"",INDEX('×入力'!$A$1:$L$800,166,2+BH$2)&lt;&gt;"",INDEX('×入力'!$A$1:$L$800,167+BH$3,1)&lt;&gt;""),1,0),0)</f>
        <v/>
      </c>
      <c r="BI20">
        <f>IF(BI$4=1,IF(OR(INDEX('×入力'!$A$1:$L$800,167+BI$3,2+BI$2)&lt;&gt;"",INDEX('×入力'!$A$1:$L$800,166,2+BI$2)&lt;&gt;"",INDEX('×入力'!$A$1:$L$800,167+BI$3,1)&lt;&gt;""),1,0),0)</f>
        <v/>
      </c>
      <c r="BJ20">
        <f>IF(BJ$4=1,IF(OR(INDEX('×入力'!$A$1:$L$800,167+BJ$3,2+BJ$2)&lt;&gt;"",INDEX('×入力'!$A$1:$L$800,166,2+BJ$2)&lt;&gt;"",INDEX('×入力'!$A$1:$L$800,167+BJ$3,1)&lt;&gt;""),1,0),0)</f>
        <v/>
      </c>
      <c r="BK20">
        <f>IF(BK$4=1,IF(OR(INDEX('×入力'!$A$1:$L$800,167+BK$3,2+BK$2)&lt;&gt;"",INDEX('×入力'!$A$1:$L$800,166,2+BK$2)&lt;&gt;"",INDEX('×入力'!$A$1:$L$800,167+BK$3,1)&lt;&gt;""),1,0),0)</f>
        <v/>
      </c>
      <c r="BL20">
        <f>IF(BL$4=1,IF(OR(INDEX('×入力'!$A$1:$L$800,167+BL$3,2+BL$2)&lt;&gt;"",INDEX('×入力'!$A$1:$L$800,166,2+BL$2)&lt;&gt;"",INDEX('×入力'!$A$1:$L$800,167+BL$3,1)&lt;&gt;""),1,0),0)</f>
        <v/>
      </c>
      <c r="BM20">
        <f>IF(BM$4=1,IF(OR(INDEX('×入力'!$A$1:$L$800,167+BM$3,2+BM$2)&lt;&gt;"",INDEX('×入力'!$A$1:$L$800,166,2+BM$2)&lt;&gt;"",INDEX('×入力'!$A$1:$L$800,167+BM$3,1)&lt;&gt;""),1,0),0)</f>
        <v/>
      </c>
      <c r="BN20">
        <f>IF(BN$4=1,IF(OR(INDEX('×入力'!$A$1:$L$800,167+BN$3,2+BN$2)&lt;&gt;"",INDEX('×入力'!$A$1:$L$800,166,2+BN$2)&lt;&gt;"",INDEX('×入力'!$A$1:$L$800,167+BN$3,1)&lt;&gt;""),1,0),0)</f>
        <v/>
      </c>
      <c r="BO20">
        <f>IF(BO$4=1,IF(OR(INDEX('×入力'!$A$1:$L$800,167+BO$3,2+BO$2)&lt;&gt;"",INDEX('×入力'!$A$1:$L$800,166,2+BO$2)&lt;&gt;"",INDEX('×入力'!$A$1:$L$800,167+BO$3,1)&lt;&gt;""),1,0),0)</f>
        <v/>
      </c>
      <c r="BP20">
        <f>IF(BP$4=1,IF(OR(INDEX('×入力'!$A$1:$L$800,167+BP$3,2+BP$2)&lt;&gt;"",INDEX('×入力'!$A$1:$L$800,166,2+BP$2)&lt;&gt;"",INDEX('×入力'!$A$1:$L$800,167+BP$3,1)&lt;&gt;""),1,0),0)</f>
        <v/>
      </c>
      <c r="BQ20">
        <f>IF(BQ$4=1,IF(OR(INDEX('×入力'!$A$1:$L$800,167+BQ$3,2+BQ$2)&lt;&gt;"",INDEX('×入力'!$A$1:$L$800,166,2+BQ$2)&lt;&gt;"",INDEX('×入力'!$A$1:$L$800,167+BQ$3,1)&lt;&gt;""),1,0),0)</f>
        <v/>
      </c>
      <c r="BR20">
        <f>IF(BR$4=1,IF(OR(INDEX('×入力'!$A$1:$L$800,167+BR$3,2+BR$2)&lt;&gt;"",INDEX('×入力'!$A$1:$L$800,166,2+BR$2)&lt;&gt;"",INDEX('×入力'!$A$1:$L$800,167+BR$3,1)&lt;&gt;""),1,0),0)</f>
        <v/>
      </c>
      <c r="BS20">
        <f>IF(BS$4=1,IF(OR(INDEX('×入力'!$A$1:$L$800,167+BS$3,2+BS$2)&lt;&gt;"",INDEX('×入力'!$A$1:$L$800,166,2+BS$2)&lt;&gt;"",INDEX('×入力'!$A$1:$L$800,167+BS$3,1)&lt;&gt;""),1,0),0)</f>
        <v/>
      </c>
      <c r="BT20">
        <f>IF(BT$4=1,IF(OR(INDEX('×入力'!$A$1:$L$800,167+BT$3,2+BT$2)&lt;&gt;"",INDEX('×入力'!$A$1:$L$800,166,2+BT$2)&lt;&gt;"",INDEX('×入力'!$A$1:$L$800,167+BT$3,1)&lt;&gt;""),1,0),0)</f>
        <v/>
      </c>
      <c r="BU20">
        <f>IF(BU$4=1,IF(OR(INDEX('×入力'!$A$1:$L$800,167+BU$3,2+BU$2)&lt;&gt;"",INDEX('×入力'!$A$1:$L$800,166,2+BU$2)&lt;&gt;"",INDEX('×入力'!$A$1:$L$800,167+BU$3,1)&lt;&gt;""),1,0),0)</f>
        <v/>
      </c>
      <c r="BV20">
        <f>IF(BV$4=1,IF(OR(INDEX('×入力'!$A$1:$L$800,167+BV$3,2+BV$2)&lt;&gt;"",INDEX('×入力'!$A$1:$L$800,166,2+BV$2)&lt;&gt;"",INDEX('×入力'!$A$1:$L$800,167+BV$3,1)&lt;&gt;""),1,0),0)</f>
        <v/>
      </c>
      <c r="BW20">
        <f>IF(BW$4=1,IF(OR(INDEX('×入力'!$A$1:$L$800,167+BW$3,2+BW$2)&lt;&gt;"",INDEX('×入力'!$A$1:$L$800,166,2+BW$2)&lt;&gt;"",INDEX('×入力'!$A$1:$L$800,167+BW$3,1)&lt;&gt;""),1,0),0)</f>
        <v/>
      </c>
      <c r="BX20">
        <f>IF(BX$4=1,IF(OR(INDEX('×入力'!$A$1:$L$800,167+BX$3,2+BX$2)&lt;&gt;"",INDEX('×入力'!$A$1:$L$800,166,2+BX$2)&lt;&gt;"",INDEX('×入力'!$A$1:$L$800,167+BX$3,1)&lt;&gt;""),1,0),0)</f>
        <v/>
      </c>
      <c r="BY20">
        <f>IF(BY$4=1,IF(OR(INDEX('×入力'!$A$1:$L$800,167+BY$3,2+BY$2)&lt;&gt;"",INDEX('×入力'!$A$1:$L$800,166,2+BY$2)&lt;&gt;"",INDEX('×入力'!$A$1:$L$800,167+BY$3,1)&lt;&gt;""),1,0),0)</f>
        <v/>
      </c>
      <c r="BZ20">
        <f>IF(BZ$4=1,IF(OR(INDEX('×入力'!$A$1:$L$800,167+BZ$3,2+BZ$2)&lt;&gt;"",INDEX('×入力'!$A$1:$L$800,166,2+BZ$2)&lt;&gt;"",INDEX('×入力'!$A$1:$L$800,167+BZ$3,1)&lt;&gt;""),1,0),0)</f>
        <v/>
      </c>
      <c r="CA20">
        <f>IF(CA$4=1,IF(OR(INDEX('×入力'!$A$1:$L$800,167+CA$3,2+CA$2)&lt;&gt;"",INDEX('×入力'!$A$1:$L$800,166,2+CA$2)&lt;&gt;"",INDEX('×入力'!$A$1:$L$800,167+CA$3,1)&lt;&gt;""),1,0),0)</f>
        <v/>
      </c>
      <c r="CB20">
        <f>IF(CB$4=1,IF(OR(INDEX('×入力'!$A$1:$L$800,167+CB$3,2+CB$2)&lt;&gt;"",INDEX('×入力'!$A$1:$L$800,166,2+CB$2)&lt;&gt;"",INDEX('×入力'!$A$1:$L$800,167+CB$3,1)&lt;&gt;""),1,0),0)</f>
        <v/>
      </c>
      <c r="CC20">
        <f>IF(CC$4=1,IF(OR(INDEX('×入力'!$A$1:$L$800,167+CC$3,2+CC$2)&lt;&gt;"",INDEX('×入力'!$A$1:$L$800,166,2+CC$2)&lt;&gt;"",INDEX('×入力'!$A$1:$L$800,167+CC$3,1)&lt;&gt;""),1,0),0)</f>
        <v/>
      </c>
      <c r="CD20">
        <f>IF(CD$4=1,IF(OR(INDEX('×入力'!$A$1:$L$800,167+CD$3,2+CD$2)&lt;&gt;"",INDEX('×入力'!$A$1:$L$800,166,2+CD$2)&lt;&gt;"",INDEX('×入力'!$A$1:$L$800,167+CD$3,1)&lt;&gt;""),1,0),0)</f>
        <v/>
      </c>
      <c r="CE20">
        <f>IF(CE$4=1,IF(OR(INDEX('×入力'!$A$1:$L$800,167+CE$3,2+CE$2)&lt;&gt;"",INDEX('×入力'!$A$1:$L$800,166,2+CE$2)&lt;&gt;"",INDEX('×入力'!$A$1:$L$800,167+CE$3,1)&lt;&gt;""),1,0),0)</f>
        <v/>
      </c>
      <c r="CF20">
        <f>IF(CF$4=1,IF(OR(INDEX('×入力'!$A$1:$L$800,167+CF$3,2+CF$2)&lt;&gt;"",INDEX('×入力'!$A$1:$L$800,166,2+CF$2)&lt;&gt;"",INDEX('×入力'!$A$1:$L$800,167+CF$3,1)&lt;&gt;""),1,0),0)</f>
        <v/>
      </c>
      <c r="CG20">
        <f>IF(CG$4=1,IF(OR(INDEX('×入力'!$A$1:$L$800,167+CG$3,2+CG$2)&lt;&gt;"",INDEX('×入力'!$A$1:$L$800,166,2+CG$2)&lt;&gt;"",INDEX('×入力'!$A$1:$L$800,167+CG$3,1)&lt;&gt;""),1,0),0)</f>
        <v/>
      </c>
      <c r="CH20">
        <f>IF(CH$4=1,IF(OR(INDEX('×入力'!$A$1:$L$800,167+CH$3,2+CH$2)&lt;&gt;"",INDEX('×入力'!$A$1:$L$800,166,2+CH$2)&lt;&gt;"",INDEX('×入力'!$A$1:$L$800,167+CH$3,1)&lt;&gt;""),1,0),0)</f>
        <v/>
      </c>
      <c r="CI20">
        <f>IF(CI$4=1,IF(OR(INDEX('×入力'!$A$1:$L$800,167+CI$3,2+CI$2)&lt;&gt;"",INDEX('×入力'!$A$1:$L$800,166,2+CI$2)&lt;&gt;"",INDEX('×入力'!$A$1:$L$800,167+CI$3,1)&lt;&gt;""),1,0),0)</f>
        <v/>
      </c>
      <c r="CJ20">
        <f>IF(CJ$4=1,IF(OR(INDEX('×入力'!$A$1:$L$800,167+CJ$3,2+CJ$2)&lt;&gt;"",INDEX('×入力'!$A$1:$L$800,166,2+CJ$2)&lt;&gt;"",INDEX('×入力'!$A$1:$L$800,167+CJ$3,1)&lt;&gt;""),1,0),0)</f>
        <v/>
      </c>
      <c r="CK20">
        <f>IF(CK$4=1,IF(OR(INDEX('×入力'!$A$1:$L$800,167+CK$3,2+CK$2)&lt;&gt;"",INDEX('×入力'!$A$1:$L$800,166,2+CK$2)&lt;&gt;"",INDEX('×入力'!$A$1:$L$800,167+CK$3,1)&lt;&gt;""),1,0),0)</f>
        <v/>
      </c>
      <c r="CL20">
        <f>IF(CL$4=1,IF(OR(INDEX('×入力'!$A$1:$L$800,167+CL$3,2+CL$2)&lt;&gt;"",INDEX('×入力'!$A$1:$L$800,166,2+CL$2)&lt;&gt;"",INDEX('×入力'!$A$1:$L$800,167+CL$3,1)&lt;&gt;""),1,0),0)</f>
        <v/>
      </c>
      <c r="CM20">
        <f>IF(CM$4=1,IF(OR(INDEX('×入力'!$A$1:$L$800,167+CM$3,2+CM$2)&lt;&gt;"",INDEX('×入力'!$A$1:$L$800,166,2+CM$2)&lt;&gt;"",INDEX('×入力'!$A$1:$L$800,167+CM$3,1)&lt;&gt;""),1,0),0)</f>
        <v/>
      </c>
      <c r="CN20">
        <f>IF(CN$4=1,IF(OR(INDEX('×入力'!$A$1:$L$800,167+CN$3,2+CN$2)&lt;&gt;"",INDEX('×入力'!$A$1:$L$800,166,2+CN$2)&lt;&gt;"",INDEX('×入力'!$A$1:$L$800,167+CN$3,1)&lt;&gt;""),1,0),0)</f>
        <v/>
      </c>
      <c r="CO20">
        <f>IF(CO$4=1,IF(OR(INDEX('×入力'!$A$1:$L$800,167+CO$3,2+CO$2)&lt;&gt;"",INDEX('×入力'!$A$1:$L$800,166,2+CO$2)&lt;&gt;"",INDEX('×入力'!$A$1:$L$800,167+CO$3,1)&lt;&gt;""),1,0),0)</f>
        <v/>
      </c>
      <c r="CP20">
        <f>IF(CP$4=1,IF(OR(INDEX('×入力'!$A$1:$L$800,167+CP$3,2+CP$2)&lt;&gt;"",INDEX('×入力'!$A$1:$L$800,166,2+CP$2)&lt;&gt;"",INDEX('×入力'!$A$1:$L$800,167+CP$3,1)&lt;&gt;""),1,0),0)</f>
        <v/>
      </c>
      <c r="CQ20">
        <f>IF(CQ$4=1,IF(OR(INDEX('×入力'!$A$1:$L$800,167+CQ$3,2+CQ$2)&lt;&gt;"",INDEX('×入力'!$A$1:$L$800,166,2+CQ$2)&lt;&gt;"",INDEX('×入力'!$A$1:$L$800,167+CQ$3,1)&lt;&gt;""),1,0),0)</f>
        <v/>
      </c>
      <c r="CR20">
        <f>IF(CR$4=1,IF(OR(INDEX('×入力'!$A$1:$L$800,167+CR$3,2+CR$2)&lt;&gt;"",INDEX('×入力'!$A$1:$L$800,166,2+CR$2)&lt;&gt;"",INDEX('×入力'!$A$1:$L$800,167+CR$3,1)&lt;&gt;""),1,0),0)</f>
        <v/>
      </c>
      <c r="CS20">
        <f>IF(CS$4=1,IF(OR(INDEX('×入力'!$A$1:$L$800,167+CS$3,2+CS$2)&lt;&gt;"",INDEX('×入力'!$A$1:$L$800,166,2+CS$2)&lt;&gt;"",INDEX('×入力'!$A$1:$L$800,167+CS$3,1)&lt;&gt;""),1,0),0)</f>
        <v/>
      </c>
      <c r="CT20">
        <f>IF(CT$4=1,IF(OR(INDEX('×入力'!$A$1:$L$800,167+CT$3,2+CT$2)&lt;&gt;"",INDEX('×入力'!$A$1:$L$800,166,2+CT$2)&lt;&gt;"",INDEX('×入力'!$A$1:$L$800,167+CT$3,1)&lt;&gt;""),1,0),0)</f>
        <v/>
      </c>
      <c r="CU20">
        <f>IF(CU$4=1,IF(OR(INDEX('×入力'!$A$1:$L$800,167+CU$3,2+CU$2)&lt;&gt;"",INDEX('×入力'!$A$1:$L$800,166,2+CU$2)&lt;&gt;"",INDEX('×入力'!$A$1:$L$800,167+CU$3,1)&lt;&gt;""),1,0),0)</f>
        <v/>
      </c>
      <c r="CV20">
        <f>IF(CV$4=1,IF(OR(INDEX('×入力'!$A$1:$L$800,167+CV$3,2+CV$2)&lt;&gt;"",INDEX('×入力'!$A$1:$L$800,166,2+CV$2)&lt;&gt;"",INDEX('×入力'!$A$1:$L$800,167+CV$3,1)&lt;&gt;""),1,0),0)</f>
        <v/>
      </c>
      <c r="CW20">
        <f>IF(CW$4=1,IF(OR(INDEX('×入力'!$A$1:$L$800,167+CW$3,2+CW$2)&lt;&gt;"",INDEX('×入力'!$A$1:$L$800,166,2+CW$2)&lt;&gt;"",INDEX('×入力'!$A$1:$L$800,167+CW$3,1)&lt;&gt;""),1,0),0)</f>
        <v/>
      </c>
      <c r="CX20">
        <f>IF(CX$4=1,IF(OR(INDEX('×入力'!$A$1:$L$800,167+CX$3,2+CX$2)&lt;&gt;"",INDEX('×入力'!$A$1:$L$800,166,2+CX$2)&lt;&gt;"",INDEX('×入力'!$A$1:$L$800,167+CX$3,1)&lt;&gt;""),1,0),0)</f>
        <v/>
      </c>
      <c r="CY20">
        <f>IF(CY$4=1,IF(OR(INDEX('×入力'!$A$1:$L$800,167+CY$3,2+CY$2)&lt;&gt;"",INDEX('×入力'!$A$1:$L$800,166,2+CY$2)&lt;&gt;"",INDEX('×入力'!$A$1:$L$800,167+CY$3,1)&lt;&gt;""),1,0),0)</f>
        <v/>
      </c>
      <c r="CZ20">
        <f>IF(CZ$4=1,IF(OR(INDEX('×入力'!$A$1:$L$800,167+CZ$3,2+CZ$2)&lt;&gt;"",INDEX('×入力'!$A$1:$L$800,166,2+CZ$2)&lt;&gt;"",INDEX('×入力'!$A$1:$L$800,167+CZ$3,1)&lt;&gt;""),1,0),0)</f>
        <v/>
      </c>
      <c r="DA20">
        <f>IF(DA$4=1,IF(OR(INDEX('×入力'!$A$1:$L$800,167+DA$3,2+DA$2)&lt;&gt;"",INDEX('×入力'!$A$1:$L$800,166,2+DA$2)&lt;&gt;"",INDEX('×入力'!$A$1:$L$800,167+DA$3,1)&lt;&gt;""),1,0),0)</f>
        <v/>
      </c>
      <c r="DB20">
        <f>IF(DB$4=1,IF(OR(INDEX('×入力'!$A$1:$L$800,167+DB$3,2+DB$2)&lt;&gt;"",INDEX('×入力'!$A$1:$L$800,166,2+DB$2)&lt;&gt;"",INDEX('×入力'!$A$1:$L$800,167+DB$3,1)&lt;&gt;""),1,0),0)</f>
        <v/>
      </c>
      <c r="DC20">
        <f>IF(DC$4=1,IF(OR(INDEX('×入力'!$A$1:$L$800,167+DC$3,2+DC$2)&lt;&gt;"",INDEX('×入力'!$A$1:$L$800,166,2+DC$2)&lt;&gt;"",INDEX('×入力'!$A$1:$L$800,167+DC$3,1)&lt;&gt;""),1,0),0)</f>
        <v/>
      </c>
      <c r="DD20">
        <f>IF(DD$4=1,IF(OR(INDEX('×入力'!$A$1:$L$800,167+DD$3,2+DD$2)&lt;&gt;"",INDEX('×入力'!$A$1:$L$800,166,2+DD$2)&lt;&gt;"",INDEX('×入力'!$A$1:$L$800,167+DD$3,1)&lt;&gt;""),1,0),0)</f>
        <v/>
      </c>
      <c r="DE20">
        <f>IF(DE$4=1,IF(OR(INDEX('×入力'!$A$1:$L$800,167+DE$3,2+DE$2)&lt;&gt;"",INDEX('×入力'!$A$1:$L$800,166,2+DE$2)&lt;&gt;"",INDEX('×入力'!$A$1:$L$800,167+DE$3,1)&lt;&gt;""),1,0),0)</f>
        <v/>
      </c>
      <c r="DF20">
        <f>IF(DF$4=1,IF(OR(INDEX('×入力'!$A$1:$L$800,167+DF$3,2+DF$2)&lt;&gt;"",INDEX('×入力'!$A$1:$L$800,166,2+DF$2)&lt;&gt;"",INDEX('×入力'!$A$1:$L$800,167+DF$3,1)&lt;&gt;""),1,0),0)</f>
        <v/>
      </c>
      <c r="DG20">
        <f>IF(DG$4=1,IF(OR(INDEX('×入力'!$A$1:$L$800,167+DG$3,2+DG$2)&lt;&gt;"",INDEX('×入力'!$A$1:$L$800,166,2+DG$2)&lt;&gt;"",INDEX('×入力'!$A$1:$L$800,167+DG$3,1)&lt;&gt;""),1,0),0)</f>
        <v/>
      </c>
      <c r="DH20">
        <f>IF(DH$4=1,IF(OR(INDEX('×入力'!$A$1:$L$800,167+DH$3,2+DH$2)&lt;&gt;"",INDEX('×入力'!$A$1:$L$800,166,2+DH$2)&lt;&gt;"",INDEX('×入力'!$A$1:$L$800,167+DH$3,1)&lt;&gt;""),1,0),0)</f>
        <v/>
      </c>
      <c r="DI20">
        <f>IF(DI$4=1,IF(OR(INDEX('×入力'!$A$1:$L$800,167+DI$3,2+DI$2)&lt;&gt;"",INDEX('×入力'!$A$1:$L$800,166,2+DI$2)&lt;&gt;"",INDEX('×入力'!$A$1:$L$800,167+DI$3,1)&lt;&gt;""),1,0),0)</f>
        <v/>
      </c>
      <c r="DJ20">
        <f>IF(DJ$4=1,IF(OR(INDEX('×入力'!$A$1:$L$800,167+DJ$3,2+DJ$2)&lt;&gt;"",INDEX('×入力'!$A$1:$L$800,166,2+DJ$2)&lt;&gt;"",INDEX('×入力'!$A$1:$L$800,167+DJ$3,1)&lt;&gt;""),1,0),0)</f>
        <v/>
      </c>
      <c r="DK20">
        <f>IF(DK$4=1,IF(OR(INDEX('×入力'!$A$1:$L$800,167+DK$3,2+DK$2)&lt;&gt;"",INDEX('×入力'!$A$1:$L$800,166,2+DK$2)&lt;&gt;"",INDEX('×入力'!$A$1:$L$800,167+DK$3,1)&lt;&gt;""),1,0),0)</f>
        <v/>
      </c>
      <c r="DL20">
        <f>IF(DL$4=1,IF(OR(INDEX('×入力'!$A$1:$L$800,167+DL$3,2+DL$2)&lt;&gt;"",INDEX('×入力'!$A$1:$L$800,166,2+DL$2)&lt;&gt;"",INDEX('×入力'!$A$1:$L$800,167+DL$3,1)&lt;&gt;""),1,0),0)</f>
        <v/>
      </c>
      <c r="DM20">
        <f>IF(DM$4=1,IF(OR(INDEX('×入力'!$A$1:$L$800,167+DM$3,2+DM$2)&lt;&gt;"",INDEX('×入力'!$A$1:$L$800,166,2+DM$2)&lt;&gt;"",INDEX('×入力'!$A$1:$L$800,167+DM$3,1)&lt;&gt;""),1,0),0)</f>
        <v/>
      </c>
      <c r="DN20">
        <f>IF(DN$4=1,IF(OR(INDEX('×入力'!$A$1:$L$800,167+DN$3,2+DN$2)&lt;&gt;"",INDEX('×入力'!$A$1:$L$800,166,2+DN$2)&lt;&gt;"",INDEX('×入力'!$A$1:$L$800,167+DN$3,1)&lt;&gt;""),1,0),0)</f>
        <v/>
      </c>
      <c r="DO20">
        <f>IF(DO$4=1,IF(OR(INDEX('×入力'!$A$1:$L$800,167+DO$3,2+DO$2)&lt;&gt;"",INDEX('×入力'!$A$1:$L$800,166,2+DO$2)&lt;&gt;"",INDEX('×入力'!$A$1:$L$800,167+DO$3,1)&lt;&gt;""),1,0),0)</f>
        <v/>
      </c>
      <c r="DP20">
        <f>IF(DP$4=1,IF(OR(INDEX('×入力'!$A$1:$L$800,167+DP$3,2+DP$2)&lt;&gt;"",INDEX('×入力'!$A$1:$L$800,166,2+DP$2)&lt;&gt;"",INDEX('×入力'!$A$1:$L$800,167+DP$3,1)&lt;&gt;""),1,0),0)</f>
        <v/>
      </c>
      <c r="DQ20">
        <f>IF(DQ$4=1,IF(OR(INDEX('×入力'!$A$1:$L$800,167+DQ$3,2+DQ$2)&lt;&gt;"",INDEX('×入力'!$A$1:$L$800,166,2+DQ$2)&lt;&gt;"",INDEX('×入力'!$A$1:$L$800,167+DQ$3,1)&lt;&gt;""),1,0),0)</f>
        <v/>
      </c>
      <c r="DR20">
        <f>IF(DR$4=1,IF(OR(INDEX('×入力'!$A$1:$L$800,167+DR$3,2+DR$2)&lt;&gt;"",INDEX('×入力'!$A$1:$L$800,166,2+DR$2)&lt;&gt;"",INDEX('×入力'!$A$1:$L$800,167+DR$3,1)&lt;&gt;""),1,0),0)</f>
        <v/>
      </c>
      <c r="DS20">
        <f>IF(DS$4=1,IF(OR(INDEX('×入力'!$A$1:$L$800,167+DS$3,2+DS$2)&lt;&gt;"",INDEX('×入力'!$A$1:$L$800,166,2+DS$2)&lt;&gt;"",INDEX('×入力'!$A$1:$L$800,167+DS$3,1)&lt;&gt;""),1,0),0)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IF(D$4=1,IF(OR(INDEX('×入力'!$A$1:$L$800,183+D$3,2+D$2)&lt;&gt;"",INDEX('×入力'!$A$1:$L$800,182,2+D$2)&lt;&gt;"",INDEX('×入力'!$A$1:$L$800,183+D$3,1)&lt;&gt;""),1,0),0)</f>
        <v/>
      </c>
      <c r="E21">
        <f>IF(E$4=1,IF(OR(INDEX('×入力'!$A$1:$L$800,183+E$3,2+E$2)&lt;&gt;"",INDEX('×入力'!$A$1:$L$800,182,2+E$2)&lt;&gt;"",INDEX('×入力'!$A$1:$L$800,183+E$3,1)&lt;&gt;""),1,0),0)</f>
        <v/>
      </c>
      <c r="F21">
        <f>IF(F$4=1,IF(OR(INDEX('×入力'!$A$1:$L$800,183+F$3,2+F$2)&lt;&gt;"",INDEX('×入力'!$A$1:$L$800,182,2+F$2)&lt;&gt;"",INDEX('×入力'!$A$1:$L$800,183+F$3,1)&lt;&gt;""),1,0),0)</f>
        <v/>
      </c>
      <c r="G21">
        <f>IF(G$4=1,IF(OR(INDEX('×入力'!$A$1:$L$800,183+G$3,2+G$2)&lt;&gt;"",INDEX('×入力'!$A$1:$L$800,182,2+G$2)&lt;&gt;"",INDEX('×入力'!$A$1:$L$800,183+G$3,1)&lt;&gt;""),1,0),0)</f>
        <v/>
      </c>
      <c r="H21">
        <f>IF(H$4=1,IF(OR(INDEX('×入力'!$A$1:$L$800,183+H$3,2+H$2)&lt;&gt;"",INDEX('×入力'!$A$1:$L$800,182,2+H$2)&lt;&gt;"",INDEX('×入力'!$A$1:$L$800,183+H$3,1)&lt;&gt;""),1,0),0)</f>
        <v/>
      </c>
      <c r="I21">
        <f>IF(I$4=1,IF(OR(INDEX('×入力'!$A$1:$L$800,183+I$3,2+I$2)&lt;&gt;"",INDEX('×入力'!$A$1:$L$800,182,2+I$2)&lt;&gt;"",INDEX('×入力'!$A$1:$L$800,183+I$3,1)&lt;&gt;""),1,0),0)</f>
        <v/>
      </c>
      <c r="J21">
        <f>IF(J$4=1,IF(OR(INDEX('×入力'!$A$1:$L$800,183+J$3,2+J$2)&lt;&gt;"",INDEX('×入力'!$A$1:$L$800,182,2+J$2)&lt;&gt;"",INDEX('×入力'!$A$1:$L$800,183+J$3,1)&lt;&gt;""),1,0),0)</f>
        <v/>
      </c>
      <c r="K21">
        <f>IF(K$4=1,IF(OR(INDEX('×入力'!$A$1:$L$800,183+K$3,2+K$2)&lt;&gt;"",INDEX('×入力'!$A$1:$L$800,182,2+K$2)&lt;&gt;"",INDEX('×入力'!$A$1:$L$800,183+K$3,1)&lt;&gt;""),1,0),0)</f>
        <v/>
      </c>
      <c r="L21">
        <f>IF(L$4=1,IF(OR(INDEX('×入力'!$A$1:$L$800,183+L$3,2+L$2)&lt;&gt;"",INDEX('×入力'!$A$1:$L$800,182,2+L$2)&lt;&gt;"",INDEX('×入力'!$A$1:$L$800,183+L$3,1)&lt;&gt;""),1,0),0)</f>
        <v/>
      </c>
      <c r="M21">
        <f>IF(M$4=1,IF(OR(INDEX('×入力'!$A$1:$L$800,183+M$3,2+M$2)&lt;&gt;"",INDEX('×入力'!$A$1:$L$800,182,2+M$2)&lt;&gt;"",INDEX('×入力'!$A$1:$L$800,183+M$3,1)&lt;&gt;""),1,0),0)</f>
        <v/>
      </c>
      <c r="N21">
        <f>IF(N$4=1,IF(OR(INDEX('×入力'!$A$1:$L$800,183+N$3,2+N$2)&lt;&gt;"",INDEX('×入力'!$A$1:$L$800,182,2+N$2)&lt;&gt;"",INDEX('×入力'!$A$1:$L$800,183+N$3,1)&lt;&gt;""),1,0),0)</f>
        <v/>
      </c>
      <c r="O21">
        <f>IF(O$4=1,IF(OR(INDEX('×入力'!$A$1:$L$800,183+O$3,2+O$2)&lt;&gt;"",INDEX('×入力'!$A$1:$L$800,182,2+O$2)&lt;&gt;"",INDEX('×入力'!$A$1:$L$800,183+O$3,1)&lt;&gt;""),1,0),0)</f>
        <v/>
      </c>
      <c r="P21">
        <f>IF(P$4=1,IF(OR(INDEX('×入力'!$A$1:$L$800,183+P$3,2+P$2)&lt;&gt;"",INDEX('×入力'!$A$1:$L$800,182,2+P$2)&lt;&gt;"",INDEX('×入力'!$A$1:$L$800,183+P$3,1)&lt;&gt;""),1,0),0)</f>
        <v/>
      </c>
      <c r="Q21">
        <f>IF(Q$4=1,IF(OR(INDEX('×入力'!$A$1:$L$800,183+Q$3,2+Q$2)&lt;&gt;"",INDEX('×入力'!$A$1:$L$800,182,2+Q$2)&lt;&gt;"",INDEX('×入力'!$A$1:$L$800,183+Q$3,1)&lt;&gt;""),1,0),0)</f>
        <v/>
      </c>
      <c r="R21">
        <f>IF(R$4=1,IF(OR(INDEX('×入力'!$A$1:$L$800,183+R$3,2+R$2)&lt;&gt;"",INDEX('×入力'!$A$1:$L$800,182,2+R$2)&lt;&gt;"",INDEX('×入力'!$A$1:$L$800,183+R$3,1)&lt;&gt;""),1,0),0)</f>
        <v/>
      </c>
      <c r="S21">
        <f>IF(S$4=1,IF(OR(INDEX('×入力'!$A$1:$L$800,183+S$3,2+S$2)&lt;&gt;"",INDEX('×入力'!$A$1:$L$800,182,2+S$2)&lt;&gt;"",INDEX('×入力'!$A$1:$L$800,183+S$3,1)&lt;&gt;""),1,0),0)</f>
        <v/>
      </c>
      <c r="T21">
        <f>IF(T$4=1,IF(OR(INDEX('×入力'!$A$1:$L$800,183+T$3,2+T$2)&lt;&gt;"",INDEX('×入力'!$A$1:$L$800,182,2+T$2)&lt;&gt;"",INDEX('×入力'!$A$1:$L$800,183+T$3,1)&lt;&gt;""),1,0),0)</f>
        <v/>
      </c>
      <c r="U21">
        <f>IF(U$4=1,IF(OR(INDEX('×入力'!$A$1:$L$800,183+U$3,2+U$2)&lt;&gt;"",INDEX('×入力'!$A$1:$L$800,182,2+U$2)&lt;&gt;"",INDEX('×入力'!$A$1:$L$800,183+U$3,1)&lt;&gt;""),1,0),0)</f>
        <v/>
      </c>
      <c r="V21">
        <f>IF(V$4=1,IF(OR(INDEX('×入力'!$A$1:$L$800,183+V$3,2+V$2)&lt;&gt;"",INDEX('×入力'!$A$1:$L$800,182,2+V$2)&lt;&gt;"",INDEX('×入力'!$A$1:$L$800,183+V$3,1)&lt;&gt;""),1,0),0)</f>
        <v/>
      </c>
      <c r="W21">
        <f>IF(W$4=1,IF(OR(INDEX('×入力'!$A$1:$L$800,183+W$3,2+W$2)&lt;&gt;"",INDEX('×入力'!$A$1:$L$800,182,2+W$2)&lt;&gt;"",INDEX('×入力'!$A$1:$L$800,183+W$3,1)&lt;&gt;""),1,0),0)</f>
        <v/>
      </c>
      <c r="X21">
        <f>IF(X$4=1,IF(OR(INDEX('×入力'!$A$1:$L$800,183+X$3,2+X$2)&lt;&gt;"",INDEX('×入力'!$A$1:$L$800,182,2+X$2)&lt;&gt;"",INDEX('×入力'!$A$1:$L$800,183+X$3,1)&lt;&gt;""),1,0),0)</f>
        <v/>
      </c>
      <c r="Y21">
        <f>IF(Y$4=1,IF(OR(INDEX('×入力'!$A$1:$L$800,183+Y$3,2+Y$2)&lt;&gt;"",INDEX('×入力'!$A$1:$L$800,182,2+Y$2)&lt;&gt;"",INDEX('×入力'!$A$1:$L$800,183+Y$3,1)&lt;&gt;""),1,0),0)</f>
        <v/>
      </c>
      <c r="Z21">
        <f>IF(Z$4=1,IF(OR(INDEX('×入力'!$A$1:$L$800,183+Z$3,2+Z$2)&lt;&gt;"",INDEX('×入力'!$A$1:$L$800,182,2+Z$2)&lt;&gt;"",INDEX('×入力'!$A$1:$L$800,183+Z$3,1)&lt;&gt;""),1,0),0)</f>
        <v/>
      </c>
      <c r="AA21">
        <f>IF(AA$4=1,IF(OR(INDEX('×入力'!$A$1:$L$800,183+AA$3,2+AA$2)&lt;&gt;"",INDEX('×入力'!$A$1:$L$800,182,2+AA$2)&lt;&gt;"",INDEX('×入力'!$A$1:$L$800,183+AA$3,1)&lt;&gt;""),1,0),0)</f>
        <v/>
      </c>
      <c r="AB21">
        <f>IF(AB$4=1,IF(OR(INDEX('×入力'!$A$1:$L$800,183+AB$3,2+AB$2)&lt;&gt;"",INDEX('×入力'!$A$1:$L$800,182,2+AB$2)&lt;&gt;"",INDEX('×入力'!$A$1:$L$800,183+AB$3,1)&lt;&gt;""),1,0),0)</f>
        <v/>
      </c>
      <c r="AC21">
        <f>IF(AC$4=1,IF(OR(INDEX('×入力'!$A$1:$L$800,183+AC$3,2+AC$2)&lt;&gt;"",INDEX('×入力'!$A$1:$L$800,182,2+AC$2)&lt;&gt;"",INDEX('×入力'!$A$1:$L$800,183+AC$3,1)&lt;&gt;""),1,0),0)</f>
        <v/>
      </c>
      <c r="AD21">
        <f>IF(AD$4=1,IF(OR(INDEX('×入力'!$A$1:$L$800,183+AD$3,2+AD$2)&lt;&gt;"",INDEX('×入力'!$A$1:$L$800,182,2+AD$2)&lt;&gt;"",INDEX('×入力'!$A$1:$L$800,183+AD$3,1)&lt;&gt;""),1,0),0)</f>
        <v/>
      </c>
      <c r="AE21">
        <f>IF(AE$4=1,IF(OR(INDEX('×入力'!$A$1:$L$800,183+AE$3,2+AE$2)&lt;&gt;"",INDEX('×入力'!$A$1:$L$800,182,2+AE$2)&lt;&gt;"",INDEX('×入力'!$A$1:$L$800,183+AE$3,1)&lt;&gt;""),1,0),0)</f>
        <v/>
      </c>
      <c r="AF21">
        <f>IF(AF$4=1,IF(OR(INDEX('×入力'!$A$1:$L$800,183+AF$3,2+AF$2)&lt;&gt;"",INDEX('×入力'!$A$1:$L$800,182,2+AF$2)&lt;&gt;"",INDEX('×入力'!$A$1:$L$800,183+AF$3,1)&lt;&gt;""),1,0),0)</f>
        <v/>
      </c>
      <c r="AG21">
        <f>IF(AG$4=1,IF(OR(INDEX('×入力'!$A$1:$L$800,183+AG$3,2+AG$2)&lt;&gt;"",INDEX('×入力'!$A$1:$L$800,182,2+AG$2)&lt;&gt;"",INDEX('×入力'!$A$1:$L$800,183+AG$3,1)&lt;&gt;""),1,0),0)</f>
        <v/>
      </c>
      <c r="AH21">
        <f>IF(AH$4=1,IF(OR(INDEX('×入力'!$A$1:$L$800,183+AH$3,2+AH$2)&lt;&gt;"",INDEX('×入力'!$A$1:$L$800,182,2+AH$2)&lt;&gt;"",INDEX('×入力'!$A$1:$L$800,183+AH$3,1)&lt;&gt;""),1,0),0)</f>
        <v/>
      </c>
      <c r="AI21">
        <f>IF(AI$4=1,IF(OR(INDEX('×入力'!$A$1:$L$800,183+AI$3,2+AI$2)&lt;&gt;"",INDEX('×入力'!$A$1:$L$800,182,2+AI$2)&lt;&gt;"",INDEX('×入力'!$A$1:$L$800,183+AI$3,1)&lt;&gt;""),1,0),0)</f>
        <v/>
      </c>
      <c r="AJ21">
        <f>IF(AJ$4=1,IF(OR(INDEX('×入力'!$A$1:$L$800,183+AJ$3,2+AJ$2)&lt;&gt;"",INDEX('×入力'!$A$1:$L$800,182,2+AJ$2)&lt;&gt;"",INDEX('×入力'!$A$1:$L$800,183+AJ$3,1)&lt;&gt;""),1,0),0)</f>
        <v/>
      </c>
      <c r="AK21">
        <f>IF(AK$4=1,IF(OR(INDEX('×入力'!$A$1:$L$800,183+AK$3,2+AK$2)&lt;&gt;"",INDEX('×入力'!$A$1:$L$800,182,2+AK$2)&lt;&gt;"",INDEX('×入力'!$A$1:$L$800,183+AK$3,1)&lt;&gt;""),1,0),0)</f>
        <v/>
      </c>
      <c r="AL21">
        <f>IF(AL$4=1,IF(OR(INDEX('×入力'!$A$1:$L$800,183+AL$3,2+AL$2)&lt;&gt;"",INDEX('×入力'!$A$1:$L$800,182,2+AL$2)&lt;&gt;"",INDEX('×入力'!$A$1:$L$800,183+AL$3,1)&lt;&gt;""),1,0),0)</f>
        <v/>
      </c>
      <c r="AM21">
        <f>IF(AM$4=1,IF(OR(INDEX('×入力'!$A$1:$L$800,183+AM$3,2+AM$2)&lt;&gt;"",INDEX('×入力'!$A$1:$L$800,182,2+AM$2)&lt;&gt;"",INDEX('×入力'!$A$1:$L$800,183+AM$3,1)&lt;&gt;""),1,0),0)</f>
        <v/>
      </c>
      <c r="AN21">
        <f>IF(AN$4=1,IF(OR(INDEX('×入力'!$A$1:$L$800,183+AN$3,2+AN$2)&lt;&gt;"",INDEX('×入力'!$A$1:$L$800,182,2+AN$2)&lt;&gt;"",INDEX('×入力'!$A$1:$L$800,183+AN$3,1)&lt;&gt;""),1,0),0)</f>
        <v/>
      </c>
      <c r="AO21">
        <f>IF(AO$4=1,IF(OR(INDEX('×入力'!$A$1:$L$800,183+AO$3,2+AO$2)&lt;&gt;"",INDEX('×入力'!$A$1:$L$800,182,2+AO$2)&lt;&gt;"",INDEX('×入力'!$A$1:$L$800,183+AO$3,1)&lt;&gt;""),1,0),0)</f>
        <v/>
      </c>
      <c r="AP21">
        <f>IF(AP$4=1,IF(OR(INDEX('×入力'!$A$1:$L$800,183+AP$3,2+AP$2)&lt;&gt;"",INDEX('×入力'!$A$1:$L$800,182,2+AP$2)&lt;&gt;"",INDEX('×入力'!$A$1:$L$800,183+AP$3,1)&lt;&gt;""),1,0),0)</f>
        <v/>
      </c>
      <c r="AQ21">
        <f>IF(AQ$4=1,IF(OR(INDEX('×入力'!$A$1:$L$800,183+AQ$3,2+AQ$2)&lt;&gt;"",INDEX('×入力'!$A$1:$L$800,182,2+AQ$2)&lt;&gt;"",INDEX('×入力'!$A$1:$L$800,183+AQ$3,1)&lt;&gt;""),1,0),0)</f>
        <v/>
      </c>
      <c r="AR21">
        <f>IF(AR$4=1,IF(OR(INDEX('×入力'!$A$1:$L$800,183+AR$3,2+AR$2)&lt;&gt;"",INDEX('×入力'!$A$1:$L$800,182,2+AR$2)&lt;&gt;"",INDEX('×入力'!$A$1:$L$800,183+AR$3,1)&lt;&gt;""),1,0),0)</f>
        <v/>
      </c>
      <c r="AS21">
        <f>IF(AS$4=1,IF(OR(INDEX('×入力'!$A$1:$L$800,183+AS$3,2+AS$2)&lt;&gt;"",INDEX('×入力'!$A$1:$L$800,182,2+AS$2)&lt;&gt;"",INDEX('×入力'!$A$1:$L$800,183+AS$3,1)&lt;&gt;""),1,0),0)</f>
        <v/>
      </c>
      <c r="AT21">
        <f>IF(AT$4=1,IF(OR(INDEX('×入力'!$A$1:$L$800,183+AT$3,2+AT$2)&lt;&gt;"",INDEX('×入力'!$A$1:$L$800,182,2+AT$2)&lt;&gt;"",INDEX('×入力'!$A$1:$L$800,183+AT$3,1)&lt;&gt;""),1,0),0)</f>
        <v/>
      </c>
      <c r="AU21">
        <f>IF(AU$4=1,IF(OR(INDEX('×入力'!$A$1:$L$800,183+AU$3,2+AU$2)&lt;&gt;"",INDEX('×入力'!$A$1:$L$800,182,2+AU$2)&lt;&gt;"",INDEX('×入力'!$A$1:$L$800,183+AU$3,1)&lt;&gt;""),1,0),0)</f>
        <v/>
      </c>
      <c r="AV21">
        <f>IF(AV$4=1,IF(OR(INDEX('×入力'!$A$1:$L$800,183+AV$3,2+AV$2)&lt;&gt;"",INDEX('×入力'!$A$1:$L$800,182,2+AV$2)&lt;&gt;"",INDEX('×入力'!$A$1:$L$800,183+AV$3,1)&lt;&gt;""),1,0),0)</f>
        <v/>
      </c>
      <c r="AW21">
        <f>IF(AW$4=1,IF(OR(INDEX('×入力'!$A$1:$L$800,183+AW$3,2+AW$2)&lt;&gt;"",INDEX('×入力'!$A$1:$L$800,182,2+AW$2)&lt;&gt;"",INDEX('×入力'!$A$1:$L$800,183+AW$3,1)&lt;&gt;""),1,0),0)</f>
        <v/>
      </c>
      <c r="AX21">
        <f>IF(AX$4=1,IF(OR(INDEX('×入力'!$A$1:$L$800,183+AX$3,2+AX$2)&lt;&gt;"",INDEX('×入力'!$A$1:$L$800,182,2+AX$2)&lt;&gt;"",INDEX('×入力'!$A$1:$L$800,183+AX$3,1)&lt;&gt;""),1,0),0)</f>
        <v/>
      </c>
      <c r="AY21">
        <f>IF(AY$4=1,IF(OR(INDEX('×入力'!$A$1:$L$800,183+AY$3,2+AY$2)&lt;&gt;"",INDEX('×入力'!$A$1:$L$800,182,2+AY$2)&lt;&gt;"",INDEX('×入力'!$A$1:$L$800,183+AY$3,1)&lt;&gt;""),1,0),0)</f>
        <v/>
      </c>
      <c r="AZ21">
        <f>IF(AZ$4=1,IF(OR(INDEX('×入力'!$A$1:$L$800,183+AZ$3,2+AZ$2)&lt;&gt;"",INDEX('×入力'!$A$1:$L$800,182,2+AZ$2)&lt;&gt;"",INDEX('×入力'!$A$1:$L$800,183+AZ$3,1)&lt;&gt;""),1,0),0)</f>
        <v/>
      </c>
      <c r="BA21">
        <f>IF(BA$4=1,IF(OR(INDEX('×入力'!$A$1:$L$800,183+BA$3,2+BA$2)&lt;&gt;"",INDEX('×入力'!$A$1:$L$800,182,2+BA$2)&lt;&gt;"",INDEX('×入力'!$A$1:$L$800,183+BA$3,1)&lt;&gt;""),1,0),0)</f>
        <v/>
      </c>
      <c r="BB21">
        <f>IF(BB$4=1,IF(OR(INDEX('×入力'!$A$1:$L$800,183+BB$3,2+BB$2)&lt;&gt;"",INDEX('×入力'!$A$1:$L$800,182,2+BB$2)&lt;&gt;"",INDEX('×入力'!$A$1:$L$800,183+BB$3,1)&lt;&gt;""),1,0),0)</f>
        <v/>
      </c>
      <c r="BC21">
        <f>IF(BC$4=1,IF(OR(INDEX('×入力'!$A$1:$L$800,183+BC$3,2+BC$2)&lt;&gt;"",INDEX('×入力'!$A$1:$L$800,182,2+BC$2)&lt;&gt;"",INDEX('×入力'!$A$1:$L$800,183+BC$3,1)&lt;&gt;""),1,0),0)</f>
        <v/>
      </c>
      <c r="BD21">
        <f>IF(BD$4=1,IF(OR(INDEX('×入力'!$A$1:$L$800,183+BD$3,2+BD$2)&lt;&gt;"",INDEX('×入力'!$A$1:$L$800,182,2+BD$2)&lt;&gt;"",INDEX('×入力'!$A$1:$L$800,183+BD$3,1)&lt;&gt;""),1,0),0)</f>
        <v/>
      </c>
      <c r="BE21">
        <f>IF(BE$4=1,IF(OR(INDEX('×入力'!$A$1:$L$800,183+BE$3,2+BE$2)&lt;&gt;"",INDEX('×入力'!$A$1:$L$800,182,2+BE$2)&lt;&gt;"",INDEX('×入力'!$A$1:$L$800,183+BE$3,1)&lt;&gt;""),1,0),0)</f>
        <v/>
      </c>
      <c r="BF21">
        <f>IF(BF$4=1,IF(OR(INDEX('×入力'!$A$1:$L$800,183+BF$3,2+BF$2)&lt;&gt;"",INDEX('×入力'!$A$1:$L$800,182,2+BF$2)&lt;&gt;"",INDEX('×入力'!$A$1:$L$800,183+BF$3,1)&lt;&gt;""),1,0),0)</f>
        <v/>
      </c>
      <c r="BG21">
        <f>IF(BG$4=1,IF(OR(INDEX('×入力'!$A$1:$L$800,183+BG$3,2+BG$2)&lt;&gt;"",INDEX('×入力'!$A$1:$L$800,182,2+BG$2)&lt;&gt;"",INDEX('×入力'!$A$1:$L$800,183+BG$3,1)&lt;&gt;""),1,0),0)</f>
        <v/>
      </c>
      <c r="BH21">
        <f>IF(BH$4=1,IF(OR(INDEX('×入力'!$A$1:$L$800,183+BH$3,2+BH$2)&lt;&gt;"",INDEX('×入力'!$A$1:$L$800,182,2+BH$2)&lt;&gt;"",INDEX('×入力'!$A$1:$L$800,183+BH$3,1)&lt;&gt;""),1,0),0)</f>
        <v/>
      </c>
      <c r="BI21">
        <f>IF(BI$4=1,IF(OR(INDEX('×入力'!$A$1:$L$800,183+BI$3,2+BI$2)&lt;&gt;"",INDEX('×入力'!$A$1:$L$800,182,2+BI$2)&lt;&gt;"",INDEX('×入力'!$A$1:$L$800,183+BI$3,1)&lt;&gt;""),1,0),0)</f>
        <v/>
      </c>
      <c r="BJ21">
        <f>IF(BJ$4=1,IF(OR(INDEX('×入力'!$A$1:$L$800,183+BJ$3,2+BJ$2)&lt;&gt;"",INDEX('×入力'!$A$1:$L$800,182,2+BJ$2)&lt;&gt;"",INDEX('×入力'!$A$1:$L$800,183+BJ$3,1)&lt;&gt;""),1,0),0)</f>
        <v/>
      </c>
      <c r="BK21">
        <f>IF(BK$4=1,IF(OR(INDEX('×入力'!$A$1:$L$800,183+BK$3,2+BK$2)&lt;&gt;"",INDEX('×入力'!$A$1:$L$800,182,2+BK$2)&lt;&gt;"",INDEX('×入力'!$A$1:$L$800,183+BK$3,1)&lt;&gt;""),1,0),0)</f>
        <v/>
      </c>
      <c r="BL21">
        <f>IF(BL$4=1,IF(OR(INDEX('×入力'!$A$1:$L$800,183+BL$3,2+BL$2)&lt;&gt;"",INDEX('×入力'!$A$1:$L$800,182,2+BL$2)&lt;&gt;"",INDEX('×入力'!$A$1:$L$800,183+BL$3,1)&lt;&gt;""),1,0),0)</f>
        <v/>
      </c>
      <c r="BM21">
        <f>IF(BM$4=1,IF(OR(INDEX('×入力'!$A$1:$L$800,183+BM$3,2+BM$2)&lt;&gt;"",INDEX('×入力'!$A$1:$L$800,182,2+BM$2)&lt;&gt;"",INDEX('×入力'!$A$1:$L$800,183+BM$3,1)&lt;&gt;""),1,0),0)</f>
        <v/>
      </c>
      <c r="BN21">
        <f>IF(BN$4=1,IF(OR(INDEX('×入力'!$A$1:$L$800,183+BN$3,2+BN$2)&lt;&gt;"",INDEX('×入力'!$A$1:$L$800,182,2+BN$2)&lt;&gt;"",INDEX('×入力'!$A$1:$L$800,183+BN$3,1)&lt;&gt;""),1,0),0)</f>
        <v/>
      </c>
      <c r="BO21">
        <f>IF(BO$4=1,IF(OR(INDEX('×入力'!$A$1:$L$800,183+BO$3,2+BO$2)&lt;&gt;"",INDEX('×入力'!$A$1:$L$800,182,2+BO$2)&lt;&gt;"",INDEX('×入力'!$A$1:$L$800,183+BO$3,1)&lt;&gt;""),1,0),0)</f>
        <v/>
      </c>
      <c r="BP21">
        <f>IF(BP$4=1,IF(OR(INDEX('×入力'!$A$1:$L$800,183+BP$3,2+BP$2)&lt;&gt;"",INDEX('×入力'!$A$1:$L$800,182,2+BP$2)&lt;&gt;"",INDEX('×入力'!$A$1:$L$800,183+BP$3,1)&lt;&gt;""),1,0),0)</f>
        <v/>
      </c>
      <c r="BQ21">
        <f>IF(BQ$4=1,IF(OR(INDEX('×入力'!$A$1:$L$800,183+BQ$3,2+BQ$2)&lt;&gt;"",INDEX('×入力'!$A$1:$L$800,182,2+BQ$2)&lt;&gt;"",INDEX('×入力'!$A$1:$L$800,183+BQ$3,1)&lt;&gt;""),1,0),0)</f>
        <v/>
      </c>
      <c r="BR21">
        <f>IF(BR$4=1,IF(OR(INDEX('×入力'!$A$1:$L$800,183+BR$3,2+BR$2)&lt;&gt;"",INDEX('×入力'!$A$1:$L$800,182,2+BR$2)&lt;&gt;"",INDEX('×入力'!$A$1:$L$800,183+BR$3,1)&lt;&gt;""),1,0),0)</f>
        <v/>
      </c>
      <c r="BS21">
        <f>IF(BS$4=1,IF(OR(INDEX('×入力'!$A$1:$L$800,183+BS$3,2+BS$2)&lt;&gt;"",INDEX('×入力'!$A$1:$L$800,182,2+BS$2)&lt;&gt;"",INDEX('×入力'!$A$1:$L$800,183+BS$3,1)&lt;&gt;""),1,0),0)</f>
        <v/>
      </c>
      <c r="BT21">
        <f>IF(BT$4=1,IF(OR(INDEX('×入力'!$A$1:$L$800,183+BT$3,2+BT$2)&lt;&gt;"",INDEX('×入力'!$A$1:$L$800,182,2+BT$2)&lt;&gt;"",INDEX('×入力'!$A$1:$L$800,183+BT$3,1)&lt;&gt;""),1,0),0)</f>
        <v/>
      </c>
      <c r="BU21">
        <f>IF(BU$4=1,IF(OR(INDEX('×入力'!$A$1:$L$800,183+BU$3,2+BU$2)&lt;&gt;"",INDEX('×入力'!$A$1:$L$800,182,2+BU$2)&lt;&gt;"",INDEX('×入力'!$A$1:$L$800,183+BU$3,1)&lt;&gt;""),1,0),0)</f>
        <v/>
      </c>
      <c r="BV21">
        <f>IF(BV$4=1,IF(OR(INDEX('×入力'!$A$1:$L$800,183+BV$3,2+BV$2)&lt;&gt;"",INDEX('×入力'!$A$1:$L$800,182,2+BV$2)&lt;&gt;"",INDEX('×入力'!$A$1:$L$800,183+BV$3,1)&lt;&gt;""),1,0),0)</f>
        <v/>
      </c>
      <c r="BW21">
        <f>IF(BW$4=1,IF(OR(INDEX('×入力'!$A$1:$L$800,183+BW$3,2+BW$2)&lt;&gt;"",INDEX('×入力'!$A$1:$L$800,182,2+BW$2)&lt;&gt;"",INDEX('×入力'!$A$1:$L$800,183+BW$3,1)&lt;&gt;""),1,0),0)</f>
        <v/>
      </c>
      <c r="BX21">
        <f>IF(BX$4=1,IF(OR(INDEX('×入力'!$A$1:$L$800,183+BX$3,2+BX$2)&lt;&gt;"",INDEX('×入力'!$A$1:$L$800,182,2+BX$2)&lt;&gt;"",INDEX('×入力'!$A$1:$L$800,183+BX$3,1)&lt;&gt;""),1,0),0)</f>
        <v/>
      </c>
      <c r="BY21">
        <f>IF(BY$4=1,IF(OR(INDEX('×入力'!$A$1:$L$800,183+BY$3,2+BY$2)&lt;&gt;"",INDEX('×入力'!$A$1:$L$800,182,2+BY$2)&lt;&gt;"",INDEX('×入力'!$A$1:$L$800,183+BY$3,1)&lt;&gt;""),1,0),0)</f>
        <v/>
      </c>
      <c r="BZ21">
        <f>IF(BZ$4=1,IF(OR(INDEX('×入力'!$A$1:$L$800,183+BZ$3,2+BZ$2)&lt;&gt;"",INDEX('×入力'!$A$1:$L$800,182,2+BZ$2)&lt;&gt;"",INDEX('×入力'!$A$1:$L$800,183+BZ$3,1)&lt;&gt;""),1,0),0)</f>
        <v/>
      </c>
      <c r="CA21">
        <f>IF(CA$4=1,IF(OR(INDEX('×入力'!$A$1:$L$800,183+CA$3,2+CA$2)&lt;&gt;"",INDEX('×入力'!$A$1:$L$800,182,2+CA$2)&lt;&gt;"",INDEX('×入力'!$A$1:$L$800,183+CA$3,1)&lt;&gt;""),1,0),0)</f>
        <v/>
      </c>
      <c r="CB21">
        <f>IF(CB$4=1,IF(OR(INDEX('×入力'!$A$1:$L$800,183+CB$3,2+CB$2)&lt;&gt;"",INDEX('×入力'!$A$1:$L$800,182,2+CB$2)&lt;&gt;"",INDEX('×入力'!$A$1:$L$800,183+CB$3,1)&lt;&gt;""),1,0),0)</f>
        <v/>
      </c>
      <c r="CC21">
        <f>IF(CC$4=1,IF(OR(INDEX('×入力'!$A$1:$L$800,183+CC$3,2+CC$2)&lt;&gt;"",INDEX('×入力'!$A$1:$L$800,182,2+CC$2)&lt;&gt;"",INDEX('×入力'!$A$1:$L$800,183+CC$3,1)&lt;&gt;""),1,0),0)</f>
        <v/>
      </c>
      <c r="CD21">
        <f>IF(CD$4=1,IF(OR(INDEX('×入力'!$A$1:$L$800,183+CD$3,2+CD$2)&lt;&gt;"",INDEX('×入力'!$A$1:$L$800,182,2+CD$2)&lt;&gt;"",INDEX('×入力'!$A$1:$L$800,183+CD$3,1)&lt;&gt;""),1,0),0)</f>
        <v/>
      </c>
      <c r="CE21">
        <f>IF(CE$4=1,IF(OR(INDEX('×入力'!$A$1:$L$800,183+CE$3,2+CE$2)&lt;&gt;"",INDEX('×入力'!$A$1:$L$800,182,2+CE$2)&lt;&gt;"",INDEX('×入力'!$A$1:$L$800,183+CE$3,1)&lt;&gt;""),1,0),0)</f>
        <v/>
      </c>
      <c r="CF21">
        <f>IF(CF$4=1,IF(OR(INDEX('×入力'!$A$1:$L$800,183+CF$3,2+CF$2)&lt;&gt;"",INDEX('×入力'!$A$1:$L$800,182,2+CF$2)&lt;&gt;"",INDEX('×入力'!$A$1:$L$800,183+CF$3,1)&lt;&gt;""),1,0),0)</f>
        <v/>
      </c>
      <c r="CG21">
        <f>IF(CG$4=1,IF(OR(INDEX('×入力'!$A$1:$L$800,183+CG$3,2+CG$2)&lt;&gt;"",INDEX('×入力'!$A$1:$L$800,182,2+CG$2)&lt;&gt;"",INDEX('×入力'!$A$1:$L$800,183+CG$3,1)&lt;&gt;""),1,0),0)</f>
        <v/>
      </c>
      <c r="CH21">
        <f>IF(CH$4=1,IF(OR(INDEX('×入力'!$A$1:$L$800,183+CH$3,2+CH$2)&lt;&gt;"",INDEX('×入力'!$A$1:$L$800,182,2+CH$2)&lt;&gt;"",INDEX('×入力'!$A$1:$L$800,183+CH$3,1)&lt;&gt;""),1,0),0)</f>
        <v/>
      </c>
      <c r="CI21">
        <f>IF(CI$4=1,IF(OR(INDEX('×入力'!$A$1:$L$800,183+CI$3,2+CI$2)&lt;&gt;"",INDEX('×入力'!$A$1:$L$800,182,2+CI$2)&lt;&gt;"",INDEX('×入力'!$A$1:$L$800,183+CI$3,1)&lt;&gt;""),1,0),0)</f>
        <v/>
      </c>
      <c r="CJ21">
        <f>IF(CJ$4=1,IF(OR(INDEX('×入力'!$A$1:$L$800,183+CJ$3,2+CJ$2)&lt;&gt;"",INDEX('×入力'!$A$1:$L$800,182,2+CJ$2)&lt;&gt;"",INDEX('×入力'!$A$1:$L$800,183+CJ$3,1)&lt;&gt;""),1,0),0)</f>
        <v/>
      </c>
      <c r="CK21">
        <f>IF(CK$4=1,IF(OR(INDEX('×入力'!$A$1:$L$800,183+CK$3,2+CK$2)&lt;&gt;"",INDEX('×入力'!$A$1:$L$800,182,2+CK$2)&lt;&gt;"",INDEX('×入力'!$A$1:$L$800,183+CK$3,1)&lt;&gt;""),1,0),0)</f>
        <v/>
      </c>
      <c r="CL21">
        <f>IF(CL$4=1,IF(OR(INDEX('×入力'!$A$1:$L$800,183+CL$3,2+CL$2)&lt;&gt;"",INDEX('×入力'!$A$1:$L$800,182,2+CL$2)&lt;&gt;"",INDEX('×入力'!$A$1:$L$800,183+CL$3,1)&lt;&gt;""),1,0),0)</f>
        <v/>
      </c>
      <c r="CM21">
        <f>IF(CM$4=1,IF(OR(INDEX('×入力'!$A$1:$L$800,183+CM$3,2+CM$2)&lt;&gt;"",INDEX('×入力'!$A$1:$L$800,182,2+CM$2)&lt;&gt;"",INDEX('×入力'!$A$1:$L$800,183+CM$3,1)&lt;&gt;""),1,0),0)</f>
        <v/>
      </c>
      <c r="CN21">
        <f>IF(CN$4=1,IF(OR(INDEX('×入力'!$A$1:$L$800,183+CN$3,2+CN$2)&lt;&gt;"",INDEX('×入力'!$A$1:$L$800,182,2+CN$2)&lt;&gt;"",INDEX('×入力'!$A$1:$L$800,183+CN$3,1)&lt;&gt;""),1,0),0)</f>
        <v/>
      </c>
      <c r="CO21">
        <f>IF(CO$4=1,IF(OR(INDEX('×入力'!$A$1:$L$800,183+CO$3,2+CO$2)&lt;&gt;"",INDEX('×入力'!$A$1:$L$800,182,2+CO$2)&lt;&gt;"",INDEX('×入力'!$A$1:$L$800,183+CO$3,1)&lt;&gt;""),1,0),0)</f>
        <v/>
      </c>
      <c r="CP21">
        <f>IF(CP$4=1,IF(OR(INDEX('×入力'!$A$1:$L$800,183+CP$3,2+CP$2)&lt;&gt;"",INDEX('×入力'!$A$1:$L$800,182,2+CP$2)&lt;&gt;"",INDEX('×入力'!$A$1:$L$800,183+CP$3,1)&lt;&gt;""),1,0),0)</f>
        <v/>
      </c>
      <c r="CQ21">
        <f>IF(CQ$4=1,IF(OR(INDEX('×入力'!$A$1:$L$800,183+CQ$3,2+CQ$2)&lt;&gt;"",INDEX('×入力'!$A$1:$L$800,182,2+CQ$2)&lt;&gt;"",INDEX('×入力'!$A$1:$L$800,183+CQ$3,1)&lt;&gt;""),1,0),0)</f>
        <v/>
      </c>
      <c r="CR21">
        <f>IF(CR$4=1,IF(OR(INDEX('×入力'!$A$1:$L$800,183+CR$3,2+CR$2)&lt;&gt;"",INDEX('×入力'!$A$1:$L$800,182,2+CR$2)&lt;&gt;"",INDEX('×入力'!$A$1:$L$800,183+CR$3,1)&lt;&gt;""),1,0),0)</f>
        <v/>
      </c>
      <c r="CS21">
        <f>IF(CS$4=1,IF(OR(INDEX('×入力'!$A$1:$L$800,183+CS$3,2+CS$2)&lt;&gt;"",INDEX('×入力'!$A$1:$L$800,182,2+CS$2)&lt;&gt;"",INDEX('×入力'!$A$1:$L$800,183+CS$3,1)&lt;&gt;""),1,0),0)</f>
        <v/>
      </c>
      <c r="CT21">
        <f>IF(CT$4=1,IF(OR(INDEX('×入力'!$A$1:$L$800,183+CT$3,2+CT$2)&lt;&gt;"",INDEX('×入力'!$A$1:$L$800,182,2+CT$2)&lt;&gt;"",INDEX('×入力'!$A$1:$L$800,183+CT$3,1)&lt;&gt;""),1,0),0)</f>
        <v/>
      </c>
      <c r="CU21">
        <f>IF(CU$4=1,IF(OR(INDEX('×入力'!$A$1:$L$800,183+CU$3,2+CU$2)&lt;&gt;"",INDEX('×入力'!$A$1:$L$800,182,2+CU$2)&lt;&gt;"",INDEX('×入力'!$A$1:$L$800,183+CU$3,1)&lt;&gt;""),1,0),0)</f>
        <v/>
      </c>
      <c r="CV21">
        <f>IF(CV$4=1,IF(OR(INDEX('×入力'!$A$1:$L$800,183+CV$3,2+CV$2)&lt;&gt;"",INDEX('×入力'!$A$1:$L$800,182,2+CV$2)&lt;&gt;"",INDEX('×入力'!$A$1:$L$800,183+CV$3,1)&lt;&gt;""),1,0),0)</f>
        <v/>
      </c>
      <c r="CW21">
        <f>IF(CW$4=1,IF(OR(INDEX('×入力'!$A$1:$L$800,183+CW$3,2+CW$2)&lt;&gt;"",INDEX('×入力'!$A$1:$L$800,182,2+CW$2)&lt;&gt;"",INDEX('×入力'!$A$1:$L$800,183+CW$3,1)&lt;&gt;""),1,0),0)</f>
        <v/>
      </c>
      <c r="CX21">
        <f>IF(CX$4=1,IF(OR(INDEX('×入力'!$A$1:$L$800,183+CX$3,2+CX$2)&lt;&gt;"",INDEX('×入力'!$A$1:$L$800,182,2+CX$2)&lt;&gt;"",INDEX('×入力'!$A$1:$L$800,183+CX$3,1)&lt;&gt;""),1,0),0)</f>
        <v/>
      </c>
      <c r="CY21">
        <f>IF(CY$4=1,IF(OR(INDEX('×入力'!$A$1:$L$800,183+CY$3,2+CY$2)&lt;&gt;"",INDEX('×入力'!$A$1:$L$800,182,2+CY$2)&lt;&gt;"",INDEX('×入力'!$A$1:$L$800,183+CY$3,1)&lt;&gt;""),1,0),0)</f>
        <v/>
      </c>
      <c r="CZ21">
        <f>IF(CZ$4=1,IF(OR(INDEX('×入力'!$A$1:$L$800,183+CZ$3,2+CZ$2)&lt;&gt;"",INDEX('×入力'!$A$1:$L$800,182,2+CZ$2)&lt;&gt;"",INDEX('×入力'!$A$1:$L$800,183+CZ$3,1)&lt;&gt;""),1,0),0)</f>
        <v/>
      </c>
      <c r="DA21">
        <f>IF(DA$4=1,IF(OR(INDEX('×入力'!$A$1:$L$800,183+DA$3,2+DA$2)&lt;&gt;"",INDEX('×入力'!$A$1:$L$800,182,2+DA$2)&lt;&gt;"",INDEX('×入力'!$A$1:$L$800,183+DA$3,1)&lt;&gt;""),1,0),0)</f>
        <v/>
      </c>
      <c r="DB21">
        <f>IF(DB$4=1,IF(OR(INDEX('×入力'!$A$1:$L$800,183+DB$3,2+DB$2)&lt;&gt;"",INDEX('×入力'!$A$1:$L$800,182,2+DB$2)&lt;&gt;"",INDEX('×入力'!$A$1:$L$800,183+DB$3,1)&lt;&gt;""),1,0),0)</f>
        <v/>
      </c>
      <c r="DC21">
        <f>IF(DC$4=1,IF(OR(INDEX('×入力'!$A$1:$L$800,183+DC$3,2+DC$2)&lt;&gt;"",INDEX('×入力'!$A$1:$L$800,182,2+DC$2)&lt;&gt;"",INDEX('×入力'!$A$1:$L$800,183+DC$3,1)&lt;&gt;""),1,0),0)</f>
        <v/>
      </c>
      <c r="DD21">
        <f>IF(DD$4=1,IF(OR(INDEX('×入力'!$A$1:$L$800,183+DD$3,2+DD$2)&lt;&gt;"",INDEX('×入力'!$A$1:$L$800,182,2+DD$2)&lt;&gt;"",INDEX('×入力'!$A$1:$L$800,183+DD$3,1)&lt;&gt;""),1,0),0)</f>
        <v/>
      </c>
      <c r="DE21">
        <f>IF(DE$4=1,IF(OR(INDEX('×入力'!$A$1:$L$800,183+DE$3,2+DE$2)&lt;&gt;"",INDEX('×入力'!$A$1:$L$800,182,2+DE$2)&lt;&gt;"",INDEX('×入力'!$A$1:$L$800,183+DE$3,1)&lt;&gt;""),1,0),0)</f>
        <v/>
      </c>
      <c r="DF21">
        <f>IF(DF$4=1,IF(OR(INDEX('×入力'!$A$1:$L$800,183+DF$3,2+DF$2)&lt;&gt;"",INDEX('×入力'!$A$1:$L$800,182,2+DF$2)&lt;&gt;"",INDEX('×入力'!$A$1:$L$800,183+DF$3,1)&lt;&gt;""),1,0),0)</f>
        <v/>
      </c>
      <c r="DG21">
        <f>IF(DG$4=1,IF(OR(INDEX('×入力'!$A$1:$L$800,183+DG$3,2+DG$2)&lt;&gt;"",INDEX('×入力'!$A$1:$L$800,182,2+DG$2)&lt;&gt;"",INDEX('×入力'!$A$1:$L$800,183+DG$3,1)&lt;&gt;""),1,0),0)</f>
        <v/>
      </c>
      <c r="DH21">
        <f>IF(DH$4=1,IF(OR(INDEX('×入力'!$A$1:$L$800,183+DH$3,2+DH$2)&lt;&gt;"",INDEX('×入力'!$A$1:$L$800,182,2+DH$2)&lt;&gt;"",INDEX('×入力'!$A$1:$L$800,183+DH$3,1)&lt;&gt;""),1,0),0)</f>
        <v/>
      </c>
      <c r="DI21">
        <f>IF(DI$4=1,IF(OR(INDEX('×入力'!$A$1:$L$800,183+DI$3,2+DI$2)&lt;&gt;"",INDEX('×入力'!$A$1:$L$800,182,2+DI$2)&lt;&gt;"",INDEX('×入力'!$A$1:$L$800,183+DI$3,1)&lt;&gt;""),1,0),0)</f>
        <v/>
      </c>
      <c r="DJ21">
        <f>IF(DJ$4=1,IF(OR(INDEX('×入力'!$A$1:$L$800,183+DJ$3,2+DJ$2)&lt;&gt;"",INDEX('×入力'!$A$1:$L$800,182,2+DJ$2)&lt;&gt;"",INDEX('×入力'!$A$1:$L$800,183+DJ$3,1)&lt;&gt;""),1,0),0)</f>
        <v/>
      </c>
      <c r="DK21">
        <f>IF(DK$4=1,IF(OR(INDEX('×入力'!$A$1:$L$800,183+DK$3,2+DK$2)&lt;&gt;"",INDEX('×入力'!$A$1:$L$800,182,2+DK$2)&lt;&gt;"",INDEX('×入力'!$A$1:$L$800,183+DK$3,1)&lt;&gt;""),1,0),0)</f>
        <v/>
      </c>
      <c r="DL21">
        <f>IF(DL$4=1,IF(OR(INDEX('×入力'!$A$1:$L$800,183+DL$3,2+DL$2)&lt;&gt;"",INDEX('×入力'!$A$1:$L$800,182,2+DL$2)&lt;&gt;"",INDEX('×入力'!$A$1:$L$800,183+DL$3,1)&lt;&gt;""),1,0),0)</f>
        <v/>
      </c>
      <c r="DM21">
        <f>IF(DM$4=1,IF(OR(INDEX('×入力'!$A$1:$L$800,183+DM$3,2+DM$2)&lt;&gt;"",INDEX('×入力'!$A$1:$L$800,182,2+DM$2)&lt;&gt;"",INDEX('×入力'!$A$1:$L$800,183+DM$3,1)&lt;&gt;""),1,0),0)</f>
        <v/>
      </c>
      <c r="DN21">
        <f>IF(DN$4=1,IF(OR(INDEX('×入力'!$A$1:$L$800,183+DN$3,2+DN$2)&lt;&gt;"",INDEX('×入力'!$A$1:$L$800,182,2+DN$2)&lt;&gt;"",INDEX('×入力'!$A$1:$L$800,183+DN$3,1)&lt;&gt;""),1,0),0)</f>
        <v/>
      </c>
      <c r="DO21">
        <f>IF(DO$4=1,IF(OR(INDEX('×入力'!$A$1:$L$800,183+DO$3,2+DO$2)&lt;&gt;"",INDEX('×入力'!$A$1:$L$800,182,2+DO$2)&lt;&gt;"",INDEX('×入力'!$A$1:$L$800,183+DO$3,1)&lt;&gt;""),1,0),0)</f>
        <v/>
      </c>
      <c r="DP21">
        <f>IF(DP$4=1,IF(OR(INDEX('×入力'!$A$1:$L$800,183+DP$3,2+DP$2)&lt;&gt;"",INDEX('×入力'!$A$1:$L$800,182,2+DP$2)&lt;&gt;"",INDEX('×入力'!$A$1:$L$800,183+DP$3,1)&lt;&gt;""),1,0),0)</f>
        <v/>
      </c>
      <c r="DQ21">
        <f>IF(DQ$4=1,IF(OR(INDEX('×入力'!$A$1:$L$800,183+DQ$3,2+DQ$2)&lt;&gt;"",INDEX('×入力'!$A$1:$L$800,182,2+DQ$2)&lt;&gt;"",INDEX('×入力'!$A$1:$L$800,183+DQ$3,1)&lt;&gt;""),1,0),0)</f>
        <v/>
      </c>
      <c r="DR21">
        <f>IF(DR$4=1,IF(OR(INDEX('×入力'!$A$1:$L$800,183+DR$3,2+DR$2)&lt;&gt;"",INDEX('×入力'!$A$1:$L$800,182,2+DR$2)&lt;&gt;"",INDEX('×入力'!$A$1:$L$800,183+DR$3,1)&lt;&gt;""),1,0),0)</f>
        <v/>
      </c>
      <c r="DS21">
        <f>IF(DS$4=1,IF(OR(INDEX('×入力'!$A$1:$L$800,183+DS$3,2+DS$2)&lt;&gt;"",INDEX('×入力'!$A$1:$L$800,182,2+DS$2)&lt;&gt;"",INDEX('×入力'!$A$1:$L$800,183+DS$3,1)&lt;&gt;""),1,0),0)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IF(D$4=1,IF(OR(INDEX('×入力'!$A$1:$L$800,199+D$3,2+D$2)&lt;&gt;"",INDEX('×入力'!$A$1:$L$800,198,2+D$2)&lt;&gt;"",INDEX('×入力'!$A$1:$L$800,199+D$3,1)&lt;&gt;""),1,0),0)</f>
        <v/>
      </c>
      <c r="E22">
        <f>IF(E$4=1,IF(OR(INDEX('×入力'!$A$1:$L$800,199+E$3,2+E$2)&lt;&gt;"",INDEX('×入力'!$A$1:$L$800,198,2+E$2)&lt;&gt;"",INDEX('×入力'!$A$1:$L$800,199+E$3,1)&lt;&gt;""),1,0),0)</f>
        <v/>
      </c>
      <c r="F22">
        <f>IF(F$4=1,IF(OR(INDEX('×入力'!$A$1:$L$800,199+F$3,2+F$2)&lt;&gt;"",INDEX('×入力'!$A$1:$L$800,198,2+F$2)&lt;&gt;"",INDEX('×入力'!$A$1:$L$800,199+F$3,1)&lt;&gt;""),1,0),0)</f>
        <v/>
      </c>
      <c r="G22">
        <f>IF(G$4=1,IF(OR(INDEX('×入力'!$A$1:$L$800,199+G$3,2+G$2)&lt;&gt;"",INDEX('×入力'!$A$1:$L$800,198,2+G$2)&lt;&gt;"",INDEX('×入力'!$A$1:$L$800,199+G$3,1)&lt;&gt;""),1,0),0)</f>
        <v/>
      </c>
      <c r="H22">
        <f>IF(H$4=1,IF(OR(INDEX('×入力'!$A$1:$L$800,199+H$3,2+H$2)&lt;&gt;"",INDEX('×入力'!$A$1:$L$800,198,2+H$2)&lt;&gt;"",INDEX('×入力'!$A$1:$L$800,199+H$3,1)&lt;&gt;""),1,0),0)</f>
        <v/>
      </c>
      <c r="I22">
        <f>IF(I$4=1,IF(OR(INDEX('×入力'!$A$1:$L$800,199+I$3,2+I$2)&lt;&gt;"",INDEX('×入力'!$A$1:$L$800,198,2+I$2)&lt;&gt;"",INDEX('×入力'!$A$1:$L$800,199+I$3,1)&lt;&gt;""),1,0),0)</f>
        <v/>
      </c>
      <c r="J22">
        <f>IF(J$4=1,IF(OR(INDEX('×入力'!$A$1:$L$800,199+J$3,2+J$2)&lt;&gt;"",INDEX('×入力'!$A$1:$L$800,198,2+J$2)&lt;&gt;"",INDEX('×入力'!$A$1:$L$800,199+J$3,1)&lt;&gt;""),1,0),0)</f>
        <v/>
      </c>
      <c r="K22">
        <f>IF(K$4=1,IF(OR(INDEX('×入力'!$A$1:$L$800,199+K$3,2+K$2)&lt;&gt;"",INDEX('×入力'!$A$1:$L$800,198,2+K$2)&lt;&gt;"",INDEX('×入力'!$A$1:$L$800,199+K$3,1)&lt;&gt;""),1,0),0)</f>
        <v/>
      </c>
      <c r="L22">
        <f>IF(L$4=1,IF(OR(INDEX('×入力'!$A$1:$L$800,199+L$3,2+L$2)&lt;&gt;"",INDEX('×入力'!$A$1:$L$800,198,2+L$2)&lt;&gt;"",INDEX('×入力'!$A$1:$L$800,199+L$3,1)&lt;&gt;""),1,0),0)</f>
        <v/>
      </c>
      <c r="M22">
        <f>IF(M$4=1,IF(OR(INDEX('×入力'!$A$1:$L$800,199+M$3,2+M$2)&lt;&gt;"",INDEX('×入力'!$A$1:$L$800,198,2+M$2)&lt;&gt;"",INDEX('×入力'!$A$1:$L$800,199+M$3,1)&lt;&gt;""),1,0),0)</f>
        <v/>
      </c>
      <c r="N22">
        <f>IF(N$4=1,IF(OR(INDEX('×入力'!$A$1:$L$800,199+N$3,2+N$2)&lt;&gt;"",INDEX('×入力'!$A$1:$L$800,198,2+N$2)&lt;&gt;"",INDEX('×入力'!$A$1:$L$800,199+N$3,1)&lt;&gt;""),1,0),0)</f>
        <v/>
      </c>
      <c r="O22">
        <f>IF(O$4=1,IF(OR(INDEX('×入力'!$A$1:$L$800,199+O$3,2+O$2)&lt;&gt;"",INDEX('×入力'!$A$1:$L$800,198,2+O$2)&lt;&gt;"",INDEX('×入力'!$A$1:$L$800,199+O$3,1)&lt;&gt;""),1,0),0)</f>
        <v/>
      </c>
      <c r="P22">
        <f>IF(P$4=1,IF(OR(INDEX('×入力'!$A$1:$L$800,199+P$3,2+P$2)&lt;&gt;"",INDEX('×入力'!$A$1:$L$800,198,2+P$2)&lt;&gt;"",INDEX('×入力'!$A$1:$L$800,199+P$3,1)&lt;&gt;""),1,0),0)</f>
        <v/>
      </c>
      <c r="Q22">
        <f>IF(Q$4=1,IF(OR(INDEX('×入力'!$A$1:$L$800,199+Q$3,2+Q$2)&lt;&gt;"",INDEX('×入力'!$A$1:$L$800,198,2+Q$2)&lt;&gt;"",INDEX('×入力'!$A$1:$L$800,199+Q$3,1)&lt;&gt;""),1,0),0)</f>
        <v/>
      </c>
      <c r="R22">
        <f>IF(R$4=1,IF(OR(INDEX('×入力'!$A$1:$L$800,199+R$3,2+R$2)&lt;&gt;"",INDEX('×入力'!$A$1:$L$800,198,2+R$2)&lt;&gt;"",INDEX('×入力'!$A$1:$L$800,199+R$3,1)&lt;&gt;""),1,0),0)</f>
        <v/>
      </c>
      <c r="S22">
        <f>IF(S$4=1,IF(OR(INDEX('×入力'!$A$1:$L$800,199+S$3,2+S$2)&lt;&gt;"",INDEX('×入力'!$A$1:$L$800,198,2+S$2)&lt;&gt;"",INDEX('×入力'!$A$1:$L$800,199+S$3,1)&lt;&gt;""),1,0),0)</f>
        <v/>
      </c>
      <c r="T22">
        <f>IF(T$4=1,IF(OR(INDEX('×入力'!$A$1:$L$800,199+T$3,2+T$2)&lt;&gt;"",INDEX('×入力'!$A$1:$L$800,198,2+T$2)&lt;&gt;"",INDEX('×入力'!$A$1:$L$800,199+T$3,1)&lt;&gt;""),1,0),0)</f>
        <v/>
      </c>
      <c r="U22">
        <f>IF(U$4=1,IF(OR(INDEX('×入力'!$A$1:$L$800,199+U$3,2+U$2)&lt;&gt;"",INDEX('×入力'!$A$1:$L$800,198,2+U$2)&lt;&gt;"",INDEX('×入力'!$A$1:$L$800,199+U$3,1)&lt;&gt;""),1,0),0)</f>
        <v/>
      </c>
      <c r="V22">
        <f>IF(V$4=1,IF(OR(INDEX('×入力'!$A$1:$L$800,199+V$3,2+V$2)&lt;&gt;"",INDEX('×入力'!$A$1:$L$800,198,2+V$2)&lt;&gt;"",INDEX('×入力'!$A$1:$L$800,199+V$3,1)&lt;&gt;""),1,0),0)</f>
        <v/>
      </c>
      <c r="W22">
        <f>IF(W$4=1,IF(OR(INDEX('×入力'!$A$1:$L$800,199+W$3,2+W$2)&lt;&gt;"",INDEX('×入力'!$A$1:$L$800,198,2+W$2)&lt;&gt;"",INDEX('×入力'!$A$1:$L$800,199+W$3,1)&lt;&gt;""),1,0),0)</f>
        <v/>
      </c>
      <c r="X22">
        <f>IF(X$4=1,IF(OR(INDEX('×入力'!$A$1:$L$800,199+X$3,2+X$2)&lt;&gt;"",INDEX('×入力'!$A$1:$L$800,198,2+X$2)&lt;&gt;"",INDEX('×入力'!$A$1:$L$800,199+X$3,1)&lt;&gt;""),1,0),0)</f>
        <v/>
      </c>
      <c r="Y22">
        <f>IF(Y$4=1,IF(OR(INDEX('×入力'!$A$1:$L$800,199+Y$3,2+Y$2)&lt;&gt;"",INDEX('×入力'!$A$1:$L$800,198,2+Y$2)&lt;&gt;"",INDEX('×入力'!$A$1:$L$800,199+Y$3,1)&lt;&gt;""),1,0),0)</f>
        <v/>
      </c>
      <c r="Z22">
        <f>IF(Z$4=1,IF(OR(INDEX('×入力'!$A$1:$L$800,199+Z$3,2+Z$2)&lt;&gt;"",INDEX('×入力'!$A$1:$L$800,198,2+Z$2)&lt;&gt;"",INDEX('×入力'!$A$1:$L$800,199+Z$3,1)&lt;&gt;""),1,0),0)</f>
        <v/>
      </c>
      <c r="AA22">
        <f>IF(AA$4=1,IF(OR(INDEX('×入力'!$A$1:$L$800,199+AA$3,2+AA$2)&lt;&gt;"",INDEX('×入力'!$A$1:$L$800,198,2+AA$2)&lt;&gt;"",INDEX('×入力'!$A$1:$L$800,199+AA$3,1)&lt;&gt;""),1,0),0)</f>
        <v/>
      </c>
      <c r="AB22">
        <f>IF(AB$4=1,IF(OR(INDEX('×入力'!$A$1:$L$800,199+AB$3,2+AB$2)&lt;&gt;"",INDEX('×入力'!$A$1:$L$800,198,2+AB$2)&lt;&gt;"",INDEX('×入力'!$A$1:$L$800,199+AB$3,1)&lt;&gt;""),1,0),0)</f>
        <v/>
      </c>
      <c r="AC22">
        <f>IF(AC$4=1,IF(OR(INDEX('×入力'!$A$1:$L$800,199+AC$3,2+AC$2)&lt;&gt;"",INDEX('×入力'!$A$1:$L$800,198,2+AC$2)&lt;&gt;"",INDEX('×入力'!$A$1:$L$800,199+AC$3,1)&lt;&gt;""),1,0),0)</f>
        <v/>
      </c>
      <c r="AD22">
        <f>IF(AD$4=1,IF(OR(INDEX('×入力'!$A$1:$L$800,199+AD$3,2+AD$2)&lt;&gt;"",INDEX('×入力'!$A$1:$L$800,198,2+AD$2)&lt;&gt;"",INDEX('×入力'!$A$1:$L$800,199+AD$3,1)&lt;&gt;""),1,0),0)</f>
        <v/>
      </c>
      <c r="AE22">
        <f>IF(AE$4=1,IF(OR(INDEX('×入力'!$A$1:$L$800,199+AE$3,2+AE$2)&lt;&gt;"",INDEX('×入力'!$A$1:$L$800,198,2+AE$2)&lt;&gt;"",INDEX('×入力'!$A$1:$L$800,199+AE$3,1)&lt;&gt;""),1,0),0)</f>
        <v/>
      </c>
      <c r="AF22">
        <f>IF(AF$4=1,IF(OR(INDEX('×入力'!$A$1:$L$800,199+AF$3,2+AF$2)&lt;&gt;"",INDEX('×入力'!$A$1:$L$800,198,2+AF$2)&lt;&gt;"",INDEX('×入力'!$A$1:$L$800,199+AF$3,1)&lt;&gt;""),1,0),0)</f>
        <v/>
      </c>
      <c r="AG22">
        <f>IF(AG$4=1,IF(OR(INDEX('×入力'!$A$1:$L$800,199+AG$3,2+AG$2)&lt;&gt;"",INDEX('×入力'!$A$1:$L$800,198,2+AG$2)&lt;&gt;"",INDEX('×入力'!$A$1:$L$800,199+AG$3,1)&lt;&gt;""),1,0),0)</f>
        <v/>
      </c>
      <c r="AH22">
        <f>IF(AH$4=1,IF(OR(INDEX('×入力'!$A$1:$L$800,199+AH$3,2+AH$2)&lt;&gt;"",INDEX('×入力'!$A$1:$L$800,198,2+AH$2)&lt;&gt;"",INDEX('×入力'!$A$1:$L$800,199+AH$3,1)&lt;&gt;""),1,0),0)</f>
        <v/>
      </c>
      <c r="AI22">
        <f>IF(AI$4=1,IF(OR(INDEX('×入力'!$A$1:$L$800,199+AI$3,2+AI$2)&lt;&gt;"",INDEX('×入力'!$A$1:$L$800,198,2+AI$2)&lt;&gt;"",INDEX('×入力'!$A$1:$L$800,199+AI$3,1)&lt;&gt;""),1,0),0)</f>
        <v/>
      </c>
      <c r="AJ22">
        <f>IF(AJ$4=1,IF(OR(INDEX('×入力'!$A$1:$L$800,199+AJ$3,2+AJ$2)&lt;&gt;"",INDEX('×入力'!$A$1:$L$800,198,2+AJ$2)&lt;&gt;"",INDEX('×入力'!$A$1:$L$800,199+AJ$3,1)&lt;&gt;""),1,0),0)</f>
        <v/>
      </c>
      <c r="AK22">
        <f>IF(AK$4=1,IF(OR(INDEX('×入力'!$A$1:$L$800,199+AK$3,2+AK$2)&lt;&gt;"",INDEX('×入力'!$A$1:$L$800,198,2+AK$2)&lt;&gt;"",INDEX('×入力'!$A$1:$L$800,199+AK$3,1)&lt;&gt;""),1,0),0)</f>
        <v/>
      </c>
      <c r="AL22">
        <f>IF(AL$4=1,IF(OR(INDEX('×入力'!$A$1:$L$800,199+AL$3,2+AL$2)&lt;&gt;"",INDEX('×入力'!$A$1:$L$800,198,2+AL$2)&lt;&gt;"",INDEX('×入力'!$A$1:$L$800,199+AL$3,1)&lt;&gt;""),1,0),0)</f>
        <v/>
      </c>
      <c r="AM22">
        <f>IF(AM$4=1,IF(OR(INDEX('×入力'!$A$1:$L$800,199+AM$3,2+AM$2)&lt;&gt;"",INDEX('×入力'!$A$1:$L$800,198,2+AM$2)&lt;&gt;"",INDEX('×入力'!$A$1:$L$800,199+AM$3,1)&lt;&gt;""),1,0),0)</f>
        <v/>
      </c>
      <c r="AN22">
        <f>IF(AN$4=1,IF(OR(INDEX('×入力'!$A$1:$L$800,199+AN$3,2+AN$2)&lt;&gt;"",INDEX('×入力'!$A$1:$L$800,198,2+AN$2)&lt;&gt;"",INDEX('×入力'!$A$1:$L$800,199+AN$3,1)&lt;&gt;""),1,0),0)</f>
        <v/>
      </c>
      <c r="AO22">
        <f>IF(AO$4=1,IF(OR(INDEX('×入力'!$A$1:$L$800,199+AO$3,2+AO$2)&lt;&gt;"",INDEX('×入力'!$A$1:$L$800,198,2+AO$2)&lt;&gt;"",INDEX('×入力'!$A$1:$L$800,199+AO$3,1)&lt;&gt;""),1,0),0)</f>
        <v/>
      </c>
      <c r="AP22">
        <f>IF(AP$4=1,IF(OR(INDEX('×入力'!$A$1:$L$800,199+AP$3,2+AP$2)&lt;&gt;"",INDEX('×入力'!$A$1:$L$800,198,2+AP$2)&lt;&gt;"",INDEX('×入力'!$A$1:$L$800,199+AP$3,1)&lt;&gt;""),1,0),0)</f>
        <v/>
      </c>
      <c r="AQ22">
        <f>IF(AQ$4=1,IF(OR(INDEX('×入力'!$A$1:$L$800,199+AQ$3,2+AQ$2)&lt;&gt;"",INDEX('×入力'!$A$1:$L$800,198,2+AQ$2)&lt;&gt;"",INDEX('×入力'!$A$1:$L$800,199+AQ$3,1)&lt;&gt;""),1,0),0)</f>
        <v/>
      </c>
      <c r="AR22">
        <f>IF(AR$4=1,IF(OR(INDEX('×入力'!$A$1:$L$800,199+AR$3,2+AR$2)&lt;&gt;"",INDEX('×入力'!$A$1:$L$800,198,2+AR$2)&lt;&gt;"",INDEX('×入力'!$A$1:$L$800,199+AR$3,1)&lt;&gt;""),1,0),0)</f>
        <v/>
      </c>
      <c r="AS22">
        <f>IF(AS$4=1,IF(OR(INDEX('×入力'!$A$1:$L$800,199+AS$3,2+AS$2)&lt;&gt;"",INDEX('×入力'!$A$1:$L$800,198,2+AS$2)&lt;&gt;"",INDEX('×入力'!$A$1:$L$800,199+AS$3,1)&lt;&gt;""),1,0),0)</f>
        <v/>
      </c>
      <c r="AT22">
        <f>IF(AT$4=1,IF(OR(INDEX('×入力'!$A$1:$L$800,199+AT$3,2+AT$2)&lt;&gt;"",INDEX('×入力'!$A$1:$L$800,198,2+AT$2)&lt;&gt;"",INDEX('×入力'!$A$1:$L$800,199+AT$3,1)&lt;&gt;""),1,0),0)</f>
        <v/>
      </c>
      <c r="AU22">
        <f>IF(AU$4=1,IF(OR(INDEX('×入力'!$A$1:$L$800,199+AU$3,2+AU$2)&lt;&gt;"",INDEX('×入力'!$A$1:$L$800,198,2+AU$2)&lt;&gt;"",INDEX('×入力'!$A$1:$L$800,199+AU$3,1)&lt;&gt;""),1,0),0)</f>
        <v/>
      </c>
      <c r="AV22">
        <f>IF(AV$4=1,IF(OR(INDEX('×入力'!$A$1:$L$800,199+AV$3,2+AV$2)&lt;&gt;"",INDEX('×入力'!$A$1:$L$800,198,2+AV$2)&lt;&gt;"",INDEX('×入力'!$A$1:$L$800,199+AV$3,1)&lt;&gt;""),1,0),0)</f>
        <v/>
      </c>
      <c r="AW22">
        <f>IF(AW$4=1,IF(OR(INDEX('×入力'!$A$1:$L$800,199+AW$3,2+AW$2)&lt;&gt;"",INDEX('×入力'!$A$1:$L$800,198,2+AW$2)&lt;&gt;"",INDEX('×入力'!$A$1:$L$800,199+AW$3,1)&lt;&gt;""),1,0),0)</f>
        <v/>
      </c>
      <c r="AX22">
        <f>IF(AX$4=1,IF(OR(INDEX('×入力'!$A$1:$L$800,199+AX$3,2+AX$2)&lt;&gt;"",INDEX('×入力'!$A$1:$L$800,198,2+AX$2)&lt;&gt;"",INDEX('×入力'!$A$1:$L$800,199+AX$3,1)&lt;&gt;""),1,0),0)</f>
        <v/>
      </c>
      <c r="AY22">
        <f>IF(AY$4=1,IF(OR(INDEX('×入力'!$A$1:$L$800,199+AY$3,2+AY$2)&lt;&gt;"",INDEX('×入力'!$A$1:$L$800,198,2+AY$2)&lt;&gt;"",INDEX('×入力'!$A$1:$L$800,199+AY$3,1)&lt;&gt;""),1,0),0)</f>
        <v/>
      </c>
      <c r="AZ22">
        <f>IF(AZ$4=1,IF(OR(INDEX('×入力'!$A$1:$L$800,199+AZ$3,2+AZ$2)&lt;&gt;"",INDEX('×入力'!$A$1:$L$800,198,2+AZ$2)&lt;&gt;"",INDEX('×入力'!$A$1:$L$800,199+AZ$3,1)&lt;&gt;""),1,0),0)</f>
        <v/>
      </c>
      <c r="BA22">
        <f>IF(BA$4=1,IF(OR(INDEX('×入力'!$A$1:$L$800,199+BA$3,2+BA$2)&lt;&gt;"",INDEX('×入力'!$A$1:$L$800,198,2+BA$2)&lt;&gt;"",INDEX('×入力'!$A$1:$L$800,199+BA$3,1)&lt;&gt;""),1,0),0)</f>
        <v/>
      </c>
      <c r="BB22">
        <f>IF(BB$4=1,IF(OR(INDEX('×入力'!$A$1:$L$800,199+BB$3,2+BB$2)&lt;&gt;"",INDEX('×入力'!$A$1:$L$800,198,2+BB$2)&lt;&gt;"",INDEX('×入力'!$A$1:$L$800,199+BB$3,1)&lt;&gt;""),1,0),0)</f>
        <v/>
      </c>
      <c r="BC22">
        <f>IF(BC$4=1,IF(OR(INDEX('×入力'!$A$1:$L$800,199+BC$3,2+BC$2)&lt;&gt;"",INDEX('×入力'!$A$1:$L$800,198,2+BC$2)&lt;&gt;"",INDEX('×入力'!$A$1:$L$800,199+BC$3,1)&lt;&gt;""),1,0),0)</f>
        <v/>
      </c>
      <c r="BD22">
        <f>IF(BD$4=1,IF(OR(INDEX('×入力'!$A$1:$L$800,199+BD$3,2+BD$2)&lt;&gt;"",INDEX('×入力'!$A$1:$L$800,198,2+BD$2)&lt;&gt;"",INDEX('×入力'!$A$1:$L$800,199+BD$3,1)&lt;&gt;""),1,0),0)</f>
        <v/>
      </c>
      <c r="BE22">
        <f>IF(BE$4=1,IF(OR(INDEX('×入力'!$A$1:$L$800,199+BE$3,2+BE$2)&lt;&gt;"",INDEX('×入力'!$A$1:$L$800,198,2+BE$2)&lt;&gt;"",INDEX('×入力'!$A$1:$L$800,199+BE$3,1)&lt;&gt;""),1,0),0)</f>
        <v/>
      </c>
      <c r="BF22">
        <f>IF(BF$4=1,IF(OR(INDEX('×入力'!$A$1:$L$800,199+BF$3,2+BF$2)&lt;&gt;"",INDEX('×入力'!$A$1:$L$800,198,2+BF$2)&lt;&gt;"",INDEX('×入力'!$A$1:$L$800,199+BF$3,1)&lt;&gt;""),1,0),0)</f>
        <v/>
      </c>
      <c r="BG22">
        <f>IF(BG$4=1,IF(OR(INDEX('×入力'!$A$1:$L$800,199+BG$3,2+BG$2)&lt;&gt;"",INDEX('×入力'!$A$1:$L$800,198,2+BG$2)&lt;&gt;"",INDEX('×入力'!$A$1:$L$800,199+BG$3,1)&lt;&gt;""),1,0),0)</f>
        <v/>
      </c>
      <c r="BH22">
        <f>IF(BH$4=1,IF(OR(INDEX('×入力'!$A$1:$L$800,199+BH$3,2+BH$2)&lt;&gt;"",INDEX('×入力'!$A$1:$L$800,198,2+BH$2)&lt;&gt;"",INDEX('×入力'!$A$1:$L$800,199+BH$3,1)&lt;&gt;""),1,0),0)</f>
        <v/>
      </c>
      <c r="BI22">
        <f>IF(BI$4=1,IF(OR(INDEX('×入力'!$A$1:$L$800,199+BI$3,2+BI$2)&lt;&gt;"",INDEX('×入力'!$A$1:$L$800,198,2+BI$2)&lt;&gt;"",INDEX('×入力'!$A$1:$L$800,199+BI$3,1)&lt;&gt;""),1,0),0)</f>
        <v/>
      </c>
      <c r="BJ22">
        <f>IF(BJ$4=1,IF(OR(INDEX('×入力'!$A$1:$L$800,199+BJ$3,2+BJ$2)&lt;&gt;"",INDEX('×入力'!$A$1:$L$800,198,2+BJ$2)&lt;&gt;"",INDEX('×入力'!$A$1:$L$800,199+BJ$3,1)&lt;&gt;""),1,0),0)</f>
        <v/>
      </c>
      <c r="BK22">
        <f>IF(BK$4=1,IF(OR(INDEX('×入力'!$A$1:$L$800,199+BK$3,2+BK$2)&lt;&gt;"",INDEX('×入力'!$A$1:$L$800,198,2+BK$2)&lt;&gt;"",INDEX('×入力'!$A$1:$L$800,199+BK$3,1)&lt;&gt;""),1,0),0)</f>
        <v/>
      </c>
      <c r="BL22">
        <f>IF(BL$4=1,IF(OR(INDEX('×入力'!$A$1:$L$800,199+BL$3,2+BL$2)&lt;&gt;"",INDEX('×入力'!$A$1:$L$800,198,2+BL$2)&lt;&gt;"",INDEX('×入力'!$A$1:$L$800,199+BL$3,1)&lt;&gt;""),1,0),0)</f>
        <v/>
      </c>
      <c r="BM22">
        <f>IF(BM$4=1,IF(OR(INDEX('×入力'!$A$1:$L$800,199+BM$3,2+BM$2)&lt;&gt;"",INDEX('×入力'!$A$1:$L$800,198,2+BM$2)&lt;&gt;"",INDEX('×入力'!$A$1:$L$800,199+BM$3,1)&lt;&gt;""),1,0),0)</f>
        <v/>
      </c>
      <c r="BN22">
        <f>IF(BN$4=1,IF(OR(INDEX('×入力'!$A$1:$L$800,199+BN$3,2+BN$2)&lt;&gt;"",INDEX('×入力'!$A$1:$L$800,198,2+BN$2)&lt;&gt;"",INDEX('×入力'!$A$1:$L$800,199+BN$3,1)&lt;&gt;""),1,0),0)</f>
        <v/>
      </c>
      <c r="BO22">
        <f>IF(BO$4=1,IF(OR(INDEX('×入力'!$A$1:$L$800,199+BO$3,2+BO$2)&lt;&gt;"",INDEX('×入力'!$A$1:$L$800,198,2+BO$2)&lt;&gt;"",INDEX('×入力'!$A$1:$L$800,199+BO$3,1)&lt;&gt;""),1,0),0)</f>
        <v/>
      </c>
      <c r="BP22">
        <f>IF(BP$4=1,IF(OR(INDEX('×入力'!$A$1:$L$800,199+BP$3,2+BP$2)&lt;&gt;"",INDEX('×入力'!$A$1:$L$800,198,2+BP$2)&lt;&gt;"",INDEX('×入力'!$A$1:$L$800,199+BP$3,1)&lt;&gt;""),1,0),0)</f>
        <v/>
      </c>
      <c r="BQ22">
        <f>IF(BQ$4=1,IF(OR(INDEX('×入力'!$A$1:$L$800,199+BQ$3,2+BQ$2)&lt;&gt;"",INDEX('×入力'!$A$1:$L$800,198,2+BQ$2)&lt;&gt;"",INDEX('×入力'!$A$1:$L$800,199+BQ$3,1)&lt;&gt;""),1,0),0)</f>
        <v/>
      </c>
      <c r="BR22">
        <f>IF(BR$4=1,IF(OR(INDEX('×入力'!$A$1:$L$800,199+BR$3,2+BR$2)&lt;&gt;"",INDEX('×入力'!$A$1:$L$800,198,2+BR$2)&lt;&gt;"",INDEX('×入力'!$A$1:$L$800,199+BR$3,1)&lt;&gt;""),1,0),0)</f>
        <v/>
      </c>
      <c r="BS22">
        <f>IF(BS$4=1,IF(OR(INDEX('×入力'!$A$1:$L$800,199+BS$3,2+BS$2)&lt;&gt;"",INDEX('×入力'!$A$1:$L$800,198,2+BS$2)&lt;&gt;"",INDEX('×入力'!$A$1:$L$800,199+BS$3,1)&lt;&gt;""),1,0),0)</f>
        <v/>
      </c>
      <c r="BT22">
        <f>IF(BT$4=1,IF(OR(INDEX('×入力'!$A$1:$L$800,199+BT$3,2+BT$2)&lt;&gt;"",INDEX('×入力'!$A$1:$L$800,198,2+BT$2)&lt;&gt;"",INDEX('×入力'!$A$1:$L$800,199+BT$3,1)&lt;&gt;""),1,0),0)</f>
        <v/>
      </c>
      <c r="BU22">
        <f>IF(BU$4=1,IF(OR(INDEX('×入力'!$A$1:$L$800,199+BU$3,2+BU$2)&lt;&gt;"",INDEX('×入力'!$A$1:$L$800,198,2+BU$2)&lt;&gt;"",INDEX('×入力'!$A$1:$L$800,199+BU$3,1)&lt;&gt;""),1,0),0)</f>
        <v/>
      </c>
      <c r="BV22">
        <f>IF(BV$4=1,IF(OR(INDEX('×入力'!$A$1:$L$800,199+BV$3,2+BV$2)&lt;&gt;"",INDEX('×入力'!$A$1:$L$800,198,2+BV$2)&lt;&gt;"",INDEX('×入力'!$A$1:$L$800,199+BV$3,1)&lt;&gt;""),1,0),0)</f>
        <v/>
      </c>
      <c r="BW22">
        <f>IF(BW$4=1,IF(OR(INDEX('×入力'!$A$1:$L$800,199+BW$3,2+BW$2)&lt;&gt;"",INDEX('×入力'!$A$1:$L$800,198,2+BW$2)&lt;&gt;"",INDEX('×入力'!$A$1:$L$800,199+BW$3,1)&lt;&gt;""),1,0),0)</f>
        <v/>
      </c>
      <c r="BX22">
        <f>IF(BX$4=1,IF(OR(INDEX('×入力'!$A$1:$L$800,199+BX$3,2+BX$2)&lt;&gt;"",INDEX('×入力'!$A$1:$L$800,198,2+BX$2)&lt;&gt;"",INDEX('×入力'!$A$1:$L$800,199+BX$3,1)&lt;&gt;""),1,0),0)</f>
        <v/>
      </c>
      <c r="BY22">
        <f>IF(BY$4=1,IF(OR(INDEX('×入力'!$A$1:$L$800,199+BY$3,2+BY$2)&lt;&gt;"",INDEX('×入力'!$A$1:$L$800,198,2+BY$2)&lt;&gt;"",INDEX('×入力'!$A$1:$L$800,199+BY$3,1)&lt;&gt;""),1,0),0)</f>
        <v/>
      </c>
      <c r="BZ22">
        <f>IF(BZ$4=1,IF(OR(INDEX('×入力'!$A$1:$L$800,199+BZ$3,2+BZ$2)&lt;&gt;"",INDEX('×入力'!$A$1:$L$800,198,2+BZ$2)&lt;&gt;"",INDEX('×入力'!$A$1:$L$800,199+BZ$3,1)&lt;&gt;""),1,0),0)</f>
        <v/>
      </c>
      <c r="CA22">
        <f>IF(CA$4=1,IF(OR(INDEX('×入力'!$A$1:$L$800,199+CA$3,2+CA$2)&lt;&gt;"",INDEX('×入力'!$A$1:$L$800,198,2+CA$2)&lt;&gt;"",INDEX('×入力'!$A$1:$L$800,199+CA$3,1)&lt;&gt;""),1,0),0)</f>
        <v/>
      </c>
      <c r="CB22">
        <f>IF(CB$4=1,IF(OR(INDEX('×入力'!$A$1:$L$800,199+CB$3,2+CB$2)&lt;&gt;"",INDEX('×入力'!$A$1:$L$800,198,2+CB$2)&lt;&gt;"",INDEX('×入力'!$A$1:$L$800,199+CB$3,1)&lt;&gt;""),1,0),0)</f>
        <v/>
      </c>
      <c r="CC22">
        <f>IF(CC$4=1,IF(OR(INDEX('×入力'!$A$1:$L$800,199+CC$3,2+CC$2)&lt;&gt;"",INDEX('×入力'!$A$1:$L$800,198,2+CC$2)&lt;&gt;"",INDEX('×入力'!$A$1:$L$800,199+CC$3,1)&lt;&gt;""),1,0),0)</f>
        <v/>
      </c>
      <c r="CD22">
        <f>IF(CD$4=1,IF(OR(INDEX('×入力'!$A$1:$L$800,199+CD$3,2+CD$2)&lt;&gt;"",INDEX('×入力'!$A$1:$L$800,198,2+CD$2)&lt;&gt;"",INDEX('×入力'!$A$1:$L$800,199+CD$3,1)&lt;&gt;""),1,0),0)</f>
        <v/>
      </c>
      <c r="CE22">
        <f>IF(CE$4=1,IF(OR(INDEX('×入力'!$A$1:$L$800,199+CE$3,2+CE$2)&lt;&gt;"",INDEX('×入力'!$A$1:$L$800,198,2+CE$2)&lt;&gt;"",INDEX('×入力'!$A$1:$L$800,199+CE$3,1)&lt;&gt;""),1,0),0)</f>
        <v/>
      </c>
      <c r="CF22">
        <f>IF(CF$4=1,IF(OR(INDEX('×入力'!$A$1:$L$800,199+CF$3,2+CF$2)&lt;&gt;"",INDEX('×入力'!$A$1:$L$800,198,2+CF$2)&lt;&gt;"",INDEX('×入力'!$A$1:$L$800,199+CF$3,1)&lt;&gt;""),1,0),0)</f>
        <v/>
      </c>
      <c r="CG22">
        <f>IF(CG$4=1,IF(OR(INDEX('×入力'!$A$1:$L$800,199+CG$3,2+CG$2)&lt;&gt;"",INDEX('×入力'!$A$1:$L$800,198,2+CG$2)&lt;&gt;"",INDEX('×入力'!$A$1:$L$800,199+CG$3,1)&lt;&gt;""),1,0),0)</f>
        <v/>
      </c>
      <c r="CH22">
        <f>IF(CH$4=1,IF(OR(INDEX('×入力'!$A$1:$L$800,199+CH$3,2+CH$2)&lt;&gt;"",INDEX('×入力'!$A$1:$L$800,198,2+CH$2)&lt;&gt;"",INDEX('×入力'!$A$1:$L$800,199+CH$3,1)&lt;&gt;""),1,0),0)</f>
        <v/>
      </c>
      <c r="CI22">
        <f>IF(CI$4=1,IF(OR(INDEX('×入力'!$A$1:$L$800,199+CI$3,2+CI$2)&lt;&gt;"",INDEX('×入力'!$A$1:$L$800,198,2+CI$2)&lt;&gt;"",INDEX('×入力'!$A$1:$L$800,199+CI$3,1)&lt;&gt;""),1,0),0)</f>
        <v/>
      </c>
      <c r="CJ22">
        <f>IF(CJ$4=1,IF(OR(INDEX('×入力'!$A$1:$L$800,199+CJ$3,2+CJ$2)&lt;&gt;"",INDEX('×入力'!$A$1:$L$800,198,2+CJ$2)&lt;&gt;"",INDEX('×入力'!$A$1:$L$800,199+CJ$3,1)&lt;&gt;""),1,0),0)</f>
        <v/>
      </c>
      <c r="CK22">
        <f>IF(CK$4=1,IF(OR(INDEX('×入力'!$A$1:$L$800,199+CK$3,2+CK$2)&lt;&gt;"",INDEX('×入力'!$A$1:$L$800,198,2+CK$2)&lt;&gt;"",INDEX('×入力'!$A$1:$L$800,199+CK$3,1)&lt;&gt;""),1,0),0)</f>
        <v/>
      </c>
      <c r="CL22">
        <f>IF(CL$4=1,IF(OR(INDEX('×入力'!$A$1:$L$800,199+CL$3,2+CL$2)&lt;&gt;"",INDEX('×入力'!$A$1:$L$800,198,2+CL$2)&lt;&gt;"",INDEX('×入力'!$A$1:$L$800,199+CL$3,1)&lt;&gt;""),1,0),0)</f>
        <v/>
      </c>
      <c r="CM22">
        <f>IF(CM$4=1,IF(OR(INDEX('×入力'!$A$1:$L$800,199+CM$3,2+CM$2)&lt;&gt;"",INDEX('×入力'!$A$1:$L$800,198,2+CM$2)&lt;&gt;"",INDEX('×入力'!$A$1:$L$800,199+CM$3,1)&lt;&gt;""),1,0),0)</f>
        <v/>
      </c>
      <c r="CN22">
        <f>IF(CN$4=1,IF(OR(INDEX('×入力'!$A$1:$L$800,199+CN$3,2+CN$2)&lt;&gt;"",INDEX('×入力'!$A$1:$L$800,198,2+CN$2)&lt;&gt;"",INDEX('×入力'!$A$1:$L$800,199+CN$3,1)&lt;&gt;""),1,0),0)</f>
        <v/>
      </c>
      <c r="CO22">
        <f>IF(CO$4=1,IF(OR(INDEX('×入力'!$A$1:$L$800,199+CO$3,2+CO$2)&lt;&gt;"",INDEX('×入力'!$A$1:$L$800,198,2+CO$2)&lt;&gt;"",INDEX('×入力'!$A$1:$L$800,199+CO$3,1)&lt;&gt;""),1,0),0)</f>
        <v/>
      </c>
      <c r="CP22">
        <f>IF(CP$4=1,IF(OR(INDEX('×入力'!$A$1:$L$800,199+CP$3,2+CP$2)&lt;&gt;"",INDEX('×入力'!$A$1:$L$800,198,2+CP$2)&lt;&gt;"",INDEX('×入力'!$A$1:$L$800,199+CP$3,1)&lt;&gt;""),1,0),0)</f>
        <v/>
      </c>
      <c r="CQ22">
        <f>IF(CQ$4=1,IF(OR(INDEX('×入力'!$A$1:$L$800,199+CQ$3,2+CQ$2)&lt;&gt;"",INDEX('×入力'!$A$1:$L$800,198,2+CQ$2)&lt;&gt;"",INDEX('×入力'!$A$1:$L$800,199+CQ$3,1)&lt;&gt;""),1,0),0)</f>
        <v/>
      </c>
      <c r="CR22">
        <f>IF(CR$4=1,IF(OR(INDEX('×入力'!$A$1:$L$800,199+CR$3,2+CR$2)&lt;&gt;"",INDEX('×入力'!$A$1:$L$800,198,2+CR$2)&lt;&gt;"",INDEX('×入力'!$A$1:$L$800,199+CR$3,1)&lt;&gt;""),1,0),0)</f>
        <v/>
      </c>
      <c r="CS22">
        <f>IF(CS$4=1,IF(OR(INDEX('×入力'!$A$1:$L$800,199+CS$3,2+CS$2)&lt;&gt;"",INDEX('×入力'!$A$1:$L$800,198,2+CS$2)&lt;&gt;"",INDEX('×入力'!$A$1:$L$800,199+CS$3,1)&lt;&gt;""),1,0),0)</f>
        <v/>
      </c>
      <c r="CT22">
        <f>IF(CT$4=1,IF(OR(INDEX('×入力'!$A$1:$L$800,199+CT$3,2+CT$2)&lt;&gt;"",INDEX('×入力'!$A$1:$L$800,198,2+CT$2)&lt;&gt;"",INDEX('×入力'!$A$1:$L$800,199+CT$3,1)&lt;&gt;""),1,0),0)</f>
        <v/>
      </c>
      <c r="CU22">
        <f>IF(CU$4=1,IF(OR(INDEX('×入力'!$A$1:$L$800,199+CU$3,2+CU$2)&lt;&gt;"",INDEX('×入力'!$A$1:$L$800,198,2+CU$2)&lt;&gt;"",INDEX('×入力'!$A$1:$L$800,199+CU$3,1)&lt;&gt;""),1,0),0)</f>
        <v/>
      </c>
      <c r="CV22">
        <f>IF(CV$4=1,IF(OR(INDEX('×入力'!$A$1:$L$800,199+CV$3,2+CV$2)&lt;&gt;"",INDEX('×入力'!$A$1:$L$800,198,2+CV$2)&lt;&gt;"",INDEX('×入力'!$A$1:$L$800,199+CV$3,1)&lt;&gt;""),1,0),0)</f>
        <v/>
      </c>
      <c r="CW22">
        <f>IF(CW$4=1,IF(OR(INDEX('×入力'!$A$1:$L$800,199+CW$3,2+CW$2)&lt;&gt;"",INDEX('×入力'!$A$1:$L$800,198,2+CW$2)&lt;&gt;"",INDEX('×入力'!$A$1:$L$800,199+CW$3,1)&lt;&gt;""),1,0),0)</f>
        <v/>
      </c>
      <c r="CX22">
        <f>IF(CX$4=1,IF(OR(INDEX('×入力'!$A$1:$L$800,199+CX$3,2+CX$2)&lt;&gt;"",INDEX('×入力'!$A$1:$L$800,198,2+CX$2)&lt;&gt;"",INDEX('×入力'!$A$1:$L$800,199+CX$3,1)&lt;&gt;""),1,0),0)</f>
        <v/>
      </c>
      <c r="CY22">
        <f>IF(CY$4=1,IF(OR(INDEX('×入力'!$A$1:$L$800,199+CY$3,2+CY$2)&lt;&gt;"",INDEX('×入力'!$A$1:$L$800,198,2+CY$2)&lt;&gt;"",INDEX('×入力'!$A$1:$L$800,199+CY$3,1)&lt;&gt;""),1,0),0)</f>
        <v/>
      </c>
      <c r="CZ22">
        <f>IF(CZ$4=1,IF(OR(INDEX('×入力'!$A$1:$L$800,199+CZ$3,2+CZ$2)&lt;&gt;"",INDEX('×入力'!$A$1:$L$800,198,2+CZ$2)&lt;&gt;"",INDEX('×入力'!$A$1:$L$800,199+CZ$3,1)&lt;&gt;""),1,0),0)</f>
        <v/>
      </c>
      <c r="DA22">
        <f>IF(DA$4=1,IF(OR(INDEX('×入力'!$A$1:$L$800,199+DA$3,2+DA$2)&lt;&gt;"",INDEX('×入力'!$A$1:$L$800,198,2+DA$2)&lt;&gt;"",INDEX('×入力'!$A$1:$L$800,199+DA$3,1)&lt;&gt;""),1,0),0)</f>
        <v/>
      </c>
      <c r="DB22">
        <f>IF(DB$4=1,IF(OR(INDEX('×入力'!$A$1:$L$800,199+DB$3,2+DB$2)&lt;&gt;"",INDEX('×入力'!$A$1:$L$800,198,2+DB$2)&lt;&gt;"",INDEX('×入力'!$A$1:$L$800,199+DB$3,1)&lt;&gt;""),1,0),0)</f>
        <v/>
      </c>
      <c r="DC22">
        <f>IF(DC$4=1,IF(OR(INDEX('×入力'!$A$1:$L$800,199+DC$3,2+DC$2)&lt;&gt;"",INDEX('×入力'!$A$1:$L$800,198,2+DC$2)&lt;&gt;"",INDEX('×入力'!$A$1:$L$800,199+DC$3,1)&lt;&gt;""),1,0),0)</f>
        <v/>
      </c>
      <c r="DD22">
        <f>IF(DD$4=1,IF(OR(INDEX('×入力'!$A$1:$L$800,199+DD$3,2+DD$2)&lt;&gt;"",INDEX('×入力'!$A$1:$L$800,198,2+DD$2)&lt;&gt;"",INDEX('×入力'!$A$1:$L$800,199+DD$3,1)&lt;&gt;""),1,0),0)</f>
        <v/>
      </c>
      <c r="DE22">
        <f>IF(DE$4=1,IF(OR(INDEX('×入力'!$A$1:$L$800,199+DE$3,2+DE$2)&lt;&gt;"",INDEX('×入力'!$A$1:$L$800,198,2+DE$2)&lt;&gt;"",INDEX('×入力'!$A$1:$L$800,199+DE$3,1)&lt;&gt;""),1,0),0)</f>
        <v/>
      </c>
      <c r="DF22">
        <f>IF(DF$4=1,IF(OR(INDEX('×入力'!$A$1:$L$800,199+DF$3,2+DF$2)&lt;&gt;"",INDEX('×入力'!$A$1:$L$800,198,2+DF$2)&lt;&gt;"",INDEX('×入力'!$A$1:$L$800,199+DF$3,1)&lt;&gt;""),1,0),0)</f>
        <v/>
      </c>
      <c r="DG22">
        <f>IF(DG$4=1,IF(OR(INDEX('×入力'!$A$1:$L$800,199+DG$3,2+DG$2)&lt;&gt;"",INDEX('×入力'!$A$1:$L$800,198,2+DG$2)&lt;&gt;"",INDEX('×入力'!$A$1:$L$800,199+DG$3,1)&lt;&gt;""),1,0),0)</f>
        <v/>
      </c>
      <c r="DH22">
        <f>IF(DH$4=1,IF(OR(INDEX('×入力'!$A$1:$L$800,199+DH$3,2+DH$2)&lt;&gt;"",INDEX('×入力'!$A$1:$L$800,198,2+DH$2)&lt;&gt;"",INDEX('×入力'!$A$1:$L$800,199+DH$3,1)&lt;&gt;""),1,0),0)</f>
        <v/>
      </c>
      <c r="DI22">
        <f>IF(DI$4=1,IF(OR(INDEX('×入力'!$A$1:$L$800,199+DI$3,2+DI$2)&lt;&gt;"",INDEX('×入力'!$A$1:$L$800,198,2+DI$2)&lt;&gt;"",INDEX('×入力'!$A$1:$L$800,199+DI$3,1)&lt;&gt;""),1,0),0)</f>
        <v/>
      </c>
      <c r="DJ22">
        <f>IF(DJ$4=1,IF(OR(INDEX('×入力'!$A$1:$L$800,199+DJ$3,2+DJ$2)&lt;&gt;"",INDEX('×入力'!$A$1:$L$800,198,2+DJ$2)&lt;&gt;"",INDEX('×入力'!$A$1:$L$800,199+DJ$3,1)&lt;&gt;""),1,0),0)</f>
        <v/>
      </c>
      <c r="DK22">
        <f>IF(DK$4=1,IF(OR(INDEX('×入力'!$A$1:$L$800,199+DK$3,2+DK$2)&lt;&gt;"",INDEX('×入力'!$A$1:$L$800,198,2+DK$2)&lt;&gt;"",INDEX('×入力'!$A$1:$L$800,199+DK$3,1)&lt;&gt;""),1,0),0)</f>
        <v/>
      </c>
      <c r="DL22">
        <f>IF(DL$4=1,IF(OR(INDEX('×入力'!$A$1:$L$800,199+DL$3,2+DL$2)&lt;&gt;"",INDEX('×入力'!$A$1:$L$800,198,2+DL$2)&lt;&gt;"",INDEX('×入力'!$A$1:$L$800,199+DL$3,1)&lt;&gt;""),1,0),0)</f>
        <v/>
      </c>
      <c r="DM22">
        <f>IF(DM$4=1,IF(OR(INDEX('×入力'!$A$1:$L$800,199+DM$3,2+DM$2)&lt;&gt;"",INDEX('×入力'!$A$1:$L$800,198,2+DM$2)&lt;&gt;"",INDEX('×入力'!$A$1:$L$800,199+DM$3,1)&lt;&gt;""),1,0),0)</f>
        <v/>
      </c>
      <c r="DN22">
        <f>IF(DN$4=1,IF(OR(INDEX('×入力'!$A$1:$L$800,199+DN$3,2+DN$2)&lt;&gt;"",INDEX('×入力'!$A$1:$L$800,198,2+DN$2)&lt;&gt;"",INDEX('×入力'!$A$1:$L$800,199+DN$3,1)&lt;&gt;""),1,0),0)</f>
        <v/>
      </c>
      <c r="DO22">
        <f>IF(DO$4=1,IF(OR(INDEX('×入力'!$A$1:$L$800,199+DO$3,2+DO$2)&lt;&gt;"",INDEX('×入力'!$A$1:$L$800,198,2+DO$2)&lt;&gt;"",INDEX('×入力'!$A$1:$L$800,199+DO$3,1)&lt;&gt;""),1,0),0)</f>
        <v/>
      </c>
      <c r="DP22">
        <f>IF(DP$4=1,IF(OR(INDEX('×入力'!$A$1:$L$800,199+DP$3,2+DP$2)&lt;&gt;"",INDEX('×入力'!$A$1:$L$800,198,2+DP$2)&lt;&gt;"",INDEX('×入力'!$A$1:$L$800,199+DP$3,1)&lt;&gt;""),1,0),0)</f>
        <v/>
      </c>
      <c r="DQ22">
        <f>IF(DQ$4=1,IF(OR(INDEX('×入力'!$A$1:$L$800,199+DQ$3,2+DQ$2)&lt;&gt;"",INDEX('×入力'!$A$1:$L$800,198,2+DQ$2)&lt;&gt;"",INDEX('×入力'!$A$1:$L$800,199+DQ$3,1)&lt;&gt;""),1,0),0)</f>
        <v/>
      </c>
      <c r="DR22">
        <f>IF(DR$4=1,IF(OR(INDEX('×入力'!$A$1:$L$800,199+DR$3,2+DR$2)&lt;&gt;"",INDEX('×入力'!$A$1:$L$800,198,2+DR$2)&lt;&gt;"",INDEX('×入力'!$A$1:$L$800,199+DR$3,1)&lt;&gt;""),1,0),0)</f>
        <v/>
      </c>
      <c r="DS22">
        <f>IF(DS$4=1,IF(OR(INDEX('×入力'!$A$1:$L$800,199+DS$3,2+DS$2)&lt;&gt;"",INDEX('×入力'!$A$1:$L$800,198,2+DS$2)&lt;&gt;"",INDEX('×入力'!$A$1:$L$800,199+DS$3,1)&lt;&gt;""),1,0),0)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IF(D$4=1,IF(OR(INDEX('×入力'!$A$1:$L$800,215+D$3,2+D$2)&lt;&gt;"",INDEX('×入力'!$A$1:$L$800,214,2+D$2)&lt;&gt;"",INDEX('×入力'!$A$1:$L$800,215+D$3,1)&lt;&gt;""),1,0),0)</f>
        <v/>
      </c>
      <c r="E23">
        <f>IF(E$4=1,IF(OR(INDEX('×入力'!$A$1:$L$800,215+E$3,2+E$2)&lt;&gt;"",INDEX('×入力'!$A$1:$L$800,214,2+E$2)&lt;&gt;"",INDEX('×入力'!$A$1:$L$800,215+E$3,1)&lt;&gt;""),1,0),0)</f>
        <v/>
      </c>
      <c r="F23">
        <f>IF(F$4=1,IF(OR(INDEX('×入力'!$A$1:$L$800,215+F$3,2+F$2)&lt;&gt;"",INDEX('×入力'!$A$1:$L$800,214,2+F$2)&lt;&gt;"",INDEX('×入力'!$A$1:$L$800,215+F$3,1)&lt;&gt;""),1,0),0)</f>
        <v/>
      </c>
      <c r="G23">
        <f>IF(G$4=1,IF(OR(INDEX('×入力'!$A$1:$L$800,215+G$3,2+G$2)&lt;&gt;"",INDEX('×入力'!$A$1:$L$800,214,2+G$2)&lt;&gt;"",INDEX('×入力'!$A$1:$L$800,215+G$3,1)&lt;&gt;""),1,0),0)</f>
        <v/>
      </c>
      <c r="H23">
        <f>IF(H$4=1,IF(OR(INDEX('×入力'!$A$1:$L$800,215+H$3,2+H$2)&lt;&gt;"",INDEX('×入力'!$A$1:$L$800,214,2+H$2)&lt;&gt;"",INDEX('×入力'!$A$1:$L$800,215+H$3,1)&lt;&gt;""),1,0),0)</f>
        <v/>
      </c>
      <c r="I23">
        <f>IF(I$4=1,IF(OR(INDEX('×入力'!$A$1:$L$800,215+I$3,2+I$2)&lt;&gt;"",INDEX('×入力'!$A$1:$L$800,214,2+I$2)&lt;&gt;"",INDEX('×入力'!$A$1:$L$800,215+I$3,1)&lt;&gt;""),1,0),0)</f>
        <v/>
      </c>
      <c r="J23">
        <f>IF(J$4=1,IF(OR(INDEX('×入力'!$A$1:$L$800,215+J$3,2+J$2)&lt;&gt;"",INDEX('×入力'!$A$1:$L$800,214,2+J$2)&lt;&gt;"",INDEX('×入力'!$A$1:$L$800,215+J$3,1)&lt;&gt;""),1,0),0)</f>
        <v/>
      </c>
      <c r="K23">
        <f>IF(K$4=1,IF(OR(INDEX('×入力'!$A$1:$L$800,215+K$3,2+K$2)&lt;&gt;"",INDEX('×入力'!$A$1:$L$800,214,2+K$2)&lt;&gt;"",INDEX('×入力'!$A$1:$L$800,215+K$3,1)&lt;&gt;""),1,0),0)</f>
        <v/>
      </c>
      <c r="L23">
        <f>IF(L$4=1,IF(OR(INDEX('×入力'!$A$1:$L$800,215+L$3,2+L$2)&lt;&gt;"",INDEX('×入力'!$A$1:$L$800,214,2+L$2)&lt;&gt;"",INDEX('×入力'!$A$1:$L$800,215+L$3,1)&lt;&gt;""),1,0),0)</f>
        <v/>
      </c>
      <c r="M23">
        <f>IF(M$4=1,IF(OR(INDEX('×入力'!$A$1:$L$800,215+M$3,2+M$2)&lt;&gt;"",INDEX('×入力'!$A$1:$L$800,214,2+M$2)&lt;&gt;"",INDEX('×入力'!$A$1:$L$800,215+M$3,1)&lt;&gt;""),1,0),0)</f>
        <v/>
      </c>
      <c r="N23">
        <f>IF(N$4=1,IF(OR(INDEX('×入力'!$A$1:$L$800,215+N$3,2+N$2)&lt;&gt;"",INDEX('×入力'!$A$1:$L$800,214,2+N$2)&lt;&gt;"",INDEX('×入力'!$A$1:$L$800,215+N$3,1)&lt;&gt;""),1,0),0)</f>
        <v/>
      </c>
      <c r="O23">
        <f>IF(O$4=1,IF(OR(INDEX('×入力'!$A$1:$L$800,215+O$3,2+O$2)&lt;&gt;"",INDEX('×入力'!$A$1:$L$800,214,2+O$2)&lt;&gt;"",INDEX('×入力'!$A$1:$L$800,215+O$3,1)&lt;&gt;""),1,0),0)</f>
        <v/>
      </c>
      <c r="P23">
        <f>IF(P$4=1,IF(OR(INDEX('×入力'!$A$1:$L$800,215+P$3,2+P$2)&lt;&gt;"",INDEX('×入力'!$A$1:$L$800,214,2+P$2)&lt;&gt;"",INDEX('×入力'!$A$1:$L$800,215+P$3,1)&lt;&gt;""),1,0),0)</f>
        <v/>
      </c>
      <c r="Q23">
        <f>IF(Q$4=1,IF(OR(INDEX('×入力'!$A$1:$L$800,215+Q$3,2+Q$2)&lt;&gt;"",INDEX('×入力'!$A$1:$L$800,214,2+Q$2)&lt;&gt;"",INDEX('×入力'!$A$1:$L$800,215+Q$3,1)&lt;&gt;""),1,0),0)</f>
        <v/>
      </c>
      <c r="R23">
        <f>IF(R$4=1,IF(OR(INDEX('×入力'!$A$1:$L$800,215+R$3,2+R$2)&lt;&gt;"",INDEX('×入力'!$A$1:$L$800,214,2+R$2)&lt;&gt;"",INDEX('×入力'!$A$1:$L$800,215+R$3,1)&lt;&gt;""),1,0),0)</f>
        <v/>
      </c>
      <c r="S23">
        <f>IF(S$4=1,IF(OR(INDEX('×入力'!$A$1:$L$800,215+S$3,2+S$2)&lt;&gt;"",INDEX('×入力'!$A$1:$L$800,214,2+S$2)&lt;&gt;"",INDEX('×入力'!$A$1:$L$800,215+S$3,1)&lt;&gt;""),1,0),0)</f>
        <v/>
      </c>
      <c r="T23">
        <f>IF(T$4=1,IF(OR(INDEX('×入力'!$A$1:$L$800,215+T$3,2+T$2)&lt;&gt;"",INDEX('×入力'!$A$1:$L$800,214,2+T$2)&lt;&gt;"",INDEX('×入力'!$A$1:$L$800,215+T$3,1)&lt;&gt;""),1,0),0)</f>
        <v/>
      </c>
      <c r="U23">
        <f>IF(U$4=1,IF(OR(INDEX('×入力'!$A$1:$L$800,215+U$3,2+U$2)&lt;&gt;"",INDEX('×入力'!$A$1:$L$800,214,2+U$2)&lt;&gt;"",INDEX('×入力'!$A$1:$L$800,215+U$3,1)&lt;&gt;""),1,0),0)</f>
        <v/>
      </c>
      <c r="V23">
        <f>IF(V$4=1,IF(OR(INDEX('×入力'!$A$1:$L$800,215+V$3,2+V$2)&lt;&gt;"",INDEX('×入力'!$A$1:$L$800,214,2+V$2)&lt;&gt;"",INDEX('×入力'!$A$1:$L$800,215+V$3,1)&lt;&gt;""),1,0),0)</f>
        <v/>
      </c>
      <c r="W23">
        <f>IF(W$4=1,IF(OR(INDEX('×入力'!$A$1:$L$800,215+W$3,2+W$2)&lt;&gt;"",INDEX('×入力'!$A$1:$L$800,214,2+W$2)&lt;&gt;"",INDEX('×入力'!$A$1:$L$800,215+W$3,1)&lt;&gt;""),1,0),0)</f>
        <v/>
      </c>
      <c r="X23">
        <f>IF(X$4=1,IF(OR(INDEX('×入力'!$A$1:$L$800,215+X$3,2+X$2)&lt;&gt;"",INDEX('×入力'!$A$1:$L$800,214,2+X$2)&lt;&gt;"",INDEX('×入力'!$A$1:$L$800,215+X$3,1)&lt;&gt;""),1,0),0)</f>
        <v/>
      </c>
      <c r="Y23">
        <f>IF(Y$4=1,IF(OR(INDEX('×入力'!$A$1:$L$800,215+Y$3,2+Y$2)&lt;&gt;"",INDEX('×入力'!$A$1:$L$800,214,2+Y$2)&lt;&gt;"",INDEX('×入力'!$A$1:$L$800,215+Y$3,1)&lt;&gt;""),1,0),0)</f>
        <v/>
      </c>
      <c r="Z23">
        <f>IF(Z$4=1,IF(OR(INDEX('×入力'!$A$1:$L$800,215+Z$3,2+Z$2)&lt;&gt;"",INDEX('×入力'!$A$1:$L$800,214,2+Z$2)&lt;&gt;"",INDEX('×入力'!$A$1:$L$800,215+Z$3,1)&lt;&gt;""),1,0),0)</f>
        <v/>
      </c>
      <c r="AA23">
        <f>IF(AA$4=1,IF(OR(INDEX('×入力'!$A$1:$L$800,215+AA$3,2+AA$2)&lt;&gt;"",INDEX('×入力'!$A$1:$L$800,214,2+AA$2)&lt;&gt;"",INDEX('×入力'!$A$1:$L$800,215+AA$3,1)&lt;&gt;""),1,0),0)</f>
        <v/>
      </c>
      <c r="AB23">
        <f>IF(AB$4=1,IF(OR(INDEX('×入力'!$A$1:$L$800,215+AB$3,2+AB$2)&lt;&gt;"",INDEX('×入力'!$A$1:$L$800,214,2+AB$2)&lt;&gt;"",INDEX('×入力'!$A$1:$L$800,215+AB$3,1)&lt;&gt;""),1,0),0)</f>
        <v/>
      </c>
      <c r="AC23">
        <f>IF(AC$4=1,IF(OR(INDEX('×入力'!$A$1:$L$800,215+AC$3,2+AC$2)&lt;&gt;"",INDEX('×入力'!$A$1:$L$800,214,2+AC$2)&lt;&gt;"",INDEX('×入力'!$A$1:$L$800,215+AC$3,1)&lt;&gt;""),1,0),0)</f>
        <v/>
      </c>
      <c r="AD23">
        <f>IF(AD$4=1,IF(OR(INDEX('×入力'!$A$1:$L$800,215+AD$3,2+AD$2)&lt;&gt;"",INDEX('×入力'!$A$1:$L$800,214,2+AD$2)&lt;&gt;"",INDEX('×入力'!$A$1:$L$800,215+AD$3,1)&lt;&gt;""),1,0),0)</f>
        <v/>
      </c>
      <c r="AE23">
        <f>IF(AE$4=1,IF(OR(INDEX('×入力'!$A$1:$L$800,215+AE$3,2+AE$2)&lt;&gt;"",INDEX('×入力'!$A$1:$L$800,214,2+AE$2)&lt;&gt;"",INDEX('×入力'!$A$1:$L$800,215+AE$3,1)&lt;&gt;""),1,0),0)</f>
        <v/>
      </c>
      <c r="AF23">
        <f>IF(AF$4=1,IF(OR(INDEX('×入力'!$A$1:$L$800,215+AF$3,2+AF$2)&lt;&gt;"",INDEX('×入力'!$A$1:$L$800,214,2+AF$2)&lt;&gt;"",INDEX('×入力'!$A$1:$L$800,215+AF$3,1)&lt;&gt;""),1,0),0)</f>
        <v/>
      </c>
      <c r="AG23">
        <f>IF(AG$4=1,IF(OR(INDEX('×入力'!$A$1:$L$800,215+AG$3,2+AG$2)&lt;&gt;"",INDEX('×入力'!$A$1:$L$800,214,2+AG$2)&lt;&gt;"",INDEX('×入力'!$A$1:$L$800,215+AG$3,1)&lt;&gt;""),1,0),0)</f>
        <v/>
      </c>
      <c r="AH23">
        <f>IF(AH$4=1,IF(OR(INDEX('×入力'!$A$1:$L$800,215+AH$3,2+AH$2)&lt;&gt;"",INDEX('×入力'!$A$1:$L$800,214,2+AH$2)&lt;&gt;"",INDEX('×入力'!$A$1:$L$800,215+AH$3,1)&lt;&gt;""),1,0),0)</f>
        <v/>
      </c>
      <c r="AI23">
        <f>IF(AI$4=1,IF(OR(INDEX('×入力'!$A$1:$L$800,215+AI$3,2+AI$2)&lt;&gt;"",INDEX('×入力'!$A$1:$L$800,214,2+AI$2)&lt;&gt;"",INDEX('×入力'!$A$1:$L$800,215+AI$3,1)&lt;&gt;""),1,0),0)</f>
        <v/>
      </c>
      <c r="AJ23">
        <f>IF(AJ$4=1,IF(OR(INDEX('×入力'!$A$1:$L$800,215+AJ$3,2+AJ$2)&lt;&gt;"",INDEX('×入力'!$A$1:$L$800,214,2+AJ$2)&lt;&gt;"",INDEX('×入力'!$A$1:$L$800,215+AJ$3,1)&lt;&gt;""),1,0),0)</f>
        <v/>
      </c>
      <c r="AK23">
        <f>IF(AK$4=1,IF(OR(INDEX('×入力'!$A$1:$L$800,215+AK$3,2+AK$2)&lt;&gt;"",INDEX('×入力'!$A$1:$L$800,214,2+AK$2)&lt;&gt;"",INDEX('×入力'!$A$1:$L$800,215+AK$3,1)&lt;&gt;""),1,0),0)</f>
        <v/>
      </c>
      <c r="AL23">
        <f>IF(AL$4=1,IF(OR(INDEX('×入力'!$A$1:$L$800,215+AL$3,2+AL$2)&lt;&gt;"",INDEX('×入力'!$A$1:$L$800,214,2+AL$2)&lt;&gt;"",INDEX('×入力'!$A$1:$L$800,215+AL$3,1)&lt;&gt;""),1,0),0)</f>
        <v/>
      </c>
      <c r="AM23">
        <f>IF(AM$4=1,IF(OR(INDEX('×入力'!$A$1:$L$800,215+AM$3,2+AM$2)&lt;&gt;"",INDEX('×入力'!$A$1:$L$800,214,2+AM$2)&lt;&gt;"",INDEX('×入力'!$A$1:$L$800,215+AM$3,1)&lt;&gt;""),1,0),0)</f>
        <v/>
      </c>
      <c r="AN23">
        <f>IF(AN$4=1,IF(OR(INDEX('×入力'!$A$1:$L$800,215+AN$3,2+AN$2)&lt;&gt;"",INDEX('×入力'!$A$1:$L$800,214,2+AN$2)&lt;&gt;"",INDEX('×入力'!$A$1:$L$800,215+AN$3,1)&lt;&gt;""),1,0),0)</f>
        <v/>
      </c>
      <c r="AO23">
        <f>IF(AO$4=1,IF(OR(INDEX('×入力'!$A$1:$L$800,215+AO$3,2+AO$2)&lt;&gt;"",INDEX('×入力'!$A$1:$L$800,214,2+AO$2)&lt;&gt;"",INDEX('×入力'!$A$1:$L$800,215+AO$3,1)&lt;&gt;""),1,0),0)</f>
        <v/>
      </c>
      <c r="AP23">
        <f>IF(AP$4=1,IF(OR(INDEX('×入力'!$A$1:$L$800,215+AP$3,2+AP$2)&lt;&gt;"",INDEX('×入力'!$A$1:$L$800,214,2+AP$2)&lt;&gt;"",INDEX('×入力'!$A$1:$L$800,215+AP$3,1)&lt;&gt;""),1,0),0)</f>
        <v/>
      </c>
      <c r="AQ23">
        <f>IF(AQ$4=1,IF(OR(INDEX('×入力'!$A$1:$L$800,215+AQ$3,2+AQ$2)&lt;&gt;"",INDEX('×入力'!$A$1:$L$800,214,2+AQ$2)&lt;&gt;"",INDEX('×入力'!$A$1:$L$800,215+AQ$3,1)&lt;&gt;""),1,0),0)</f>
        <v/>
      </c>
      <c r="AR23">
        <f>IF(AR$4=1,IF(OR(INDEX('×入力'!$A$1:$L$800,215+AR$3,2+AR$2)&lt;&gt;"",INDEX('×入力'!$A$1:$L$800,214,2+AR$2)&lt;&gt;"",INDEX('×入力'!$A$1:$L$800,215+AR$3,1)&lt;&gt;""),1,0),0)</f>
        <v/>
      </c>
      <c r="AS23">
        <f>IF(AS$4=1,IF(OR(INDEX('×入力'!$A$1:$L$800,215+AS$3,2+AS$2)&lt;&gt;"",INDEX('×入力'!$A$1:$L$800,214,2+AS$2)&lt;&gt;"",INDEX('×入力'!$A$1:$L$800,215+AS$3,1)&lt;&gt;""),1,0),0)</f>
        <v/>
      </c>
      <c r="AT23">
        <f>IF(AT$4=1,IF(OR(INDEX('×入力'!$A$1:$L$800,215+AT$3,2+AT$2)&lt;&gt;"",INDEX('×入力'!$A$1:$L$800,214,2+AT$2)&lt;&gt;"",INDEX('×入力'!$A$1:$L$800,215+AT$3,1)&lt;&gt;""),1,0),0)</f>
        <v/>
      </c>
      <c r="AU23">
        <f>IF(AU$4=1,IF(OR(INDEX('×入力'!$A$1:$L$800,215+AU$3,2+AU$2)&lt;&gt;"",INDEX('×入力'!$A$1:$L$800,214,2+AU$2)&lt;&gt;"",INDEX('×入力'!$A$1:$L$800,215+AU$3,1)&lt;&gt;""),1,0),0)</f>
        <v/>
      </c>
      <c r="AV23">
        <f>IF(AV$4=1,IF(OR(INDEX('×入力'!$A$1:$L$800,215+AV$3,2+AV$2)&lt;&gt;"",INDEX('×入力'!$A$1:$L$800,214,2+AV$2)&lt;&gt;"",INDEX('×入力'!$A$1:$L$800,215+AV$3,1)&lt;&gt;""),1,0),0)</f>
        <v/>
      </c>
      <c r="AW23">
        <f>IF(AW$4=1,IF(OR(INDEX('×入力'!$A$1:$L$800,215+AW$3,2+AW$2)&lt;&gt;"",INDEX('×入力'!$A$1:$L$800,214,2+AW$2)&lt;&gt;"",INDEX('×入力'!$A$1:$L$800,215+AW$3,1)&lt;&gt;""),1,0),0)</f>
        <v/>
      </c>
      <c r="AX23">
        <f>IF(AX$4=1,IF(OR(INDEX('×入力'!$A$1:$L$800,215+AX$3,2+AX$2)&lt;&gt;"",INDEX('×入力'!$A$1:$L$800,214,2+AX$2)&lt;&gt;"",INDEX('×入力'!$A$1:$L$800,215+AX$3,1)&lt;&gt;""),1,0),0)</f>
        <v/>
      </c>
      <c r="AY23">
        <f>IF(AY$4=1,IF(OR(INDEX('×入力'!$A$1:$L$800,215+AY$3,2+AY$2)&lt;&gt;"",INDEX('×入力'!$A$1:$L$800,214,2+AY$2)&lt;&gt;"",INDEX('×入力'!$A$1:$L$800,215+AY$3,1)&lt;&gt;""),1,0),0)</f>
        <v/>
      </c>
      <c r="AZ23">
        <f>IF(AZ$4=1,IF(OR(INDEX('×入力'!$A$1:$L$800,215+AZ$3,2+AZ$2)&lt;&gt;"",INDEX('×入力'!$A$1:$L$800,214,2+AZ$2)&lt;&gt;"",INDEX('×入力'!$A$1:$L$800,215+AZ$3,1)&lt;&gt;""),1,0),0)</f>
        <v/>
      </c>
      <c r="BA23">
        <f>IF(BA$4=1,IF(OR(INDEX('×入力'!$A$1:$L$800,215+BA$3,2+BA$2)&lt;&gt;"",INDEX('×入力'!$A$1:$L$800,214,2+BA$2)&lt;&gt;"",INDEX('×入力'!$A$1:$L$800,215+BA$3,1)&lt;&gt;""),1,0),0)</f>
        <v/>
      </c>
      <c r="BB23">
        <f>IF(BB$4=1,IF(OR(INDEX('×入力'!$A$1:$L$800,215+BB$3,2+BB$2)&lt;&gt;"",INDEX('×入力'!$A$1:$L$800,214,2+BB$2)&lt;&gt;"",INDEX('×入力'!$A$1:$L$800,215+BB$3,1)&lt;&gt;""),1,0),0)</f>
        <v/>
      </c>
      <c r="BC23">
        <f>IF(BC$4=1,IF(OR(INDEX('×入力'!$A$1:$L$800,215+BC$3,2+BC$2)&lt;&gt;"",INDEX('×入力'!$A$1:$L$800,214,2+BC$2)&lt;&gt;"",INDEX('×入力'!$A$1:$L$800,215+BC$3,1)&lt;&gt;""),1,0),0)</f>
        <v/>
      </c>
      <c r="BD23">
        <f>IF(BD$4=1,IF(OR(INDEX('×入力'!$A$1:$L$800,215+BD$3,2+BD$2)&lt;&gt;"",INDEX('×入力'!$A$1:$L$800,214,2+BD$2)&lt;&gt;"",INDEX('×入力'!$A$1:$L$800,215+BD$3,1)&lt;&gt;""),1,0),0)</f>
        <v/>
      </c>
      <c r="BE23">
        <f>IF(BE$4=1,IF(OR(INDEX('×入力'!$A$1:$L$800,215+BE$3,2+BE$2)&lt;&gt;"",INDEX('×入力'!$A$1:$L$800,214,2+BE$2)&lt;&gt;"",INDEX('×入力'!$A$1:$L$800,215+BE$3,1)&lt;&gt;""),1,0),0)</f>
        <v/>
      </c>
      <c r="BF23">
        <f>IF(BF$4=1,IF(OR(INDEX('×入力'!$A$1:$L$800,215+BF$3,2+BF$2)&lt;&gt;"",INDEX('×入力'!$A$1:$L$800,214,2+BF$2)&lt;&gt;"",INDEX('×入力'!$A$1:$L$800,215+BF$3,1)&lt;&gt;""),1,0),0)</f>
        <v/>
      </c>
      <c r="BG23">
        <f>IF(BG$4=1,IF(OR(INDEX('×入力'!$A$1:$L$800,215+BG$3,2+BG$2)&lt;&gt;"",INDEX('×入力'!$A$1:$L$800,214,2+BG$2)&lt;&gt;"",INDEX('×入力'!$A$1:$L$800,215+BG$3,1)&lt;&gt;""),1,0),0)</f>
        <v/>
      </c>
      <c r="BH23">
        <f>IF(BH$4=1,IF(OR(INDEX('×入力'!$A$1:$L$800,215+BH$3,2+BH$2)&lt;&gt;"",INDEX('×入力'!$A$1:$L$800,214,2+BH$2)&lt;&gt;"",INDEX('×入力'!$A$1:$L$800,215+BH$3,1)&lt;&gt;""),1,0),0)</f>
        <v/>
      </c>
      <c r="BI23">
        <f>IF(BI$4=1,IF(OR(INDEX('×入力'!$A$1:$L$800,215+BI$3,2+BI$2)&lt;&gt;"",INDEX('×入力'!$A$1:$L$800,214,2+BI$2)&lt;&gt;"",INDEX('×入力'!$A$1:$L$800,215+BI$3,1)&lt;&gt;""),1,0),0)</f>
        <v/>
      </c>
      <c r="BJ23">
        <f>IF(BJ$4=1,IF(OR(INDEX('×入力'!$A$1:$L$800,215+BJ$3,2+BJ$2)&lt;&gt;"",INDEX('×入力'!$A$1:$L$800,214,2+BJ$2)&lt;&gt;"",INDEX('×入力'!$A$1:$L$800,215+BJ$3,1)&lt;&gt;""),1,0),0)</f>
        <v/>
      </c>
      <c r="BK23">
        <f>IF(BK$4=1,IF(OR(INDEX('×入力'!$A$1:$L$800,215+BK$3,2+BK$2)&lt;&gt;"",INDEX('×入力'!$A$1:$L$800,214,2+BK$2)&lt;&gt;"",INDEX('×入力'!$A$1:$L$800,215+BK$3,1)&lt;&gt;""),1,0),0)</f>
        <v/>
      </c>
      <c r="BL23">
        <f>IF(BL$4=1,IF(OR(INDEX('×入力'!$A$1:$L$800,215+BL$3,2+BL$2)&lt;&gt;"",INDEX('×入力'!$A$1:$L$800,214,2+BL$2)&lt;&gt;"",INDEX('×入力'!$A$1:$L$800,215+BL$3,1)&lt;&gt;""),1,0),0)</f>
        <v/>
      </c>
      <c r="BM23">
        <f>IF(BM$4=1,IF(OR(INDEX('×入力'!$A$1:$L$800,215+BM$3,2+BM$2)&lt;&gt;"",INDEX('×入力'!$A$1:$L$800,214,2+BM$2)&lt;&gt;"",INDEX('×入力'!$A$1:$L$800,215+BM$3,1)&lt;&gt;""),1,0),0)</f>
        <v/>
      </c>
      <c r="BN23">
        <f>IF(BN$4=1,IF(OR(INDEX('×入力'!$A$1:$L$800,215+BN$3,2+BN$2)&lt;&gt;"",INDEX('×入力'!$A$1:$L$800,214,2+BN$2)&lt;&gt;"",INDEX('×入力'!$A$1:$L$800,215+BN$3,1)&lt;&gt;""),1,0),0)</f>
        <v/>
      </c>
      <c r="BO23">
        <f>IF(BO$4=1,IF(OR(INDEX('×入力'!$A$1:$L$800,215+BO$3,2+BO$2)&lt;&gt;"",INDEX('×入力'!$A$1:$L$800,214,2+BO$2)&lt;&gt;"",INDEX('×入力'!$A$1:$L$800,215+BO$3,1)&lt;&gt;""),1,0),0)</f>
        <v/>
      </c>
      <c r="BP23">
        <f>IF(BP$4=1,IF(OR(INDEX('×入力'!$A$1:$L$800,215+BP$3,2+BP$2)&lt;&gt;"",INDEX('×入力'!$A$1:$L$800,214,2+BP$2)&lt;&gt;"",INDEX('×入力'!$A$1:$L$800,215+BP$3,1)&lt;&gt;""),1,0),0)</f>
        <v/>
      </c>
      <c r="BQ23">
        <f>IF(BQ$4=1,IF(OR(INDEX('×入力'!$A$1:$L$800,215+BQ$3,2+BQ$2)&lt;&gt;"",INDEX('×入力'!$A$1:$L$800,214,2+BQ$2)&lt;&gt;"",INDEX('×入力'!$A$1:$L$800,215+BQ$3,1)&lt;&gt;""),1,0),0)</f>
        <v/>
      </c>
      <c r="BR23">
        <f>IF(BR$4=1,IF(OR(INDEX('×入力'!$A$1:$L$800,215+BR$3,2+BR$2)&lt;&gt;"",INDEX('×入力'!$A$1:$L$800,214,2+BR$2)&lt;&gt;"",INDEX('×入力'!$A$1:$L$800,215+BR$3,1)&lt;&gt;""),1,0),0)</f>
        <v/>
      </c>
      <c r="BS23">
        <f>IF(BS$4=1,IF(OR(INDEX('×入力'!$A$1:$L$800,215+BS$3,2+BS$2)&lt;&gt;"",INDEX('×入力'!$A$1:$L$800,214,2+BS$2)&lt;&gt;"",INDEX('×入力'!$A$1:$L$800,215+BS$3,1)&lt;&gt;""),1,0),0)</f>
        <v/>
      </c>
      <c r="BT23">
        <f>IF(BT$4=1,IF(OR(INDEX('×入力'!$A$1:$L$800,215+BT$3,2+BT$2)&lt;&gt;"",INDEX('×入力'!$A$1:$L$800,214,2+BT$2)&lt;&gt;"",INDEX('×入力'!$A$1:$L$800,215+BT$3,1)&lt;&gt;""),1,0),0)</f>
        <v/>
      </c>
      <c r="BU23">
        <f>IF(BU$4=1,IF(OR(INDEX('×入力'!$A$1:$L$800,215+BU$3,2+BU$2)&lt;&gt;"",INDEX('×入力'!$A$1:$L$800,214,2+BU$2)&lt;&gt;"",INDEX('×入力'!$A$1:$L$800,215+BU$3,1)&lt;&gt;""),1,0),0)</f>
        <v/>
      </c>
      <c r="BV23">
        <f>IF(BV$4=1,IF(OR(INDEX('×入力'!$A$1:$L$800,215+BV$3,2+BV$2)&lt;&gt;"",INDEX('×入力'!$A$1:$L$800,214,2+BV$2)&lt;&gt;"",INDEX('×入力'!$A$1:$L$800,215+BV$3,1)&lt;&gt;""),1,0),0)</f>
        <v/>
      </c>
      <c r="BW23">
        <f>IF(BW$4=1,IF(OR(INDEX('×入力'!$A$1:$L$800,215+BW$3,2+BW$2)&lt;&gt;"",INDEX('×入力'!$A$1:$L$800,214,2+BW$2)&lt;&gt;"",INDEX('×入力'!$A$1:$L$800,215+BW$3,1)&lt;&gt;""),1,0),0)</f>
        <v/>
      </c>
      <c r="BX23">
        <f>IF(BX$4=1,IF(OR(INDEX('×入力'!$A$1:$L$800,215+BX$3,2+BX$2)&lt;&gt;"",INDEX('×入力'!$A$1:$L$800,214,2+BX$2)&lt;&gt;"",INDEX('×入力'!$A$1:$L$800,215+BX$3,1)&lt;&gt;""),1,0),0)</f>
        <v/>
      </c>
      <c r="BY23">
        <f>IF(BY$4=1,IF(OR(INDEX('×入力'!$A$1:$L$800,215+BY$3,2+BY$2)&lt;&gt;"",INDEX('×入力'!$A$1:$L$800,214,2+BY$2)&lt;&gt;"",INDEX('×入力'!$A$1:$L$800,215+BY$3,1)&lt;&gt;""),1,0),0)</f>
        <v/>
      </c>
      <c r="BZ23">
        <f>IF(BZ$4=1,IF(OR(INDEX('×入力'!$A$1:$L$800,215+BZ$3,2+BZ$2)&lt;&gt;"",INDEX('×入力'!$A$1:$L$800,214,2+BZ$2)&lt;&gt;"",INDEX('×入力'!$A$1:$L$800,215+BZ$3,1)&lt;&gt;""),1,0),0)</f>
        <v/>
      </c>
      <c r="CA23">
        <f>IF(CA$4=1,IF(OR(INDEX('×入力'!$A$1:$L$800,215+CA$3,2+CA$2)&lt;&gt;"",INDEX('×入力'!$A$1:$L$800,214,2+CA$2)&lt;&gt;"",INDEX('×入力'!$A$1:$L$800,215+CA$3,1)&lt;&gt;""),1,0),0)</f>
        <v/>
      </c>
      <c r="CB23">
        <f>IF(CB$4=1,IF(OR(INDEX('×入力'!$A$1:$L$800,215+CB$3,2+CB$2)&lt;&gt;"",INDEX('×入力'!$A$1:$L$800,214,2+CB$2)&lt;&gt;"",INDEX('×入力'!$A$1:$L$800,215+CB$3,1)&lt;&gt;""),1,0),0)</f>
        <v/>
      </c>
      <c r="CC23">
        <f>IF(CC$4=1,IF(OR(INDEX('×入力'!$A$1:$L$800,215+CC$3,2+CC$2)&lt;&gt;"",INDEX('×入力'!$A$1:$L$800,214,2+CC$2)&lt;&gt;"",INDEX('×入力'!$A$1:$L$800,215+CC$3,1)&lt;&gt;""),1,0),0)</f>
        <v/>
      </c>
      <c r="CD23">
        <f>IF(CD$4=1,IF(OR(INDEX('×入力'!$A$1:$L$800,215+CD$3,2+CD$2)&lt;&gt;"",INDEX('×入力'!$A$1:$L$800,214,2+CD$2)&lt;&gt;"",INDEX('×入力'!$A$1:$L$800,215+CD$3,1)&lt;&gt;""),1,0),0)</f>
        <v/>
      </c>
      <c r="CE23">
        <f>IF(CE$4=1,IF(OR(INDEX('×入力'!$A$1:$L$800,215+CE$3,2+CE$2)&lt;&gt;"",INDEX('×入力'!$A$1:$L$800,214,2+CE$2)&lt;&gt;"",INDEX('×入力'!$A$1:$L$800,215+CE$3,1)&lt;&gt;""),1,0),0)</f>
        <v/>
      </c>
      <c r="CF23">
        <f>IF(CF$4=1,IF(OR(INDEX('×入力'!$A$1:$L$800,215+CF$3,2+CF$2)&lt;&gt;"",INDEX('×入力'!$A$1:$L$800,214,2+CF$2)&lt;&gt;"",INDEX('×入力'!$A$1:$L$800,215+CF$3,1)&lt;&gt;""),1,0),0)</f>
        <v/>
      </c>
      <c r="CG23">
        <f>IF(CG$4=1,IF(OR(INDEX('×入力'!$A$1:$L$800,215+CG$3,2+CG$2)&lt;&gt;"",INDEX('×入力'!$A$1:$L$800,214,2+CG$2)&lt;&gt;"",INDEX('×入力'!$A$1:$L$800,215+CG$3,1)&lt;&gt;""),1,0),0)</f>
        <v/>
      </c>
      <c r="CH23">
        <f>IF(CH$4=1,IF(OR(INDEX('×入力'!$A$1:$L$800,215+CH$3,2+CH$2)&lt;&gt;"",INDEX('×入力'!$A$1:$L$800,214,2+CH$2)&lt;&gt;"",INDEX('×入力'!$A$1:$L$800,215+CH$3,1)&lt;&gt;""),1,0),0)</f>
        <v/>
      </c>
      <c r="CI23">
        <f>IF(CI$4=1,IF(OR(INDEX('×入力'!$A$1:$L$800,215+CI$3,2+CI$2)&lt;&gt;"",INDEX('×入力'!$A$1:$L$800,214,2+CI$2)&lt;&gt;"",INDEX('×入力'!$A$1:$L$800,215+CI$3,1)&lt;&gt;""),1,0),0)</f>
        <v/>
      </c>
      <c r="CJ23">
        <f>IF(CJ$4=1,IF(OR(INDEX('×入力'!$A$1:$L$800,215+CJ$3,2+CJ$2)&lt;&gt;"",INDEX('×入力'!$A$1:$L$800,214,2+CJ$2)&lt;&gt;"",INDEX('×入力'!$A$1:$L$800,215+CJ$3,1)&lt;&gt;""),1,0),0)</f>
        <v/>
      </c>
      <c r="CK23">
        <f>IF(CK$4=1,IF(OR(INDEX('×入力'!$A$1:$L$800,215+CK$3,2+CK$2)&lt;&gt;"",INDEX('×入力'!$A$1:$L$800,214,2+CK$2)&lt;&gt;"",INDEX('×入力'!$A$1:$L$800,215+CK$3,1)&lt;&gt;""),1,0),0)</f>
        <v/>
      </c>
      <c r="CL23">
        <f>IF(CL$4=1,IF(OR(INDEX('×入力'!$A$1:$L$800,215+CL$3,2+CL$2)&lt;&gt;"",INDEX('×入力'!$A$1:$L$800,214,2+CL$2)&lt;&gt;"",INDEX('×入力'!$A$1:$L$800,215+CL$3,1)&lt;&gt;""),1,0),0)</f>
        <v/>
      </c>
      <c r="CM23">
        <f>IF(CM$4=1,IF(OR(INDEX('×入力'!$A$1:$L$800,215+CM$3,2+CM$2)&lt;&gt;"",INDEX('×入力'!$A$1:$L$800,214,2+CM$2)&lt;&gt;"",INDEX('×入力'!$A$1:$L$800,215+CM$3,1)&lt;&gt;""),1,0),0)</f>
        <v/>
      </c>
      <c r="CN23">
        <f>IF(CN$4=1,IF(OR(INDEX('×入力'!$A$1:$L$800,215+CN$3,2+CN$2)&lt;&gt;"",INDEX('×入力'!$A$1:$L$800,214,2+CN$2)&lt;&gt;"",INDEX('×入力'!$A$1:$L$800,215+CN$3,1)&lt;&gt;""),1,0),0)</f>
        <v/>
      </c>
      <c r="CO23">
        <f>IF(CO$4=1,IF(OR(INDEX('×入力'!$A$1:$L$800,215+CO$3,2+CO$2)&lt;&gt;"",INDEX('×入力'!$A$1:$L$800,214,2+CO$2)&lt;&gt;"",INDEX('×入力'!$A$1:$L$800,215+CO$3,1)&lt;&gt;""),1,0),0)</f>
        <v/>
      </c>
      <c r="CP23">
        <f>IF(CP$4=1,IF(OR(INDEX('×入力'!$A$1:$L$800,215+CP$3,2+CP$2)&lt;&gt;"",INDEX('×入力'!$A$1:$L$800,214,2+CP$2)&lt;&gt;"",INDEX('×入力'!$A$1:$L$800,215+CP$3,1)&lt;&gt;""),1,0),0)</f>
        <v/>
      </c>
      <c r="CQ23">
        <f>IF(CQ$4=1,IF(OR(INDEX('×入力'!$A$1:$L$800,215+CQ$3,2+CQ$2)&lt;&gt;"",INDEX('×入力'!$A$1:$L$800,214,2+CQ$2)&lt;&gt;"",INDEX('×入力'!$A$1:$L$800,215+CQ$3,1)&lt;&gt;""),1,0),0)</f>
        <v/>
      </c>
      <c r="CR23">
        <f>IF(CR$4=1,IF(OR(INDEX('×入力'!$A$1:$L$800,215+CR$3,2+CR$2)&lt;&gt;"",INDEX('×入力'!$A$1:$L$800,214,2+CR$2)&lt;&gt;"",INDEX('×入力'!$A$1:$L$800,215+CR$3,1)&lt;&gt;""),1,0),0)</f>
        <v/>
      </c>
      <c r="CS23">
        <f>IF(CS$4=1,IF(OR(INDEX('×入力'!$A$1:$L$800,215+CS$3,2+CS$2)&lt;&gt;"",INDEX('×入力'!$A$1:$L$800,214,2+CS$2)&lt;&gt;"",INDEX('×入力'!$A$1:$L$800,215+CS$3,1)&lt;&gt;""),1,0),0)</f>
        <v/>
      </c>
      <c r="CT23">
        <f>IF(CT$4=1,IF(OR(INDEX('×入力'!$A$1:$L$800,215+CT$3,2+CT$2)&lt;&gt;"",INDEX('×入力'!$A$1:$L$800,214,2+CT$2)&lt;&gt;"",INDEX('×入力'!$A$1:$L$800,215+CT$3,1)&lt;&gt;""),1,0),0)</f>
        <v/>
      </c>
      <c r="CU23">
        <f>IF(CU$4=1,IF(OR(INDEX('×入力'!$A$1:$L$800,215+CU$3,2+CU$2)&lt;&gt;"",INDEX('×入力'!$A$1:$L$800,214,2+CU$2)&lt;&gt;"",INDEX('×入力'!$A$1:$L$800,215+CU$3,1)&lt;&gt;""),1,0),0)</f>
        <v/>
      </c>
      <c r="CV23">
        <f>IF(CV$4=1,IF(OR(INDEX('×入力'!$A$1:$L$800,215+CV$3,2+CV$2)&lt;&gt;"",INDEX('×入力'!$A$1:$L$800,214,2+CV$2)&lt;&gt;"",INDEX('×入力'!$A$1:$L$800,215+CV$3,1)&lt;&gt;""),1,0),0)</f>
        <v/>
      </c>
      <c r="CW23">
        <f>IF(CW$4=1,IF(OR(INDEX('×入力'!$A$1:$L$800,215+CW$3,2+CW$2)&lt;&gt;"",INDEX('×入力'!$A$1:$L$800,214,2+CW$2)&lt;&gt;"",INDEX('×入力'!$A$1:$L$800,215+CW$3,1)&lt;&gt;""),1,0),0)</f>
        <v/>
      </c>
      <c r="CX23">
        <f>IF(CX$4=1,IF(OR(INDEX('×入力'!$A$1:$L$800,215+CX$3,2+CX$2)&lt;&gt;"",INDEX('×入力'!$A$1:$L$800,214,2+CX$2)&lt;&gt;"",INDEX('×入力'!$A$1:$L$800,215+CX$3,1)&lt;&gt;""),1,0),0)</f>
        <v/>
      </c>
      <c r="CY23">
        <f>IF(CY$4=1,IF(OR(INDEX('×入力'!$A$1:$L$800,215+CY$3,2+CY$2)&lt;&gt;"",INDEX('×入力'!$A$1:$L$800,214,2+CY$2)&lt;&gt;"",INDEX('×入力'!$A$1:$L$800,215+CY$3,1)&lt;&gt;""),1,0),0)</f>
        <v/>
      </c>
      <c r="CZ23">
        <f>IF(CZ$4=1,IF(OR(INDEX('×入力'!$A$1:$L$800,215+CZ$3,2+CZ$2)&lt;&gt;"",INDEX('×入力'!$A$1:$L$800,214,2+CZ$2)&lt;&gt;"",INDEX('×入力'!$A$1:$L$800,215+CZ$3,1)&lt;&gt;""),1,0),0)</f>
        <v/>
      </c>
      <c r="DA23">
        <f>IF(DA$4=1,IF(OR(INDEX('×入力'!$A$1:$L$800,215+DA$3,2+DA$2)&lt;&gt;"",INDEX('×入力'!$A$1:$L$800,214,2+DA$2)&lt;&gt;"",INDEX('×入力'!$A$1:$L$800,215+DA$3,1)&lt;&gt;""),1,0),0)</f>
        <v/>
      </c>
      <c r="DB23">
        <f>IF(DB$4=1,IF(OR(INDEX('×入力'!$A$1:$L$800,215+DB$3,2+DB$2)&lt;&gt;"",INDEX('×入力'!$A$1:$L$800,214,2+DB$2)&lt;&gt;"",INDEX('×入力'!$A$1:$L$800,215+DB$3,1)&lt;&gt;""),1,0),0)</f>
        <v/>
      </c>
      <c r="DC23">
        <f>IF(DC$4=1,IF(OR(INDEX('×入力'!$A$1:$L$800,215+DC$3,2+DC$2)&lt;&gt;"",INDEX('×入力'!$A$1:$L$800,214,2+DC$2)&lt;&gt;"",INDEX('×入力'!$A$1:$L$800,215+DC$3,1)&lt;&gt;""),1,0),0)</f>
        <v/>
      </c>
      <c r="DD23">
        <f>IF(DD$4=1,IF(OR(INDEX('×入力'!$A$1:$L$800,215+DD$3,2+DD$2)&lt;&gt;"",INDEX('×入力'!$A$1:$L$800,214,2+DD$2)&lt;&gt;"",INDEX('×入力'!$A$1:$L$800,215+DD$3,1)&lt;&gt;""),1,0),0)</f>
        <v/>
      </c>
      <c r="DE23">
        <f>IF(DE$4=1,IF(OR(INDEX('×入力'!$A$1:$L$800,215+DE$3,2+DE$2)&lt;&gt;"",INDEX('×入力'!$A$1:$L$800,214,2+DE$2)&lt;&gt;"",INDEX('×入力'!$A$1:$L$800,215+DE$3,1)&lt;&gt;""),1,0),0)</f>
        <v/>
      </c>
      <c r="DF23">
        <f>IF(DF$4=1,IF(OR(INDEX('×入力'!$A$1:$L$800,215+DF$3,2+DF$2)&lt;&gt;"",INDEX('×入力'!$A$1:$L$800,214,2+DF$2)&lt;&gt;"",INDEX('×入力'!$A$1:$L$800,215+DF$3,1)&lt;&gt;""),1,0),0)</f>
        <v/>
      </c>
      <c r="DG23">
        <f>IF(DG$4=1,IF(OR(INDEX('×入力'!$A$1:$L$800,215+DG$3,2+DG$2)&lt;&gt;"",INDEX('×入力'!$A$1:$L$800,214,2+DG$2)&lt;&gt;"",INDEX('×入力'!$A$1:$L$800,215+DG$3,1)&lt;&gt;""),1,0),0)</f>
        <v/>
      </c>
      <c r="DH23">
        <f>IF(DH$4=1,IF(OR(INDEX('×入力'!$A$1:$L$800,215+DH$3,2+DH$2)&lt;&gt;"",INDEX('×入力'!$A$1:$L$800,214,2+DH$2)&lt;&gt;"",INDEX('×入力'!$A$1:$L$800,215+DH$3,1)&lt;&gt;""),1,0),0)</f>
        <v/>
      </c>
      <c r="DI23">
        <f>IF(DI$4=1,IF(OR(INDEX('×入力'!$A$1:$L$800,215+DI$3,2+DI$2)&lt;&gt;"",INDEX('×入力'!$A$1:$L$800,214,2+DI$2)&lt;&gt;"",INDEX('×入力'!$A$1:$L$800,215+DI$3,1)&lt;&gt;""),1,0),0)</f>
        <v/>
      </c>
      <c r="DJ23">
        <f>IF(DJ$4=1,IF(OR(INDEX('×入力'!$A$1:$L$800,215+DJ$3,2+DJ$2)&lt;&gt;"",INDEX('×入力'!$A$1:$L$800,214,2+DJ$2)&lt;&gt;"",INDEX('×入力'!$A$1:$L$800,215+DJ$3,1)&lt;&gt;""),1,0),0)</f>
        <v/>
      </c>
      <c r="DK23">
        <f>IF(DK$4=1,IF(OR(INDEX('×入力'!$A$1:$L$800,215+DK$3,2+DK$2)&lt;&gt;"",INDEX('×入力'!$A$1:$L$800,214,2+DK$2)&lt;&gt;"",INDEX('×入力'!$A$1:$L$800,215+DK$3,1)&lt;&gt;""),1,0),0)</f>
        <v/>
      </c>
      <c r="DL23">
        <f>IF(DL$4=1,IF(OR(INDEX('×入力'!$A$1:$L$800,215+DL$3,2+DL$2)&lt;&gt;"",INDEX('×入力'!$A$1:$L$800,214,2+DL$2)&lt;&gt;"",INDEX('×入力'!$A$1:$L$800,215+DL$3,1)&lt;&gt;""),1,0),0)</f>
        <v/>
      </c>
      <c r="DM23">
        <f>IF(DM$4=1,IF(OR(INDEX('×入力'!$A$1:$L$800,215+DM$3,2+DM$2)&lt;&gt;"",INDEX('×入力'!$A$1:$L$800,214,2+DM$2)&lt;&gt;"",INDEX('×入力'!$A$1:$L$800,215+DM$3,1)&lt;&gt;""),1,0),0)</f>
        <v/>
      </c>
      <c r="DN23">
        <f>IF(DN$4=1,IF(OR(INDEX('×入力'!$A$1:$L$800,215+DN$3,2+DN$2)&lt;&gt;"",INDEX('×入力'!$A$1:$L$800,214,2+DN$2)&lt;&gt;"",INDEX('×入力'!$A$1:$L$800,215+DN$3,1)&lt;&gt;""),1,0),0)</f>
        <v/>
      </c>
      <c r="DO23">
        <f>IF(DO$4=1,IF(OR(INDEX('×入力'!$A$1:$L$800,215+DO$3,2+DO$2)&lt;&gt;"",INDEX('×入力'!$A$1:$L$800,214,2+DO$2)&lt;&gt;"",INDEX('×入力'!$A$1:$L$800,215+DO$3,1)&lt;&gt;""),1,0),0)</f>
        <v/>
      </c>
      <c r="DP23">
        <f>IF(DP$4=1,IF(OR(INDEX('×入力'!$A$1:$L$800,215+DP$3,2+DP$2)&lt;&gt;"",INDEX('×入力'!$A$1:$L$800,214,2+DP$2)&lt;&gt;"",INDEX('×入力'!$A$1:$L$800,215+DP$3,1)&lt;&gt;""),1,0),0)</f>
        <v/>
      </c>
      <c r="DQ23">
        <f>IF(DQ$4=1,IF(OR(INDEX('×入力'!$A$1:$L$800,215+DQ$3,2+DQ$2)&lt;&gt;"",INDEX('×入力'!$A$1:$L$800,214,2+DQ$2)&lt;&gt;"",INDEX('×入力'!$A$1:$L$800,215+DQ$3,1)&lt;&gt;""),1,0),0)</f>
        <v/>
      </c>
      <c r="DR23">
        <f>IF(DR$4=1,IF(OR(INDEX('×入力'!$A$1:$L$800,215+DR$3,2+DR$2)&lt;&gt;"",INDEX('×入力'!$A$1:$L$800,214,2+DR$2)&lt;&gt;"",INDEX('×入力'!$A$1:$L$800,215+DR$3,1)&lt;&gt;""),1,0),0)</f>
        <v/>
      </c>
      <c r="DS23">
        <f>IF(DS$4=1,IF(OR(INDEX('×入力'!$A$1:$L$800,215+DS$3,2+DS$2)&lt;&gt;"",INDEX('×入力'!$A$1:$L$800,214,2+DS$2)&lt;&gt;"",INDEX('×入力'!$A$1:$L$800,215+DS$3,1)&lt;&gt;""),1,0),0)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IF(D$4=1,IF(OR(INDEX('×入力'!$A$1:$L$800,231+D$3,2+D$2)&lt;&gt;"",INDEX('×入力'!$A$1:$L$800,230,2+D$2)&lt;&gt;"",INDEX('×入力'!$A$1:$L$800,231+D$3,1)&lt;&gt;""),1,0),0)</f>
        <v/>
      </c>
      <c r="E24">
        <f>IF(E$4=1,IF(OR(INDEX('×入力'!$A$1:$L$800,231+E$3,2+E$2)&lt;&gt;"",INDEX('×入力'!$A$1:$L$800,230,2+E$2)&lt;&gt;"",INDEX('×入力'!$A$1:$L$800,231+E$3,1)&lt;&gt;""),1,0),0)</f>
        <v/>
      </c>
      <c r="F24">
        <f>IF(F$4=1,IF(OR(INDEX('×入力'!$A$1:$L$800,231+F$3,2+F$2)&lt;&gt;"",INDEX('×入力'!$A$1:$L$800,230,2+F$2)&lt;&gt;"",INDEX('×入力'!$A$1:$L$800,231+F$3,1)&lt;&gt;""),1,0),0)</f>
        <v/>
      </c>
      <c r="G24">
        <f>IF(G$4=1,IF(OR(INDEX('×入力'!$A$1:$L$800,231+G$3,2+G$2)&lt;&gt;"",INDEX('×入力'!$A$1:$L$800,230,2+G$2)&lt;&gt;"",INDEX('×入力'!$A$1:$L$800,231+G$3,1)&lt;&gt;""),1,0),0)</f>
        <v/>
      </c>
      <c r="H24">
        <f>IF(H$4=1,IF(OR(INDEX('×入力'!$A$1:$L$800,231+H$3,2+H$2)&lt;&gt;"",INDEX('×入力'!$A$1:$L$800,230,2+H$2)&lt;&gt;"",INDEX('×入力'!$A$1:$L$800,231+H$3,1)&lt;&gt;""),1,0),0)</f>
        <v/>
      </c>
      <c r="I24">
        <f>IF(I$4=1,IF(OR(INDEX('×入力'!$A$1:$L$800,231+I$3,2+I$2)&lt;&gt;"",INDEX('×入力'!$A$1:$L$800,230,2+I$2)&lt;&gt;"",INDEX('×入力'!$A$1:$L$800,231+I$3,1)&lt;&gt;""),1,0),0)</f>
        <v/>
      </c>
      <c r="J24">
        <f>IF(J$4=1,IF(OR(INDEX('×入力'!$A$1:$L$800,231+J$3,2+J$2)&lt;&gt;"",INDEX('×入力'!$A$1:$L$800,230,2+J$2)&lt;&gt;"",INDEX('×入力'!$A$1:$L$800,231+J$3,1)&lt;&gt;""),1,0),0)</f>
        <v/>
      </c>
      <c r="K24">
        <f>IF(K$4=1,IF(OR(INDEX('×入力'!$A$1:$L$800,231+K$3,2+K$2)&lt;&gt;"",INDEX('×入力'!$A$1:$L$800,230,2+K$2)&lt;&gt;"",INDEX('×入力'!$A$1:$L$800,231+K$3,1)&lt;&gt;""),1,0),0)</f>
        <v/>
      </c>
      <c r="L24">
        <f>IF(L$4=1,IF(OR(INDEX('×入力'!$A$1:$L$800,231+L$3,2+L$2)&lt;&gt;"",INDEX('×入力'!$A$1:$L$800,230,2+L$2)&lt;&gt;"",INDEX('×入力'!$A$1:$L$800,231+L$3,1)&lt;&gt;""),1,0),0)</f>
        <v/>
      </c>
      <c r="M24">
        <f>IF(M$4=1,IF(OR(INDEX('×入力'!$A$1:$L$800,231+M$3,2+M$2)&lt;&gt;"",INDEX('×入力'!$A$1:$L$800,230,2+M$2)&lt;&gt;"",INDEX('×入力'!$A$1:$L$800,231+M$3,1)&lt;&gt;""),1,0),0)</f>
        <v/>
      </c>
      <c r="N24">
        <f>IF(N$4=1,IF(OR(INDEX('×入力'!$A$1:$L$800,231+N$3,2+N$2)&lt;&gt;"",INDEX('×入力'!$A$1:$L$800,230,2+N$2)&lt;&gt;"",INDEX('×入力'!$A$1:$L$800,231+N$3,1)&lt;&gt;""),1,0),0)</f>
        <v/>
      </c>
      <c r="O24">
        <f>IF(O$4=1,IF(OR(INDEX('×入力'!$A$1:$L$800,231+O$3,2+O$2)&lt;&gt;"",INDEX('×入力'!$A$1:$L$800,230,2+O$2)&lt;&gt;"",INDEX('×入力'!$A$1:$L$800,231+O$3,1)&lt;&gt;""),1,0),0)</f>
        <v/>
      </c>
      <c r="P24">
        <f>IF(P$4=1,IF(OR(INDEX('×入力'!$A$1:$L$800,231+P$3,2+P$2)&lt;&gt;"",INDEX('×入力'!$A$1:$L$800,230,2+P$2)&lt;&gt;"",INDEX('×入力'!$A$1:$L$800,231+P$3,1)&lt;&gt;""),1,0),0)</f>
        <v/>
      </c>
      <c r="Q24">
        <f>IF(Q$4=1,IF(OR(INDEX('×入力'!$A$1:$L$800,231+Q$3,2+Q$2)&lt;&gt;"",INDEX('×入力'!$A$1:$L$800,230,2+Q$2)&lt;&gt;"",INDEX('×入力'!$A$1:$L$800,231+Q$3,1)&lt;&gt;""),1,0),0)</f>
        <v/>
      </c>
      <c r="R24">
        <f>IF(R$4=1,IF(OR(INDEX('×入力'!$A$1:$L$800,231+R$3,2+R$2)&lt;&gt;"",INDEX('×入力'!$A$1:$L$800,230,2+R$2)&lt;&gt;"",INDEX('×入力'!$A$1:$L$800,231+R$3,1)&lt;&gt;""),1,0),0)</f>
        <v/>
      </c>
      <c r="S24">
        <f>IF(S$4=1,IF(OR(INDEX('×入力'!$A$1:$L$800,231+S$3,2+S$2)&lt;&gt;"",INDEX('×入力'!$A$1:$L$800,230,2+S$2)&lt;&gt;"",INDEX('×入力'!$A$1:$L$800,231+S$3,1)&lt;&gt;""),1,0),0)</f>
        <v/>
      </c>
      <c r="T24">
        <f>IF(T$4=1,IF(OR(INDEX('×入力'!$A$1:$L$800,231+T$3,2+T$2)&lt;&gt;"",INDEX('×入力'!$A$1:$L$800,230,2+T$2)&lt;&gt;"",INDEX('×入力'!$A$1:$L$800,231+T$3,1)&lt;&gt;""),1,0),0)</f>
        <v/>
      </c>
      <c r="U24">
        <f>IF(U$4=1,IF(OR(INDEX('×入力'!$A$1:$L$800,231+U$3,2+U$2)&lt;&gt;"",INDEX('×入力'!$A$1:$L$800,230,2+U$2)&lt;&gt;"",INDEX('×入力'!$A$1:$L$800,231+U$3,1)&lt;&gt;""),1,0),0)</f>
        <v/>
      </c>
      <c r="V24">
        <f>IF(V$4=1,IF(OR(INDEX('×入力'!$A$1:$L$800,231+V$3,2+V$2)&lt;&gt;"",INDEX('×入力'!$A$1:$L$800,230,2+V$2)&lt;&gt;"",INDEX('×入力'!$A$1:$L$800,231+V$3,1)&lt;&gt;""),1,0),0)</f>
        <v/>
      </c>
      <c r="W24">
        <f>IF(W$4=1,IF(OR(INDEX('×入力'!$A$1:$L$800,231+W$3,2+W$2)&lt;&gt;"",INDEX('×入力'!$A$1:$L$800,230,2+W$2)&lt;&gt;"",INDEX('×入力'!$A$1:$L$800,231+W$3,1)&lt;&gt;""),1,0),0)</f>
        <v/>
      </c>
      <c r="X24">
        <f>IF(X$4=1,IF(OR(INDEX('×入力'!$A$1:$L$800,231+X$3,2+X$2)&lt;&gt;"",INDEX('×入力'!$A$1:$L$800,230,2+X$2)&lt;&gt;"",INDEX('×入力'!$A$1:$L$800,231+X$3,1)&lt;&gt;""),1,0),0)</f>
        <v/>
      </c>
      <c r="Y24">
        <f>IF(Y$4=1,IF(OR(INDEX('×入力'!$A$1:$L$800,231+Y$3,2+Y$2)&lt;&gt;"",INDEX('×入力'!$A$1:$L$800,230,2+Y$2)&lt;&gt;"",INDEX('×入力'!$A$1:$L$800,231+Y$3,1)&lt;&gt;""),1,0),0)</f>
        <v/>
      </c>
      <c r="Z24">
        <f>IF(Z$4=1,IF(OR(INDEX('×入力'!$A$1:$L$800,231+Z$3,2+Z$2)&lt;&gt;"",INDEX('×入力'!$A$1:$L$800,230,2+Z$2)&lt;&gt;"",INDEX('×入力'!$A$1:$L$800,231+Z$3,1)&lt;&gt;""),1,0),0)</f>
        <v/>
      </c>
      <c r="AA24">
        <f>IF(AA$4=1,IF(OR(INDEX('×入力'!$A$1:$L$800,231+AA$3,2+AA$2)&lt;&gt;"",INDEX('×入力'!$A$1:$L$800,230,2+AA$2)&lt;&gt;"",INDEX('×入力'!$A$1:$L$800,231+AA$3,1)&lt;&gt;""),1,0),0)</f>
        <v/>
      </c>
      <c r="AB24">
        <f>IF(AB$4=1,IF(OR(INDEX('×入力'!$A$1:$L$800,231+AB$3,2+AB$2)&lt;&gt;"",INDEX('×入力'!$A$1:$L$800,230,2+AB$2)&lt;&gt;"",INDEX('×入力'!$A$1:$L$800,231+AB$3,1)&lt;&gt;""),1,0),0)</f>
        <v/>
      </c>
      <c r="AC24">
        <f>IF(AC$4=1,IF(OR(INDEX('×入力'!$A$1:$L$800,231+AC$3,2+AC$2)&lt;&gt;"",INDEX('×入力'!$A$1:$L$800,230,2+AC$2)&lt;&gt;"",INDEX('×入力'!$A$1:$L$800,231+AC$3,1)&lt;&gt;""),1,0),0)</f>
        <v/>
      </c>
      <c r="AD24">
        <f>IF(AD$4=1,IF(OR(INDEX('×入力'!$A$1:$L$800,231+AD$3,2+AD$2)&lt;&gt;"",INDEX('×入力'!$A$1:$L$800,230,2+AD$2)&lt;&gt;"",INDEX('×入力'!$A$1:$L$800,231+AD$3,1)&lt;&gt;""),1,0),0)</f>
        <v/>
      </c>
      <c r="AE24">
        <f>IF(AE$4=1,IF(OR(INDEX('×入力'!$A$1:$L$800,231+AE$3,2+AE$2)&lt;&gt;"",INDEX('×入力'!$A$1:$L$800,230,2+AE$2)&lt;&gt;"",INDEX('×入力'!$A$1:$L$800,231+AE$3,1)&lt;&gt;""),1,0),0)</f>
        <v/>
      </c>
      <c r="AF24">
        <f>IF(AF$4=1,IF(OR(INDEX('×入力'!$A$1:$L$800,231+AF$3,2+AF$2)&lt;&gt;"",INDEX('×入力'!$A$1:$L$800,230,2+AF$2)&lt;&gt;"",INDEX('×入力'!$A$1:$L$800,231+AF$3,1)&lt;&gt;""),1,0),0)</f>
        <v/>
      </c>
      <c r="AG24">
        <f>IF(AG$4=1,IF(OR(INDEX('×入力'!$A$1:$L$800,231+AG$3,2+AG$2)&lt;&gt;"",INDEX('×入力'!$A$1:$L$800,230,2+AG$2)&lt;&gt;"",INDEX('×入力'!$A$1:$L$800,231+AG$3,1)&lt;&gt;""),1,0),0)</f>
        <v/>
      </c>
      <c r="AH24">
        <f>IF(AH$4=1,IF(OR(INDEX('×入力'!$A$1:$L$800,231+AH$3,2+AH$2)&lt;&gt;"",INDEX('×入力'!$A$1:$L$800,230,2+AH$2)&lt;&gt;"",INDEX('×入力'!$A$1:$L$800,231+AH$3,1)&lt;&gt;""),1,0),0)</f>
        <v/>
      </c>
      <c r="AI24">
        <f>IF(AI$4=1,IF(OR(INDEX('×入力'!$A$1:$L$800,231+AI$3,2+AI$2)&lt;&gt;"",INDEX('×入力'!$A$1:$L$800,230,2+AI$2)&lt;&gt;"",INDEX('×入力'!$A$1:$L$800,231+AI$3,1)&lt;&gt;""),1,0),0)</f>
        <v/>
      </c>
      <c r="AJ24">
        <f>IF(AJ$4=1,IF(OR(INDEX('×入力'!$A$1:$L$800,231+AJ$3,2+AJ$2)&lt;&gt;"",INDEX('×入力'!$A$1:$L$800,230,2+AJ$2)&lt;&gt;"",INDEX('×入力'!$A$1:$L$800,231+AJ$3,1)&lt;&gt;""),1,0),0)</f>
        <v/>
      </c>
      <c r="AK24">
        <f>IF(AK$4=1,IF(OR(INDEX('×入力'!$A$1:$L$800,231+AK$3,2+AK$2)&lt;&gt;"",INDEX('×入力'!$A$1:$L$800,230,2+AK$2)&lt;&gt;"",INDEX('×入力'!$A$1:$L$800,231+AK$3,1)&lt;&gt;""),1,0),0)</f>
        <v/>
      </c>
      <c r="AL24">
        <f>IF(AL$4=1,IF(OR(INDEX('×入力'!$A$1:$L$800,231+AL$3,2+AL$2)&lt;&gt;"",INDEX('×入力'!$A$1:$L$800,230,2+AL$2)&lt;&gt;"",INDEX('×入力'!$A$1:$L$800,231+AL$3,1)&lt;&gt;""),1,0),0)</f>
        <v/>
      </c>
      <c r="AM24">
        <f>IF(AM$4=1,IF(OR(INDEX('×入力'!$A$1:$L$800,231+AM$3,2+AM$2)&lt;&gt;"",INDEX('×入力'!$A$1:$L$800,230,2+AM$2)&lt;&gt;"",INDEX('×入力'!$A$1:$L$800,231+AM$3,1)&lt;&gt;""),1,0),0)</f>
        <v/>
      </c>
      <c r="AN24">
        <f>IF(AN$4=1,IF(OR(INDEX('×入力'!$A$1:$L$800,231+AN$3,2+AN$2)&lt;&gt;"",INDEX('×入力'!$A$1:$L$800,230,2+AN$2)&lt;&gt;"",INDEX('×入力'!$A$1:$L$800,231+AN$3,1)&lt;&gt;""),1,0),0)</f>
        <v/>
      </c>
      <c r="AO24">
        <f>IF(AO$4=1,IF(OR(INDEX('×入力'!$A$1:$L$800,231+AO$3,2+AO$2)&lt;&gt;"",INDEX('×入力'!$A$1:$L$800,230,2+AO$2)&lt;&gt;"",INDEX('×入力'!$A$1:$L$800,231+AO$3,1)&lt;&gt;""),1,0),0)</f>
        <v/>
      </c>
      <c r="AP24">
        <f>IF(AP$4=1,IF(OR(INDEX('×入力'!$A$1:$L$800,231+AP$3,2+AP$2)&lt;&gt;"",INDEX('×入力'!$A$1:$L$800,230,2+AP$2)&lt;&gt;"",INDEX('×入力'!$A$1:$L$800,231+AP$3,1)&lt;&gt;""),1,0),0)</f>
        <v/>
      </c>
      <c r="AQ24">
        <f>IF(AQ$4=1,IF(OR(INDEX('×入力'!$A$1:$L$800,231+AQ$3,2+AQ$2)&lt;&gt;"",INDEX('×入力'!$A$1:$L$800,230,2+AQ$2)&lt;&gt;"",INDEX('×入力'!$A$1:$L$800,231+AQ$3,1)&lt;&gt;""),1,0),0)</f>
        <v/>
      </c>
      <c r="AR24">
        <f>IF(AR$4=1,IF(OR(INDEX('×入力'!$A$1:$L$800,231+AR$3,2+AR$2)&lt;&gt;"",INDEX('×入力'!$A$1:$L$800,230,2+AR$2)&lt;&gt;"",INDEX('×入力'!$A$1:$L$800,231+AR$3,1)&lt;&gt;""),1,0),0)</f>
        <v/>
      </c>
      <c r="AS24">
        <f>IF(AS$4=1,IF(OR(INDEX('×入力'!$A$1:$L$800,231+AS$3,2+AS$2)&lt;&gt;"",INDEX('×入力'!$A$1:$L$800,230,2+AS$2)&lt;&gt;"",INDEX('×入力'!$A$1:$L$800,231+AS$3,1)&lt;&gt;""),1,0),0)</f>
        <v/>
      </c>
      <c r="AT24">
        <f>IF(AT$4=1,IF(OR(INDEX('×入力'!$A$1:$L$800,231+AT$3,2+AT$2)&lt;&gt;"",INDEX('×入力'!$A$1:$L$800,230,2+AT$2)&lt;&gt;"",INDEX('×入力'!$A$1:$L$800,231+AT$3,1)&lt;&gt;""),1,0),0)</f>
        <v/>
      </c>
      <c r="AU24">
        <f>IF(AU$4=1,IF(OR(INDEX('×入力'!$A$1:$L$800,231+AU$3,2+AU$2)&lt;&gt;"",INDEX('×入力'!$A$1:$L$800,230,2+AU$2)&lt;&gt;"",INDEX('×入力'!$A$1:$L$800,231+AU$3,1)&lt;&gt;""),1,0),0)</f>
        <v/>
      </c>
      <c r="AV24">
        <f>IF(AV$4=1,IF(OR(INDEX('×入力'!$A$1:$L$800,231+AV$3,2+AV$2)&lt;&gt;"",INDEX('×入力'!$A$1:$L$800,230,2+AV$2)&lt;&gt;"",INDEX('×入力'!$A$1:$L$800,231+AV$3,1)&lt;&gt;""),1,0),0)</f>
        <v/>
      </c>
      <c r="AW24">
        <f>IF(AW$4=1,IF(OR(INDEX('×入力'!$A$1:$L$800,231+AW$3,2+AW$2)&lt;&gt;"",INDEX('×入力'!$A$1:$L$800,230,2+AW$2)&lt;&gt;"",INDEX('×入力'!$A$1:$L$800,231+AW$3,1)&lt;&gt;""),1,0),0)</f>
        <v/>
      </c>
      <c r="AX24">
        <f>IF(AX$4=1,IF(OR(INDEX('×入力'!$A$1:$L$800,231+AX$3,2+AX$2)&lt;&gt;"",INDEX('×入力'!$A$1:$L$800,230,2+AX$2)&lt;&gt;"",INDEX('×入力'!$A$1:$L$800,231+AX$3,1)&lt;&gt;""),1,0),0)</f>
        <v/>
      </c>
      <c r="AY24">
        <f>IF(AY$4=1,IF(OR(INDEX('×入力'!$A$1:$L$800,231+AY$3,2+AY$2)&lt;&gt;"",INDEX('×入力'!$A$1:$L$800,230,2+AY$2)&lt;&gt;"",INDEX('×入力'!$A$1:$L$800,231+AY$3,1)&lt;&gt;""),1,0),0)</f>
        <v/>
      </c>
      <c r="AZ24">
        <f>IF(AZ$4=1,IF(OR(INDEX('×入力'!$A$1:$L$800,231+AZ$3,2+AZ$2)&lt;&gt;"",INDEX('×入力'!$A$1:$L$800,230,2+AZ$2)&lt;&gt;"",INDEX('×入力'!$A$1:$L$800,231+AZ$3,1)&lt;&gt;""),1,0),0)</f>
        <v/>
      </c>
      <c r="BA24">
        <f>IF(BA$4=1,IF(OR(INDEX('×入力'!$A$1:$L$800,231+BA$3,2+BA$2)&lt;&gt;"",INDEX('×入力'!$A$1:$L$800,230,2+BA$2)&lt;&gt;"",INDEX('×入力'!$A$1:$L$800,231+BA$3,1)&lt;&gt;""),1,0),0)</f>
        <v/>
      </c>
      <c r="BB24">
        <f>IF(BB$4=1,IF(OR(INDEX('×入力'!$A$1:$L$800,231+BB$3,2+BB$2)&lt;&gt;"",INDEX('×入力'!$A$1:$L$800,230,2+BB$2)&lt;&gt;"",INDEX('×入力'!$A$1:$L$800,231+BB$3,1)&lt;&gt;""),1,0),0)</f>
        <v/>
      </c>
      <c r="BC24">
        <f>IF(BC$4=1,IF(OR(INDEX('×入力'!$A$1:$L$800,231+BC$3,2+BC$2)&lt;&gt;"",INDEX('×入力'!$A$1:$L$800,230,2+BC$2)&lt;&gt;"",INDEX('×入力'!$A$1:$L$800,231+BC$3,1)&lt;&gt;""),1,0),0)</f>
        <v/>
      </c>
      <c r="BD24">
        <f>IF(BD$4=1,IF(OR(INDEX('×入力'!$A$1:$L$800,231+BD$3,2+BD$2)&lt;&gt;"",INDEX('×入力'!$A$1:$L$800,230,2+BD$2)&lt;&gt;"",INDEX('×入力'!$A$1:$L$800,231+BD$3,1)&lt;&gt;""),1,0),0)</f>
        <v/>
      </c>
      <c r="BE24">
        <f>IF(BE$4=1,IF(OR(INDEX('×入力'!$A$1:$L$800,231+BE$3,2+BE$2)&lt;&gt;"",INDEX('×入力'!$A$1:$L$800,230,2+BE$2)&lt;&gt;"",INDEX('×入力'!$A$1:$L$800,231+BE$3,1)&lt;&gt;""),1,0),0)</f>
        <v/>
      </c>
      <c r="BF24">
        <f>IF(BF$4=1,IF(OR(INDEX('×入力'!$A$1:$L$800,231+BF$3,2+BF$2)&lt;&gt;"",INDEX('×入力'!$A$1:$L$800,230,2+BF$2)&lt;&gt;"",INDEX('×入力'!$A$1:$L$800,231+BF$3,1)&lt;&gt;""),1,0),0)</f>
        <v/>
      </c>
      <c r="BG24">
        <f>IF(BG$4=1,IF(OR(INDEX('×入力'!$A$1:$L$800,231+BG$3,2+BG$2)&lt;&gt;"",INDEX('×入力'!$A$1:$L$800,230,2+BG$2)&lt;&gt;"",INDEX('×入力'!$A$1:$L$800,231+BG$3,1)&lt;&gt;""),1,0),0)</f>
        <v/>
      </c>
      <c r="BH24">
        <f>IF(BH$4=1,IF(OR(INDEX('×入力'!$A$1:$L$800,231+BH$3,2+BH$2)&lt;&gt;"",INDEX('×入力'!$A$1:$L$800,230,2+BH$2)&lt;&gt;"",INDEX('×入力'!$A$1:$L$800,231+BH$3,1)&lt;&gt;""),1,0),0)</f>
        <v/>
      </c>
      <c r="BI24">
        <f>IF(BI$4=1,IF(OR(INDEX('×入力'!$A$1:$L$800,231+BI$3,2+BI$2)&lt;&gt;"",INDEX('×入力'!$A$1:$L$800,230,2+BI$2)&lt;&gt;"",INDEX('×入力'!$A$1:$L$800,231+BI$3,1)&lt;&gt;""),1,0),0)</f>
        <v/>
      </c>
      <c r="BJ24">
        <f>IF(BJ$4=1,IF(OR(INDEX('×入力'!$A$1:$L$800,231+BJ$3,2+BJ$2)&lt;&gt;"",INDEX('×入力'!$A$1:$L$800,230,2+BJ$2)&lt;&gt;"",INDEX('×入力'!$A$1:$L$800,231+BJ$3,1)&lt;&gt;""),1,0),0)</f>
        <v/>
      </c>
      <c r="BK24">
        <f>IF(BK$4=1,IF(OR(INDEX('×入力'!$A$1:$L$800,231+BK$3,2+BK$2)&lt;&gt;"",INDEX('×入力'!$A$1:$L$800,230,2+BK$2)&lt;&gt;"",INDEX('×入力'!$A$1:$L$800,231+BK$3,1)&lt;&gt;""),1,0),0)</f>
        <v/>
      </c>
      <c r="BL24">
        <f>IF(BL$4=1,IF(OR(INDEX('×入力'!$A$1:$L$800,231+BL$3,2+BL$2)&lt;&gt;"",INDEX('×入力'!$A$1:$L$800,230,2+BL$2)&lt;&gt;"",INDEX('×入力'!$A$1:$L$800,231+BL$3,1)&lt;&gt;""),1,0),0)</f>
        <v/>
      </c>
      <c r="BM24">
        <f>IF(BM$4=1,IF(OR(INDEX('×入力'!$A$1:$L$800,231+BM$3,2+BM$2)&lt;&gt;"",INDEX('×入力'!$A$1:$L$800,230,2+BM$2)&lt;&gt;"",INDEX('×入力'!$A$1:$L$800,231+BM$3,1)&lt;&gt;""),1,0),0)</f>
        <v/>
      </c>
      <c r="BN24">
        <f>IF(BN$4=1,IF(OR(INDEX('×入力'!$A$1:$L$800,231+BN$3,2+BN$2)&lt;&gt;"",INDEX('×入力'!$A$1:$L$800,230,2+BN$2)&lt;&gt;"",INDEX('×入力'!$A$1:$L$800,231+BN$3,1)&lt;&gt;""),1,0),0)</f>
        <v/>
      </c>
      <c r="BO24">
        <f>IF(BO$4=1,IF(OR(INDEX('×入力'!$A$1:$L$800,231+BO$3,2+BO$2)&lt;&gt;"",INDEX('×入力'!$A$1:$L$800,230,2+BO$2)&lt;&gt;"",INDEX('×入力'!$A$1:$L$800,231+BO$3,1)&lt;&gt;""),1,0),0)</f>
        <v/>
      </c>
      <c r="BP24">
        <f>IF(BP$4=1,IF(OR(INDEX('×入力'!$A$1:$L$800,231+BP$3,2+BP$2)&lt;&gt;"",INDEX('×入力'!$A$1:$L$800,230,2+BP$2)&lt;&gt;"",INDEX('×入力'!$A$1:$L$800,231+BP$3,1)&lt;&gt;""),1,0),0)</f>
        <v/>
      </c>
      <c r="BQ24">
        <f>IF(BQ$4=1,IF(OR(INDEX('×入力'!$A$1:$L$800,231+BQ$3,2+BQ$2)&lt;&gt;"",INDEX('×入力'!$A$1:$L$800,230,2+BQ$2)&lt;&gt;"",INDEX('×入力'!$A$1:$L$800,231+BQ$3,1)&lt;&gt;""),1,0),0)</f>
        <v/>
      </c>
      <c r="BR24">
        <f>IF(BR$4=1,IF(OR(INDEX('×入力'!$A$1:$L$800,231+BR$3,2+BR$2)&lt;&gt;"",INDEX('×入力'!$A$1:$L$800,230,2+BR$2)&lt;&gt;"",INDEX('×入力'!$A$1:$L$800,231+BR$3,1)&lt;&gt;""),1,0),0)</f>
        <v/>
      </c>
      <c r="BS24">
        <f>IF(BS$4=1,IF(OR(INDEX('×入力'!$A$1:$L$800,231+BS$3,2+BS$2)&lt;&gt;"",INDEX('×入力'!$A$1:$L$800,230,2+BS$2)&lt;&gt;"",INDEX('×入力'!$A$1:$L$800,231+BS$3,1)&lt;&gt;""),1,0),0)</f>
        <v/>
      </c>
      <c r="BT24">
        <f>IF(BT$4=1,IF(OR(INDEX('×入力'!$A$1:$L$800,231+BT$3,2+BT$2)&lt;&gt;"",INDEX('×入力'!$A$1:$L$800,230,2+BT$2)&lt;&gt;"",INDEX('×入力'!$A$1:$L$800,231+BT$3,1)&lt;&gt;""),1,0),0)</f>
        <v/>
      </c>
      <c r="BU24">
        <f>IF(BU$4=1,IF(OR(INDEX('×入力'!$A$1:$L$800,231+BU$3,2+BU$2)&lt;&gt;"",INDEX('×入力'!$A$1:$L$800,230,2+BU$2)&lt;&gt;"",INDEX('×入力'!$A$1:$L$800,231+BU$3,1)&lt;&gt;""),1,0),0)</f>
        <v/>
      </c>
      <c r="BV24">
        <f>IF(BV$4=1,IF(OR(INDEX('×入力'!$A$1:$L$800,231+BV$3,2+BV$2)&lt;&gt;"",INDEX('×入力'!$A$1:$L$800,230,2+BV$2)&lt;&gt;"",INDEX('×入力'!$A$1:$L$800,231+BV$3,1)&lt;&gt;""),1,0),0)</f>
        <v/>
      </c>
      <c r="BW24">
        <f>IF(BW$4=1,IF(OR(INDEX('×入力'!$A$1:$L$800,231+BW$3,2+BW$2)&lt;&gt;"",INDEX('×入力'!$A$1:$L$800,230,2+BW$2)&lt;&gt;"",INDEX('×入力'!$A$1:$L$800,231+BW$3,1)&lt;&gt;""),1,0),0)</f>
        <v/>
      </c>
      <c r="BX24">
        <f>IF(BX$4=1,IF(OR(INDEX('×入力'!$A$1:$L$800,231+BX$3,2+BX$2)&lt;&gt;"",INDEX('×入力'!$A$1:$L$800,230,2+BX$2)&lt;&gt;"",INDEX('×入力'!$A$1:$L$800,231+BX$3,1)&lt;&gt;""),1,0),0)</f>
        <v/>
      </c>
      <c r="BY24">
        <f>IF(BY$4=1,IF(OR(INDEX('×入力'!$A$1:$L$800,231+BY$3,2+BY$2)&lt;&gt;"",INDEX('×入力'!$A$1:$L$800,230,2+BY$2)&lt;&gt;"",INDEX('×入力'!$A$1:$L$800,231+BY$3,1)&lt;&gt;""),1,0),0)</f>
        <v/>
      </c>
      <c r="BZ24">
        <f>IF(BZ$4=1,IF(OR(INDEX('×入力'!$A$1:$L$800,231+BZ$3,2+BZ$2)&lt;&gt;"",INDEX('×入力'!$A$1:$L$800,230,2+BZ$2)&lt;&gt;"",INDEX('×入力'!$A$1:$L$800,231+BZ$3,1)&lt;&gt;""),1,0),0)</f>
        <v/>
      </c>
      <c r="CA24">
        <f>IF(CA$4=1,IF(OR(INDEX('×入力'!$A$1:$L$800,231+CA$3,2+CA$2)&lt;&gt;"",INDEX('×入力'!$A$1:$L$800,230,2+CA$2)&lt;&gt;"",INDEX('×入力'!$A$1:$L$800,231+CA$3,1)&lt;&gt;""),1,0),0)</f>
        <v/>
      </c>
      <c r="CB24">
        <f>IF(CB$4=1,IF(OR(INDEX('×入力'!$A$1:$L$800,231+CB$3,2+CB$2)&lt;&gt;"",INDEX('×入力'!$A$1:$L$800,230,2+CB$2)&lt;&gt;"",INDEX('×入力'!$A$1:$L$800,231+CB$3,1)&lt;&gt;""),1,0),0)</f>
        <v/>
      </c>
      <c r="CC24">
        <f>IF(CC$4=1,IF(OR(INDEX('×入力'!$A$1:$L$800,231+CC$3,2+CC$2)&lt;&gt;"",INDEX('×入力'!$A$1:$L$800,230,2+CC$2)&lt;&gt;"",INDEX('×入力'!$A$1:$L$800,231+CC$3,1)&lt;&gt;""),1,0),0)</f>
        <v/>
      </c>
      <c r="CD24">
        <f>IF(CD$4=1,IF(OR(INDEX('×入力'!$A$1:$L$800,231+CD$3,2+CD$2)&lt;&gt;"",INDEX('×入力'!$A$1:$L$800,230,2+CD$2)&lt;&gt;"",INDEX('×入力'!$A$1:$L$800,231+CD$3,1)&lt;&gt;""),1,0),0)</f>
        <v/>
      </c>
      <c r="CE24">
        <f>IF(CE$4=1,IF(OR(INDEX('×入力'!$A$1:$L$800,231+CE$3,2+CE$2)&lt;&gt;"",INDEX('×入力'!$A$1:$L$800,230,2+CE$2)&lt;&gt;"",INDEX('×入力'!$A$1:$L$800,231+CE$3,1)&lt;&gt;""),1,0),0)</f>
        <v/>
      </c>
      <c r="CF24">
        <f>IF(CF$4=1,IF(OR(INDEX('×入力'!$A$1:$L$800,231+CF$3,2+CF$2)&lt;&gt;"",INDEX('×入力'!$A$1:$L$800,230,2+CF$2)&lt;&gt;"",INDEX('×入力'!$A$1:$L$800,231+CF$3,1)&lt;&gt;""),1,0),0)</f>
        <v/>
      </c>
      <c r="CG24">
        <f>IF(CG$4=1,IF(OR(INDEX('×入力'!$A$1:$L$800,231+CG$3,2+CG$2)&lt;&gt;"",INDEX('×入力'!$A$1:$L$800,230,2+CG$2)&lt;&gt;"",INDEX('×入力'!$A$1:$L$800,231+CG$3,1)&lt;&gt;""),1,0),0)</f>
        <v/>
      </c>
      <c r="CH24">
        <f>IF(CH$4=1,IF(OR(INDEX('×入力'!$A$1:$L$800,231+CH$3,2+CH$2)&lt;&gt;"",INDEX('×入力'!$A$1:$L$800,230,2+CH$2)&lt;&gt;"",INDEX('×入力'!$A$1:$L$800,231+CH$3,1)&lt;&gt;""),1,0),0)</f>
        <v/>
      </c>
      <c r="CI24">
        <f>IF(CI$4=1,IF(OR(INDEX('×入力'!$A$1:$L$800,231+CI$3,2+CI$2)&lt;&gt;"",INDEX('×入力'!$A$1:$L$800,230,2+CI$2)&lt;&gt;"",INDEX('×入力'!$A$1:$L$800,231+CI$3,1)&lt;&gt;""),1,0),0)</f>
        <v/>
      </c>
      <c r="CJ24">
        <f>IF(CJ$4=1,IF(OR(INDEX('×入力'!$A$1:$L$800,231+CJ$3,2+CJ$2)&lt;&gt;"",INDEX('×入力'!$A$1:$L$800,230,2+CJ$2)&lt;&gt;"",INDEX('×入力'!$A$1:$L$800,231+CJ$3,1)&lt;&gt;""),1,0),0)</f>
        <v/>
      </c>
      <c r="CK24">
        <f>IF(CK$4=1,IF(OR(INDEX('×入力'!$A$1:$L$800,231+CK$3,2+CK$2)&lt;&gt;"",INDEX('×入力'!$A$1:$L$800,230,2+CK$2)&lt;&gt;"",INDEX('×入力'!$A$1:$L$800,231+CK$3,1)&lt;&gt;""),1,0),0)</f>
        <v/>
      </c>
      <c r="CL24">
        <f>IF(CL$4=1,IF(OR(INDEX('×入力'!$A$1:$L$800,231+CL$3,2+CL$2)&lt;&gt;"",INDEX('×入力'!$A$1:$L$800,230,2+CL$2)&lt;&gt;"",INDEX('×入力'!$A$1:$L$800,231+CL$3,1)&lt;&gt;""),1,0),0)</f>
        <v/>
      </c>
      <c r="CM24">
        <f>IF(CM$4=1,IF(OR(INDEX('×入力'!$A$1:$L$800,231+CM$3,2+CM$2)&lt;&gt;"",INDEX('×入力'!$A$1:$L$800,230,2+CM$2)&lt;&gt;"",INDEX('×入力'!$A$1:$L$800,231+CM$3,1)&lt;&gt;""),1,0),0)</f>
        <v/>
      </c>
      <c r="CN24">
        <f>IF(CN$4=1,IF(OR(INDEX('×入力'!$A$1:$L$800,231+CN$3,2+CN$2)&lt;&gt;"",INDEX('×入力'!$A$1:$L$800,230,2+CN$2)&lt;&gt;"",INDEX('×入力'!$A$1:$L$800,231+CN$3,1)&lt;&gt;""),1,0),0)</f>
        <v/>
      </c>
      <c r="CO24">
        <f>IF(CO$4=1,IF(OR(INDEX('×入力'!$A$1:$L$800,231+CO$3,2+CO$2)&lt;&gt;"",INDEX('×入力'!$A$1:$L$800,230,2+CO$2)&lt;&gt;"",INDEX('×入力'!$A$1:$L$800,231+CO$3,1)&lt;&gt;""),1,0),0)</f>
        <v/>
      </c>
      <c r="CP24">
        <f>IF(CP$4=1,IF(OR(INDEX('×入力'!$A$1:$L$800,231+CP$3,2+CP$2)&lt;&gt;"",INDEX('×入力'!$A$1:$L$800,230,2+CP$2)&lt;&gt;"",INDEX('×入力'!$A$1:$L$800,231+CP$3,1)&lt;&gt;""),1,0),0)</f>
        <v/>
      </c>
      <c r="CQ24">
        <f>IF(CQ$4=1,IF(OR(INDEX('×入力'!$A$1:$L$800,231+CQ$3,2+CQ$2)&lt;&gt;"",INDEX('×入力'!$A$1:$L$800,230,2+CQ$2)&lt;&gt;"",INDEX('×入力'!$A$1:$L$800,231+CQ$3,1)&lt;&gt;""),1,0),0)</f>
        <v/>
      </c>
      <c r="CR24">
        <f>IF(CR$4=1,IF(OR(INDEX('×入力'!$A$1:$L$800,231+CR$3,2+CR$2)&lt;&gt;"",INDEX('×入力'!$A$1:$L$800,230,2+CR$2)&lt;&gt;"",INDEX('×入力'!$A$1:$L$800,231+CR$3,1)&lt;&gt;""),1,0),0)</f>
        <v/>
      </c>
      <c r="CS24">
        <f>IF(CS$4=1,IF(OR(INDEX('×入力'!$A$1:$L$800,231+CS$3,2+CS$2)&lt;&gt;"",INDEX('×入力'!$A$1:$L$800,230,2+CS$2)&lt;&gt;"",INDEX('×入力'!$A$1:$L$800,231+CS$3,1)&lt;&gt;""),1,0),0)</f>
        <v/>
      </c>
      <c r="CT24">
        <f>IF(CT$4=1,IF(OR(INDEX('×入力'!$A$1:$L$800,231+CT$3,2+CT$2)&lt;&gt;"",INDEX('×入力'!$A$1:$L$800,230,2+CT$2)&lt;&gt;"",INDEX('×入力'!$A$1:$L$800,231+CT$3,1)&lt;&gt;""),1,0),0)</f>
        <v/>
      </c>
      <c r="CU24">
        <f>IF(CU$4=1,IF(OR(INDEX('×入力'!$A$1:$L$800,231+CU$3,2+CU$2)&lt;&gt;"",INDEX('×入力'!$A$1:$L$800,230,2+CU$2)&lt;&gt;"",INDEX('×入力'!$A$1:$L$800,231+CU$3,1)&lt;&gt;""),1,0),0)</f>
        <v/>
      </c>
      <c r="CV24">
        <f>IF(CV$4=1,IF(OR(INDEX('×入力'!$A$1:$L$800,231+CV$3,2+CV$2)&lt;&gt;"",INDEX('×入力'!$A$1:$L$800,230,2+CV$2)&lt;&gt;"",INDEX('×入力'!$A$1:$L$800,231+CV$3,1)&lt;&gt;""),1,0),0)</f>
        <v/>
      </c>
      <c r="CW24">
        <f>IF(CW$4=1,IF(OR(INDEX('×入力'!$A$1:$L$800,231+CW$3,2+CW$2)&lt;&gt;"",INDEX('×入力'!$A$1:$L$800,230,2+CW$2)&lt;&gt;"",INDEX('×入力'!$A$1:$L$800,231+CW$3,1)&lt;&gt;""),1,0),0)</f>
        <v/>
      </c>
      <c r="CX24">
        <f>IF(CX$4=1,IF(OR(INDEX('×入力'!$A$1:$L$800,231+CX$3,2+CX$2)&lt;&gt;"",INDEX('×入力'!$A$1:$L$800,230,2+CX$2)&lt;&gt;"",INDEX('×入力'!$A$1:$L$800,231+CX$3,1)&lt;&gt;""),1,0),0)</f>
        <v/>
      </c>
      <c r="CY24">
        <f>IF(CY$4=1,IF(OR(INDEX('×入力'!$A$1:$L$800,231+CY$3,2+CY$2)&lt;&gt;"",INDEX('×入力'!$A$1:$L$800,230,2+CY$2)&lt;&gt;"",INDEX('×入力'!$A$1:$L$800,231+CY$3,1)&lt;&gt;""),1,0),0)</f>
        <v/>
      </c>
      <c r="CZ24">
        <f>IF(CZ$4=1,IF(OR(INDEX('×入力'!$A$1:$L$800,231+CZ$3,2+CZ$2)&lt;&gt;"",INDEX('×入力'!$A$1:$L$800,230,2+CZ$2)&lt;&gt;"",INDEX('×入力'!$A$1:$L$800,231+CZ$3,1)&lt;&gt;""),1,0),0)</f>
        <v/>
      </c>
      <c r="DA24">
        <f>IF(DA$4=1,IF(OR(INDEX('×入力'!$A$1:$L$800,231+DA$3,2+DA$2)&lt;&gt;"",INDEX('×入力'!$A$1:$L$800,230,2+DA$2)&lt;&gt;"",INDEX('×入力'!$A$1:$L$800,231+DA$3,1)&lt;&gt;""),1,0),0)</f>
        <v/>
      </c>
      <c r="DB24">
        <f>IF(DB$4=1,IF(OR(INDEX('×入力'!$A$1:$L$800,231+DB$3,2+DB$2)&lt;&gt;"",INDEX('×入力'!$A$1:$L$800,230,2+DB$2)&lt;&gt;"",INDEX('×入力'!$A$1:$L$800,231+DB$3,1)&lt;&gt;""),1,0),0)</f>
        <v/>
      </c>
      <c r="DC24">
        <f>IF(DC$4=1,IF(OR(INDEX('×入力'!$A$1:$L$800,231+DC$3,2+DC$2)&lt;&gt;"",INDEX('×入力'!$A$1:$L$800,230,2+DC$2)&lt;&gt;"",INDEX('×入力'!$A$1:$L$800,231+DC$3,1)&lt;&gt;""),1,0),0)</f>
        <v/>
      </c>
      <c r="DD24">
        <f>IF(DD$4=1,IF(OR(INDEX('×入力'!$A$1:$L$800,231+DD$3,2+DD$2)&lt;&gt;"",INDEX('×入力'!$A$1:$L$800,230,2+DD$2)&lt;&gt;"",INDEX('×入力'!$A$1:$L$800,231+DD$3,1)&lt;&gt;""),1,0),0)</f>
        <v/>
      </c>
      <c r="DE24">
        <f>IF(DE$4=1,IF(OR(INDEX('×入力'!$A$1:$L$800,231+DE$3,2+DE$2)&lt;&gt;"",INDEX('×入力'!$A$1:$L$800,230,2+DE$2)&lt;&gt;"",INDEX('×入力'!$A$1:$L$800,231+DE$3,1)&lt;&gt;""),1,0),0)</f>
        <v/>
      </c>
      <c r="DF24">
        <f>IF(DF$4=1,IF(OR(INDEX('×入力'!$A$1:$L$800,231+DF$3,2+DF$2)&lt;&gt;"",INDEX('×入力'!$A$1:$L$800,230,2+DF$2)&lt;&gt;"",INDEX('×入力'!$A$1:$L$800,231+DF$3,1)&lt;&gt;""),1,0),0)</f>
        <v/>
      </c>
      <c r="DG24">
        <f>IF(DG$4=1,IF(OR(INDEX('×入力'!$A$1:$L$800,231+DG$3,2+DG$2)&lt;&gt;"",INDEX('×入力'!$A$1:$L$800,230,2+DG$2)&lt;&gt;"",INDEX('×入力'!$A$1:$L$800,231+DG$3,1)&lt;&gt;""),1,0),0)</f>
        <v/>
      </c>
      <c r="DH24">
        <f>IF(DH$4=1,IF(OR(INDEX('×入力'!$A$1:$L$800,231+DH$3,2+DH$2)&lt;&gt;"",INDEX('×入力'!$A$1:$L$800,230,2+DH$2)&lt;&gt;"",INDEX('×入力'!$A$1:$L$800,231+DH$3,1)&lt;&gt;""),1,0),0)</f>
        <v/>
      </c>
      <c r="DI24">
        <f>IF(DI$4=1,IF(OR(INDEX('×入力'!$A$1:$L$800,231+DI$3,2+DI$2)&lt;&gt;"",INDEX('×入力'!$A$1:$L$800,230,2+DI$2)&lt;&gt;"",INDEX('×入力'!$A$1:$L$800,231+DI$3,1)&lt;&gt;""),1,0),0)</f>
        <v/>
      </c>
      <c r="DJ24">
        <f>IF(DJ$4=1,IF(OR(INDEX('×入力'!$A$1:$L$800,231+DJ$3,2+DJ$2)&lt;&gt;"",INDEX('×入力'!$A$1:$L$800,230,2+DJ$2)&lt;&gt;"",INDEX('×入力'!$A$1:$L$800,231+DJ$3,1)&lt;&gt;""),1,0),0)</f>
        <v/>
      </c>
      <c r="DK24">
        <f>IF(DK$4=1,IF(OR(INDEX('×入力'!$A$1:$L$800,231+DK$3,2+DK$2)&lt;&gt;"",INDEX('×入力'!$A$1:$L$800,230,2+DK$2)&lt;&gt;"",INDEX('×入力'!$A$1:$L$800,231+DK$3,1)&lt;&gt;""),1,0),0)</f>
        <v/>
      </c>
      <c r="DL24">
        <f>IF(DL$4=1,IF(OR(INDEX('×入力'!$A$1:$L$800,231+DL$3,2+DL$2)&lt;&gt;"",INDEX('×入力'!$A$1:$L$800,230,2+DL$2)&lt;&gt;"",INDEX('×入力'!$A$1:$L$800,231+DL$3,1)&lt;&gt;""),1,0),0)</f>
        <v/>
      </c>
      <c r="DM24">
        <f>IF(DM$4=1,IF(OR(INDEX('×入力'!$A$1:$L$800,231+DM$3,2+DM$2)&lt;&gt;"",INDEX('×入力'!$A$1:$L$800,230,2+DM$2)&lt;&gt;"",INDEX('×入力'!$A$1:$L$800,231+DM$3,1)&lt;&gt;""),1,0),0)</f>
        <v/>
      </c>
      <c r="DN24">
        <f>IF(DN$4=1,IF(OR(INDEX('×入力'!$A$1:$L$800,231+DN$3,2+DN$2)&lt;&gt;"",INDEX('×入力'!$A$1:$L$800,230,2+DN$2)&lt;&gt;"",INDEX('×入力'!$A$1:$L$800,231+DN$3,1)&lt;&gt;""),1,0),0)</f>
        <v/>
      </c>
      <c r="DO24">
        <f>IF(DO$4=1,IF(OR(INDEX('×入力'!$A$1:$L$800,231+DO$3,2+DO$2)&lt;&gt;"",INDEX('×入力'!$A$1:$L$800,230,2+DO$2)&lt;&gt;"",INDEX('×入力'!$A$1:$L$800,231+DO$3,1)&lt;&gt;""),1,0),0)</f>
        <v/>
      </c>
      <c r="DP24">
        <f>IF(DP$4=1,IF(OR(INDEX('×入力'!$A$1:$L$800,231+DP$3,2+DP$2)&lt;&gt;"",INDEX('×入力'!$A$1:$L$800,230,2+DP$2)&lt;&gt;"",INDEX('×入力'!$A$1:$L$800,231+DP$3,1)&lt;&gt;""),1,0),0)</f>
        <v/>
      </c>
      <c r="DQ24">
        <f>IF(DQ$4=1,IF(OR(INDEX('×入力'!$A$1:$L$800,231+DQ$3,2+DQ$2)&lt;&gt;"",INDEX('×入力'!$A$1:$L$800,230,2+DQ$2)&lt;&gt;"",INDEX('×入力'!$A$1:$L$800,231+DQ$3,1)&lt;&gt;""),1,0),0)</f>
        <v/>
      </c>
      <c r="DR24">
        <f>IF(DR$4=1,IF(OR(INDEX('×入力'!$A$1:$L$800,231+DR$3,2+DR$2)&lt;&gt;"",INDEX('×入力'!$A$1:$L$800,230,2+DR$2)&lt;&gt;"",INDEX('×入力'!$A$1:$L$800,231+DR$3,1)&lt;&gt;""),1,0),0)</f>
        <v/>
      </c>
      <c r="DS24">
        <f>IF(DS$4=1,IF(OR(INDEX('×入力'!$A$1:$L$800,231+DS$3,2+DS$2)&lt;&gt;"",INDEX('×入力'!$A$1:$L$800,230,2+DS$2)&lt;&gt;"",INDEX('×入力'!$A$1:$L$800,231+DS$3,1)&lt;&gt;""),1,0),0)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IF(D$4=1,IF(OR(INDEX('×入力'!$A$1:$L$800,247+D$3,2+D$2)&lt;&gt;"",INDEX('×入力'!$A$1:$L$800,246,2+D$2)&lt;&gt;"",INDEX('×入力'!$A$1:$L$800,247+D$3,1)&lt;&gt;""),1,0),0)</f>
        <v/>
      </c>
      <c r="E25">
        <f>IF(E$4=1,IF(OR(INDEX('×入力'!$A$1:$L$800,247+E$3,2+E$2)&lt;&gt;"",INDEX('×入力'!$A$1:$L$800,246,2+E$2)&lt;&gt;"",INDEX('×入力'!$A$1:$L$800,247+E$3,1)&lt;&gt;""),1,0),0)</f>
        <v/>
      </c>
      <c r="F25">
        <f>IF(F$4=1,IF(OR(INDEX('×入力'!$A$1:$L$800,247+F$3,2+F$2)&lt;&gt;"",INDEX('×入力'!$A$1:$L$800,246,2+F$2)&lt;&gt;"",INDEX('×入力'!$A$1:$L$800,247+F$3,1)&lt;&gt;""),1,0),0)</f>
        <v/>
      </c>
      <c r="G25">
        <f>IF(G$4=1,IF(OR(INDEX('×入力'!$A$1:$L$800,247+G$3,2+G$2)&lt;&gt;"",INDEX('×入力'!$A$1:$L$800,246,2+G$2)&lt;&gt;"",INDEX('×入力'!$A$1:$L$800,247+G$3,1)&lt;&gt;""),1,0),0)</f>
        <v/>
      </c>
      <c r="H25">
        <f>IF(H$4=1,IF(OR(INDEX('×入力'!$A$1:$L$800,247+H$3,2+H$2)&lt;&gt;"",INDEX('×入力'!$A$1:$L$800,246,2+H$2)&lt;&gt;"",INDEX('×入力'!$A$1:$L$800,247+H$3,1)&lt;&gt;""),1,0),0)</f>
        <v/>
      </c>
      <c r="I25">
        <f>IF(I$4=1,IF(OR(INDEX('×入力'!$A$1:$L$800,247+I$3,2+I$2)&lt;&gt;"",INDEX('×入力'!$A$1:$L$800,246,2+I$2)&lt;&gt;"",INDEX('×入力'!$A$1:$L$800,247+I$3,1)&lt;&gt;""),1,0),0)</f>
        <v/>
      </c>
      <c r="J25">
        <f>IF(J$4=1,IF(OR(INDEX('×入力'!$A$1:$L$800,247+J$3,2+J$2)&lt;&gt;"",INDEX('×入力'!$A$1:$L$800,246,2+J$2)&lt;&gt;"",INDEX('×入力'!$A$1:$L$800,247+J$3,1)&lt;&gt;""),1,0),0)</f>
        <v/>
      </c>
      <c r="K25">
        <f>IF(K$4=1,IF(OR(INDEX('×入力'!$A$1:$L$800,247+K$3,2+K$2)&lt;&gt;"",INDEX('×入力'!$A$1:$L$800,246,2+K$2)&lt;&gt;"",INDEX('×入力'!$A$1:$L$800,247+K$3,1)&lt;&gt;""),1,0),0)</f>
        <v/>
      </c>
      <c r="L25">
        <f>IF(L$4=1,IF(OR(INDEX('×入力'!$A$1:$L$800,247+L$3,2+L$2)&lt;&gt;"",INDEX('×入力'!$A$1:$L$800,246,2+L$2)&lt;&gt;"",INDEX('×入力'!$A$1:$L$800,247+L$3,1)&lt;&gt;""),1,0),0)</f>
        <v/>
      </c>
      <c r="M25">
        <f>IF(M$4=1,IF(OR(INDEX('×入力'!$A$1:$L$800,247+M$3,2+M$2)&lt;&gt;"",INDEX('×入力'!$A$1:$L$800,246,2+M$2)&lt;&gt;"",INDEX('×入力'!$A$1:$L$800,247+M$3,1)&lt;&gt;""),1,0),0)</f>
        <v/>
      </c>
      <c r="N25">
        <f>IF(N$4=1,IF(OR(INDEX('×入力'!$A$1:$L$800,247+N$3,2+N$2)&lt;&gt;"",INDEX('×入力'!$A$1:$L$800,246,2+N$2)&lt;&gt;"",INDEX('×入力'!$A$1:$L$800,247+N$3,1)&lt;&gt;""),1,0),0)</f>
        <v/>
      </c>
      <c r="O25">
        <f>IF(O$4=1,IF(OR(INDEX('×入力'!$A$1:$L$800,247+O$3,2+O$2)&lt;&gt;"",INDEX('×入力'!$A$1:$L$800,246,2+O$2)&lt;&gt;"",INDEX('×入力'!$A$1:$L$800,247+O$3,1)&lt;&gt;""),1,0),0)</f>
        <v/>
      </c>
      <c r="P25">
        <f>IF(P$4=1,IF(OR(INDEX('×入力'!$A$1:$L$800,247+P$3,2+P$2)&lt;&gt;"",INDEX('×入力'!$A$1:$L$800,246,2+P$2)&lt;&gt;"",INDEX('×入力'!$A$1:$L$800,247+P$3,1)&lt;&gt;""),1,0),0)</f>
        <v/>
      </c>
      <c r="Q25">
        <f>IF(Q$4=1,IF(OR(INDEX('×入力'!$A$1:$L$800,247+Q$3,2+Q$2)&lt;&gt;"",INDEX('×入力'!$A$1:$L$800,246,2+Q$2)&lt;&gt;"",INDEX('×入力'!$A$1:$L$800,247+Q$3,1)&lt;&gt;""),1,0),0)</f>
        <v/>
      </c>
      <c r="R25">
        <f>IF(R$4=1,IF(OR(INDEX('×入力'!$A$1:$L$800,247+R$3,2+R$2)&lt;&gt;"",INDEX('×入力'!$A$1:$L$800,246,2+R$2)&lt;&gt;"",INDEX('×入力'!$A$1:$L$800,247+R$3,1)&lt;&gt;""),1,0),0)</f>
        <v/>
      </c>
      <c r="S25">
        <f>IF(S$4=1,IF(OR(INDEX('×入力'!$A$1:$L$800,247+S$3,2+S$2)&lt;&gt;"",INDEX('×入力'!$A$1:$L$800,246,2+S$2)&lt;&gt;"",INDEX('×入力'!$A$1:$L$800,247+S$3,1)&lt;&gt;""),1,0),0)</f>
        <v/>
      </c>
      <c r="T25">
        <f>IF(T$4=1,IF(OR(INDEX('×入力'!$A$1:$L$800,247+T$3,2+T$2)&lt;&gt;"",INDEX('×入力'!$A$1:$L$800,246,2+T$2)&lt;&gt;"",INDEX('×入力'!$A$1:$L$800,247+T$3,1)&lt;&gt;""),1,0),0)</f>
        <v/>
      </c>
      <c r="U25">
        <f>IF(U$4=1,IF(OR(INDEX('×入力'!$A$1:$L$800,247+U$3,2+U$2)&lt;&gt;"",INDEX('×入力'!$A$1:$L$800,246,2+U$2)&lt;&gt;"",INDEX('×入力'!$A$1:$L$800,247+U$3,1)&lt;&gt;""),1,0),0)</f>
        <v/>
      </c>
      <c r="V25">
        <f>IF(V$4=1,IF(OR(INDEX('×入力'!$A$1:$L$800,247+V$3,2+V$2)&lt;&gt;"",INDEX('×入力'!$A$1:$L$800,246,2+V$2)&lt;&gt;"",INDEX('×入力'!$A$1:$L$800,247+V$3,1)&lt;&gt;""),1,0),0)</f>
        <v/>
      </c>
      <c r="W25">
        <f>IF(W$4=1,IF(OR(INDEX('×入力'!$A$1:$L$800,247+W$3,2+W$2)&lt;&gt;"",INDEX('×入力'!$A$1:$L$800,246,2+W$2)&lt;&gt;"",INDEX('×入力'!$A$1:$L$800,247+W$3,1)&lt;&gt;""),1,0),0)</f>
        <v/>
      </c>
      <c r="X25">
        <f>IF(X$4=1,IF(OR(INDEX('×入力'!$A$1:$L$800,247+X$3,2+X$2)&lt;&gt;"",INDEX('×入力'!$A$1:$L$800,246,2+X$2)&lt;&gt;"",INDEX('×入力'!$A$1:$L$800,247+X$3,1)&lt;&gt;""),1,0),0)</f>
        <v/>
      </c>
      <c r="Y25">
        <f>IF(Y$4=1,IF(OR(INDEX('×入力'!$A$1:$L$800,247+Y$3,2+Y$2)&lt;&gt;"",INDEX('×入力'!$A$1:$L$800,246,2+Y$2)&lt;&gt;"",INDEX('×入力'!$A$1:$L$800,247+Y$3,1)&lt;&gt;""),1,0),0)</f>
        <v/>
      </c>
      <c r="Z25">
        <f>IF(Z$4=1,IF(OR(INDEX('×入力'!$A$1:$L$800,247+Z$3,2+Z$2)&lt;&gt;"",INDEX('×入力'!$A$1:$L$800,246,2+Z$2)&lt;&gt;"",INDEX('×入力'!$A$1:$L$800,247+Z$3,1)&lt;&gt;""),1,0),0)</f>
        <v/>
      </c>
      <c r="AA25">
        <f>IF(AA$4=1,IF(OR(INDEX('×入力'!$A$1:$L$800,247+AA$3,2+AA$2)&lt;&gt;"",INDEX('×入力'!$A$1:$L$800,246,2+AA$2)&lt;&gt;"",INDEX('×入力'!$A$1:$L$800,247+AA$3,1)&lt;&gt;""),1,0),0)</f>
        <v/>
      </c>
      <c r="AB25">
        <f>IF(AB$4=1,IF(OR(INDEX('×入力'!$A$1:$L$800,247+AB$3,2+AB$2)&lt;&gt;"",INDEX('×入力'!$A$1:$L$800,246,2+AB$2)&lt;&gt;"",INDEX('×入力'!$A$1:$L$800,247+AB$3,1)&lt;&gt;""),1,0),0)</f>
        <v/>
      </c>
      <c r="AC25">
        <f>IF(AC$4=1,IF(OR(INDEX('×入力'!$A$1:$L$800,247+AC$3,2+AC$2)&lt;&gt;"",INDEX('×入力'!$A$1:$L$800,246,2+AC$2)&lt;&gt;"",INDEX('×入力'!$A$1:$L$800,247+AC$3,1)&lt;&gt;""),1,0),0)</f>
        <v/>
      </c>
      <c r="AD25">
        <f>IF(AD$4=1,IF(OR(INDEX('×入力'!$A$1:$L$800,247+AD$3,2+AD$2)&lt;&gt;"",INDEX('×入力'!$A$1:$L$800,246,2+AD$2)&lt;&gt;"",INDEX('×入力'!$A$1:$L$800,247+AD$3,1)&lt;&gt;""),1,0),0)</f>
        <v/>
      </c>
      <c r="AE25">
        <f>IF(AE$4=1,IF(OR(INDEX('×入力'!$A$1:$L$800,247+AE$3,2+AE$2)&lt;&gt;"",INDEX('×入力'!$A$1:$L$800,246,2+AE$2)&lt;&gt;"",INDEX('×入力'!$A$1:$L$800,247+AE$3,1)&lt;&gt;""),1,0),0)</f>
        <v/>
      </c>
      <c r="AF25">
        <f>IF(AF$4=1,IF(OR(INDEX('×入力'!$A$1:$L$800,247+AF$3,2+AF$2)&lt;&gt;"",INDEX('×入力'!$A$1:$L$800,246,2+AF$2)&lt;&gt;"",INDEX('×入力'!$A$1:$L$800,247+AF$3,1)&lt;&gt;""),1,0),0)</f>
        <v/>
      </c>
      <c r="AG25">
        <f>IF(AG$4=1,IF(OR(INDEX('×入力'!$A$1:$L$800,247+AG$3,2+AG$2)&lt;&gt;"",INDEX('×入力'!$A$1:$L$800,246,2+AG$2)&lt;&gt;"",INDEX('×入力'!$A$1:$L$800,247+AG$3,1)&lt;&gt;""),1,0),0)</f>
        <v/>
      </c>
      <c r="AH25">
        <f>IF(AH$4=1,IF(OR(INDEX('×入力'!$A$1:$L$800,247+AH$3,2+AH$2)&lt;&gt;"",INDEX('×入力'!$A$1:$L$800,246,2+AH$2)&lt;&gt;"",INDEX('×入力'!$A$1:$L$800,247+AH$3,1)&lt;&gt;""),1,0),0)</f>
        <v/>
      </c>
      <c r="AI25">
        <f>IF(AI$4=1,IF(OR(INDEX('×入力'!$A$1:$L$800,247+AI$3,2+AI$2)&lt;&gt;"",INDEX('×入力'!$A$1:$L$800,246,2+AI$2)&lt;&gt;"",INDEX('×入力'!$A$1:$L$800,247+AI$3,1)&lt;&gt;""),1,0),0)</f>
        <v/>
      </c>
      <c r="AJ25">
        <f>IF(AJ$4=1,IF(OR(INDEX('×入力'!$A$1:$L$800,247+AJ$3,2+AJ$2)&lt;&gt;"",INDEX('×入力'!$A$1:$L$800,246,2+AJ$2)&lt;&gt;"",INDEX('×入力'!$A$1:$L$800,247+AJ$3,1)&lt;&gt;""),1,0),0)</f>
        <v/>
      </c>
      <c r="AK25">
        <f>IF(AK$4=1,IF(OR(INDEX('×入力'!$A$1:$L$800,247+AK$3,2+AK$2)&lt;&gt;"",INDEX('×入力'!$A$1:$L$800,246,2+AK$2)&lt;&gt;"",INDEX('×入力'!$A$1:$L$800,247+AK$3,1)&lt;&gt;""),1,0),0)</f>
        <v/>
      </c>
      <c r="AL25">
        <f>IF(AL$4=1,IF(OR(INDEX('×入力'!$A$1:$L$800,247+AL$3,2+AL$2)&lt;&gt;"",INDEX('×入力'!$A$1:$L$800,246,2+AL$2)&lt;&gt;"",INDEX('×入力'!$A$1:$L$800,247+AL$3,1)&lt;&gt;""),1,0),0)</f>
        <v/>
      </c>
      <c r="AM25">
        <f>IF(AM$4=1,IF(OR(INDEX('×入力'!$A$1:$L$800,247+AM$3,2+AM$2)&lt;&gt;"",INDEX('×入力'!$A$1:$L$800,246,2+AM$2)&lt;&gt;"",INDEX('×入力'!$A$1:$L$800,247+AM$3,1)&lt;&gt;""),1,0),0)</f>
        <v/>
      </c>
      <c r="AN25">
        <f>IF(AN$4=1,IF(OR(INDEX('×入力'!$A$1:$L$800,247+AN$3,2+AN$2)&lt;&gt;"",INDEX('×入力'!$A$1:$L$800,246,2+AN$2)&lt;&gt;"",INDEX('×入力'!$A$1:$L$800,247+AN$3,1)&lt;&gt;""),1,0),0)</f>
        <v/>
      </c>
      <c r="AO25">
        <f>IF(AO$4=1,IF(OR(INDEX('×入力'!$A$1:$L$800,247+AO$3,2+AO$2)&lt;&gt;"",INDEX('×入力'!$A$1:$L$800,246,2+AO$2)&lt;&gt;"",INDEX('×入力'!$A$1:$L$800,247+AO$3,1)&lt;&gt;""),1,0),0)</f>
        <v/>
      </c>
      <c r="AP25">
        <f>IF(AP$4=1,IF(OR(INDEX('×入力'!$A$1:$L$800,247+AP$3,2+AP$2)&lt;&gt;"",INDEX('×入力'!$A$1:$L$800,246,2+AP$2)&lt;&gt;"",INDEX('×入力'!$A$1:$L$800,247+AP$3,1)&lt;&gt;""),1,0),0)</f>
        <v/>
      </c>
      <c r="AQ25">
        <f>IF(AQ$4=1,IF(OR(INDEX('×入力'!$A$1:$L$800,247+AQ$3,2+AQ$2)&lt;&gt;"",INDEX('×入力'!$A$1:$L$800,246,2+AQ$2)&lt;&gt;"",INDEX('×入力'!$A$1:$L$800,247+AQ$3,1)&lt;&gt;""),1,0),0)</f>
        <v/>
      </c>
      <c r="AR25">
        <f>IF(AR$4=1,IF(OR(INDEX('×入力'!$A$1:$L$800,247+AR$3,2+AR$2)&lt;&gt;"",INDEX('×入力'!$A$1:$L$800,246,2+AR$2)&lt;&gt;"",INDEX('×入力'!$A$1:$L$800,247+AR$3,1)&lt;&gt;""),1,0),0)</f>
        <v/>
      </c>
      <c r="AS25">
        <f>IF(AS$4=1,IF(OR(INDEX('×入力'!$A$1:$L$800,247+AS$3,2+AS$2)&lt;&gt;"",INDEX('×入力'!$A$1:$L$800,246,2+AS$2)&lt;&gt;"",INDEX('×入力'!$A$1:$L$800,247+AS$3,1)&lt;&gt;""),1,0),0)</f>
        <v/>
      </c>
      <c r="AT25">
        <f>IF(AT$4=1,IF(OR(INDEX('×入力'!$A$1:$L$800,247+AT$3,2+AT$2)&lt;&gt;"",INDEX('×入力'!$A$1:$L$800,246,2+AT$2)&lt;&gt;"",INDEX('×入力'!$A$1:$L$800,247+AT$3,1)&lt;&gt;""),1,0),0)</f>
        <v/>
      </c>
      <c r="AU25">
        <f>IF(AU$4=1,IF(OR(INDEX('×入力'!$A$1:$L$800,247+AU$3,2+AU$2)&lt;&gt;"",INDEX('×入力'!$A$1:$L$800,246,2+AU$2)&lt;&gt;"",INDEX('×入力'!$A$1:$L$800,247+AU$3,1)&lt;&gt;""),1,0),0)</f>
        <v/>
      </c>
      <c r="AV25">
        <f>IF(AV$4=1,IF(OR(INDEX('×入力'!$A$1:$L$800,247+AV$3,2+AV$2)&lt;&gt;"",INDEX('×入力'!$A$1:$L$800,246,2+AV$2)&lt;&gt;"",INDEX('×入力'!$A$1:$L$800,247+AV$3,1)&lt;&gt;""),1,0),0)</f>
        <v/>
      </c>
      <c r="AW25">
        <f>IF(AW$4=1,IF(OR(INDEX('×入力'!$A$1:$L$800,247+AW$3,2+AW$2)&lt;&gt;"",INDEX('×入力'!$A$1:$L$800,246,2+AW$2)&lt;&gt;"",INDEX('×入力'!$A$1:$L$800,247+AW$3,1)&lt;&gt;""),1,0),0)</f>
        <v/>
      </c>
      <c r="AX25">
        <f>IF(AX$4=1,IF(OR(INDEX('×入力'!$A$1:$L$800,247+AX$3,2+AX$2)&lt;&gt;"",INDEX('×入力'!$A$1:$L$800,246,2+AX$2)&lt;&gt;"",INDEX('×入力'!$A$1:$L$800,247+AX$3,1)&lt;&gt;""),1,0),0)</f>
        <v/>
      </c>
      <c r="AY25">
        <f>IF(AY$4=1,IF(OR(INDEX('×入力'!$A$1:$L$800,247+AY$3,2+AY$2)&lt;&gt;"",INDEX('×入力'!$A$1:$L$800,246,2+AY$2)&lt;&gt;"",INDEX('×入力'!$A$1:$L$800,247+AY$3,1)&lt;&gt;""),1,0),0)</f>
        <v/>
      </c>
      <c r="AZ25">
        <f>IF(AZ$4=1,IF(OR(INDEX('×入力'!$A$1:$L$800,247+AZ$3,2+AZ$2)&lt;&gt;"",INDEX('×入力'!$A$1:$L$800,246,2+AZ$2)&lt;&gt;"",INDEX('×入力'!$A$1:$L$800,247+AZ$3,1)&lt;&gt;""),1,0),0)</f>
        <v/>
      </c>
      <c r="BA25">
        <f>IF(BA$4=1,IF(OR(INDEX('×入力'!$A$1:$L$800,247+BA$3,2+BA$2)&lt;&gt;"",INDEX('×入力'!$A$1:$L$800,246,2+BA$2)&lt;&gt;"",INDEX('×入力'!$A$1:$L$800,247+BA$3,1)&lt;&gt;""),1,0),0)</f>
        <v/>
      </c>
      <c r="BB25">
        <f>IF(BB$4=1,IF(OR(INDEX('×入力'!$A$1:$L$800,247+BB$3,2+BB$2)&lt;&gt;"",INDEX('×入力'!$A$1:$L$800,246,2+BB$2)&lt;&gt;"",INDEX('×入力'!$A$1:$L$800,247+BB$3,1)&lt;&gt;""),1,0),0)</f>
        <v/>
      </c>
      <c r="BC25">
        <f>IF(BC$4=1,IF(OR(INDEX('×入力'!$A$1:$L$800,247+BC$3,2+BC$2)&lt;&gt;"",INDEX('×入力'!$A$1:$L$800,246,2+BC$2)&lt;&gt;"",INDEX('×入力'!$A$1:$L$800,247+BC$3,1)&lt;&gt;""),1,0),0)</f>
        <v/>
      </c>
      <c r="BD25">
        <f>IF(BD$4=1,IF(OR(INDEX('×入力'!$A$1:$L$800,247+BD$3,2+BD$2)&lt;&gt;"",INDEX('×入力'!$A$1:$L$800,246,2+BD$2)&lt;&gt;"",INDEX('×入力'!$A$1:$L$800,247+BD$3,1)&lt;&gt;""),1,0),0)</f>
        <v/>
      </c>
      <c r="BE25">
        <f>IF(BE$4=1,IF(OR(INDEX('×入力'!$A$1:$L$800,247+BE$3,2+BE$2)&lt;&gt;"",INDEX('×入力'!$A$1:$L$800,246,2+BE$2)&lt;&gt;"",INDEX('×入力'!$A$1:$L$800,247+BE$3,1)&lt;&gt;""),1,0),0)</f>
        <v/>
      </c>
      <c r="BF25">
        <f>IF(BF$4=1,IF(OR(INDEX('×入力'!$A$1:$L$800,247+BF$3,2+BF$2)&lt;&gt;"",INDEX('×入力'!$A$1:$L$800,246,2+BF$2)&lt;&gt;"",INDEX('×入力'!$A$1:$L$800,247+BF$3,1)&lt;&gt;""),1,0),0)</f>
        <v/>
      </c>
      <c r="BG25">
        <f>IF(BG$4=1,IF(OR(INDEX('×入力'!$A$1:$L$800,247+BG$3,2+BG$2)&lt;&gt;"",INDEX('×入力'!$A$1:$L$800,246,2+BG$2)&lt;&gt;"",INDEX('×入力'!$A$1:$L$800,247+BG$3,1)&lt;&gt;""),1,0),0)</f>
        <v/>
      </c>
      <c r="BH25">
        <f>IF(BH$4=1,IF(OR(INDEX('×入力'!$A$1:$L$800,247+BH$3,2+BH$2)&lt;&gt;"",INDEX('×入力'!$A$1:$L$800,246,2+BH$2)&lt;&gt;"",INDEX('×入力'!$A$1:$L$800,247+BH$3,1)&lt;&gt;""),1,0),0)</f>
        <v/>
      </c>
      <c r="BI25">
        <f>IF(BI$4=1,IF(OR(INDEX('×入力'!$A$1:$L$800,247+BI$3,2+BI$2)&lt;&gt;"",INDEX('×入力'!$A$1:$L$800,246,2+BI$2)&lt;&gt;"",INDEX('×入力'!$A$1:$L$800,247+BI$3,1)&lt;&gt;""),1,0),0)</f>
        <v/>
      </c>
      <c r="BJ25">
        <f>IF(BJ$4=1,IF(OR(INDEX('×入力'!$A$1:$L$800,247+BJ$3,2+BJ$2)&lt;&gt;"",INDEX('×入力'!$A$1:$L$800,246,2+BJ$2)&lt;&gt;"",INDEX('×入力'!$A$1:$L$800,247+BJ$3,1)&lt;&gt;""),1,0),0)</f>
        <v/>
      </c>
      <c r="BK25">
        <f>IF(BK$4=1,IF(OR(INDEX('×入力'!$A$1:$L$800,247+BK$3,2+BK$2)&lt;&gt;"",INDEX('×入力'!$A$1:$L$800,246,2+BK$2)&lt;&gt;"",INDEX('×入力'!$A$1:$L$800,247+BK$3,1)&lt;&gt;""),1,0),0)</f>
        <v/>
      </c>
      <c r="BL25">
        <f>IF(BL$4=1,IF(OR(INDEX('×入力'!$A$1:$L$800,247+BL$3,2+BL$2)&lt;&gt;"",INDEX('×入力'!$A$1:$L$800,246,2+BL$2)&lt;&gt;"",INDEX('×入力'!$A$1:$L$800,247+BL$3,1)&lt;&gt;""),1,0),0)</f>
        <v/>
      </c>
      <c r="BM25">
        <f>IF(BM$4=1,IF(OR(INDEX('×入力'!$A$1:$L$800,247+BM$3,2+BM$2)&lt;&gt;"",INDEX('×入力'!$A$1:$L$800,246,2+BM$2)&lt;&gt;"",INDEX('×入力'!$A$1:$L$800,247+BM$3,1)&lt;&gt;""),1,0),0)</f>
        <v/>
      </c>
      <c r="BN25">
        <f>IF(BN$4=1,IF(OR(INDEX('×入力'!$A$1:$L$800,247+BN$3,2+BN$2)&lt;&gt;"",INDEX('×入力'!$A$1:$L$800,246,2+BN$2)&lt;&gt;"",INDEX('×入力'!$A$1:$L$800,247+BN$3,1)&lt;&gt;""),1,0),0)</f>
        <v/>
      </c>
      <c r="BO25">
        <f>IF(BO$4=1,IF(OR(INDEX('×入力'!$A$1:$L$800,247+BO$3,2+BO$2)&lt;&gt;"",INDEX('×入力'!$A$1:$L$800,246,2+BO$2)&lt;&gt;"",INDEX('×入力'!$A$1:$L$800,247+BO$3,1)&lt;&gt;""),1,0),0)</f>
        <v/>
      </c>
      <c r="BP25">
        <f>IF(BP$4=1,IF(OR(INDEX('×入力'!$A$1:$L$800,247+BP$3,2+BP$2)&lt;&gt;"",INDEX('×入力'!$A$1:$L$800,246,2+BP$2)&lt;&gt;"",INDEX('×入力'!$A$1:$L$800,247+BP$3,1)&lt;&gt;""),1,0),0)</f>
        <v/>
      </c>
      <c r="BQ25">
        <f>IF(BQ$4=1,IF(OR(INDEX('×入力'!$A$1:$L$800,247+BQ$3,2+BQ$2)&lt;&gt;"",INDEX('×入力'!$A$1:$L$800,246,2+BQ$2)&lt;&gt;"",INDEX('×入力'!$A$1:$L$800,247+BQ$3,1)&lt;&gt;""),1,0),0)</f>
        <v/>
      </c>
      <c r="BR25">
        <f>IF(BR$4=1,IF(OR(INDEX('×入力'!$A$1:$L$800,247+BR$3,2+BR$2)&lt;&gt;"",INDEX('×入力'!$A$1:$L$800,246,2+BR$2)&lt;&gt;"",INDEX('×入力'!$A$1:$L$800,247+BR$3,1)&lt;&gt;""),1,0),0)</f>
        <v/>
      </c>
      <c r="BS25">
        <f>IF(BS$4=1,IF(OR(INDEX('×入力'!$A$1:$L$800,247+BS$3,2+BS$2)&lt;&gt;"",INDEX('×入力'!$A$1:$L$800,246,2+BS$2)&lt;&gt;"",INDEX('×入力'!$A$1:$L$800,247+BS$3,1)&lt;&gt;""),1,0),0)</f>
        <v/>
      </c>
      <c r="BT25">
        <f>IF(BT$4=1,IF(OR(INDEX('×入力'!$A$1:$L$800,247+BT$3,2+BT$2)&lt;&gt;"",INDEX('×入力'!$A$1:$L$800,246,2+BT$2)&lt;&gt;"",INDEX('×入力'!$A$1:$L$800,247+BT$3,1)&lt;&gt;""),1,0),0)</f>
        <v/>
      </c>
      <c r="BU25">
        <f>IF(BU$4=1,IF(OR(INDEX('×入力'!$A$1:$L$800,247+BU$3,2+BU$2)&lt;&gt;"",INDEX('×入力'!$A$1:$L$800,246,2+BU$2)&lt;&gt;"",INDEX('×入力'!$A$1:$L$800,247+BU$3,1)&lt;&gt;""),1,0),0)</f>
        <v/>
      </c>
      <c r="BV25">
        <f>IF(BV$4=1,IF(OR(INDEX('×入力'!$A$1:$L$800,247+BV$3,2+BV$2)&lt;&gt;"",INDEX('×入力'!$A$1:$L$800,246,2+BV$2)&lt;&gt;"",INDEX('×入力'!$A$1:$L$800,247+BV$3,1)&lt;&gt;""),1,0),0)</f>
        <v/>
      </c>
      <c r="BW25">
        <f>IF(BW$4=1,IF(OR(INDEX('×入力'!$A$1:$L$800,247+BW$3,2+BW$2)&lt;&gt;"",INDEX('×入力'!$A$1:$L$800,246,2+BW$2)&lt;&gt;"",INDEX('×入力'!$A$1:$L$800,247+BW$3,1)&lt;&gt;""),1,0),0)</f>
        <v/>
      </c>
      <c r="BX25">
        <f>IF(BX$4=1,IF(OR(INDEX('×入力'!$A$1:$L$800,247+BX$3,2+BX$2)&lt;&gt;"",INDEX('×入力'!$A$1:$L$800,246,2+BX$2)&lt;&gt;"",INDEX('×入力'!$A$1:$L$800,247+BX$3,1)&lt;&gt;""),1,0),0)</f>
        <v/>
      </c>
      <c r="BY25">
        <f>IF(BY$4=1,IF(OR(INDEX('×入力'!$A$1:$L$800,247+BY$3,2+BY$2)&lt;&gt;"",INDEX('×入力'!$A$1:$L$800,246,2+BY$2)&lt;&gt;"",INDEX('×入力'!$A$1:$L$800,247+BY$3,1)&lt;&gt;""),1,0),0)</f>
        <v/>
      </c>
      <c r="BZ25">
        <f>IF(BZ$4=1,IF(OR(INDEX('×入力'!$A$1:$L$800,247+BZ$3,2+BZ$2)&lt;&gt;"",INDEX('×入力'!$A$1:$L$800,246,2+BZ$2)&lt;&gt;"",INDEX('×入力'!$A$1:$L$800,247+BZ$3,1)&lt;&gt;""),1,0),0)</f>
        <v/>
      </c>
      <c r="CA25">
        <f>IF(CA$4=1,IF(OR(INDEX('×入力'!$A$1:$L$800,247+CA$3,2+CA$2)&lt;&gt;"",INDEX('×入力'!$A$1:$L$800,246,2+CA$2)&lt;&gt;"",INDEX('×入力'!$A$1:$L$800,247+CA$3,1)&lt;&gt;""),1,0),0)</f>
        <v/>
      </c>
      <c r="CB25">
        <f>IF(CB$4=1,IF(OR(INDEX('×入力'!$A$1:$L$800,247+CB$3,2+CB$2)&lt;&gt;"",INDEX('×入力'!$A$1:$L$800,246,2+CB$2)&lt;&gt;"",INDEX('×入力'!$A$1:$L$800,247+CB$3,1)&lt;&gt;""),1,0),0)</f>
        <v/>
      </c>
      <c r="CC25">
        <f>IF(CC$4=1,IF(OR(INDEX('×入力'!$A$1:$L$800,247+CC$3,2+CC$2)&lt;&gt;"",INDEX('×入力'!$A$1:$L$800,246,2+CC$2)&lt;&gt;"",INDEX('×入力'!$A$1:$L$800,247+CC$3,1)&lt;&gt;""),1,0),0)</f>
        <v/>
      </c>
      <c r="CD25">
        <f>IF(CD$4=1,IF(OR(INDEX('×入力'!$A$1:$L$800,247+CD$3,2+CD$2)&lt;&gt;"",INDEX('×入力'!$A$1:$L$800,246,2+CD$2)&lt;&gt;"",INDEX('×入力'!$A$1:$L$800,247+CD$3,1)&lt;&gt;""),1,0),0)</f>
        <v/>
      </c>
      <c r="CE25">
        <f>IF(CE$4=1,IF(OR(INDEX('×入力'!$A$1:$L$800,247+CE$3,2+CE$2)&lt;&gt;"",INDEX('×入力'!$A$1:$L$800,246,2+CE$2)&lt;&gt;"",INDEX('×入力'!$A$1:$L$800,247+CE$3,1)&lt;&gt;""),1,0),0)</f>
        <v/>
      </c>
      <c r="CF25">
        <f>IF(CF$4=1,IF(OR(INDEX('×入力'!$A$1:$L$800,247+CF$3,2+CF$2)&lt;&gt;"",INDEX('×入力'!$A$1:$L$800,246,2+CF$2)&lt;&gt;"",INDEX('×入力'!$A$1:$L$800,247+CF$3,1)&lt;&gt;""),1,0),0)</f>
        <v/>
      </c>
      <c r="CG25">
        <f>IF(CG$4=1,IF(OR(INDEX('×入力'!$A$1:$L$800,247+CG$3,2+CG$2)&lt;&gt;"",INDEX('×入力'!$A$1:$L$800,246,2+CG$2)&lt;&gt;"",INDEX('×入力'!$A$1:$L$800,247+CG$3,1)&lt;&gt;""),1,0),0)</f>
        <v/>
      </c>
      <c r="CH25">
        <f>IF(CH$4=1,IF(OR(INDEX('×入力'!$A$1:$L$800,247+CH$3,2+CH$2)&lt;&gt;"",INDEX('×入力'!$A$1:$L$800,246,2+CH$2)&lt;&gt;"",INDEX('×入力'!$A$1:$L$800,247+CH$3,1)&lt;&gt;""),1,0),0)</f>
        <v/>
      </c>
      <c r="CI25">
        <f>IF(CI$4=1,IF(OR(INDEX('×入力'!$A$1:$L$800,247+CI$3,2+CI$2)&lt;&gt;"",INDEX('×入力'!$A$1:$L$800,246,2+CI$2)&lt;&gt;"",INDEX('×入力'!$A$1:$L$800,247+CI$3,1)&lt;&gt;""),1,0),0)</f>
        <v/>
      </c>
      <c r="CJ25">
        <f>IF(CJ$4=1,IF(OR(INDEX('×入力'!$A$1:$L$800,247+CJ$3,2+CJ$2)&lt;&gt;"",INDEX('×入力'!$A$1:$L$800,246,2+CJ$2)&lt;&gt;"",INDEX('×入力'!$A$1:$L$800,247+CJ$3,1)&lt;&gt;""),1,0),0)</f>
        <v/>
      </c>
      <c r="CK25">
        <f>IF(CK$4=1,IF(OR(INDEX('×入力'!$A$1:$L$800,247+CK$3,2+CK$2)&lt;&gt;"",INDEX('×入力'!$A$1:$L$800,246,2+CK$2)&lt;&gt;"",INDEX('×入力'!$A$1:$L$800,247+CK$3,1)&lt;&gt;""),1,0),0)</f>
        <v/>
      </c>
      <c r="CL25">
        <f>IF(CL$4=1,IF(OR(INDEX('×入力'!$A$1:$L$800,247+CL$3,2+CL$2)&lt;&gt;"",INDEX('×入力'!$A$1:$L$800,246,2+CL$2)&lt;&gt;"",INDEX('×入力'!$A$1:$L$800,247+CL$3,1)&lt;&gt;""),1,0),0)</f>
        <v/>
      </c>
      <c r="CM25">
        <f>IF(CM$4=1,IF(OR(INDEX('×入力'!$A$1:$L$800,247+CM$3,2+CM$2)&lt;&gt;"",INDEX('×入力'!$A$1:$L$800,246,2+CM$2)&lt;&gt;"",INDEX('×入力'!$A$1:$L$800,247+CM$3,1)&lt;&gt;""),1,0),0)</f>
        <v/>
      </c>
      <c r="CN25">
        <f>IF(CN$4=1,IF(OR(INDEX('×入力'!$A$1:$L$800,247+CN$3,2+CN$2)&lt;&gt;"",INDEX('×入力'!$A$1:$L$800,246,2+CN$2)&lt;&gt;"",INDEX('×入力'!$A$1:$L$800,247+CN$3,1)&lt;&gt;""),1,0),0)</f>
        <v/>
      </c>
      <c r="CO25">
        <f>IF(CO$4=1,IF(OR(INDEX('×入力'!$A$1:$L$800,247+CO$3,2+CO$2)&lt;&gt;"",INDEX('×入力'!$A$1:$L$800,246,2+CO$2)&lt;&gt;"",INDEX('×入力'!$A$1:$L$800,247+CO$3,1)&lt;&gt;""),1,0),0)</f>
        <v/>
      </c>
      <c r="CP25">
        <f>IF(CP$4=1,IF(OR(INDEX('×入力'!$A$1:$L$800,247+CP$3,2+CP$2)&lt;&gt;"",INDEX('×入力'!$A$1:$L$800,246,2+CP$2)&lt;&gt;"",INDEX('×入力'!$A$1:$L$800,247+CP$3,1)&lt;&gt;""),1,0),0)</f>
        <v/>
      </c>
      <c r="CQ25">
        <f>IF(CQ$4=1,IF(OR(INDEX('×入力'!$A$1:$L$800,247+CQ$3,2+CQ$2)&lt;&gt;"",INDEX('×入力'!$A$1:$L$800,246,2+CQ$2)&lt;&gt;"",INDEX('×入力'!$A$1:$L$800,247+CQ$3,1)&lt;&gt;""),1,0),0)</f>
        <v/>
      </c>
      <c r="CR25">
        <f>IF(CR$4=1,IF(OR(INDEX('×入力'!$A$1:$L$800,247+CR$3,2+CR$2)&lt;&gt;"",INDEX('×入力'!$A$1:$L$800,246,2+CR$2)&lt;&gt;"",INDEX('×入力'!$A$1:$L$800,247+CR$3,1)&lt;&gt;""),1,0),0)</f>
        <v/>
      </c>
      <c r="CS25">
        <f>IF(CS$4=1,IF(OR(INDEX('×入力'!$A$1:$L$800,247+CS$3,2+CS$2)&lt;&gt;"",INDEX('×入力'!$A$1:$L$800,246,2+CS$2)&lt;&gt;"",INDEX('×入力'!$A$1:$L$800,247+CS$3,1)&lt;&gt;""),1,0),0)</f>
        <v/>
      </c>
      <c r="CT25">
        <f>IF(CT$4=1,IF(OR(INDEX('×入力'!$A$1:$L$800,247+CT$3,2+CT$2)&lt;&gt;"",INDEX('×入力'!$A$1:$L$800,246,2+CT$2)&lt;&gt;"",INDEX('×入力'!$A$1:$L$800,247+CT$3,1)&lt;&gt;""),1,0),0)</f>
        <v/>
      </c>
      <c r="CU25">
        <f>IF(CU$4=1,IF(OR(INDEX('×入力'!$A$1:$L$800,247+CU$3,2+CU$2)&lt;&gt;"",INDEX('×入力'!$A$1:$L$800,246,2+CU$2)&lt;&gt;"",INDEX('×入力'!$A$1:$L$800,247+CU$3,1)&lt;&gt;""),1,0),0)</f>
        <v/>
      </c>
      <c r="CV25">
        <f>IF(CV$4=1,IF(OR(INDEX('×入力'!$A$1:$L$800,247+CV$3,2+CV$2)&lt;&gt;"",INDEX('×入力'!$A$1:$L$800,246,2+CV$2)&lt;&gt;"",INDEX('×入力'!$A$1:$L$800,247+CV$3,1)&lt;&gt;""),1,0),0)</f>
        <v/>
      </c>
      <c r="CW25">
        <f>IF(CW$4=1,IF(OR(INDEX('×入力'!$A$1:$L$800,247+CW$3,2+CW$2)&lt;&gt;"",INDEX('×入力'!$A$1:$L$800,246,2+CW$2)&lt;&gt;"",INDEX('×入力'!$A$1:$L$800,247+CW$3,1)&lt;&gt;""),1,0),0)</f>
        <v/>
      </c>
      <c r="CX25">
        <f>IF(CX$4=1,IF(OR(INDEX('×入力'!$A$1:$L$800,247+CX$3,2+CX$2)&lt;&gt;"",INDEX('×入力'!$A$1:$L$800,246,2+CX$2)&lt;&gt;"",INDEX('×入力'!$A$1:$L$800,247+CX$3,1)&lt;&gt;""),1,0),0)</f>
        <v/>
      </c>
      <c r="CY25">
        <f>IF(CY$4=1,IF(OR(INDEX('×入力'!$A$1:$L$800,247+CY$3,2+CY$2)&lt;&gt;"",INDEX('×入力'!$A$1:$L$800,246,2+CY$2)&lt;&gt;"",INDEX('×入力'!$A$1:$L$800,247+CY$3,1)&lt;&gt;""),1,0),0)</f>
        <v/>
      </c>
      <c r="CZ25">
        <f>IF(CZ$4=1,IF(OR(INDEX('×入力'!$A$1:$L$800,247+CZ$3,2+CZ$2)&lt;&gt;"",INDEX('×入力'!$A$1:$L$800,246,2+CZ$2)&lt;&gt;"",INDEX('×入力'!$A$1:$L$800,247+CZ$3,1)&lt;&gt;""),1,0),0)</f>
        <v/>
      </c>
      <c r="DA25">
        <f>IF(DA$4=1,IF(OR(INDEX('×入力'!$A$1:$L$800,247+DA$3,2+DA$2)&lt;&gt;"",INDEX('×入力'!$A$1:$L$800,246,2+DA$2)&lt;&gt;"",INDEX('×入力'!$A$1:$L$800,247+DA$3,1)&lt;&gt;""),1,0),0)</f>
        <v/>
      </c>
      <c r="DB25">
        <f>IF(DB$4=1,IF(OR(INDEX('×入力'!$A$1:$L$800,247+DB$3,2+DB$2)&lt;&gt;"",INDEX('×入力'!$A$1:$L$800,246,2+DB$2)&lt;&gt;"",INDEX('×入力'!$A$1:$L$800,247+DB$3,1)&lt;&gt;""),1,0),0)</f>
        <v/>
      </c>
      <c r="DC25">
        <f>IF(DC$4=1,IF(OR(INDEX('×入力'!$A$1:$L$800,247+DC$3,2+DC$2)&lt;&gt;"",INDEX('×入力'!$A$1:$L$800,246,2+DC$2)&lt;&gt;"",INDEX('×入力'!$A$1:$L$800,247+DC$3,1)&lt;&gt;""),1,0),0)</f>
        <v/>
      </c>
      <c r="DD25">
        <f>IF(DD$4=1,IF(OR(INDEX('×入力'!$A$1:$L$800,247+DD$3,2+DD$2)&lt;&gt;"",INDEX('×入力'!$A$1:$L$800,246,2+DD$2)&lt;&gt;"",INDEX('×入力'!$A$1:$L$800,247+DD$3,1)&lt;&gt;""),1,0),0)</f>
        <v/>
      </c>
      <c r="DE25">
        <f>IF(DE$4=1,IF(OR(INDEX('×入力'!$A$1:$L$800,247+DE$3,2+DE$2)&lt;&gt;"",INDEX('×入力'!$A$1:$L$800,246,2+DE$2)&lt;&gt;"",INDEX('×入力'!$A$1:$L$800,247+DE$3,1)&lt;&gt;""),1,0),0)</f>
        <v/>
      </c>
      <c r="DF25">
        <f>IF(DF$4=1,IF(OR(INDEX('×入力'!$A$1:$L$800,247+DF$3,2+DF$2)&lt;&gt;"",INDEX('×入力'!$A$1:$L$800,246,2+DF$2)&lt;&gt;"",INDEX('×入力'!$A$1:$L$800,247+DF$3,1)&lt;&gt;""),1,0),0)</f>
        <v/>
      </c>
      <c r="DG25">
        <f>IF(DG$4=1,IF(OR(INDEX('×入力'!$A$1:$L$800,247+DG$3,2+DG$2)&lt;&gt;"",INDEX('×入力'!$A$1:$L$800,246,2+DG$2)&lt;&gt;"",INDEX('×入力'!$A$1:$L$800,247+DG$3,1)&lt;&gt;""),1,0),0)</f>
        <v/>
      </c>
      <c r="DH25">
        <f>IF(DH$4=1,IF(OR(INDEX('×入力'!$A$1:$L$800,247+DH$3,2+DH$2)&lt;&gt;"",INDEX('×入力'!$A$1:$L$800,246,2+DH$2)&lt;&gt;"",INDEX('×入力'!$A$1:$L$800,247+DH$3,1)&lt;&gt;""),1,0),0)</f>
        <v/>
      </c>
      <c r="DI25">
        <f>IF(DI$4=1,IF(OR(INDEX('×入力'!$A$1:$L$800,247+DI$3,2+DI$2)&lt;&gt;"",INDEX('×入力'!$A$1:$L$800,246,2+DI$2)&lt;&gt;"",INDEX('×入力'!$A$1:$L$800,247+DI$3,1)&lt;&gt;""),1,0),0)</f>
        <v/>
      </c>
      <c r="DJ25">
        <f>IF(DJ$4=1,IF(OR(INDEX('×入力'!$A$1:$L$800,247+DJ$3,2+DJ$2)&lt;&gt;"",INDEX('×入力'!$A$1:$L$800,246,2+DJ$2)&lt;&gt;"",INDEX('×入力'!$A$1:$L$800,247+DJ$3,1)&lt;&gt;""),1,0),0)</f>
        <v/>
      </c>
      <c r="DK25">
        <f>IF(DK$4=1,IF(OR(INDEX('×入力'!$A$1:$L$800,247+DK$3,2+DK$2)&lt;&gt;"",INDEX('×入力'!$A$1:$L$800,246,2+DK$2)&lt;&gt;"",INDEX('×入力'!$A$1:$L$800,247+DK$3,1)&lt;&gt;""),1,0),0)</f>
        <v/>
      </c>
      <c r="DL25">
        <f>IF(DL$4=1,IF(OR(INDEX('×入力'!$A$1:$L$800,247+DL$3,2+DL$2)&lt;&gt;"",INDEX('×入力'!$A$1:$L$800,246,2+DL$2)&lt;&gt;"",INDEX('×入力'!$A$1:$L$800,247+DL$3,1)&lt;&gt;""),1,0),0)</f>
        <v/>
      </c>
      <c r="DM25">
        <f>IF(DM$4=1,IF(OR(INDEX('×入力'!$A$1:$L$800,247+DM$3,2+DM$2)&lt;&gt;"",INDEX('×入力'!$A$1:$L$800,246,2+DM$2)&lt;&gt;"",INDEX('×入力'!$A$1:$L$800,247+DM$3,1)&lt;&gt;""),1,0),0)</f>
        <v/>
      </c>
      <c r="DN25">
        <f>IF(DN$4=1,IF(OR(INDEX('×入力'!$A$1:$L$800,247+DN$3,2+DN$2)&lt;&gt;"",INDEX('×入力'!$A$1:$L$800,246,2+DN$2)&lt;&gt;"",INDEX('×入力'!$A$1:$L$800,247+DN$3,1)&lt;&gt;""),1,0),0)</f>
        <v/>
      </c>
      <c r="DO25">
        <f>IF(DO$4=1,IF(OR(INDEX('×入力'!$A$1:$L$800,247+DO$3,2+DO$2)&lt;&gt;"",INDEX('×入力'!$A$1:$L$800,246,2+DO$2)&lt;&gt;"",INDEX('×入力'!$A$1:$L$800,247+DO$3,1)&lt;&gt;""),1,0),0)</f>
        <v/>
      </c>
      <c r="DP25">
        <f>IF(DP$4=1,IF(OR(INDEX('×入力'!$A$1:$L$800,247+DP$3,2+DP$2)&lt;&gt;"",INDEX('×入力'!$A$1:$L$800,246,2+DP$2)&lt;&gt;"",INDEX('×入力'!$A$1:$L$800,247+DP$3,1)&lt;&gt;""),1,0),0)</f>
        <v/>
      </c>
      <c r="DQ25">
        <f>IF(DQ$4=1,IF(OR(INDEX('×入力'!$A$1:$L$800,247+DQ$3,2+DQ$2)&lt;&gt;"",INDEX('×入力'!$A$1:$L$800,246,2+DQ$2)&lt;&gt;"",INDEX('×入力'!$A$1:$L$800,247+DQ$3,1)&lt;&gt;""),1,0),0)</f>
        <v/>
      </c>
      <c r="DR25">
        <f>IF(DR$4=1,IF(OR(INDEX('×入力'!$A$1:$L$800,247+DR$3,2+DR$2)&lt;&gt;"",INDEX('×入力'!$A$1:$L$800,246,2+DR$2)&lt;&gt;"",INDEX('×入力'!$A$1:$L$800,247+DR$3,1)&lt;&gt;""),1,0),0)</f>
        <v/>
      </c>
      <c r="DS25">
        <f>IF(DS$4=1,IF(OR(INDEX('×入力'!$A$1:$L$800,247+DS$3,2+DS$2)&lt;&gt;"",INDEX('×入力'!$A$1:$L$800,246,2+DS$2)&lt;&gt;"",INDEX('×入力'!$A$1:$L$800,247+DS$3,1)&lt;&gt;""),1,0),0)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IF(D$4=1,IF(OR(INDEX('×入力'!$A$1:$L$800,263+D$3,2+D$2)&lt;&gt;"",INDEX('×入力'!$A$1:$L$800,262,2+D$2)&lt;&gt;"",INDEX('×入力'!$A$1:$L$800,263+D$3,1)&lt;&gt;""),1,0),0)</f>
        <v/>
      </c>
      <c r="E26">
        <f>IF(E$4=1,IF(OR(INDEX('×入力'!$A$1:$L$800,263+E$3,2+E$2)&lt;&gt;"",INDEX('×入力'!$A$1:$L$800,262,2+E$2)&lt;&gt;"",INDEX('×入力'!$A$1:$L$800,263+E$3,1)&lt;&gt;""),1,0),0)</f>
        <v/>
      </c>
      <c r="F26">
        <f>IF(F$4=1,IF(OR(INDEX('×入力'!$A$1:$L$800,263+F$3,2+F$2)&lt;&gt;"",INDEX('×入力'!$A$1:$L$800,262,2+F$2)&lt;&gt;"",INDEX('×入力'!$A$1:$L$800,263+F$3,1)&lt;&gt;""),1,0),0)</f>
        <v/>
      </c>
      <c r="G26">
        <f>IF(G$4=1,IF(OR(INDEX('×入力'!$A$1:$L$800,263+G$3,2+G$2)&lt;&gt;"",INDEX('×入力'!$A$1:$L$800,262,2+G$2)&lt;&gt;"",INDEX('×入力'!$A$1:$L$800,263+G$3,1)&lt;&gt;""),1,0),0)</f>
        <v/>
      </c>
      <c r="H26">
        <f>IF(H$4=1,IF(OR(INDEX('×入力'!$A$1:$L$800,263+H$3,2+H$2)&lt;&gt;"",INDEX('×入力'!$A$1:$L$800,262,2+H$2)&lt;&gt;"",INDEX('×入力'!$A$1:$L$800,263+H$3,1)&lt;&gt;""),1,0),0)</f>
        <v/>
      </c>
      <c r="I26">
        <f>IF(I$4=1,IF(OR(INDEX('×入力'!$A$1:$L$800,263+I$3,2+I$2)&lt;&gt;"",INDEX('×入力'!$A$1:$L$800,262,2+I$2)&lt;&gt;"",INDEX('×入力'!$A$1:$L$800,263+I$3,1)&lt;&gt;""),1,0),0)</f>
        <v/>
      </c>
      <c r="J26">
        <f>IF(J$4=1,IF(OR(INDEX('×入力'!$A$1:$L$800,263+J$3,2+J$2)&lt;&gt;"",INDEX('×入力'!$A$1:$L$800,262,2+J$2)&lt;&gt;"",INDEX('×入力'!$A$1:$L$800,263+J$3,1)&lt;&gt;""),1,0),0)</f>
        <v/>
      </c>
      <c r="K26">
        <f>IF(K$4=1,IF(OR(INDEX('×入力'!$A$1:$L$800,263+K$3,2+K$2)&lt;&gt;"",INDEX('×入力'!$A$1:$L$800,262,2+K$2)&lt;&gt;"",INDEX('×入力'!$A$1:$L$800,263+K$3,1)&lt;&gt;""),1,0),0)</f>
        <v/>
      </c>
      <c r="L26">
        <f>IF(L$4=1,IF(OR(INDEX('×入力'!$A$1:$L$800,263+L$3,2+L$2)&lt;&gt;"",INDEX('×入力'!$A$1:$L$800,262,2+L$2)&lt;&gt;"",INDEX('×入力'!$A$1:$L$800,263+L$3,1)&lt;&gt;""),1,0),0)</f>
        <v/>
      </c>
      <c r="M26">
        <f>IF(M$4=1,IF(OR(INDEX('×入力'!$A$1:$L$800,263+M$3,2+M$2)&lt;&gt;"",INDEX('×入力'!$A$1:$L$800,262,2+M$2)&lt;&gt;"",INDEX('×入力'!$A$1:$L$800,263+M$3,1)&lt;&gt;""),1,0),0)</f>
        <v/>
      </c>
      <c r="N26">
        <f>IF(N$4=1,IF(OR(INDEX('×入力'!$A$1:$L$800,263+N$3,2+N$2)&lt;&gt;"",INDEX('×入力'!$A$1:$L$800,262,2+N$2)&lt;&gt;"",INDEX('×入力'!$A$1:$L$800,263+N$3,1)&lt;&gt;""),1,0),0)</f>
        <v/>
      </c>
      <c r="O26">
        <f>IF(O$4=1,IF(OR(INDEX('×入力'!$A$1:$L$800,263+O$3,2+O$2)&lt;&gt;"",INDEX('×入力'!$A$1:$L$800,262,2+O$2)&lt;&gt;"",INDEX('×入力'!$A$1:$L$800,263+O$3,1)&lt;&gt;""),1,0),0)</f>
        <v/>
      </c>
      <c r="P26">
        <f>IF(P$4=1,IF(OR(INDEX('×入力'!$A$1:$L$800,263+P$3,2+P$2)&lt;&gt;"",INDEX('×入力'!$A$1:$L$800,262,2+P$2)&lt;&gt;"",INDEX('×入力'!$A$1:$L$800,263+P$3,1)&lt;&gt;""),1,0),0)</f>
        <v/>
      </c>
      <c r="Q26">
        <f>IF(Q$4=1,IF(OR(INDEX('×入力'!$A$1:$L$800,263+Q$3,2+Q$2)&lt;&gt;"",INDEX('×入力'!$A$1:$L$800,262,2+Q$2)&lt;&gt;"",INDEX('×入力'!$A$1:$L$800,263+Q$3,1)&lt;&gt;""),1,0),0)</f>
        <v/>
      </c>
      <c r="R26">
        <f>IF(R$4=1,IF(OR(INDEX('×入力'!$A$1:$L$800,263+R$3,2+R$2)&lt;&gt;"",INDEX('×入力'!$A$1:$L$800,262,2+R$2)&lt;&gt;"",INDEX('×入力'!$A$1:$L$800,263+R$3,1)&lt;&gt;""),1,0),0)</f>
        <v/>
      </c>
      <c r="S26">
        <f>IF(S$4=1,IF(OR(INDEX('×入力'!$A$1:$L$800,263+S$3,2+S$2)&lt;&gt;"",INDEX('×入力'!$A$1:$L$800,262,2+S$2)&lt;&gt;"",INDEX('×入力'!$A$1:$L$800,263+S$3,1)&lt;&gt;""),1,0),0)</f>
        <v/>
      </c>
      <c r="T26">
        <f>IF(T$4=1,IF(OR(INDEX('×入力'!$A$1:$L$800,263+T$3,2+T$2)&lt;&gt;"",INDEX('×入力'!$A$1:$L$800,262,2+T$2)&lt;&gt;"",INDEX('×入力'!$A$1:$L$800,263+T$3,1)&lt;&gt;""),1,0),0)</f>
        <v/>
      </c>
      <c r="U26">
        <f>IF(U$4=1,IF(OR(INDEX('×入力'!$A$1:$L$800,263+U$3,2+U$2)&lt;&gt;"",INDEX('×入力'!$A$1:$L$800,262,2+U$2)&lt;&gt;"",INDEX('×入力'!$A$1:$L$800,263+U$3,1)&lt;&gt;""),1,0),0)</f>
        <v/>
      </c>
      <c r="V26">
        <f>IF(V$4=1,IF(OR(INDEX('×入力'!$A$1:$L$800,263+V$3,2+V$2)&lt;&gt;"",INDEX('×入力'!$A$1:$L$800,262,2+V$2)&lt;&gt;"",INDEX('×入力'!$A$1:$L$800,263+V$3,1)&lt;&gt;""),1,0),0)</f>
        <v/>
      </c>
      <c r="W26">
        <f>IF(W$4=1,IF(OR(INDEX('×入力'!$A$1:$L$800,263+W$3,2+W$2)&lt;&gt;"",INDEX('×入力'!$A$1:$L$800,262,2+W$2)&lt;&gt;"",INDEX('×入力'!$A$1:$L$800,263+W$3,1)&lt;&gt;""),1,0),0)</f>
        <v/>
      </c>
      <c r="X26">
        <f>IF(X$4=1,IF(OR(INDEX('×入力'!$A$1:$L$800,263+X$3,2+X$2)&lt;&gt;"",INDEX('×入力'!$A$1:$L$800,262,2+X$2)&lt;&gt;"",INDEX('×入力'!$A$1:$L$800,263+X$3,1)&lt;&gt;""),1,0),0)</f>
        <v/>
      </c>
      <c r="Y26">
        <f>IF(Y$4=1,IF(OR(INDEX('×入力'!$A$1:$L$800,263+Y$3,2+Y$2)&lt;&gt;"",INDEX('×入力'!$A$1:$L$800,262,2+Y$2)&lt;&gt;"",INDEX('×入力'!$A$1:$L$800,263+Y$3,1)&lt;&gt;""),1,0),0)</f>
        <v/>
      </c>
      <c r="Z26">
        <f>IF(Z$4=1,IF(OR(INDEX('×入力'!$A$1:$L$800,263+Z$3,2+Z$2)&lt;&gt;"",INDEX('×入力'!$A$1:$L$800,262,2+Z$2)&lt;&gt;"",INDEX('×入力'!$A$1:$L$800,263+Z$3,1)&lt;&gt;""),1,0),0)</f>
        <v/>
      </c>
      <c r="AA26">
        <f>IF(AA$4=1,IF(OR(INDEX('×入力'!$A$1:$L$800,263+AA$3,2+AA$2)&lt;&gt;"",INDEX('×入力'!$A$1:$L$800,262,2+AA$2)&lt;&gt;"",INDEX('×入力'!$A$1:$L$800,263+AA$3,1)&lt;&gt;""),1,0),0)</f>
        <v/>
      </c>
      <c r="AB26">
        <f>IF(AB$4=1,IF(OR(INDEX('×入力'!$A$1:$L$800,263+AB$3,2+AB$2)&lt;&gt;"",INDEX('×入力'!$A$1:$L$800,262,2+AB$2)&lt;&gt;"",INDEX('×入力'!$A$1:$L$800,263+AB$3,1)&lt;&gt;""),1,0),0)</f>
        <v/>
      </c>
      <c r="AC26">
        <f>IF(AC$4=1,IF(OR(INDEX('×入力'!$A$1:$L$800,263+AC$3,2+AC$2)&lt;&gt;"",INDEX('×入力'!$A$1:$L$800,262,2+AC$2)&lt;&gt;"",INDEX('×入力'!$A$1:$L$800,263+AC$3,1)&lt;&gt;""),1,0),0)</f>
        <v/>
      </c>
      <c r="AD26">
        <f>IF(AD$4=1,IF(OR(INDEX('×入力'!$A$1:$L$800,263+AD$3,2+AD$2)&lt;&gt;"",INDEX('×入力'!$A$1:$L$800,262,2+AD$2)&lt;&gt;"",INDEX('×入力'!$A$1:$L$800,263+AD$3,1)&lt;&gt;""),1,0),0)</f>
        <v/>
      </c>
      <c r="AE26">
        <f>IF(AE$4=1,IF(OR(INDEX('×入力'!$A$1:$L$800,263+AE$3,2+AE$2)&lt;&gt;"",INDEX('×入力'!$A$1:$L$800,262,2+AE$2)&lt;&gt;"",INDEX('×入力'!$A$1:$L$800,263+AE$3,1)&lt;&gt;""),1,0),0)</f>
        <v/>
      </c>
      <c r="AF26">
        <f>IF(AF$4=1,IF(OR(INDEX('×入力'!$A$1:$L$800,263+AF$3,2+AF$2)&lt;&gt;"",INDEX('×入力'!$A$1:$L$800,262,2+AF$2)&lt;&gt;"",INDEX('×入力'!$A$1:$L$800,263+AF$3,1)&lt;&gt;""),1,0),0)</f>
        <v/>
      </c>
      <c r="AG26">
        <f>IF(AG$4=1,IF(OR(INDEX('×入力'!$A$1:$L$800,263+AG$3,2+AG$2)&lt;&gt;"",INDEX('×入力'!$A$1:$L$800,262,2+AG$2)&lt;&gt;"",INDEX('×入力'!$A$1:$L$800,263+AG$3,1)&lt;&gt;""),1,0),0)</f>
        <v/>
      </c>
      <c r="AH26">
        <f>IF(AH$4=1,IF(OR(INDEX('×入力'!$A$1:$L$800,263+AH$3,2+AH$2)&lt;&gt;"",INDEX('×入力'!$A$1:$L$800,262,2+AH$2)&lt;&gt;"",INDEX('×入力'!$A$1:$L$800,263+AH$3,1)&lt;&gt;""),1,0),0)</f>
        <v/>
      </c>
      <c r="AI26">
        <f>IF(AI$4=1,IF(OR(INDEX('×入力'!$A$1:$L$800,263+AI$3,2+AI$2)&lt;&gt;"",INDEX('×入力'!$A$1:$L$800,262,2+AI$2)&lt;&gt;"",INDEX('×入力'!$A$1:$L$800,263+AI$3,1)&lt;&gt;""),1,0),0)</f>
        <v/>
      </c>
      <c r="AJ26">
        <f>IF(AJ$4=1,IF(OR(INDEX('×入力'!$A$1:$L$800,263+AJ$3,2+AJ$2)&lt;&gt;"",INDEX('×入力'!$A$1:$L$800,262,2+AJ$2)&lt;&gt;"",INDEX('×入力'!$A$1:$L$800,263+AJ$3,1)&lt;&gt;""),1,0),0)</f>
        <v/>
      </c>
      <c r="AK26">
        <f>IF(AK$4=1,IF(OR(INDEX('×入力'!$A$1:$L$800,263+AK$3,2+AK$2)&lt;&gt;"",INDEX('×入力'!$A$1:$L$800,262,2+AK$2)&lt;&gt;"",INDEX('×入力'!$A$1:$L$800,263+AK$3,1)&lt;&gt;""),1,0),0)</f>
        <v/>
      </c>
      <c r="AL26">
        <f>IF(AL$4=1,IF(OR(INDEX('×入力'!$A$1:$L$800,263+AL$3,2+AL$2)&lt;&gt;"",INDEX('×入力'!$A$1:$L$800,262,2+AL$2)&lt;&gt;"",INDEX('×入力'!$A$1:$L$800,263+AL$3,1)&lt;&gt;""),1,0),0)</f>
        <v/>
      </c>
      <c r="AM26">
        <f>IF(AM$4=1,IF(OR(INDEX('×入力'!$A$1:$L$800,263+AM$3,2+AM$2)&lt;&gt;"",INDEX('×入力'!$A$1:$L$800,262,2+AM$2)&lt;&gt;"",INDEX('×入力'!$A$1:$L$800,263+AM$3,1)&lt;&gt;""),1,0),0)</f>
        <v/>
      </c>
      <c r="AN26">
        <f>IF(AN$4=1,IF(OR(INDEX('×入力'!$A$1:$L$800,263+AN$3,2+AN$2)&lt;&gt;"",INDEX('×入力'!$A$1:$L$800,262,2+AN$2)&lt;&gt;"",INDEX('×入力'!$A$1:$L$800,263+AN$3,1)&lt;&gt;""),1,0),0)</f>
        <v/>
      </c>
      <c r="AO26">
        <f>IF(AO$4=1,IF(OR(INDEX('×入力'!$A$1:$L$800,263+AO$3,2+AO$2)&lt;&gt;"",INDEX('×入力'!$A$1:$L$800,262,2+AO$2)&lt;&gt;"",INDEX('×入力'!$A$1:$L$800,263+AO$3,1)&lt;&gt;""),1,0),0)</f>
        <v/>
      </c>
      <c r="AP26">
        <f>IF(AP$4=1,IF(OR(INDEX('×入力'!$A$1:$L$800,263+AP$3,2+AP$2)&lt;&gt;"",INDEX('×入力'!$A$1:$L$800,262,2+AP$2)&lt;&gt;"",INDEX('×入力'!$A$1:$L$800,263+AP$3,1)&lt;&gt;""),1,0),0)</f>
        <v/>
      </c>
      <c r="AQ26">
        <f>IF(AQ$4=1,IF(OR(INDEX('×入力'!$A$1:$L$800,263+AQ$3,2+AQ$2)&lt;&gt;"",INDEX('×入力'!$A$1:$L$800,262,2+AQ$2)&lt;&gt;"",INDEX('×入力'!$A$1:$L$800,263+AQ$3,1)&lt;&gt;""),1,0),0)</f>
        <v/>
      </c>
      <c r="AR26">
        <f>IF(AR$4=1,IF(OR(INDEX('×入力'!$A$1:$L$800,263+AR$3,2+AR$2)&lt;&gt;"",INDEX('×入力'!$A$1:$L$800,262,2+AR$2)&lt;&gt;"",INDEX('×入力'!$A$1:$L$800,263+AR$3,1)&lt;&gt;""),1,0),0)</f>
        <v/>
      </c>
      <c r="AS26">
        <f>IF(AS$4=1,IF(OR(INDEX('×入力'!$A$1:$L$800,263+AS$3,2+AS$2)&lt;&gt;"",INDEX('×入力'!$A$1:$L$800,262,2+AS$2)&lt;&gt;"",INDEX('×入力'!$A$1:$L$800,263+AS$3,1)&lt;&gt;""),1,0),0)</f>
        <v/>
      </c>
      <c r="AT26">
        <f>IF(AT$4=1,IF(OR(INDEX('×入力'!$A$1:$L$800,263+AT$3,2+AT$2)&lt;&gt;"",INDEX('×入力'!$A$1:$L$800,262,2+AT$2)&lt;&gt;"",INDEX('×入力'!$A$1:$L$800,263+AT$3,1)&lt;&gt;""),1,0),0)</f>
        <v/>
      </c>
      <c r="AU26">
        <f>IF(AU$4=1,IF(OR(INDEX('×入力'!$A$1:$L$800,263+AU$3,2+AU$2)&lt;&gt;"",INDEX('×入力'!$A$1:$L$800,262,2+AU$2)&lt;&gt;"",INDEX('×入力'!$A$1:$L$800,263+AU$3,1)&lt;&gt;""),1,0),0)</f>
        <v/>
      </c>
      <c r="AV26">
        <f>IF(AV$4=1,IF(OR(INDEX('×入力'!$A$1:$L$800,263+AV$3,2+AV$2)&lt;&gt;"",INDEX('×入力'!$A$1:$L$800,262,2+AV$2)&lt;&gt;"",INDEX('×入力'!$A$1:$L$800,263+AV$3,1)&lt;&gt;""),1,0),0)</f>
        <v/>
      </c>
      <c r="AW26">
        <f>IF(AW$4=1,IF(OR(INDEX('×入力'!$A$1:$L$800,263+AW$3,2+AW$2)&lt;&gt;"",INDEX('×入力'!$A$1:$L$800,262,2+AW$2)&lt;&gt;"",INDEX('×入力'!$A$1:$L$800,263+AW$3,1)&lt;&gt;""),1,0),0)</f>
        <v/>
      </c>
      <c r="AX26">
        <f>IF(AX$4=1,IF(OR(INDEX('×入力'!$A$1:$L$800,263+AX$3,2+AX$2)&lt;&gt;"",INDEX('×入力'!$A$1:$L$800,262,2+AX$2)&lt;&gt;"",INDEX('×入力'!$A$1:$L$800,263+AX$3,1)&lt;&gt;""),1,0),0)</f>
        <v/>
      </c>
      <c r="AY26">
        <f>IF(AY$4=1,IF(OR(INDEX('×入力'!$A$1:$L$800,263+AY$3,2+AY$2)&lt;&gt;"",INDEX('×入力'!$A$1:$L$800,262,2+AY$2)&lt;&gt;"",INDEX('×入力'!$A$1:$L$800,263+AY$3,1)&lt;&gt;""),1,0),0)</f>
        <v/>
      </c>
      <c r="AZ26">
        <f>IF(AZ$4=1,IF(OR(INDEX('×入力'!$A$1:$L$800,263+AZ$3,2+AZ$2)&lt;&gt;"",INDEX('×入力'!$A$1:$L$800,262,2+AZ$2)&lt;&gt;"",INDEX('×入力'!$A$1:$L$800,263+AZ$3,1)&lt;&gt;""),1,0),0)</f>
        <v/>
      </c>
      <c r="BA26">
        <f>IF(BA$4=1,IF(OR(INDEX('×入力'!$A$1:$L$800,263+BA$3,2+BA$2)&lt;&gt;"",INDEX('×入力'!$A$1:$L$800,262,2+BA$2)&lt;&gt;"",INDEX('×入力'!$A$1:$L$800,263+BA$3,1)&lt;&gt;""),1,0),0)</f>
        <v/>
      </c>
      <c r="BB26">
        <f>IF(BB$4=1,IF(OR(INDEX('×入力'!$A$1:$L$800,263+BB$3,2+BB$2)&lt;&gt;"",INDEX('×入力'!$A$1:$L$800,262,2+BB$2)&lt;&gt;"",INDEX('×入力'!$A$1:$L$800,263+BB$3,1)&lt;&gt;""),1,0),0)</f>
        <v/>
      </c>
      <c r="BC26">
        <f>IF(BC$4=1,IF(OR(INDEX('×入力'!$A$1:$L$800,263+BC$3,2+BC$2)&lt;&gt;"",INDEX('×入力'!$A$1:$L$800,262,2+BC$2)&lt;&gt;"",INDEX('×入力'!$A$1:$L$800,263+BC$3,1)&lt;&gt;""),1,0),0)</f>
        <v/>
      </c>
      <c r="BD26">
        <f>IF(BD$4=1,IF(OR(INDEX('×入力'!$A$1:$L$800,263+BD$3,2+BD$2)&lt;&gt;"",INDEX('×入力'!$A$1:$L$800,262,2+BD$2)&lt;&gt;"",INDEX('×入力'!$A$1:$L$800,263+BD$3,1)&lt;&gt;""),1,0),0)</f>
        <v/>
      </c>
      <c r="BE26">
        <f>IF(BE$4=1,IF(OR(INDEX('×入力'!$A$1:$L$800,263+BE$3,2+BE$2)&lt;&gt;"",INDEX('×入力'!$A$1:$L$800,262,2+BE$2)&lt;&gt;"",INDEX('×入力'!$A$1:$L$800,263+BE$3,1)&lt;&gt;""),1,0),0)</f>
        <v/>
      </c>
      <c r="BF26">
        <f>IF(BF$4=1,IF(OR(INDEX('×入力'!$A$1:$L$800,263+BF$3,2+BF$2)&lt;&gt;"",INDEX('×入力'!$A$1:$L$800,262,2+BF$2)&lt;&gt;"",INDEX('×入力'!$A$1:$L$800,263+BF$3,1)&lt;&gt;""),1,0),0)</f>
        <v/>
      </c>
      <c r="BG26">
        <f>IF(BG$4=1,IF(OR(INDEX('×入力'!$A$1:$L$800,263+BG$3,2+BG$2)&lt;&gt;"",INDEX('×入力'!$A$1:$L$800,262,2+BG$2)&lt;&gt;"",INDEX('×入力'!$A$1:$L$800,263+BG$3,1)&lt;&gt;""),1,0),0)</f>
        <v/>
      </c>
      <c r="BH26">
        <f>IF(BH$4=1,IF(OR(INDEX('×入力'!$A$1:$L$800,263+BH$3,2+BH$2)&lt;&gt;"",INDEX('×入力'!$A$1:$L$800,262,2+BH$2)&lt;&gt;"",INDEX('×入力'!$A$1:$L$800,263+BH$3,1)&lt;&gt;""),1,0),0)</f>
        <v/>
      </c>
      <c r="BI26">
        <f>IF(BI$4=1,IF(OR(INDEX('×入力'!$A$1:$L$800,263+BI$3,2+BI$2)&lt;&gt;"",INDEX('×入力'!$A$1:$L$800,262,2+BI$2)&lt;&gt;"",INDEX('×入力'!$A$1:$L$800,263+BI$3,1)&lt;&gt;""),1,0),0)</f>
        <v/>
      </c>
      <c r="BJ26">
        <f>IF(BJ$4=1,IF(OR(INDEX('×入力'!$A$1:$L$800,263+BJ$3,2+BJ$2)&lt;&gt;"",INDEX('×入力'!$A$1:$L$800,262,2+BJ$2)&lt;&gt;"",INDEX('×入力'!$A$1:$L$800,263+BJ$3,1)&lt;&gt;""),1,0),0)</f>
        <v/>
      </c>
      <c r="BK26">
        <f>IF(BK$4=1,IF(OR(INDEX('×入力'!$A$1:$L$800,263+BK$3,2+BK$2)&lt;&gt;"",INDEX('×入力'!$A$1:$L$800,262,2+BK$2)&lt;&gt;"",INDEX('×入力'!$A$1:$L$800,263+BK$3,1)&lt;&gt;""),1,0),0)</f>
        <v/>
      </c>
      <c r="BL26">
        <f>IF(BL$4=1,IF(OR(INDEX('×入力'!$A$1:$L$800,263+BL$3,2+BL$2)&lt;&gt;"",INDEX('×入力'!$A$1:$L$800,262,2+BL$2)&lt;&gt;"",INDEX('×入力'!$A$1:$L$800,263+BL$3,1)&lt;&gt;""),1,0),0)</f>
        <v/>
      </c>
      <c r="BM26">
        <f>IF(BM$4=1,IF(OR(INDEX('×入力'!$A$1:$L$800,263+BM$3,2+BM$2)&lt;&gt;"",INDEX('×入力'!$A$1:$L$800,262,2+BM$2)&lt;&gt;"",INDEX('×入力'!$A$1:$L$800,263+BM$3,1)&lt;&gt;""),1,0),0)</f>
        <v/>
      </c>
      <c r="BN26">
        <f>IF(BN$4=1,IF(OR(INDEX('×入力'!$A$1:$L$800,263+BN$3,2+BN$2)&lt;&gt;"",INDEX('×入力'!$A$1:$L$800,262,2+BN$2)&lt;&gt;"",INDEX('×入力'!$A$1:$L$800,263+BN$3,1)&lt;&gt;""),1,0),0)</f>
        <v/>
      </c>
      <c r="BO26">
        <f>IF(BO$4=1,IF(OR(INDEX('×入力'!$A$1:$L$800,263+BO$3,2+BO$2)&lt;&gt;"",INDEX('×入力'!$A$1:$L$800,262,2+BO$2)&lt;&gt;"",INDEX('×入力'!$A$1:$L$800,263+BO$3,1)&lt;&gt;""),1,0),0)</f>
        <v/>
      </c>
      <c r="BP26">
        <f>IF(BP$4=1,IF(OR(INDEX('×入力'!$A$1:$L$800,263+BP$3,2+BP$2)&lt;&gt;"",INDEX('×入力'!$A$1:$L$800,262,2+BP$2)&lt;&gt;"",INDEX('×入力'!$A$1:$L$800,263+BP$3,1)&lt;&gt;""),1,0),0)</f>
        <v/>
      </c>
      <c r="BQ26">
        <f>IF(BQ$4=1,IF(OR(INDEX('×入力'!$A$1:$L$800,263+BQ$3,2+BQ$2)&lt;&gt;"",INDEX('×入力'!$A$1:$L$800,262,2+BQ$2)&lt;&gt;"",INDEX('×入力'!$A$1:$L$800,263+BQ$3,1)&lt;&gt;""),1,0),0)</f>
        <v/>
      </c>
      <c r="BR26">
        <f>IF(BR$4=1,IF(OR(INDEX('×入力'!$A$1:$L$800,263+BR$3,2+BR$2)&lt;&gt;"",INDEX('×入力'!$A$1:$L$800,262,2+BR$2)&lt;&gt;"",INDEX('×入力'!$A$1:$L$800,263+BR$3,1)&lt;&gt;""),1,0),0)</f>
        <v/>
      </c>
      <c r="BS26">
        <f>IF(BS$4=1,IF(OR(INDEX('×入力'!$A$1:$L$800,263+BS$3,2+BS$2)&lt;&gt;"",INDEX('×入力'!$A$1:$L$800,262,2+BS$2)&lt;&gt;"",INDEX('×入力'!$A$1:$L$800,263+BS$3,1)&lt;&gt;""),1,0),0)</f>
        <v/>
      </c>
      <c r="BT26">
        <f>IF(BT$4=1,IF(OR(INDEX('×入力'!$A$1:$L$800,263+BT$3,2+BT$2)&lt;&gt;"",INDEX('×入力'!$A$1:$L$800,262,2+BT$2)&lt;&gt;"",INDEX('×入力'!$A$1:$L$800,263+BT$3,1)&lt;&gt;""),1,0),0)</f>
        <v/>
      </c>
      <c r="BU26">
        <f>IF(BU$4=1,IF(OR(INDEX('×入力'!$A$1:$L$800,263+BU$3,2+BU$2)&lt;&gt;"",INDEX('×入力'!$A$1:$L$800,262,2+BU$2)&lt;&gt;"",INDEX('×入力'!$A$1:$L$800,263+BU$3,1)&lt;&gt;""),1,0),0)</f>
        <v/>
      </c>
      <c r="BV26">
        <f>IF(BV$4=1,IF(OR(INDEX('×入力'!$A$1:$L$800,263+BV$3,2+BV$2)&lt;&gt;"",INDEX('×入力'!$A$1:$L$800,262,2+BV$2)&lt;&gt;"",INDEX('×入力'!$A$1:$L$800,263+BV$3,1)&lt;&gt;""),1,0),0)</f>
        <v/>
      </c>
      <c r="BW26">
        <f>IF(BW$4=1,IF(OR(INDEX('×入力'!$A$1:$L$800,263+BW$3,2+BW$2)&lt;&gt;"",INDEX('×入力'!$A$1:$L$800,262,2+BW$2)&lt;&gt;"",INDEX('×入力'!$A$1:$L$800,263+BW$3,1)&lt;&gt;""),1,0),0)</f>
        <v/>
      </c>
      <c r="BX26">
        <f>IF(BX$4=1,IF(OR(INDEX('×入力'!$A$1:$L$800,263+BX$3,2+BX$2)&lt;&gt;"",INDEX('×入力'!$A$1:$L$800,262,2+BX$2)&lt;&gt;"",INDEX('×入力'!$A$1:$L$800,263+BX$3,1)&lt;&gt;""),1,0),0)</f>
        <v/>
      </c>
      <c r="BY26">
        <f>IF(BY$4=1,IF(OR(INDEX('×入力'!$A$1:$L$800,263+BY$3,2+BY$2)&lt;&gt;"",INDEX('×入力'!$A$1:$L$800,262,2+BY$2)&lt;&gt;"",INDEX('×入力'!$A$1:$L$800,263+BY$3,1)&lt;&gt;""),1,0),0)</f>
        <v/>
      </c>
      <c r="BZ26">
        <f>IF(BZ$4=1,IF(OR(INDEX('×入力'!$A$1:$L$800,263+BZ$3,2+BZ$2)&lt;&gt;"",INDEX('×入力'!$A$1:$L$800,262,2+BZ$2)&lt;&gt;"",INDEX('×入力'!$A$1:$L$800,263+BZ$3,1)&lt;&gt;""),1,0),0)</f>
        <v/>
      </c>
      <c r="CA26">
        <f>IF(CA$4=1,IF(OR(INDEX('×入力'!$A$1:$L$800,263+CA$3,2+CA$2)&lt;&gt;"",INDEX('×入力'!$A$1:$L$800,262,2+CA$2)&lt;&gt;"",INDEX('×入力'!$A$1:$L$800,263+CA$3,1)&lt;&gt;""),1,0),0)</f>
        <v/>
      </c>
      <c r="CB26">
        <f>IF(CB$4=1,IF(OR(INDEX('×入力'!$A$1:$L$800,263+CB$3,2+CB$2)&lt;&gt;"",INDEX('×入力'!$A$1:$L$800,262,2+CB$2)&lt;&gt;"",INDEX('×入力'!$A$1:$L$800,263+CB$3,1)&lt;&gt;""),1,0),0)</f>
        <v/>
      </c>
      <c r="CC26">
        <f>IF(CC$4=1,IF(OR(INDEX('×入力'!$A$1:$L$800,263+CC$3,2+CC$2)&lt;&gt;"",INDEX('×入力'!$A$1:$L$800,262,2+CC$2)&lt;&gt;"",INDEX('×入力'!$A$1:$L$800,263+CC$3,1)&lt;&gt;""),1,0),0)</f>
        <v/>
      </c>
      <c r="CD26">
        <f>IF(CD$4=1,IF(OR(INDEX('×入力'!$A$1:$L$800,263+CD$3,2+CD$2)&lt;&gt;"",INDEX('×入力'!$A$1:$L$800,262,2+CD$2)&lt;&gt;"",INDEX('×入力'!$A$1:$L$800,263+CD$3,1)&lt;&gt;""),1,0),0)</f>
        <v/>
      </c>
      <c r="CE26">
        <f>IF(CE$4=1,IF(OR(INDEX('×入力'!$A$1:$L$800,263+CE$3,2+CE$2)&lt;&gt;"",INDEX('×入力'!$A$1:$L$800,262,2+CE$2)&lt;&gt;"",INDEX('×入力'!$A$1:$L$800,263+CE$3,1)&lt;&gt;""),1,0),0)</f>
        <v/>
      </c>
      <c r="CF26">
        <f>IF(CF$4=1,IF(OR(INDEX('×入力'!$A$1:$L$800,263+CF$3,2+CF$2)&lt;&gt;"",INDEX('×入力'!$A$1:$L$800,262,2+CF$2)&lt;&gt;"",INDEX('×入力'!$A$1:$L$800,263+CF$3,1)&lt;&gt;""),1,0),0)</f>
        <v/>
      </c>
      <c r="CG26">
        <f>IF(CG$4=1,IF(OR(INDEX('×入力'!$A$1:$L$800,263+CG$3,2+CG$2)&lt;&gt;"",INDEX('×入力'!$A$1:$L$800,262,2+CG$2)&lt;&gt;"",INDEX('×入力'!$A$1:$L$800,263+CG$3,1)&lt;&gt;""),1,0),0)</f>
        <v/>
      </c>
      <c r="CH26">
        <f>IF(CH$4=1,IF(OR(INDEX('×入力'!$A$1:$L$800,263+CH$3,2+CH$2)&lt;&gt;"",INDEX('×入力'!$A$1:$L$800,262,2+CH$2)&lt;&gt;"",INDEX('×入力'!$A$1:$L$800,263+CH$3,1)&lt;&gt;""),1,0),0)</f>
        <v/>
      </c>
      <c r="CI26">
        <f>IF(CI$4=1,IF(OR(INDEX('×入力'!$A$1:$L$800,263+CI$3,2+CI$2)&lt;&gt;"",INDEX('×入力'!$A$1:$L$800,262,2+CI$2)&lt;&gt;"",INDEX('×入力'!$A$1:$L$800,263+CI$3,1)&lt;&gt;""),1,0),0)</f>
        <v/>
      </c>
      <c r="CJ26">
        <f>IF(CJ$4=1,IF(OR(INDEX('×入力'!$A$1:$L$800,263+CJ$3,2+CJ$2)&lt;&gt;"",INDEX('×入力'!$A$1:$L$800,262,2+CJ$2)&lt;&gt;"",INDEX('×入力'!$A$1:$L$800,263+CJ$3,1)&lt;&gt;""),1,0),0)</f>
        <v/>
      </c>
      <c r="CK26">
        <f>IF(CK$4=1,IF(OR(INDEX('×入力'!$A$1:$L$800,263+CK$3,2+CK$2)&lt;&gt;"",INDEX('×入力'!$A$1:$L$800,262,2+CK$2)&lt;&gt;"",INDEX('×入力'!$A$1:$L$800,263+CK$3,1)&lt;&gt;""),1,0),0)</f>
        <v/>
      </c>
      <c r="CL26">
        <f>IF(CL$4=1,IF(OR(INDEX('×入力'!$A$1:$L$800,263+CL$3,2+CL$2)&lt;&gt;"",INDEX('×入力'!$A$1:$L$800,262,2+CL$2)&lt;&gt;"",INDEX('×入力'!$A$1:$L$800,263+CL$3,1)&lt;&gt;""),1,0),0)</f>
        <v/>
      </c>
      <c r="CM26">
        <f>IF(CM$4=1,IF(OR(INDEX('×入力'!$A$1:$L$800,263+CM$3,2+CM$2)&lt;&gt;"",INDEX('×入力'!$A$1:$L$800,262,2+CM$2)&lt;&gt;"",INDEX('×入力'!$A$1:$L$800,263+CM$3,1)&lt;&gt;""),1,0),0)</f>
        <v/>
      </c>
      <c r="CN26">
        <f>IF(CN$4=1,IF(OR(INDEX('×入力'!$A$1:$L$800,263+CN$3,2+CN$2)&lt;&gt;"",INDEX('×入力'!$A$1:$L$800,262,2+CN$2)&lt;&gt;"",INDEX('×入力'!$A$1:$L$800,263+CN$3,1)&lt;&gt;""),1,0),0)</f>
        <v/>
      </c>
      <c r="CO26">
        <f>IF(CO$4=1,IF(OR(INDEX('×入力'!$A$1:$L$800,263+CO$3,2+CO$2)&lt;&gt;"",INDEX('×入力'!$A$1:$L$800,262,2+CO$2)&lt;&gt;"",INDEX('×入力'!$A$1:$L$800,263+CO$3,1)&lt;&gt;""),1,0),0)</f>
        <v/>
      </c>
      <c r="CP26">
        <f>IF(CP$4=1,IF(OR(INDEX('×入力'!$A$1:$L$800,263+CP$3,2+CP$2)&lt;&gt;"",INDEX('×入力'!$A$1:$L$800,262,2+CP$2)&lt;&gt;"",INDEX('×入力'!$A$1:$L$800,263+CP$3,1)&lt;&gt;""),1,0),0)</f>
        <v/>
      </c>
      <c r="CQ26">
        <f>IF(CQ$4=1,IF(OR(INDEX('×入力'!$A$1:$L$800,263+CQ$3,2+CQ$2)&lt;&gt;"",INDEX('×入力'!$A$1:$L$800,262,2+CQ$2)&lt;&gt;"",INDEX('×入力'!$A$1:$L$800,263+CQ$3,1)&lt;&gt;""),1,0),0)</f>
        <v/>
      </c>
      <c r="CR26">
        <f>IF(CR$4=1,IF(OR(INDEX('×入力'!$A$1:$L$800,263+CR$3,2+CR$2)&lt;&gt;"",INDEX('×入力'!$A$1:$L$800,262,2+CR$2)&lt;&gt;"",INDEX('×入力'!$A$1:$L$800,263+CR$3,1)&lt;&gt;""),1,0),0)</f>
        <v/>
      </c>
      <c r="CS26">
        <f>IF(CS$4=1,IF(OR(INDEX('×入力'!$A$1:$L$800,263+CS$3,2+CS$2)&lt;&gt;"",INDEX('×入力'!$A$1:$L$800,262,2+CS$2)&lt;&gt;"",INDEX('×入力'!$A$1:$L$800,263+CS$3,1)&lt;&gt;""),1,0),0)</f>
        <v/>
      </c>
      <c r="CT26">
        <f>IF(CT$4=1,IF(OR(INDEX('×入力'!$A$1:$L$800,263+CT$3,2+CT$2)&lt;&gt;"",INDEX('×入力'!$A$1:$L$800,262,2+CT$2)&lt;&gt;"",INDEX('×入力'!$A$1:$L$800,263+CT$3,1)&lt;&gt;""),1,0),0)</f>
        <v/>
      </c>
      <c r="CU26">
        <f>IF(CU$4=1,IF(OR(INDEX('×入力'!$A$1:$L$800,263+CU$3,2+CU$2)&lt;&gt;"",INDEX('×入力'!$A$1:$L$800,262,2+CU$2)&lt;&gt;"",INDEX('×入力'!$A$1:$L$800,263+CU$3,1)&lt;&gt;""),1,0),0)</f>
        <v/>
      </c>
      <c r="CV26">
        <f>IF(CV$4=1,IF(OR(INDEX('×入力'!$A$1:$L$800,263+CV$3,2+CV$2)&lt;&gt;"",INDEX('×入力'!$A$1:$L$800,262,2+CV$2)&lt;&gt;"",INDEX('×入力'!$A$1:$L$800,263+CV$3,1)&lt;&gt;""),1,0),0)</f>
        <v/>
      </c>
      <c r="CW26">
        <f>IF(CW$4=1,IF(OR(INDEX('×入力'!$A$1:$L$800,263+CW$3,2+CW$2)&lt;&gt;"",INDEX('×入力'!$A$1:$L$800,262,2+CW$2)&lt;&gt;"",INDEX('×入力'!$A$1:$L$800,263+CW$3,1)&lt;&gt;""),1,0),0)</f>
        <v/>
      </c>
      <c r="CX26">
        <f>IF(CX$4=1,IF(OR(INDEX('×入力'!$A$1:$L$800,263+CX$3,2+CX$2)&lt;&gt;"",INDEX('×入力'!$A$1:$L$800,262,2+CX$2)&lt;&gt;"",INDEX('×入力'!$A$1:$L$800,263+CX$3,1)&lt;&gt;""),1,0),0)</f>
        <v/>
      </c>
      <c r="CY26">
        <f>IF(CY$4=1,IF(OR(INDEX('×入力'!$A$1:$L$800,263+CY$3,2+CY$2)&lt;&gt;"",INDEX('×入力'!$A$1:$L$800,262,2+CY$2)&lt;&gt;"",INDEX('×入力'!$A$1:$L$800,263+CY$3,1)&lt;&gt;""),1,0),0)</f>
        <v/>
      </c>
      <c r="CZ26">
        <f>IF(CZ$4=1,IF(OR(INDEX('×入力'!$A$1:$L$800,263+CZ$3,2+CZ$2)&lt;&gt;"",INDEX('×入力'!$A$1:$L$800,262,2+CZ$2)&lt;&gt;"",INDEX('×入力'!$A$1:$L$800,263+CZ$3,1)&lt;&gt;""),1,0),0)</f>
        <v/>
      </c>
      <c r="DA26">
        <f>IF(DA$4=1,IF(OR(INDEX('×入力'!$A$1:$L$800,263+DA$3,2+DA$2)&lt;&gt;"",INDEX('×入力'!$A$1:$L$800,262,2+DA$2)&lt;&gt;"",INDEX('×入力'!$A$1:$L$800,263+DA$3,1)&lt;&gt;""),1,0),0)</f>
        <v/>
      </c>
      <c r="DB26">
        <f>IF(DB$4=1,IF(OR(INDEX('×入力'!$A$1:$L$800,263+DB$3,2+DB$2)&lt;&gt;"",INDEX('×入力'!$A$1:$L$800,262,2+DB$2)&lt;&gt;"",INDEX('×入力'!$A$1:$L$800,263+DB$3,1)&lt;&gt;""),1,0),0)</f>
        <v/>
      </c>
      <c r="DC26">
        <f>IF(DC$4=1,IF(OR(INDEX('×入力'!$A$1:$L$800,263+DC$3,2+DC$2)&lt;&gt;"",INDEX('×入力'!$A$1:$L$800,262,2+DC$2)&lt;&gt;"",INDEX('×入力'!$A$1:$L$800,263+DC$3,1)&lt;&gt;""),1,0),0)</f>
        <v/>
      </c>
      <c r="DD26">
        <f>IF(DD$4=1,IF(OR(INDEX('×入力'!$A$1:$L$800,263+DD$3,2+DD$2)&lt;&gt;"",INDEX('×入力'!$A$1:$L$800,262,2+DD$2)&lt;&gt;"",INDEX('×入力'!$A$1:$L$800,263+DD$3,1)&lt;&gt;""),1,0),0)</f>
        <v/>
      </c>
      <c r="DE26">
        <f>IF(DE$4=1,IF(OR(INDEX('×入力'!$A$1:$L$800,263+DE$3,2+DE$2)&lt;&gt;"",INDEX('×入力'!$A$1:$L$800,262,2+DE$2)&lt;&gt;"",INDEX('×入力'!$A$1:$L$800,263+DE$3,1)&lt;&gt;""),1,0),0)</f>
        <v/>
      </c>
      <c r="DF26">
        <f>IF(DF$4=1,IF(OR(INDEX('×入力'!$A$1:$L$800,263+DF$3,2+DF$2)&lt;&gt;"",INDEX('×入力'!$A$1:$L$800,262,2+DF$2)&lt;&gt;"",INDEX('×入力'!$A$1:$L$800,263+DF$3,1)&lt;&gt;""),1,0),0)</f>
        <v/>
      </c>
      <c r="DG26">
        <f>IF(DG$4=1,IF(OR(INDEX('×入力'!$A$1:$L$800,263+DG$3,2+DG$2)&lt;&gt;"",INDEX('×入力'!$A$1:$L$800,262,2+DG$2)&lt;&gt;"",INDEX('×入力'!$A$1:$L$800,263+DG$3,1)&lt;&gt;""),1,0),0)</f>
        <v/>
      </c>
      <c r="DH26">
        <f>IF(DH$4=1,IF(OR(INDEX('×入力'!$A$1:$L$800,263+DH$3,2+DH$2)&lt;&gt;"",INDEX('×入力'!$A$1:$L$800,262,2+DH$2)&lt;&gt;"",INDEX('×入力'!$A$1:$L$800,263+DH$3,1)&lt;&gt;""),1,0),0)</f>
        <v/>
      </c>
      <c r="DI26">
        <f>IF(DI$4=1,IF(OR(INDEX('×入力'!$A$1:$L$800,263+DI$3,2+DI$2)&lt;&gt;"",INDEX('×入力'!$A$1:$L$800,262,2+DI$2)&lt;&gt;"",INDEX('×入力'!$A$1:$L$800,263+DI$3,1)&lt;&gt;""),1,0),0)</f>
        <v/>
      </c>
      <c r="DJ26">
        <f>IF(DJ$4=1,IF(OR(INDEX('×入力'!$A$1:$L$800,263+DJ$3,2+DJ$2)&lt;&gt;"",INDEX('×入力'!$A$1:$L$800,262,2+DJ$2)&lt;&gt;"",INDEX('×入力'!$A$1:$L$800,263+DJ$3,1)&lt;&gt;""),1,0),0)</f>
        <v/>
      </c>
      <c r="DK26">
        <f>IF(DK$4=1,IF(OR(INDEX('×入力'!$A$1:$L$800,263+DK$3,2+DK$2)&lt;&gt;"",INDEX('×入力'!$A$1:$L$800,262,2+DK$2)&lt;&gt;"",INDEX('×入力'!$A$1:$L$800,263+DK$3,1)&lt;&gt;""),1,0),0)</f>
        <v/>
      </c>
      <c r="DL26">
        <f>IF(DL$4=1,IF(OR(INDEX('×入力'!$A$1:$L$800,263+DL$3,2+DL$2)&lt;&gt;"",INDEX('×入力'!$A$1:$L$800,262,2+DL$2)&lt;&gt;"",INDEX('×入力'!$A$1:$L$800,263+DL$3,1)&lt;&gt;""),1,0),0)</f>
        <v/>
      </c>
      <c r="DM26">
        <f>IF(DM$4=1,IF(OR(INDEX('×入力'!$A$1:$L$800,263+DM$3,2+DM$2)&lt;&gt;"",INDEX('×入力'!$A$1:$L$800,262,2+DM$2)&lt;&gt;"",INDEX('×入力'!$A$1:$L$800,263+DM$3,1)&lt;&gt;""),1,0),0)</f>
        <v/>
      </c>
      <c r="DN26">
        <f>IF(DN$4=1,IF(OR(INDEX('×入力'!$A$1:$L$800,263+DN$3,2+DN$2)&lt;&gt;"",INDEX('×入力'!$A$1:$L$800,262,2+DN$2)&lt;&gt;"",INDEX('×入力'!$A$1:$L$800,263+DN$3,1)&lt;&gt;""),1,0),0)</f>
        <v/>
      </c>
      <c r="DO26">
        <f>IF(DO$4=1,IF(OR(INDEX('×入力'!$A$1:$L$800,263+DO$3,2+DO$2)&lt;&gt;"",INDEX('×入力'!$A$1:$L$800,262,2+DO$2)&lt;&gt;"",INDEX('×入力'!$A$1:$L$800,263+DO$3,1)&lt;&gt;""),1,0),0)</f>
        <v/>
      </c>
      <c r="DP26">
        <f>IF(DP$4=1,IF(OR(INDEX('×入力'!$A$1:$L$800,263+DP$3,2+DP$2)&lt;&gt;"",INDEX('×入力'!$A$1:$L$800,262,2+DP$2)&lt;&gt;"",INDEX('×入力'!$A$1:$L$800,263+DP$3,1)&lt;&gt;""),1,0),0)</f>
        <v/>
      </c>
      <c r="DQ26">
        <f>IF(DQ$4=1,IF(OR(INDEX('×入力'!$A$1:$L$800,263+DQ$3,2+DQ$2)&lt;&gt;"",INDEX('×入力'!$A$1:$L$800,262,2+DQ$2)&lt;&gt;"",INDEX('×入力'!$A$1:$L$800,263+DQ$3,1)&lt;&gt;""),1,0),0)</f>
        <v/>
      </c>
      <c r="DR26">
        <f>IF(DR$4=1,IF(OR(INDEX('×入力'!$A$1:$L$800,263+DR$3,2+DR$2)&lt;&gt;"",INDEX('×入力'!$A$1:$L$800,262,2+DR$2)&lt;&gt;"",INDEX('×入力'!$A$1:$L$800,263+DR$3,1)&lt;&gt;""),1,0),0)</f>
        <v/>
      </c>
      <c r="DS26">
        <f>IF(DS$4=1,IF(OR(INDEX('×入力'!$A$1:$L$800,263+DS$3,2+DS$2)&lt;&gt;"",INDEX('×入力'!$A$1:$L$800,262,2+DS$2)&lt;&gt;"",INDEX('×入力'!$A$1:$L$800,263+DS$3,1)&lt;&gt;""),1,0),0)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IF(D$4=1,IF(OR(INDEX('×入力'!$A$1:$L$800,279+D$3,2+D$2)&lt;&gt;"",INDEX('×入力'!$A$1:$L$800,278,2+D$2)&lt;&gt;"",INDEX('×入力'!$A$1:$L$800,279+D$3,1)&lt;&gt;""),1,0),0)</f>
        <v/>
      </c>
      <c r="E27">
        <f>IF(E$4=1,IF(OR(INDEX('×入力'!$A$1:$L$800,279+E$3,2+E$2)&lt;&gt;"",INDEX('×入力'!$A$1:$L$800,278,2+E$2)&lt;&gt;"",INDEX('×入力'!$A$1:$L$800,279+E$3,1)&lt;&gt;""),1,0),0)</f>
        <v/>
      </c>
      <c r="F27">
        <f>IF(F$4=1,IF(OR(INDEX('×入力'!$A$1:$L$800,279+F$3,2+F$2)&lt;&gt;"",INDEX('×入力'!$A$1:$L$800,278,2+F$2)&lt;&gt;"",INDEX('×入力'!$A$1:$L$800,279+F$3,1)&lt;&gt;""),1,0),0)</f>
        <v/>
      </c>
      <c r="G27">
        <f>IF(G$4=1,IF(OR(INDEX('×入力'!$A$1:$L$800,279+G$3,2+G$2)&lt;&gt;"",INDEX('×入力'!$A$1:$L$800,278,2+G$2)&lt;&gt;"",INDEX('×入力'!$A$1:$L$800,279+G$3,1)&lt;&gt;""),1,0),0)</f>
        <v/>
      </c>
      <c r="H27">
        <f>IF(H$4=1,IF(OR(INDEX('×入力'!$A$1:$L$800,279+H$3,2+H$2)&lt;&gt;"",INDEX('×入力'!$A$1:$L$800,278,2+H$2)&lt;&gt;"",INDEX('×入力'!$A$1:$L$800,279+H$3,1)&lt;&gt;""),1,0),0)</f>
        <v/>
      </c>
      <c r="I27">
        <f>IF(I$4=1,IF(OR(INDEX('×入力'!$A$1:$L$800,279+I$3,2+I$2)&lt;&gt;"",INDEX('×入力'!$A$1:$L$800,278,2+I$2)&lt;&gt;"",INDEX('×入力'!$A$1:$L$800,279+I$3,1)&lt;&gt;""),1,0),0)</f>
        <v/>
      </c>
      <c r="J27">
        <f>IF(J$4=1,IF(OR(INDEX('×入力'!$A$1:$L$800,279+J$3,2+J$2)&lt;&gt;"",INDEX('×入力'!$A$1:$L$800,278,2+J$2)&lt;&gt;"",INDEX('×入力'!$A$1:$L$800,279+J$3,1)&lt;&gt;""),1,0),0)</f>
        <v/>
      </c>
      <c r="K27">
        <f>IF(K$4=1,IF(OR(INDEX('×入力'!$A$1:$L$800,279+K$3,2+K$2)&lt;&gt;"",INDEX('×入力'!$A$1:$L$800,278,2+K$2)&lt;&gt;"",INDEX('×入力'!$A$1:$L$800,279+K$3,1)&lt;&gt;""),1,0),0)</f>
        <v/>
      </c>
      <c r="L27">
        <f>IF(L$4=1,IF(OR(INDEX('×入力'!$A$1:$L$800,279+L$3,2+L$2)&lt;&gt;"",INDEX('×入力'!$A$1:$L$800,278,2+L$2)&lt;&gt;"",INDEX('×入力'!$A$1:$L$800,279+L$3,1)&lt;&gt;""),1,0),0)</f>
        <v/>
      </c>
      <c r="M27">
        <f>IF(M$4=1,IF(OR(INDEX('×入力'!$A$1:$L$800,279+M$3,2+M$2)&lt;&gt;"",INDEX('×入力'!$A$1:$L$800,278,2+M$2)&lt;&gt;"",INDEX('×入力'!$A$1:$L$800,279+M$3,1)&lt;&gt;""),1,0),0)</f>
        <v/>
      </c>
      <c r="N27">
        <f>IF(N$4=1,IF(OR(INDEX('×入力'!$A$1:$L$800,279+N$3,2+N$2)&lt;&gt;"",INDEX('×入力'!$A$1:$L$800,278,2+N$2)&lt;&gt;"",INDEX('×入力'!$A$1:$L$800,279+N$3,1)&lt;&gt;""),1,0),0)</f>
        <v/>
      </c>
      <c r="O27">
        <f>IF(O$4=1,IF(OR(INDEX('×入力'!$A$1:$L$800,279+O$3,2+O$2)&lt;&gt;"",INDEX('×入力'!$A$1:$L$800,278,2+O$2)&lt;&gt;"",INDEX('×入力'!$A$1:$L$800,279+O$3,1)&lt;&gt;""),1,0),0)</f>
        <v/>
      </c>
      <c r="P27">
        <f>IF(P$4=1,IF(OR(INDEX('×入力'!$A$1:$L$800,279+P$3,2+P$2)&lt;&gt;"",INDEX('×入力'!$A$1:$L$800,278,2+P$2)&lt;&gt;"",INDEX('×入力'!$A$1:$L$800,279+P$3,1)&lt;&gt;""),1,0),0)</f>
        <v/>
      </c>
      <c r="Q27">
        <f>IF(Q$4=1,IF(OR(INDEX('×入力'!$A$1:$L$800,279+Q$3,2+Q$2)&lt;&gt;"",INDEX('×入力'!$A$1:$L$800,278,2+Q$2)&lt;&gt;"",INDEX('×入力'!$A$1:$L$800,279+Q$3,1)&lt;&gt;""),1,0),0)</f>
        <v/>
      </c>
      <c r="R27">
        <f>IF(R$4=1,IF(OR(INDEX('×入力'!$A$1:$L$800,279+R$3,2+R$2)&lt;&gt;"",INDEX('×入力'!$A$1:$L$800,278,2+R$2)&lt;&gt;"",INDEX('×入力'!$A$1:$L$800,279+R$3,1)&lt;&gt;""),1,0),0)</f>
        <v/>
      </c>
      <c r="S27">
        <f>IF(S$4=1,IF(OR(INDEX('×入力'!$A$1:$L$800,279+S$3,2+S$2)&lt;&gt;"",INDEX('×入力'!$A$1:$L$800,278,2+S$2)&lt;&gt;"",INDEX('×入力'!$A$1:$L$800,279+S$3,1)&lt;&gt;""),1,0),0)</f>
        <v/>
      </c>
      <c r="T27">
        <f>IF(T$4=1,IF(OR(INDEX('×入力'!$A$1:$L$800,279+T$3,2+T$2)&lt;&gt;"",INDEX('×入力'!$A$1:$L$800,278,2+T$2)&lt;&gt;"",INDEX('×入力'!$A$1:$L$800,279+T$3,1)&lt;&gt;""),1,0),0)</f>
        <v/>
      </c>
      <c r="U27">
        <f>IF(U$4=1,IF(OR(INDEX('×入力'!$A$1:$L$800,279+U$3,2+U$2)&lt;&gt;"",INDEX('×入力'!$A$1:$L$800,278,2+U$2)&lt;&gt;"",INDEX('×入力'!$A$1:$L$800,279+U$3,1)&lt;&gt;""),1,0),0)</f>
        <v/>
      </c>
      <c r="V27">
        <f>IF(V$4=1,IF(OR(INDEX('×入力'!$A$1:$L$800,279+V$3,2+V$2)&lt;&gt;"",INDEX('×入力'!$A$1:$L$800,278,2+V$2)&lt;&gt;"",INDEX('×入力'!$A$1:$L$800,279+V$3,1)&lt;&gt;""),1,0),0)</f>
        <v/>
      </c>
      <c r="W27">
        <f>IF(W$4=1,IF(OR(INDEX('×入力'!$A$1:$L$800,279+W$3,2+W$2)&lt;&gt;"",INDEX('×入力'!$A$1:$L$800,278,2+W$2)&lt;&gt;"",INDEX('×入力'!$A$1:$L$800,279+W$3,1)&lt;&gt;""),1,0),0)</f>
        <v/>
      </c>
      <c r="X27">
        <f>IF(X$4=1,IF(OR(INDEX('×入力'!$A$1:$L$800,279+X$3,2+X$2)&lt;&gt;"",INDEX('×入力'!$A$1:$L$800,278,2+X$2)&lt;&gt;"",INDEX('×入力'!$A$1:$L$800,279+X$3,1)&lt;&gt;""),1,0),0)</f>
        <v/>
      </c>
      <c r="Y27">
        <f>IF(Y$4=1,IF(OR(INDEX('×入力'!$A$1:$L$800,279+Y$3,2+Y$2)&lt;&gt;"",INDEX('×入力'!$A$1:$L$800,278,2+Y$2)&lt;&gt;"",INDEX('×入力'!$A$1:$L$800,279+Y$3,1)&lt;&gt;""),1,0),0)</f>
        <v/>
      </c>
      <c r="Z27">
        <f>IF(Z$4=1,IF(OR(INDEX('×入力'!$A$1:$L$800,279+Z$3,2+Z$2)&lt;&gt;"",INDEX('×入力'!$A$1:$L$800,278,2+Z$2)&lt;&gt;"",INDEX('×入力'!$A$1:$L$800,279+Z$3,1)&lt;&gt;""),1,0),0)</f>
        <v/>
      </c>
      <c r="AA27">
        <f>IF(AA$4=1,IF(OR(INDEX('×入力'!$A$1:$L$800,279+AA$3,2+AA$2)&lt;&gt;"",INDEX('×入力'!$A$1:$L$800,278,2+AA$2)&lt;&gt;"",INDEX('×入力'!$A$1:$L$800,279+AA$3,1)&lt;&gt;""),1,0),0)</f>
        <v/>
      </c>
      <c r="AB27">
        <f>IF(AB$4=1,IF(OR(INDEX('×入力'!$A$1:$L$800,279+AB$3,2+AB$2)&lt;&gt;"",INDEX('×入力'!$A$1:$L$800,278,2+AB$2)&lt;&gt;"",INDEX('×入力'!$A$1:$L$800,279+AB$3,1)&lt;&gt;""),1,0),0)</f>
        <v/>
      </c>
      <c r="AC27">
        <f>IF(AC$4=1,IF(OR(INDEX('×入力'!$A$1:$L$800,279+AC$3,2+AC$2)&lt;&gt;"",INDEX('×入力'!$A$1:$L$800,278,2+AC$2)&lt;&gt;"",INDEX('×入力'!$A$1:$L$800,279+AC$3,1)&lt;&gt;""),1,0),0)</f>
        <v/>
      </c>
      <c r="AD27">
        <f>IF(AD$4=1,IF(OR(INDEX('×入力'!$A$1:$L$800,279+AD$3,2+AD$2)&lt;&gt;"",INDEX('×入力'!$A$1:$L$800,278,2+AD$2)&lt;&gt;"",INDEX('×入力'!$A$1:$L$800,279+AD$3,1)&lt;&gt;""),1,0),0)</f>
        <v/>
      </c>
      <c r="AE27">
        <f>IF(AE$4=1,IF(OR(INDEX('×入力'!$A$1:$L$800,279+AE$3,2+AE$2)&lt;&gt;"",INDEX('×入力'!$A$1:$L$800,278,2+AE$2)&lt;&gt;"",INDEX('×入力'!$A$1:$L$800,279+AE$3,1)&lt;&gt;""),1,0),0)</f>
        <v/>
      </c>
      <c r="AF27">
        <f>IF(AF$4=1,IF(OR(INDEX('×入力'!$A$1:$L$800,279+AF$3,2+AF$2)&lt;&gt;"",INDEX('×入力'!$A$1:$L$800,278,2+AF$2)&lt;&gt;"",INDEX('×入力'!$A$1:$L$800,279+AF$3,1)&lt;&gt;""),1,0),0)</f>
        <v/>
      </c>
      <c r="AG27">
        <f>IF(AG$4=1,IF(OR(INDEX('×入力'!$A$1:$L$800,279+AG$3,2+AG$2)&lt;&gt;"",INDEX('×入力'!$A$1:$L$800,278,2+AG$2)&lt;&gt;"",INDEX('×入力'!$A$1:$L$800,279+AG$3,1)&lt;&gt;""),1,0),0)</f>
        <v/>
      </c>
      <c r="AH27">
        <f>IF(AH$4=1,IF(OR(INDEX('×入力'!$A$1:$L$800,279+AH$3,2+AH$2)&lt;&gt;"",INDEX('×入力'!$A$1:$L$800,278,2+AH$2)&lt;&gt;"",INDEX('×入力'!$A$1:$L$800,279+AH$3,1)&lt;&gt;""),1,0),0)</f>
        <v/>
      </c>
      <c r="AI27">
        <f>IF(AI$4=1,IF(OR(INDEX('×入力'!$A$1:$L$800,279+AI$3,2+AI$2)&lt;&gt;"",INDEX('×入力'!$A$1:$L$800,278,2+AI$2)&lt;&gt;"",INDEX('×入力'!$A$1:$L$800,279+AI$3,1)&lt;&gt;""),1,0),0)</f>
        <v/>
      </c>
      <c r="AJ27">
        <f>IF(AJ$4=1,IF(OR(INDEX('×入力'!$A$1:$L$800,279+AJ$3,2+AJ$2)&lt;&gt;"",INDEX('×入力'!$A$1:$L$800,278,2+AJ$2)&lt;&gt;"",INDEX('×入力'!$A$1:$L$800,279+AJ$3,1)&lt;&gt;""),1,0),0)</f>
        <v/>
      </c>
      <c r="AK27">
        <f>IF(AK$4=1,IF(OR(INDEX('×入力'!$A$1:$L$800,279+AK$3,2+AK$2)&lt;&gt;"",INDEX('×入力'!$A$1:$L$800,278,2+AK$2)&lt;&gt;"",INDEX('×入力'!$A$1:$L$800,279+AK$3,1)&lt;&gt;""),1,0),0)</f>
        <v/>
      </c>
      <c r="AL27">
        <f>IF(AL$4=1,IF(OR(INDEX('×入力'!$A$1:$L$800,279+AL$3,2+AL$2)&lt;&gt;"",INDEX('×入力'!$A$1:$L$800,278,2+AL$2)&lt;&gt;"",INDEX('×入力'!$A$1:$L$800,279+AL$3,1)&lt;&gt;""),1,0),0)</f>
        <v/>
      </c>
      <c r="AM27">
        <f>IF(AM$4=1,IF(OR(INDEX('×入力'!$A$1:$L$800,279+AM$3,2+AM$2)&lt;&gt;"",INDEX('×入力'!$A$1:$L$800,278,2+AM$2)&lt;&gt;"",INDEX('×入力'!$A$1:$L$800,279+AM$3,1)&lt;&gt;""),1,0),0)</f>
        <v/>
      </c>
      <c r="AN27">
        <f>IF(AN$4=1,IF(OR(INDEX('×入力'!$A$1:$L$800,279+AN$3,2+AN$2)&lt;&gt;"",INDEX('×入力'!$A$1:$L$800,278,2+AN$2)&lt;&gt;"",INDEX('×入力'!$A$1:$L$800,279+AN$3,1)&lt;&gt;""),1,0),0)</f>
        <v/>
      </c>
      <c r="AO27">
        <f>IF(AO$4=1,IF(OR(INDEX('×入力'!$A$1:$L$800,279+AO$3,2+AO$2)&lt;&gt;"",INDEX('×入力'!$A$1:$L$800,278,2+AO$2)&lt;&gt;"",INDEX('×入力'!$A$1:$L$800,279+AO$3,1)&lt;&gt;""),1,0),0)</f>
        <v/>
      </c>
      <c r="AP27">
        <f>IF(AP$4=1,IF(OR(INDEX('×入力'!$A$1:$L$800,279+AP$3,2+AP$2)&lt;&gt;"",INDEX('×入力'!$A$1:$L$800,278,2+AP$2)&lt;&gt;"",INDEX('×入力'!$A$1:$L$800,279+AP$3,1)&lt;&gt;""),1,0),0)</f>
        <v/>
      </c>
      <c r="AQ27">
        <f>IF(AQ$4=1,IF(OR(INDEX('×入力'!$A$1:$L$800,279+AQ$3,2+AQ$2)&lt;&gt;"",INDEX('×入力'!$A$1:$L$800,278,2+AQ$2)&lt;&gt;"",INDEX('×入力'!$A$1:$L$800,279+AQ$3,1)&lt;&gt;""),1,0),0)</f>
        <v/>
      </c>
      <c r="AR27">
        <f>IF(AR$4=1,IF(OR(INDEX('×入力'!$A$1:$L$800,279+AR$3,2+AR$2)&lt;&gt;"",INDEX('×入力'!$A$1:$L$800,278,2+AR$2)&lt;&gt;"",INDEX('×入力'!$A$1:$L$800,279+AR$3,1)&lt;&gt;""),1,0),0)</f>
        <v/>
      </c>
      <c r="AS27">
        <f>IF(AS$4=1,IF(OR(INDEX('×入力'!$A$1:$L$800,279+AS$3,2+AS$2)&lt;&gt;"",INDEX('×入力'!$A$1:$L$800,278,2+AS$2)&lt;&gt;"",INDEX('×入力'!$A$1:$L$800,279+AS$3,1)&lt;&gt;""),1,0),0)</f>
        <v/>
      </c>
      <c r="AT27">
        <f>IF(AT$4=1,IF(OR(INDEX('×入力'!$A$1:$L$800,279+AT$3,2+AT$2)&lt;&gt;"",INDEX('×入力'!$A$1:$L$800,278,2+AT$2)&lt;&gt;"",INDEX('×入力'!$A$1:$L$800,279+AT$3,1)&lt;&gt;""),1,0),0)</f>
        <v/>
      </c>
      <c r="AU27">
        <f>IF(AU$4=1,IF(OR(INDEX('×入力'!$A$1:$L$800,279+AU$3,2+AU$2)&lt;&gt;"",INDEX('×入力'!$A$1:$L$800,278,2+AU$2)&lt;&gt;"",INDEX('×入力'!$A$1:$L$800,279+AU$3,1)&lt;&gt;""),1,0),0)</f>
        <v/>
      </c>
      <c r="AV27">
        <f>IF(AV$4=1,IF(OR(INDEX('×入力'!$A$1:$L$800,279+AV$3,2+AV$2)&lt;&gt;"",INDEX('×入力'!$A$1:$L$800,278,2+AV$2)&lt;&gt;"",INDEX('×入力'!$A$1:$L$800,279+AV$3,1)&lt;&gt;""),1,0),0)</f>
        <v/>
      </c>
      <c r="AW27">
        <f>IF(AW$4=1,IF(OR(INDEX('×入力'!$A$1:$L$800,279+AW$3,2+AW$2)&lt;&gt;"",INDEX('×入力'!$A$1:$L$800,278,2+AW$2)&lt;&gt;"",INDEX('×入力'!$A$1:$L$800,279+AW$3,1)&lt;&gt;""),1,0),0)</f>
        <v/>
      </c>
      <c r="AX27">
        <f>IF(AX$4=1,IF(OR(INDEX('×入力'!$A$1:$L$800,279+AX$3,2+AX$2)&lt;&gt;"",INDEX('×入力'!$A$1:$L$800,278,2+AX$2)&lt;&gt;"",INDEX('×入力'!$A$1:$L$800,279+AX$3,1)&lt;&gt;""),1,0),0)</f>
        <v/>
      </c>
      <c r="AY27">
        <f>IF(AY$4=1,IF(OR(INDEX('×入力'!$A$1:$L$800,279+AY$3,2+AY$2)&lt;&gt;"",INDEX('×入力'!$A$1:$L$800,278,2+AY$2)&lt;&gt;"",INDEX('×入力'!$A$1:$L$800,279+AY$3,1)&lt;&gt;""),1,0),0)</f>
        <v/>
      </c>
      <c r="AZ27">
        <f>IF(AZ$4=1,IF(OR(INDEX('×入力'!$A$1:$L$800,279+AZ$3,2+AZ$2)&lt;&gt;"",INDEX('×入力'!$A$1:$L$800,278,2+AZ$2)&lt;&gt;"",INDEX('×入力'!$A$1:$L$800,279+AZ$3,1)&lt;&gt;""),1,0),0)</f>
        <v/>
      </c>
      <c r="BA27">
        <f>IF(BA$4=1,IF(OR(INDEX('×入力'!$A$1:$L$800,279+BA$3,2+BA$2)&lt;&gt;"",INDEX('×入力'!$A$1:$L$800,278,2+BA$2)&lt;&gt;"",INDEX('×入力'!$A$1:$L$800,279+BA$3,1)&lt;&gt;""),1,0),0)</f>
        <v/>
      </c>
      <c r="BB27">
        <f>IF(BB$4=1,IF(OR(INDEX('×入力'!$A$1:$L$800,279+BB$3,2+BB$2)&lt;&gt;"",INDEX('×入力'!$A$1:$L$800,278,2+BB$2)&lt;&gt;"",INDEX('×入力'!$A$1:$L$800,279+BB$3,1)&lt;&gt;""),1,0),0)</f>
        <v/>
      </c>
      <c r="BC27">
        <f>IF(BC$4=1,IF(OR(INDEX('×入力'!$A$1:$L$800,279+BC$3,2+BC$2)&lt;&gt;"",INDEX('×入力'!$A$1:$L$800,278,2+BC$2)&lt;&gt;"",INDEX('×入力'!$A$1:$L$800,279+BC$3,1)&lt;&gt;""),1,0),0)</f>
        <v/>
      </c>
      <c r="BD27">
        <f>IF(BD$4=1,IF(OR(INDEX('×入力'!$A$1:$L$800,279+BD$3,2+BD$2)&lt;&gt;"",INDEX('×入力'!$A$1:$L$800,278,2+BD$2)&lt;&gt;"",INDEX('×入力'!$A$1:$L$800,279+BD$3,1)&lt;&gt;""),1,0),0)</f>
        <v/>
      </c>
      <c r="BE27">
        <f>IF(BE$4=1,IF(OR(INDEX('×入力'!$A$1:$L$800,279+BE$3,2+BE$2)&lt;&gt;"",INDEX('×入力'!$A$1:$L$800,278,2+BE$2)&lt;&gt;"",INDEX('×入力'!$A$1:$L$800,279+BE$3,1)&lt;&gt;""),1,0),0)</f>
        <v/>
      </c>
      <c r="BF27">
        <f>IF(BF$4=1,IF(OR(INDEX('×入力'!$A$1:$L$800,279+BF$3,2+BF$2)&lt;&gt;"",INDEX('×入力'!$A$1:$L$800,278,2+BF$2)&lt;&gt;"",INDEX('×入力'!$A$1:$L$800,279+BF$3,1)&lt;&gt;""),1,0),0)</f>
        <v/>
      </c>
      <c r="BG27">
        <f>IF(BG$4=1,IF(OR(INDEX('×入力'!$A$1:$L$800,279+BG$3,2+BG$2)&lt;&gt;"",INDEX('×入力'!$A$1:$L$800,278,2+BG$2)&lt;&gt;"",INDEX('×入力'!$A$1:$L$800,279+BG$3,1)&lt;&gt;""),1,0),0)</f>
        <v/>
      </c>
      <c r="BH27">
        <f>IF(BH$4=1,IF(OR(INDEX('×入力'!$A$1:$L$800,279+BH$3,2+BH$2)&lt;&gt;"",INDEX('×入力'!$A$1:$L$800,278,2+BH$2)&lt;&gt;"",INDEX('×入力'!$A$1:$L$800,279+BH$3,1)&lt;&gt;""),1,0),0)</f>
        <v/>
      </c>
      <c r="BI27">
        <f>IF(BI$4=1,IF(OR(INDEX('×入力'!$A$1:$L$800,279+BI$3,2+BI$2)&lt;&gt;"",INDEX('×入力'!$A$1:$L$800,278,2+BI$2)&lt;&gt;"",INDEX('×入力'!$A$1:$L$800,279+BI$3,1)&lt;&gt;""),1,0),0)</f>
        <v/>
      </c>
      <c r="BJ27">
        <f>IF(BJ$4=1,IF(OR(INDEX('×入力'!$A$1:$L$800,279+BJ$3,2+BJ$2)&lt;&gt;"",INDEX('×入力'!$A$1:$L$800,278,2+BJ$2)&lt;&gt;"",INDEX('×入力'!$A$1:$L$800,279+BJ$3,1)&lt;&gt;""),1,0),0)</f>
        <v/>
      </c>
      <c r="BK27">
        <f>IF(BK$4=1,IF(OR(INDEX('×入力'!$A$1:$L$800,279+BK$3,2+BK$2)&lt;&gt;"",INDEX('×入力'!$A$1:$L$800,278,2+BK$2)&lt;&gt;"",INDEX('×入力'!$A$1:$L$800,279+BK$3,1)&lt;&gt;""),1,0),0)</f>
        <v/>
      </c>
      <c r="BL27">
        <f>IF(BL$4=1,IF(OR(INDEX('×入力'!$A$1:$L$800,279+BL$3,2+BL$2)&lt;&gt;"",INDEX('×入力'!$A$1:$L$800,278,2+BL$2)&lt;&gt;"",INDEX('×入力'!$A$1:$L$800,279+BL$3,1)&lt;&gt;""),1,0),0)</f>
        <v/>
      </c>
      <c r="BM27">
        <f>IF(BM$4=1,IF(OR(INDEX('×入力'!$A$1:$L$800,279+BM$3,2+BM$2)&lt;&gt;"",INDEX('×入力'!$A$1:$L$800,278,2+BM$2)&lt;&gt;"",INDEX('×入力'!$A$1:$L$800,279+BM$3,1)&lt;&gt;""),1,0),0)</f>
        <v/>
      </c>
      <c r="BN27">
        <f>IF(BN$4=1,IF(OR(INDEX('×入力'!$A$1:$L$800,279+BN$3,2+BN$2)&lt;&gt;"",INDEX('×入力'!$A$1:$L$800,278,2+BN$2)&lt;&gt;"",INDEX('×入力'!$A$1:$L$800,279+BN$3,1)&lt;&gt;""),1,0),0)</f>
        <v/>
      </c>
      <c r="BO27">
        <f>IF(BO$4=1,IF(OR(INDEX('×入力'!$A$1:$L$800,279+BO$3,2+BO$2)&lt;&gt;"",INDEX('×入力'!$A$1:$L$800,278,2+BO$2)&lt;&gt;"",INDEX('×入力'!$A$1:$L$800,279+BO$3,1)&lt;&gt;""),1,0),0)</f>
        <v/>
      </c>
      <c r="BP27">
        <f>IF(BP$4=1,IF(OR(INDEX('×入力'!$A$1:$L$800,279+BP$3,2+BP$2)&lt;&gt;"",INDEX('×入力'!$A$1:$L$800,278,2+BP$2)&lt;&gt;"",INDEX('×入力'!$A$1:$L$800,279+BP$3,1)&lt;&gt;""),1,0),0)</f>
        <v/>
      </c>
      <c r="BQ27">
        <f>IF(BQ$4=1,IF(OR(INDEX('×入力'!$A$1:$L$800,279+BQ$3,2+BQ$2)&lt;&gt;"",INDEX('×入力'!$A$1:$L$800,278,2+BQ$2)&lt;&gt;"",INDEX('×入力'!$A$1:$L$800,279+BQ$3,1)&lt;&gt;""),1,0),0)</f>
        <v/>
      </c>
      <c r="BR27">
        <f>IF(BR$4=1,IF(OR(INDEX('×入力'!$A$1:$L$800,279+BR$3,2+BR$2)&lt;&gt;"",INDEX('×入力'!$A$1:$L$800,278,2+BR$2)&lt;&gt;"",INDEX('×入力'!$A$1:$L$800,279+BR$3,1)&lt;&gt;""),1,0),0)</f>
        <v/>
      </c>
      <c r="BS27">
        <f>IF(BS$4=1,IF(OR(INDEX('×入力'!$A$1:$L$800,279+BS$3,2+BS$2)&lt;&gt;"",INDEX('×入力'!$A$1:$L$800,278,2+BS$2)&lt;&gt;"",INDEX('×入力'!$A$1:$L$800,279+BS$3,1)&lt;&gt;""),1,0),0)</f>
        <v/>
      </c>
      <c r="BT27">
        <f>IF(BT$4=1,IF(OR(INDEX('×入力'!$A$1:$L$800,279+BT$3,2+BT$2)&lt;&gt;"",INDEX('×入力'!$A$1:$L$800,278,2+BT$2)&lt;&gt;"",INDEX('×入力'!$A$1:$L$800,279+BT$3,1)&lt;&gt;""),1,0),0)</f>
        <v/>
      </c>
      <c r="BU27">
        <f>IF(BU$4=1,IF(OR(INDEX('×入力'!$A$1:$L$800,279+BU$3,2+BU$2)&lt;&gt;"",INDEX('×入力'!$A$1:$L$800,278,2+BU$2)&lt;&gt;"",INDEX('×入力'!$A$1:$L$800,279+BU$3,1)&lt;&gt;""),1,0),0)</f>
        <v/>
      </c>
      <c r="BV27">
        <f>IF(BV$4=1,IF(OR(INDEX('×入力'!$A$1:$L$800,279+BV$3,2+BV$2)&lt;&gt;"",INDEX('×入力'!$A$1:$L$800,278,2+BV$2)&lt;&gt;"",INDEX('×入力'!$A$1:$L$800,279+BV$3,1)&lt;&gt;""),1,0),0)</f>
        <v/>
      </c>
      <c r="BW27">
        <f>IF(BW$4=1,IF(OR(INDEX('×入力'!$A$1:$L$800,279+BW$3,2+BW$2)&lt;&gt;"",INDEX('×入力'!$A$1:$L$800,278,2+BW$2)&lt;&gt;"",INDEX('×入力'!$A$1:$L$800,279+BW$3,1)&lt;&gt;""),1,0),0)</f>
        <v/>
      </c>
      <c r="BX27">
        <f>IF(BX$4=1,IF(OR(INDEX('×入力'!$A$1:$L$800,279+BX$3,2+BX$2)&lt;&gt;"",INDEX('×入力'!$A$1:$L$800,278,2+BX$2)&lt;&gt;"",INDEX('×入力'!$A$1:$L$800,279+BX$3,1)&lt;&gt;""),1,0),0)</f>
        <v/>
      </c>
      <c r="BY27">
        <f>IF(BY$4=1,IF(OR(INDEX('×入力'!$A$1:$L$800,279+BY$3,2+BY$2)&lt;&gt;"",INDEX('×入力'!$A$1:$L$800,278,2+BY$2)&lt;&gt;"",INDEX('×入力'!$A$1:$L$800,279+BY$3,1)&lt;&gt;""),1,0),0)</f>
        <v/>
      </c>
      <c r="BZ27">
        <f>IF(BZ$4=1,IF(OR(INDEX('×入力'!$A$1:$L$800,279+BZ$3,2+BZ$2)&lt;&gt;"",INDEX('×入力'!$A$1:$L$800,278,2+BZ$2)&lt;&gt;"",INDEX('×入力'!$A$1:$L$800,279+BZ$3,1)&lt;&gt;""),1,0),0)</f>
        <v/>
      </c>
      <c r="CA27">
        <f>IF(CA$4=1,IF(OR(INDEX('×入力'!$A$1:$L$800,279+CA$3,2+CA$2)&lt;&gt;"",INDEX('×入力'!$A$1:$L$800,278,2+CA$2)&lt;&gt;"",INDEX('×入力'!$A$1:$L$800,279+CA$3,1)&lt;&gt;""),1,0),0)</f>
        <v/>
      </c>
      <c r="CB27">
        <f>IF(CB$4=1,IF(OR(INDEX('×入力'!$A$1:$L$800,279+CB$3,2+CB$2)&lt;&gt;"",INDEX('×入力'!$A$1:$L$800,278,2+CB$2)&lt;&gt;"",INDEX('×入力'!$A$1:$L$800,279+CB$3,1)&lt;&gt;""),1,0),0)</f>
        <v/>
      </c>
      <c r="CC27">
        <f>IF(CC$4=1,IF(OR(INDEX('×入力'!$A$1:$L$800,279+CC$3,2+CC$2)&lt;&gt;"",INDEX('×入力'!$A$1:$L$800,278,2+CC$2)&lt;&gt;"",INDEX('×入力'!$A$1:$L$800,279+CC$3,1)&lt;&gt;""),1,0),0)</f>
        <v/>
      </c>
      <c r="CD27">
        <f>IF(CD$4=1,IF(OR(INDEX('×入力'!$A$1:$L$800,279+CD$3,2+CD$2)&lt;&gt;"",INDEX('×入力'!$A$1:$L$800,278,2+CD$2)&lt;&gt;"",INDEX('×入力'!$A$1:$L$800,279+CD$3,1)&lt;&gt;""),1,0),0)</f>
        <v/>
      </c>
      <c r="CE27">
        <f>IF(CE$4=1,IF(OR(INDEX('×入力'!$A$1:$L$800,279+CE$3,2+CE$2)&lt;&gt;"",INDEX('×入力'!$A$1:$L$800,278,2+CE$2)&lt;&gt;"",INDEX('×入力'!$A$1:$L$800,279+CE$3,1)&lt;&gt;""),1,0),0)</f>
        <v/>
      </c>
      <c r="CF27">
        <f>IF(CF$4=1,IF(OR(INDEX('×入力'!$A$1:$L$800,279+CF$3,2+CF$2)&lt;&gt;"",INDEX('×入力'!$A$1:$L$800,278,2+CF$2)&lt;&gt;"",INDEX('×入力'!$A$1:$L$800,279+CF$3,1)&lt;&gt;""),1,0),0)</f>
        <v/>
      </c>
      <c r="CG27">
        <f>IF(CG$4=1,IF(OR(INDEX('×入力'!$A$1:$L$800,279+CG$3,2+CG$2)&lt;&gt;"",INDEX('×入力'!$A$1:$L$800,278,2+CG$2)&lt;&gt;"",INDEX('×入力'!$A$1:$L$800,279+CG$3,1)&lt;&gt;""),1,0),0)</f>
        <v/>
      </c>
      <c r="CH27">
        <f>IF(CH$4=1,IF(OR(INDEX('×入力'!$A$1:$L$800,279+CH$3,2+CH$2)&lt;&gt;"",INDEX('×入力'!$A$1:$L$800,278,2+CH$2)&lt;&gt;"",INDEX('×入力'!$A$1:$L$800,279+CH$3,1)&lt;&gt;""),1,0),0)</f>
        <v/>
      </c>
      <c r="CI27">
        <f>IF(CI$4=1,IF(OR(INDEX('×入力'!$A$1:$L$800,279+CI$3,2+CI$2)&lt;&gt;"",INDEX('×入力'!$A$1:$L$800,278,2+CI$2)&lt;&gt;"",INDEX('×入力'!$A$1:$L$800,279+CI$3,1)&lt;&gt;""),1,0),0)</f>
        <v/>
      </c>
      <c r="CJ27">
        <f>IF(CJ$4=1,IF(OR(INDEX('×入力'!$A$1:$L$800,279+CJ$3,2+CJ$2)&lt;&gt;"",INDEX('×入力'!$A$1:$L$800,278,2+CJ$2)&lt;&gt;"",INDEX('×入力'!$A$1:$L$800,279+CJ$3,1)&lt;&gt;""),1,0),0)</f>
        <v/>
      </c>
      <c r="CK27">
        <f>IF(CK$4=1,IF(OR(INDEX('×入力'!$A$1:$L$800,279+CK$3,2+CK$2)&lt;&gt;"",INDEX('×入力'!$A$1:$L$800,278,2+CK$2)&lt;&gt;"",INDEX('×入力'!$A$1:$L$800,279+CK$3,1)&lt;&gt;""),1,0),0)</f>
        <v/>
      </c>
      <c r="CL27">
        <f>IF(CL$4=1,IF(OR(INDEX('×入力'!$A$1:$L$800,279+CL$3,2+CL$2)&lt;&gt;"",INDEX('×入力'!$A$1:$L$800,278,2+CL$2)&lt;&gt;"",INDEX('×入力'!$A$1:$L$800,279+CL$3,1)&lt;&gt;""),1,0),0)</f>
        <v/>
      </c>
      <c r="CM27">
        <f>IF(CM$4=1,IF(OR(INDEX('×入力'!$A$1:$L$800,279+CM$3,2+CM$2)&lt;&gt;"",INDEX('×入力'!$A$1:$L$800,278,2+CM$2)&lt;&gt;"",INDEX('×入力'!$A$1:$L$800,279+CM$3,1)&lt;&gt;""),1,0),0)</f>
        <v/>
      </c>
      <c r="CN27">
        <f>IF(CN$4=1,IF(OR(INDEX('×入力'!$A$1:$L$800,279+CN$3,2+CN$2)&lt;&gt;"",INDEX('×入力'!$A$1:$L$800,278,2+CN$2)&lt;&gt;"",INDEX('×入力'!$A$1:$L$800,279+CN$3,1)&lt;&gt;""),1,0),0)</f>
        <v/>
      </c>
      <c r="CO27">
        <f>IF(CO$4=1,IF(OR(INDEX('×入力'!$A$1:$L$800,279+CO$3,2+CO$2)&lt;&gt;"",INDEX('×入力'!$A$1:$L$800,278,2+CO$2)&lt;&gt;"",INDEX('×入力'!$A$1:$L$800,279+CO$3,1)&lt;&gt;""),1,0),0)</f>
        <v/>
      </c>
      <c r="CP27">
        <f>IF(CP$4=1,IF(OR(INDEX('×入力'!$A$1:$L$800,279+CP$3,2+CP$2)&lt;&gt;"",INDEX('×入力'!$A$1:$L$800,278,2+CP$2)&lt;&gt;"",INDEX('×入力'!$A$1:$L$800,279+CP$3,1)&lt;&gt;""),1,0),0)</f>
        <v/>
      </c>
      <c r="CQ27">
        <f>IF(CQ$4=1,IF(OR(INDEX('×入力'!$A$1:$L$800,279+CQ$3,2+CQ$2)&lt;&gt;"",INDEX('×入力'!$A$1:$L$800,278,2+CQ$2)&lt;&gt;"",INDEX('×入力'!$A$1:$L$800,279+CQ$3,1)&lt;&gt;""),1,0),0)</f>
        <v/>
      </c>
      <c r="CR27">
        <f>IF(CR$4=1,IF(OR(INDEX('×入力'!$A$1:$L$800,279+CR$3,2+CR$2)&lt;&gt;"",INDEX('×入力'!$A$1:$L$800,278,2+CR$2)&lt;&gt;"",INDEX('×入力'!$A$1:$L$800,279+CR$3,1)&lt;&gt;""),1,0),0)</f>
        <v/>
      </c>
      <c r="CS27">
        <f>IF(CS$4=1,IF(OR(INDEX('×入力'!$A$1:$L$800,279+CS$3,2+CS$2)&lt;&gt;"",INDEX('×入力'!$A$1:$L$800,278,2+CS$2)&lt;&gt;"",INDEX('×入力'!$A$1:$L$800,279+CS$3,1)&lt;&gt;""),1,0),0)</f>
        <v/>
      </c>
      <c r="CT27">
        <f>IF(CT$4=1,IF(OR(INDEX('×入力'!$A$1:$L$800,279+CT$3,2+CT$2)&lt;&gt;"",INDEX('×入力'!$A$1:$L$800,278,2+CT$2)&lt;&gt;"",INDEX('×入力'!$A$1:$L$800,279+CT$3,1)&lt;&gt;""),1,0),0)</f>
        <v/>
      </c>
      <c r="CU27">
        <f>IF(CU$4=1,IF(OR(INDEX('×入力'!$A$1:$L$800,279+CU$3,2+CU$2)&lt;&gt;"",INDEX('×入力'!$A$1:$L$800,278,2+CU$2)&lt;&gt;"",INDEX('×入力'!$A$1:$L$800,279+CU$3,1)&lt;&gt;""),1,0),0)</f>
        <v/>
      </c>
      <c r="CV27">
        <f>IF(CV$4=1,IF(OR(INDEX('×入力'!$A$1:$L$800,279+CV$3,2+CV$2)&lt;&gt;"",INDEX('×入力'!$A$1:$L$800,278,2+CV$2)&lt;&gt;"",INDEX('×入力'!$A$1:$L$800,279+CV$3,1)&lt;&gt;""),1,0),0)</f>
        <v/>
      </c>
      <c r="CW27">
        <f>IF(CW$4=1,IF(OR(INDEX('×入力'!$A$1:$L$800,279+CW$3,2+CW$2)&lt;&gt;"",INDEX('×入力'!$A$1:$L$800,278,2+CW$2)&lt;&gt;"",INDEX('×入力'!$A$1:$L$800,279+CW$3,1)&lt;&gt;""),1,0),0)</f>
        <v/>
      </c>
      <c r="CX27">
        <f>IF(CX$4=1,IF(OR(INDEX('×入力'!$A$1:$L$800,279+CX$3,2+CX$2)&lt;&gt;"",INDEX('×入力'!$A$1:$L$800,278,2+CX$2)&lt;&gt;"",INDEX('×入力'!$A$1:$L$800,279+CX$3,1)&lt;&gt;""),1,0),0)</f>
        <v/>
      </c>
      <c r="CY27">
        <f>IF(CY$4=1,IF(OR(INDEX('×入力'!$A$1:$L$800,279+CY$3,2+CY$2)&lt;&gt;"",INDEX('×入力'!$A$1:$L$800,278,2+CY$2)&lt;&gt;"",INDEX('×入力'!$A$1:$L$800,279+CY$3,1)&lt;&gt;""),1,0),0)</f>
        <v/>
      </c>
      <c r="CZ27">
        <f>IF(CZ$4=1,IF(OR(INDEX('×入力'!$A$1:$L$800,279+CZ$3,2+CZ$2)&lt;&gt;"",INDEX('×入力'!$A$1:$L$800,278,2+CZ$2)&lt;&gt;"",INDEX('×入力'!$A$1:$L$800,279+CZ$3,1)&lt;&gt;""),1,0),0)</f>
        <v/>
      </c>
      <c r="DA27">
        <f>IF(DA$4=1,IF(OR(INDEX('×入力'!$A$1:$L$800,279+DA$3,2+DA$2)&lt;&gt;"",INDEX('×入力'!$A$1:$L$800,278,2+DA$2)&lt;&gt;"",INDEX('×入力'!$A$1:$L$800,279+DA$3,1)&lt;&gt;""),1,0),0)</f>
        <v/>
      </c>
      <c r="DB27">
        <f>IF(DB$4=1,IF(OR(INDEX('×入力'!$A$1:$L$800,279+DB$3,2+DB$2)&lt;&gt;"",INDEX('×入力'!$A$1:$L$800,278,2+DB$2)&lt;&gt;"",INDEX('×入力'!$A$1:$L$800,279+DB$3,1)&lt;&gt;""),1,0),0)</f>
        <v/>
      </c>
      <c r="DC27">
        <f>IF(DC$4=1,IF(OR(INDEX('×入力'!$A$1:$L$800,279+DC$3,2+DC$2)&lt;&gt;"",INDEX('×入力'!$A$1:$L$800,278,2+DC$2)&lt;&gt;"",INDEX('×入力'!$A$1:$L$800,279+DC$3,1)&lt;&gt;""),1,0),0)</f>
        <v/>
      </c>
      <c r="DD27">
        <f>IF(DD$4=1,IF(OR(INDEX('×入力'!$A$1:$L$800,279+DD$3,2+DD$2)&lt;&gt;"",INDEX('×入力'!$A$1:$L$800,278,2+DD$2)&lt;&gt;"",INDEX('×入力'!$A$1:$L$800,279+DD$3,1)&lt;&gt;""),1,0),0)</f>
        <v/>
      </c>
      <c r="DE27">
        <f>IF(DE$4=1,IF(OR(INDEX('×入力'!$A$1:$L$800,279+DE$3,2+DE$2)&lt;&gt;"",INDEX('×入力'!$A$1:$L$800,278,2+DE$2)&lt;&gt;"",INDEX('×入力'!$A$1:$L$800,279+DE$3,1)&lt;&gt;""),1,0),0)</f>
        <v/>
      </c>
      <c r="DF27">
        <f>IF(DF$4=1,IF(OR(INDEX('×入力'!$A$1:$L$800,279+DF$3,2+DF$2)&lt;&gt;"",INDEX('×入力'!$A$1:$L$800,278,2+DF$2)&lt;&gt;"",INDEX('×入力'!$A$1:$L$800,279+DF$3,1)&lt;&gt;""),1,0),0)</f>
        <v/>
      </c>
      <c r="DG27">
        <f>IF(DG$4=1,IF(OR(INDEX('×入力'!$A$1:$L$800,279+DG$3,2+DG$2)&lt;&gt;"",INDEX('×入力'!$A$1:$L$800,278,2+DG$2)&lt;&gt;"",INDEX('×入力'!$A$1:$L$800,279+DG$3,1)&lt;&gt;""),1,0),0)</f>
        <v/>
      </c>
      <c r="DH27">
        <f>IF(DH$4=1,IF(OR(INDEX('×入力'!$A$1:$L$800,279+DH$3,2+DH$2)&lt;&gt;"",INDEX('×入力'!$A$1:$L$800,278,2+DH$2)&lt;&gt;"",INDEX('×入力'!$A$1:$L$800,279+DH$3,1)&lt;&gt;""),1,0),0)</f>
        <v/>
      </c>
      <c r="DI27">
        <f>IF(DI$4=1,IF(OR(INDEX('×入力'!$A$1:$L$800,279+DI$3,2+DI$2)&lt;&gt;"",INDEX('×入力'!$A$1:$L$800,278,2+DI$2)&lt;&gt;"",INDEX('×入力'!$A$1:$L$800,279+DI$3,1)&lt;&gt;""),1,0),0)</f>
        <v/>
      </c>
      <c r="DJ27">
        <f>IF(DJ$4=1,IF(OR(INDEX('×入力'!$A$1:$L$800,279+DJ$3,2+DJ$2)&lt;&gt;"",INDEX('×入力'!$A$1:$L$800,278,2+DJ$2)&lt;&gt;"",INDEX('×入力'!$A$1:$L$800,279+DJ$3,1)&lt;&gt;""),1,0),0)</f>
        <v/>
      </c>
      <c r="DK27">
        <f>IF(DK$4=1,IF(OR(INDEX('×入力'!$A$1:$L$800,279+DK$3,2+DK$2)&lt;&gt;"",INDEX('×入力'!$A$1:$L$800,278,2+DK$2)&lt;&gt;"",INDEX('×入力'!$A$1:$L$800,279+DK$3,1)&lt;&gt;""),1,0),0)</f>
        <v/>
      </c>
      <c r="DL27">
        <f>IF(DL$4=1,IF(OR(INDEX('×入力'!$A$1:$L$800,279+DL$3,2+DL$2)&lt;&gt;"",INDEX('×入力'!$A$1:$L$800,278,2+DL$2)&lt;&gt;"",INDEX('×入力'!$A$1:$L$800,279+DL$3,1)&lt;&gt;""),1,0),0)</f>
        <v/>
      </c>
      <c r="DM27">
        <f>IF(DM$4=1,IF(OR(INDEX('×入力'!$A$1:$L$800,279+DM$3,2+DM$2)&lt;&gt;"",INDEX('×入力'!$A$1:$L$800,278,2+DM$2)&lt;&gt;"",INDEX('×入力'!$A$1:$L$800,279+DM$3,1)&lt;&gt;""),1,0),0)</f>
        <v/>
      </c>
      <c r="DN27">
        <f>IF(DN$4=1,IF(OR(INDEX('×入力'!$A$1:$L$800,279+DN$3,2+DN$2)&lt;&gt;"",INDEX('×入力'!$A$1:$L$800,278,2+DN$2)&lt;&gt;"",INDEX('×入力'!$A$1:$L$800,279+DN$3,1)&lt;&gt;""),1,0),0)</f>
        <v/>
      </c>
      <c r="DO27">
        <f>IF(DO$4=1,IF(OR(INDEX('×入力'!$A$1:$L$800,279+DO$3,2+DO$2)&lt;&gt;"",INDEX('×入力'!$A$1:$L$800,278,2+DO$2)&lt;&gt;"",INDEX('×入力'!$A$1:$L$800,279+DO$3,1)&lt;&gt;""),1,0),0)</f>
        <v/>
      </c>
      <c r="DP27">
        <f>IF(DP$4=1,IF(OR(INDEX('×入力'!$A$1:$L$800,279+DP$3,2+DP$2)&lt;&gt;"",INDEX('×入力'!$A$1:$L$800,278,2+DP$2)&lt;&gt;"",INDEX('×入力'!$A$1:$L$800,279+DP$3,1)&lt;&gt;""),1,0),0)</f>
        <v/>
      </c>
      <c r="DQ27">
        <f>IF(DQ$4=1,IF(OR(INDEX('×入力'!$A$1:$L$800,279+DQ$3,2+DQ$2)&lt;&gt;"",INDEX('×入力'!$A$1:$L$800,278,2+DQ$2)&lt;&gt;"",INDEX('×入力'!$A$1:$L$800,279+DQ$3,1)&lt;&gt;""),1,0),0)</f>
        <v/>
      </c>
      <c r="DR27">
        <f>IF(DR$4=1,IF(OR(INDEX('×入力'!$A$1:$L$800,279+DR$3,2+DR$2)&lt;&gt;"",INDEX('×入力'!$A$1:$L$800,278,2+DR$2)&lt;&gt;"",INDEX('×入力'!$A$1:$L$800,279+DR$3,1)&lt;&gt;""),1,0),0)</f>
        <v/>
      </c>
      <c r="DS27">
        <f>IF(DS$4=1,IF(OR(INDEX('×入力'!$A$1:$L$800,279+DS$3,2+DS$2)&lt;&gt;"",INDEX('×入力'!$A$1:$L$800,278,2+DS$2)&lt;&gt;"",INDEX('×入力'!$A$1:$L$800,279+DS$3,1)&lt;&gt;""),1,0),0)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IF(D$4=1,IF(OR(INDEX('×入力'!$A$1:$L$800,295+D$3,2+D$2)&lt;&gt;"",INDEX('×入力'!$A$1:$L$800,294,2+D$2)&lt;&gt;"",INDEX('×入力'!$A$1:$L$800,295+D$3,1)&lt;&gt;""),1,0),0)</f>
        <v/>
      </c>
      <c r="E28">
        <f>IF(E$4=1,IF(OR(INDEX('×入力'!$A$1:$L$800,295+E$3,2+E$2)&lt;&gt;"",INDEX('×入力'!$A$1:$L$800,294,2+E$2)&lt;&gt;"",INDEX('×入力'!$A$1:$L$800,295+E$3,1)&lt;&gt;""),1,0),0)</f>
        <v/>
      </c>
      <c r="F28">
        <f>IF(F$4=1,IF(OR(INDEX('×入力'!$A$1:$L$800,295+F$3,2+F$2)&lt;&gt;"",INDEX('×入力'!$A$1:$L$800,294,2+F$2)&lt;&gt;"",INDEX('×入力'!$A$1:$L$800,295+F$3,1)&lt;&gt;""),1,0),0)</f>
        <v/>
      </c>
      <c r="G28">
        <f>IF(G$4=1,IF(OR(INDEX('×入力'!$A$1:$L$800,295+G$3,2+G$2)&lt;&gt;"",INDEX('×入力'!$A$1:$L$800,294,2+G$2)&lt;&gt;"",INDEX('×入力'!$A$1:$L$800,295+G$3,1)&lt;&gt;""),1,0),0)</f>
        <v/>
      </c>
      <c r="H28">
        <f>IF(H$4=1,IF(OR(INDEX('×入力'!$A$1:$L$800,295+H$3,2+H$2)&lt;&gt;"",INDEX('×入力'!$A$1:$L$800,294,2+H$2)&lt;&gt;"",INDEX('×入力'!$A$1:$L$800,295+H$3,1)&lt;&gt;""),1,0),0)</f>
        <v/>
      </c>
      <c r="I28">
        <f>IF(I$4=1,IF(OR(INDEX('×入力'!$A$1:$L$800,295+I$3,2+I$2)&lt;&gt;"",INDEX('×入力'!$A$1:$L$800,294,2+I$2)&lt;&gt;"",INDEX('×入力'!$A$1:$L$800,295+I$3,1)&lt;&gt;""),1,0),0)</f>
        <v/>
      </c>
      <c r="J28">
        <f>IF(J$4=1,IF(OR(INDEX('×入力'!$A$1:$L$800,295+J$3,2+J$2)&lt;&gt;"",INDEX('×入力'!$A$1:$L$800,294,2+J$2)&lt;&gt;"",INDEX('×入力'!$A$1:$L$800,295+J$3,1)&lt;&gt;""),1,0),0)</f>
        <v/>
      </c>
      <c r="K28">
        <f>IF(K$4=1,IF(OR(INDEX('×入力'!$A$1:$L$800,295+K$3,2+K$2)&lt;&gt;"",INDEX('×入力'!$A$1:$L$800,294,2+K$2)&lt;&gt;"",INDEX('×入力'!$A$1:$L$800,295+K$3,1)&lt;&gt;""),1,0),0)</f>
        <v/>
      </c>
      <c r="L28">
        <f>IF(L$4=1,IF(OR(INDEX('×入力'!$A$1:$L$800,295+L$3,2+L$2)&lt;&gt;"",INDEX('×入力'!$A$1:$L$800,294,2+L$2)&lt;&gt;"",INDEX('×入力'!$A$1:$L$800,295+L$3,1)&lt;&gt;""),1,0),0)</f>
        <v/>
      </c>
      <c r="M28">
        <f>IF(M$4=1,IF(OR(INDEX('×入力'!$A$1:$L$800,295+M$3,2+M$2)&lt;&gt;"",INDEX('×入力'!$A$1:$L$800,294,2+M$2)&lt;&gt;"",INDEX('×入力'!$A$1:$L$800,295+M$3,1)&lt;&gt;""),1,0),0)</f>
        <v/>
      </c>
      <c r="N28">
        <f>IF(N$4=1,IF(OR(INDEX('×入力'!$A$1:$L$800,295+N$3,2+N$2)&lt;&gt;"",INDEX('×入力'!$A$1:$L$800,294,2+N$2)&lt;&gt;"",INDEX('×入力'!$A$1:$L$800,295+N$3,1)&lt;&gt;""),1,0),0)</f>
        <v/>
      </c>
      <c r="O28">
        <f>IF(O$4=1,IF(OR(INDEX('×入力'!$A$1:$L$800,295+O$3,2+O$2)&lt;&gt;"",INDEX('×入力'!$A$1:$L$800,294,2+O$2)&lt;&gt;"",INDEX('×入力'!$A$1:$L$800,295+O$3,1)&lt;&gt;""),1,0),0)</f>
        <v/>
      </c>
      <c r="P28">
        <f>IF(P$4=1,IF(OR(INDEX('×入力'!$A$1:$L$800,295+P$3,2+P$2)&lt;&gt;"",INDEX('×入力'!$A$1:$L$800,294,2+P$2)&lt;&gt;"",INDEX('×入力'!$A$1:$L$800,295+P$3,1)&lt;&gt;""),1,0),0)</f>
        <v/>
      </c>
      <c r="Q28">
        <f>IF(Q$4=1,IF(OR(INDEX('×入力'!$A$1:$L$800,295+Q$3,2+Q$2)&lt;&gt;"",INDEX('×入力'!$A$1:$L$800,294,2+Q$2)&lt;&gt;"",INDEX('×入力'!$A$1:$L$800,295+Q$3,1)&lt;&gt;""),1,0),0)</f>
        <v/>
      </c>
      <c r="R28">
        <f>IF(R$4=1,IF(OR(INDEX('×入力'!$A$1:$L$800,295+R$3,2+R$2)&lt;&gt;"",INDEX('×入力'!$A$1:$L$800,294,2+R$2)&lt;&gt;"",INDEX('×入力'!$A$1:$L$800,295+R$3,1)&lt;&gt;""),1,0),0)</f>
        <v/>
      </c>
      <c r="S28">
        <f>IF(S$4=1,IF(OR(INDEX('×入力'!$A$1:$L$800,295+S$3,2+S$2)&lt;&gt;"",INDEX('×入力'!$A$1:$L$800,294,2+S$2)&lt;&gt;"",INDEX('×入力'!$A$1:$L$800,295+S$3,1)&lt;&gt;""),1,0),0)</f>
        <v/>
      </c>
      <c r="T28">
        <f>IF(T$4=1,IF(OR(INDEX('×入力'!$A$1:$L$800,295+T$3,2+T$2)&lt;&gt;"",INDEX('×入力'!$A$1:$L$800,294,2+T$2)&lt;&gt;"",INDEX('×入力'!$A$1:$L$800,295+T$3,1)&lt;&gt;""),1,0),0)</f>
        <v/>
      </c>
      <c r="U28">
        <f>IF(U$4=1,IF(OR(INDEX('×入力'!$A$1:$L$800,295+U$3,2+U$2)&lt;&gt;"",INDEX('×入力'!$A$1:$L$800,294,2+U$2)&lt;&gt;"",INDEX('×入力'!$A$1:$L$800,295+U$3,1)&lt;&gt;""),1,0),0)</f>
        <v/>
      </c>
      <c r="V28">
        <f>IF(V$4=1,IF(OR(INDEX('×入力'!$A$1:$L$800,295+V$3,2+V$2)&lt;&gt;"",INDEX('×入力'!$A$1:$L$800,294,2+V$2)&lt;&gt;"",INDEX('×入力'!$A$1:$L$800,295+V$3,1)&lt;&gt;""),1,0),0)</f>
        <v/>
      </c>
      <c r="W28">
        <f>IF(W$4=1,IF(OR(INDEX('×入力'!$A$1:$L$800,295+W$3,2+W$2)&lt;&gt;"",INDEX('×入力'!$A$1:$L$800,294,2+W$2)&lt;&gt;"",INDEX('×入力'!$A$1:$L$800,295+W$3,1)&lt;&gt;""),1,0),0)</f>
        <v/>
      </c>
      <c r="X28">
        <f>IF(X$4=1,IF(OR(INDEX('×入力'!$A$1:$L$800,295+X$3,2+X$2)&lt;&gt;"",INDEX('×入力'!$A$1:$L$800,294,2+X$2)&lt;&gt;"",INDEX('×入力'!$A$1:$L$800,295+X$3,1)&lt;&gt;""),1,0),0)</f>
        <v/>
      </c>
      <c r="Y28">
        <f>IF(Y$4=1,IF(OR(INDEX('×入力'!$A$1:$L$800,295+Y$3,2+Y$2)&lt;&gt;"",INDEX('×入力'!$A$1:$L$800,294,2+Y$2)&lt;&gt;"",INDEX('×入力'!$A$1:$L$800,295+Y$3,1)&lt;&gt;""),1,0),0)</f>
        <v/>
      </c>
      <c r="Z28">
        <f>IF(Z$4=1,IF(OR(INDEX('×入力'!$A$1:$L$800,295+Z$3,2+Z$2)&lt;&gt;"",INDEX('×入力'!$A$1:$L$800,294,2+Z$2)&lt;&gt;"",INDEX('×入力'!$A$1:$L$800,295+Z$3,1)&lt;&gt;""),1,0),0)</f>
        <v/>
      </c>
      <c r="AA28">
        <f>IF(AA$4=1,IF(OR(INDEX('×入力'!$A$1:$L$800,295+AA$3,2+AA$2)&lt;&gt;"",INDEX('×入力'!$A$1:$L$800,294,2+AA$2)&lt;&gt;"",INDEX('×入力'!$A$1:$L$800,295+AA$3,1)&lt;&gt;""),1,0),0)</f>
        <v/>
      </c>
      <c r="AB28">
        <f>IF(AB$4=1,IF(OR(INDEX('×入力'!$A$1:$L$800,295+AB$3,2+AB$2)&lt;&gt;"",INDEX('×入力'!$A$1:$L$800,294,2+AB$2)&lt;&gt;"",INDEX('×入力'!$A$1:$L$800,295+AB$3,1)&lt;&gt;""),1,0),0)</f>
        <v/>
      </c>
      <c r="AC28">
        <f>IF(AC$4=1,IF(OR(INDEX('×入力'!$A$1:$L$800,295+AC$3,2+AC$2)&lt;&gt;"",INDEX('×入力'!$A$1:$L$800,294,2+AC$2)&lt;&gt;"",INDEX('×入力'!$A$1:$L$800,295+AC$3,1)&lt;&gt;""),1,0),0)</f>
        <v/>
      </c>
      <c r="AD28">
        <f>IF(AD$4=1,IF(OR(INDEX('×入力'!$A$1:$L$800,295+AD$3,2+AD$2)&lt;&gt;"",INDEX('×入力'!$A$1:$L$800,294,2+AD$2)&lt;&gt;"",INDEX('×入力'!$A$1:$L$800,295+AD$3,1)&lt;&gt;""),1,0),0)</f>
        <v/>
      </c>
      <c r="AE28">
        <f>IF(AE$4=1,IF(OR(INDEX('×入力'!$A$1:$L$800,295+AE$3,2+AE$2)&lt;&gt;"",INDEX('×入力'!$A$1:$L$800,294,2+AE$2)&lt;&gt;"",INDEX('×入力'!$A$1:$L$800,295+AE$3,1)&lt;&gt;""),1,0),0)</f>
        <v/>
      </c>
      <c r="AF28">
        <f>IF(AF$4=1,IF(OR(INDEX('×入力'!$A$1:$L$800,295+AF$3,2+AF$2)&lt;&gt;"",INDEX('×入力'!$A$1:$L$800,294,2+AF$2)&lt;&gt;"",INDEX('×入力'!$A$1:$L$800,295+AF$3,1)&lt;&gt;""),1,0),0)</f>
        <v/>
      </c>
      <c r="AG28">
        <f>IF(AG$4=1,IF(OR(INDEX('×入力'!$A$1:$L$800,295+AG$3,2+AG$2)&lt;&gt;"",INDEX('×入力'!$A$1:$L$800,294,2+AG$2)&lt;&gt;"",INDEX('×入力'!$A$1:$L$800,295+AG$3,1)&lt;&gt;""),1,0),0)</f>
        <v/>
      </c>
      <c r="AH28">
        <f>IF(AH$4=1,IF(OR(INDEX('×入力'!$A$1:$L$800,295+AH$3,2+AH$2)&lt;&gt;"",INDEX('×入力'!$A$1:$L$800,294,2+AH$2)&lt;&gt;"",INDEX('×入力'!$A$1:$L$800,295+AH$3,1)&lt;&gt;""),1,0),0)</f>
        <v/>
      </c>
      <c r="AI28">
        <f>IF(AI$4=1,IF(OR(INDEX('×入力'!$A$1:$L$800,295+AI$3,2+AI$2)&lt;&gt;"",INDEX('×入力'!$A$1:$L$800,294,2+AI$2)&lt;&gt;"",INDEX('×入力'!$A$1:$L$800,295+AI$3,1)&lt;&gt;""),1,0),0)</f>
        <v/>
      </c>
      <c r="AJ28">
        <f>IF(AJ$4=1,IF(OR(INDEX('×入力'!$A$1:$L$800,295+AJ$3,2+AJ$2)&lt;&gt;"",INDEX('×入力'!$A$1:$L$800,294,2+AJ$2)&lt;&gt;"",INDEX('×入力'!$A$1:$L$800,295+AJ$3,1)&lt;&gt;""),1,0),0)</f>
        <v/>
      </c>
      <c r="AK28">
        <f>IF(AK$4=1,IF(OR(INDEX('×入力'!$A$1:$L$800,295+AK$3,2+AK$2)&lt;&gt;"",INDEX('×入力'!$A$1:$L$800,294,2+AK$2)&lt;&gt;"",INDEX('×入力'!$A$1:$L$800,295+AK$3,1)&lt;&gt;""),1,0),0)</f>
        <v/>
      </c>
      <c r="AL28">
        <f>IF(AL$4=1,IF(OR(INDEX('×入力'!$A$1:$L$800,295+AL$3,2+AL$2)&lt;&gt;"",INDEX('×入力'!$A$1:$L$800,294,2+AL$2)&lt;&gt;"",INDEX('×入力'!$A$1:$L$800,295+AL$3,1)&lt;&gt;""),1,0),0)</f>
        <v/>
      </c>
      <c r="AM28">
        <f>IF(AM$4=1,IF(OR(INDEX('×入力'!$A$1:$L$800,295+AM$3,2+AM$2)&lt;&gt;"",INDEX('×入力'!$A$1:$L$800,294,2+AM$2)&lt;&gt;"",INDEX('×入力'!$A$1:$L$800,295+AM$3,1)&lt;&gt;""),1,0),0)</f>
        <v/>
      </c>
      <c r="AN28">
        <f>IF(AN$4=1,IF(OR(INDEX('×入力'!$A$1:$L$800,295+AN$3,2+AN$2)&lt;&gt;"",INDEX('×入力'!$A$1:$L$800,294,2+AN$2)&lt;&gt;"",INDEX('×入力'!$A$1:$L$800,295+AN$3,1)&lt;&gt;""),1,0),0)</f>
        <v/>
      </c>
      <c r="AO28">
        <f>IF(AO$4=1,IF(OR(INDEX('×入力'!$A$1:$L$800,295+AO$3,2+AO$2)&lt;&gt;"",INDEX('×入力'!$A$1:$L$800,294,2+AO$2)&lt;&gt;"",INDEX('×入力'!$A$1:$L$800,295+AO$3,1)&lt;&gt;""),1,0),0)</f>
        <v/>
      </c>
      <c r="AP28">
        <f>IF(AP$4=1,IF(OR(INDEX('×入力'!$A$1:$L$800,295+AP$3,2+AP$2)&lt;&gt;"",INDEX('×入力'!$A$1:$L$800,294,2+AP$2)&lt;&gt;"",INDEX('×入力'!$A$1:$L$800,295+AP$3,1)&lt;&gt;""),1,0),0)</f>
        <v/>
      </c>
      <c r="AQ28">
        <f>IF(AQ$4=1,IF(OR(INDEX('×入力'!$A$1:$L$800,295+AQ$3,2+AQ$2)&lt;&gt;"",INDEX('×入力'!$A$1:$L$800,294,2+AQ$2)&lt;&gt;"",INDEX('×入力'!$A$1:$L$800,295+AQ$3,1)&lt;&gt;""),1,0),0)</f>
        <v/>
      </c>
      <c r="AR28">
        <f>IF(AR$4=1,IF(OR(INDEX('×入力'!$A$1:$L$800,295+AR$3,2+AR$2)&lt;&gt;"",INDEX('×入力'!$A$1:$L$800,294,2+AR$2)&lt;&gt;"",INDEX('×入力'!$A$1:$L$800,295+AR$3,1)&lt;&gt;""),1,0),0)</f>
        <v/>
      </c>
      <c r="AS28">
        <f>IF(AS$4=1,IF(OR(INDEX('×入力'!$A$1:$L$800,295+AS$3,2+AS$2)&lt;&gt;"",INDEX('×入力'!$A$1:$L$800,294,2+AS$2)&lt;&gt;"",INDEX('×入力'!$A$1:$L$800,295+AS$3,1)&lt;&gt;""),1,0),0)</f>
        <v/>
      </c>
      <c r="AT28">
        <f>IF(AT$4=1,IF(OR(INDEX('×入力'!$A$1:$L$800,295+AT$3,2+AT$2)&lt;&gt;"",INDEX('×入力'!$A$1:$L$800,294,2+AT$2)&lt;&gt;"",INDEX('×入力'!$A$1:$L$800,295+AT$3,1)&lt;&gt;""),1,0),0)</f>
        <v/>
      </c>
      <c r="AU28">
        <f>IF(AU$4=1,IF(OR(INDEX('×入力'!$A$1:$L$800,295+AU$3,2+AU$2)&lt;&gt;"",INDEX('×入力'!$A$1:$L$800,294,2+AU$2)&lt;&gt;"",INDEX('×入力'!$A$1:$L$800,295+AU$3,1)&lt;&gt;""),1,0),0)</f>
        <v/>
      </c>
      <c r="AV28">
        <f>IF(AV$4=1,IF(OR(INDEX('×入力'!$A$1:$L$800,295+AV$3,2+AV$2)&lt;&gt;"",INDEX('×入力'!$A$1:$L$800,294,2+AV$2)&lt;&gt;"",INDEX('×入力'!$A$1:$L$800,295+AV$3,1)&lt;&gt;""),1,0),0)</f>
        <v/>
      </c>
      <c r="AW28">
        <f>IF(AW$4=1,IF(OR(INDEX('×入力'!$A$1:$L$800,295+AW$3,2+AW$2)&lt;&gt;"",INDEX('×入力'!$A$1:$L$800,294,2+AW$2)&lt;&gt;"",INDEX('×入力'!$A$1:$L$800,295+AW$3,1)&lt;&gt;""),1,0),0)</f>
        <v/>
      </c>
      <c r="AX28">
        <f>IF(AX$4=1,IF(OR(INDEX('×入力'!$A$1:$L$800,295+AX$3,2+AX$2)&lt;&gt;"",INDEX('×入力'!$A$1:$L$800,294,2+AX$2)&lt;&gt;"",INDEX('×入力'!$A$1:$L$800,295+AX$3,1)&lt;&gt;""),1,0),0)</f>
        <v/>
      </c>
      <c r="AY28">
        <f>IF(AY$4=1,IF(OR(INDEX('×入力'!$A$1:$L$800,295+AY$3,2+AY$2)&lt;&gt;"",INDEX('×入力'!$A$1:$L$800,294,2+AY$2)&lt;&gt;"",INDEX('×入力'!$A$1:$L$800,295+AY$3,1)&lt;&gt;""),1,0),0)</f>
        <v/>
      </c>
      <c r="AZ28">
        <f>IF(AZ$4=1,IF(OR(INDEX('×入力'!$A$1:$L$800,295+AZ$3,2+AZ$2)&lt;&gt;"",INDEX('×入力'!$A$1:$L$800,294,2+AZ$2)&lt;&gt;"",INDEX('×入力'!$A$1:$L$800,295+AZ$3,1)&lt;&gt;""),1,0),0)</f>
        <v/>
      </c>
      <c r="BA28">
        <f>IF(BA$4=1,IF(OR(INDEX('×入力'!$A$1:$L$800,295+BA$3,2+BA$2)&lt;&gt;"",INDEX('×入力'!$A$1:$L$800,294,2+BA$2)&lt;&gt;"",INDEX('×入力'!$A$1:$L$800,295+BA$3,1)&lt;&gt;""),1,0),0)</f>
        <v/>
      </c>
      <c r="BB28">
        <f>IF(BB$4=1,IF(OR(INDEX('×入力'!$A$1:$L$800,295+BB$3,2+BB$2)&lt;&gt;"",INDEX('×入力'!$A$1:$L$800,294,2+BB$2)&lt;&gt;"",INDEX('×入力'!$A$1:$L$800,295+BB$3,1)&lt;&gt;""),1,0),0)</f>
        <v/>
      </c>
      <c r="BC28">
        <f>IF(BC$4=1,IF(OR(INDEX('×入力'!$A$1:$L$800,295+BC$3,2+BC$2)&lt;&gt;"",INDEX('×入力'!$A$1:$L$800,294,2+BC$2)&lt;&gt;"",INDEX('×入力'!$A$1:$L$800,295+BC$3,1)&lt;&gt;""),1,0),0)</f>
        <v/>
      </c>
      <c r="BD28">
        <f>IF(BD$4=1,IF(OR(INDEX('×入力'!$A$1:$L$800,295+BD$3,2+BD$2)&lt;&gt;"",INDEX('×入力'!$A$1:$L$800,294,2+BD$2)&lt;&gt;"",INDEX('×入力'!$A$1:$L$800,295+BD$3,1)&lt;&gt;""),1,0),0)</f>
        <v/>
      </c>
      <c r="BE28">
        <f>IF(BE$4=1,IF(OR(INDEX('×入力'!$A$1:$L$800,295+BE$3,2+BE$2)&lt;&gt;"",INDEX('×入力'!$A$1:$L$800,294,2+BE$2)&lt;&gt;"",INDEX('×入力'!$A$1:$L$800,295+BE$3,1)&lt;&gt;""),1,0),0)</f>
        <v/>
      </c>
      <c r="BF28">
        <f>IF(BF$4=1,IF(OR(INDEX('×入力'!$A$1:$L$800,295+BF$3,2+BF$2)&lt;&gt;"",INDEX('×入力'!$A$1:$L$800,294,2+BF$2)&lt;&gt;"",INDEX('×入力'!$A$1:$L$800,295+BF$3,1)&lt;&gt;""),1,0),0)</f>
        <v/>
      </c>
      <c r="BG28">
        <f>IF(BG$4=1,IF(OR(INDEX('×入力'!$A$1:$L$800,295+BG$3,2+BG$2)&lt;&gt;"",INDEX('×入力'!$A$1:$L$800,294,2+BG$2)&lt;&gt;"",INDEX('×入力'!$A$1:$L$800,295+BG$3,1)&lt;&gt;""),1,0),0)</f>
        <v/>
      </c>
      <c r="BH28">
        <f>IF(BH$4=1,IF(OR(INDEX('×入力'!$A$1:$L$800,295+BH$3,2+BH$2)&lt;&gt;"",INDEX('×入力'!$A$1:$L$800,294,2+BH$2)&lt;&gt;"",INDEX('×入力'!$A$1:$L$800,295+BH$3,1)&lt;&gt;""),1,0),0)</f>
        <v/>
      </c>
      <c r="BI28">
        <f>IF(BI$4=1,IF(OR(INDEX('×入力'!$A$1:$L$800,295+BI$3,2+BI$2)&lt;&gt;"",INDEX('×入力'!$A$1:$L$800,294,2+BI$2)&lt;&gt;"",INDEX('×入力'!$A$1:$L$800,295+BI$3,1)&lt;&gt;""),1,0),0)</f>
        <v/>
      </c>
      <c r="BJ28">
        <f>IF(BJ$4=1,IF(OR(INDEX('×入力'!$A$1:$L$800,295+BJ$3,2+BJ$2)&lt;&gt;"",INDEX('×入力'!$A$1:$L$800,294,2+BJ$2)&lt;&gt;"",INDEX('×入力'!$A$1:$L$800,295+BJ$3,1)&lt;&gt;""),1,0),0)</f>
        <v/>
      </c>
      <c r="BK28">
        <f>IF(BK$4=1,IF(OR(INDEX('×入力'!$A$1:$L$800,295+BK$3,2+BK$2)&lt;&gt;"",INDEX('×入力'!$A$1:$L$800,294,2+BK$2)&lt;&gt;"",INDEX('×入力'!$A$1:$L$800,295+BK$3,1)&lt;&gt;""),1,0),0)</f>
        <v/>
      </c>
      <c r="BL28">
        <f>IF(BL$4=1,IF(OR(INDEX('×入力'!$A$1:$L$800,295+BL$3,2+BL$2)&lt;&gt;"",INDEX('×入力'!$A$1:$L$800,294,2+BL$2)&lt;&gt;"",INDEX('×入力'!$A$1:$L$800,295+BL$3,1)&lt;&gt;""),1,0),0)</f>
        <v/>
      </c>
      <c r="BM28">
        <f>IF(BM$4=1,IF(OR(INDEX('×入力'!$A$1:$L$800,295+BM$3,2+BM$2)&lt;&gt;"",INDEX('×入力'!$A$1:$L$800,294,2+BM$2)&lt;&gt;"",INDEX('×入力'!$A$1:$L$800,295+BM$3,1)&lt;&gt;""),1,0),0)</f>
        <v/>
      </c>
      <c r="BN28">
        <f>IF(BN$4=1,IF(OR(INDEX('×入力'!$A$1:$L$800,295+BN$3,2+BN$2)&lt;&gt;"",INDEX('×入力'!$A$1:$L$800,294,2+BN$2)&lt;&gt;"",INDEX('×入力'!$A$1:$L$800,295+BN$3,1)&lt;&gt;""),1,0),0)</f>
        <v/>
      </c>
      <c r="BO28">
        <f>IF(BO$4=1,IF(OR(INDEX('×入力'!$A$1:$L$800,295+BO$3,2+BO$2)&lt;&gt;"",INDEX('×入力'!$A$1:$L$800,294,2+BO$2)&lt;&gt;"",INDEX('×入力'!$A$1:$L$800,295+BO$3,1)&lt;&gt;""),1,0),0)</f>
        <v/>
      </c>
      <c r="BP28">
        <f>IF(BP$4=1,IF(OR(INDEX('×入力'!$A$1:$L$800,295+BP$3,2+BP$2)&lt;&gt;"",INDEX('×入力'!$A$1:$L$800,294,2+BP$2)&lt;&gt;"",INDEX('×入力'!$A$1:$L$800,295+BP$3,1)&lt;&gt;""),1,0),0)</f>
        <v/>
      </c>
      <c r="BQ28">
        <f>IF(BQ$4=1,IF(OR(INDEX('×入力'!$A$1:$L$800,295+BQ$3,2+BQ$2)&lt;&gt;"",INDEX('×入力'!$A$1:$L$800,294,2+BQ$2)&lt;&gt;"",INDEX('×入力'!$A$1:$L$800,295+BQ$3,1)&lt;&gt;""),1,0),0)</f>
        <v/>
      </c>
      <c r="BR28">
        <f>IF(BR$4=1,IF(OR(INDEX('×入力'!$A$1:$L$800,295+BR$3,2+BR$2)&lt;&gt;"",INDEX('×入力'!$A$1:$L$800,294,2+BR$2)&lt;&gt;"",INDEX('×入力'!$A$1:$L$800,295+BR$3,1)&lt;&gt;""),1,0),0)</f>
        <v/>
      </c>
      <c r="BS28">
        <f>IF(BS$4=1,IF(OR(INDEX('×入力'!$A$1:$L$800,295+BS$3,2+BS$2)&lt;&gt;"",INDEX('×入力'!$A$1:$L$800,294,2+BS$2)&lt;&gt;"",INDEX('×入力'!$A$1:$L$800,295+BS$3,1)&lt;&gt;""),1,0),0)</f>
        <v/>
      </c>
      <c r="BT28">
        <f>IF(BT$4=1,IF(OR(INDEX('×入力'!$A$1:$L$800,295+BT$3,2+BT$2)&lt;&gt;"",INDEX('×入力'!$A$1:$L$800,294,2+BT$2)&lt;&gt;"",INDEX('×入力'!$A$1:$L$800,295+BT$3,1)&lt;&gt;""),1,0),0)</f>
        <v/>
      </c>
      <c r="BU28">
        <f>IF(BU$4=1,IF(OR(INDEX('×入力'!$A$1:$L$800,295+BU$3,2+BU$2)&lt;&gt;"",INDEX('×入力'!$A$1:$L$800,294,2+BU$2)&lt;&gt;"",INDEX('×入力'!$A$1:$L$800,295+BU$3,1)&lt;&gt;""),1,0),0)</f>
        <v/>
      </c>
      <c r="BV28">
        <f>IF(BV$4=1,IF(OR(INDEX('×入力'!$A$1:$L$800,295+BV$3,2+BV$2)&lt;&gt;"",INDEX('×入力'!$A$1:$L$800,294,2+BV$2)&lt;&gt;"",INDEX('×入力'!$A$1:$L$800,295+BV$3,1)&lt;&gt;""),1,0),0)</f>
        <v/>
      </c>
      <c r="BW28">
        <f>IF(BW$4=1,IF(OR(INDEX('×入力'!$A$1:$L$800,295+BW$3,2+BW$2)&lt;&gt;"",INDEX('×入力'!$A$1:$L$800,294,2+BW$2)&lt;&gt;"",INDEX('×入力'!$A$1:$L$800,295+BW$3,1)&lt;&gt;""),1,0),0)</f>
        <v/>
      </c>
      <c r="BX28">
        <f>IF(BX$4=1,IF(OR(INDEX('×入力'!$A$1:$L$800,295+BX$3,2+BX$2)&lt;&gt;"",INDEX('×入力'!$A$1:$L$800,294,2+BX$2)&lt;&gt;"",INDEX('×入力'!$A$1:$L$800,295+BX$3,1)&lt;&gt;""),1,0),0)</f>
        <v/>
      </c>
      <c r="BY28">
        <f>IF(BY$4=1,IF(OR(INDEX('×入力'!$A$1:$L$800,295+BY$3,2+BY$2)&lt;&gt;"",INDEX('×入力'!$A$1:$L$800,294,2+BY$2)&lt;&gt;"",INDEX('×入力'!$A$1:$L$800,295+BY$3,1)&lt;&gt;""),1,0),0)</f>
        <v/>
      </c>
      <c r="BZ28">
        <f>IF(BZ$4=1,IF(OR(INDEX('×入力'!$A$1:$L$800,295+BZ$3,2+BZ$2)&lt;&gt;"",INDEX('×入力'!$A$1:$L$800,294,2+BZ$2)&lt;&gt;"",INDEX('×入力'!$A$1:$L$800,295+BZ$3,1)&lt;&gt;""),1,0),0)</f>
        <v/>
      </c>
      <c r="CA28">
        <f>IF(CA$4=1,IF(OR(INDEX('×入力'!$A$1:$L$800,295+CA$3,2+CA$2)&lt;&gt;"",INDEX('×入力'!$A$1:$L$800,294,2+CA$2)&lt;&gt;"",INDEX('×入力'!$A$1:$L$800,295+CA$3,1)&lt;&gt;""),1,0),0)</f>
        <v/>
      </c>
      <c r="CB28">
        <f>IF(CB$4=1,IF(OR(INDEX('×入力'!$A$1:$L$800,295+CB$3,2+CB$2)&lt;&gt;"",INDEX('×入力'!$A$1:$L$800,294,2+CB$2)&lt;&gt;"",INDEX('×入力'!$A$1:$L$800,295+CB$3,1)&lt;&gt;""),1,0),0)</f>
        <v/>
      </c>
      <c r="CC28">
        <f>IF(CC$4=1,IF(OR(INDEX('×入力'!$A$1:$L$800,295+CC$3,2+CC$2)&lt;&gt;"",INDEX('×入力'!$A$1:$L$800,294,2+CC$2)&lt;&gt;"",INDEX('×入力'!$A$1:$L$800,295+CC$3,1)&lt;&gt;""),1,0),0)</f>
        <v/>
      </c>
      <c r="CD28">
        <f>IF(CD$4=1,IF(OR(INDEX('×入力'!$A$1:$L$800,295+CD$3,2+CD$2)&lt;&gt;"",INDEX('×入力'!$A$1:$L$800,294,2+CD$2)&lt;&gt;"",INDEX('×入力'!$A$1:$L$800,295+CD$3,1)&lt;&gt;""),1,0),0)</f>
        <v/>
      </c>
      <c r="CE28">
        <f>IF(CE$4=1,IF(OR(INDEX('×入力'!$A$1:$L$800,295+CE$3,2+CE$2)&lt;&gt;"",INDEX('×入力'!$A$1:$L$800,294,2+CE$2)&lt;&gt;"",INDEX('×入力'!$A$1:$L$800,295+CE$3,1)&lt;&gt;""),1,0),0)</f>
        <v/>
      </c>
      <c r="CF28">
        <f>IF(CF$4=1,IF(OR(INDEX('×入力'!$A$1:$L$800,295+CF$3,2+CF$2)&lt;&gt;"",INDEX('×入力'!$A$1:$L$800,294,2+CF$2)&lt;&gt;"",INDEX('×入力'!$A$1:$L$800,295+CF$3,1)&lt;&gt;""),1,0),0)</f>
        <v/>
      </c>
      <c r="CG28">
        <f>IF(CG$4=1,IF(OR(INDEX('×入力'!$A$1:$L$800,295+CG$3,2+CG$2)&lt;&gt;"",INDEX('×入力'!$A$1:$L$800,294,2+CG$2)&lt;&gt;"",INDEX('×入力'!$A$1:$L$800,295+CG$3,1)&lt;&gt;""),1,0),0)</f>
        <v/>
      </c>
      <c r="CH28">
        <f>IF(CH$4=1,IF(OR(INDEX('×入力'!$A$1:$L$800,295+CH$3,2+CH$2)&lt;&gt;"",INDEX('×入力'!$A$1:$L$800,294,2+CH$2)&lt;&gt;"",INDEX('×入力'!$A$1:$L$800,295+CH$3,1)&lt;&gt;""),1,0),0)</f>
        <v/>
      </c>
      <c r="CI28">
        <f>IF(CI$4=1,IF(OR(INDEX('×入力'!$A$1:$L$800,295+CI$3,2+CI$2)&lt;&gt;"",INDEX('×入力'!$A$1:$L$800,294,2+CI$2)&lt;&gt;"",INDEX('×入力'!$A$1:$L$800,295+CI$3,1)&lt;&gt;""),1,0),0)</f>
        <v/>
      </c>
      <c r="CJ28">
        <f>IF(CJ$4=1,IF(OR(INDEX('×入力'!$A$1:$L$800,295+CJ$3,2+CJ$2)&lt;&gt;"",INDEX('×入力'!$A$1:$L$800,294,2+CJ$2)&lt;&gt;"",INDEX('×入力'!$A$1:$L$800,295+CJ$3,1)&lt;&gt;""),1,0),0)</f>
        <v/>
      </c>
      <c r="CK28">
        <f>IF(CK$4=1,IF(OR(INDEX('×入力'!$A$1:$L$800,295+CK$3,2+CK$2)&lt;&gt;"",INDEX('×入力'!$A$1:$L$800,294,2+CK$2)&lt;&gt;"",INDEX('×入力'!$A$1:$L$800,295+CK$3,1)&lt;&gt;""),1,0),0)</f>
        <v/>
      </c>
      <c r="CL28">
        <f>IF(CL$4=1,IF(OR(INDEX('×入力'!$A$1:$L$800,295+CL$3,2+CL$2)&lt;&gt;"",INDEX('×入力'!$A$1:$L$800,294,2+CL$2)&lt;&gt;"",INDEX('×入力'!$A$1:$L$800,295+CL$3,1)&lt;&gt;""),1,0),0)</f>
        <v/>
      </c>
      <c r="CM28">
        <f>IF(CM$4=1,IF(OR(INDEX('×入力'!$A$1:$L$800,295+CM$3,2+CM$2)&lt;&gt;"",INDEX('×入力'!$A$1:$L$800,294,2+CM$2)&lt;&gt;"",INDEX('×入力'!$A$1:$L$800,295+CM$3,1)&lt;&gt;""),1,0),0)</f>
        <v/>
      </c>
      <c r="CN28">
        <f>IF(CN$4=1,IF(OR(INDEX('×入力'!$A$1:$L$800,295+CN$3,2+CN$2)&lt;&gt;"",INDEX('×入力'!$A$1:$L$800,294,2+CN$2)&lt;&gt;"",INDEX('×入力'!$A$1:$L$800,295+CN$3,1)&lt;&gt;""),1,0),0)</f>
        <v/>
      </c>
      <c r="CO28">
        <f>IF(CO$4=1,IF(OR(INDEX('×入力'!$A$1:$L$800,295+CO$3,2+CO$2)&lt;&gt;"",INDEX('×入力'!$A$1:$L$800,294,2+CO$2)&lt;&gt;"",INDEX('×入力'!$A$1:$L$800,295+CO$3,1)&lt;&gt;""),1,0),0)</f>
        <v/>
      </c>
      <c r="CP28">
        <f>IF(CP$4=1,IF(OR(INDEX('×入力'!$A$1:$L$800,295+CP$3,2+CP$2)&lt;&gt;"",INDEX('×入力'!$A$1:$L$800,294,2+CP$2)&lt;&gt;"",INDEX('×入力'!$A$1:$L$800,295+CP$3,1)&lt;&gt;""),1,0),0)</f>
        <v/>
      </c>
      <c r="CQ28">
        <f>IF(CQ$4=1,IF(OR(INDEX('×入力'!$A$1:$L$800,295+CQ$3,2+CQ$2)&lt;&gt;"",INDEX('×入力'!$A$1:$L$800,294,2+CQ$2)&lt;&gt;"",INDEX('×入力'!$A$1:$L$800,295+CQ$3,1)&lt;&gt;""),1,0),0)</f>
        <v/>
      </c>
      <c r="CR28">
        <f>IF(CR$4=1,IF(OR(INDEX('×入力'!$A$1:$L$800,295+CR$3,2+CR$2)&lt;&gt;"",INDEX('×入力'!$A$1:$L$800,294,2+CR$2)&lt;&gt;"",INDEX('×入力'!$A$1:$L$800,295+CR$3,1)&lt;&gt;""),1,0),0)</f>
        <v/>
      </c>
      <c r="CS28">
        <f>IF(CS$4=1,IF(OR(INDEX('×入力'!$A$1:$L$800,295+CS$3,2+CS$2)&lt;&gt;"",INDEX('×入力'!$A$1:$L$800,294,2+CS$2)&lt;&gt;"",INDEX('×入力'!$A$1:$L$800,295+CS$3,1)&lt;&gt;""),1,0),0)</f>
        <v/>
      </c>
      <c r="CT28">
        <f>IF(CT$4=1,IF(OR(INDEX('×入力'!$A$1:$L$800,295+CT$3,2+CT$2)&lt;&gt;"",INDEX('×入力'!$A$1:$L$800,294,2+CT$2)&lt;&gt;"",INDEX('×入力'!$A$1:$L$800,295+CT$3,1)&lt;&gt;""),1,0),0)</f>
        <v/>
      </c>
      <c r="CU28">
        <f>IF(CU$4=1,IF(OR(INDEX('×入力'!$A$1:$L$800,295+CU$3,2+CU$2)&lt;&gt;"",INDEX('×入力'!$A$1:$L$800,294,2+CU$2)&lt;&gt;"",INDEX('×入力'!$A$1:$L$800,295+CU$3,1)&lt;&gt;""),1,0),0)</f>
        <v/>
      </c>
      <c r="CV28">
        <f>IF(CV$4=1,IF(OR(INDEX('×入力'!$A$1:$L$800,295+CV$3,2+CV$2)&lt;&gt;"",INDEX('×入力'!$A$1:$L$800,294,2+CV$2)&lt;&gt;"",INDEX('×入力'!$A$1:$L$800,295+CV$3,1)&lt;&gt;""),1,0),0)</f>
        <v/>
      </c>
      <c r="CW28">
        <f>IF(CW$4=1,IF(OR(INDEX('×入力'!$A$1:$L$800,295+CW$3,2+CW$2)&lt;&gt;"",INDEX('×入力'!$A$1:$L$800,294,2+CW$2)&lt;&gt;"",INDEX('×入力'!$A$1:$L$800,295+CW$3,1)&lt;&gt;""),1,0),0)</f>
        <v/>
      </c>
      <c r="CX28">
        <f>IF(CX$4=1,IF(OR(INDEX('×入力'!$A$1:$L$800,295+CX$3,2+CX$2)&lt;&gt;"",INDEX('×入力'!$A$1:$L$800,294,2+CX$2)&lt;&gt;"",INDEX('×入力'!$A$1:$L$800,295+CX$3,1)&lt;&gt;""),1,0),0)</f>
        <v/>
      </c>
      <c r="CY28">
        <f>IF(CY$4=1,IF(OR(INDEX('×入力'!$A$1:$L$800,295+CY$3,2+CY$2)&lt;&gt;"",INDEX('×入力'!$A$1:$L$800,294,2+CY$2)&lt;&gt;"",INDEX('×入力'!$A$1:$L$800,295+CY$3,1)&lt;&gt;""),1,0),0)</f>
        <v/>
      </c>
      <c r="CZ28">
        <f>IF(CZ$4=1,IF(OR(INDEX('×入力'!$A$1:$L$800,295+CZ$3,2+CZ$2)&lt;&gt;"",INDEX('×入力'!$A$1:$L$800,294,2+CZ$2)&lt;&gt;"",INDEX('×入力'!$A$1:$L$800,295+CZ$3,1)&lt;&gt;""),1,0),0)</f>
        <v/>
      </c>
      <c r="DA28">
        <f>IF(DA$4=1,IF(OR(INDEX('×入力'!$A$1:$L$800,295+DA$3,2+DA$2)&lt;&gt;"",INDEX('×入力'!$A$1:$L$800,294,2+DA$2)&lt;&gt;"",INDEX('×入力'!$A$1:$L$800,295+DA$3,1)&lt;&gt;""),1,0),0)</f>
        <v/>
      </c>
      <c r="DB28">
        <f>IF(DB$4=1,IF(OR(INDEX('×入力'!$A$1:$L$800,295+DB$3,2+DB$2)&lt;&gt;"",INDEX('×入力'!$A$1:$L$800,294,2+DB$2)&lt;&gt;"",INDEX('×入力'!$A$1:$L$800,295+DB$3,1)&lt;&gt;""),1,0),0)</f>
        <v/>
      </c>
      <c r="DC28">
        <f>IF(DC$4=1,IF(OR(INDEX('×入力'!$A$1:$L$800,295+DC$3,2+DC$2)&lt;&gt;"",INDEX('×入力'!$A$1:$L$800,294,2+DC$2)&lt;&gt;"",INDEX('×入力'!$A$1:$L$800,295+DC$3,1)&lt;&gt;""),1,0),0)</f>
        <v/>
      </c>
      <c r="DD28">
        <f>IF(DD$4=1,IF(OR(INDEX('×入力'!$A$1:$L$800,295+DD$3,2+DD$2)&lt;&gt;"",INDEX('×入力'!$A$1:$L$800,294,2+DD$2)&lt;&gt;"",INDEX('×入力'!$A$1:$L$800,295+DD$3,1)&lt;&gt;""),1,0),0)</f>
        <v/>
      </c>
      <c r="DE28">
        <f>IF(DE$4=1,IF(OR(INDEX('×入力'!$A$1:$L$800,295+DE$3,2+DE$2)&lt;&gt;"",INDEX('×入力'!$A$1:$L$800,294,2+DE$2)&lt;&gt;"",INDEX('×入力'!$A$1:$L$800,295+DE$3,1)&lt;&gt;""),1,0),0)</f>
        <v/>
      </c>
      <c r="DF28">
        <f>IF(DF$4=1,IF(OR(INDEX('×入力'!$A$1:$L$800,295+DF$3,2+DF$2)&lt;&gt;"",INDEX('×入力'!$A$1:$L$800,294,2+DF$2)&lt;&gt;"",INDEX('×入力'!$A$1:$L$800,295+DF$3,1)&lt;&gt;""),1,0),0)</f>
        <v/>
      </c>
      <c r="DG28">
        <f>IF(DG$4=1,IF(OR(INDEX('×入力'!$A$1:$L$800,295+DG$3,2+DG$2)&lt;&gt;"",INDEX('×入力'!$A$1:$L$800,294,2+DG$2)&lt;&gt;"",INDEX('×入力'!$A$1:$L$800,295+DG$3,1)&lt;&gt;""),1,0),0)</f>
        <v/>
      </c>
      <c r="DH28">
        <f>IF(DH$4=1,IF(OR(INDEX('×入力'!$A$1:$L$800,295+DH$3,2+DH$2)&lt;&gt;"",INDEX('×入力'!$A$1:$L$800,294,2+DH$2)&lt;&gt;"",INDEX('×入力'!$A$1:$L$800,295+DH$3,1)&lt;&gt;""),1,0),0)</f>
        <v/>
      </c>
      <c r="DI28">
        <f>IF(DI$4=1,IF(OR(INDEX('×入力'!$A$1:$L$800,295+DI$3,2+DI$2)&lt;&gt;"",INDEX('×入力'!$A$1:$L$800,294,2+DI$2)&lt;&gt;"",INDEX('×入力'!$A$1:$L$800,295+DI$3,1)&lt;&gt;""),1,0),0)</f>
        <v/>
      </c>
      <c r="DJ28">
        <f>IF(DJ$4=1,IF(OR(INDEX('×入力'!$A$1:$L$800,295+DJ$3,2+DJ$2)&lt;&gt;"",INDEX('×入力'!$A$1:$L$800,294,2+DJ$2)&lt;&gt;"",INDEX('×入力'!$A$1:$L$800,295+DJ$3,1)&lt;&gt;""),1,0),0)</f>
        <v/>
      </c>
      <c r="DK28">
        <f>IF(DK$4=1,IF(OR(INDEX('×入力'!$A$1:$L$800,295+DK$3,2+DK$2)&lt;&gt;"",INDEX('×入力'!$A$1:$L$800,294,2+DK$2)&lt;&gt;"",INDEX('×入力'!$A$1:$L$800,295+DK$3,1)&lt;&gt;""),1,0),0)</f>
        <v/>
      </c>
      <c r="DL28">
        <f>IF(DL$4=1,IF(OR(INDEX('×入力'!$A$1:$L$800,295+DL$3,2+DL$2)&lt;&gt;"",INDEX('×入力'!$A$1:$L$800,294,2+DL$2)&lt;&gt;"",INDEX('×入力'!$A$1:$L$800,295+DL$3,1)&lt;&gt;""),1,0),0)</f>
        <v/>
      </c>
      <c r="DM28">
        <f>IF(DM$4=1,IF(OR(INDEX('×入力'!$A$1:$L$800,295+DM$3,2+DM$2)&lt;&gt;"",INDEX('×入力'!$A$1:$L$800,294,2+DM$2)&lt;&gt;"",INDEX('×入力'!$A$1:$L$800,295+DM$3,1)&lt;&gt;""),1,0),0)</f>
        <v/>
      </c>
      <c r="DN28">
        <f>IF(DN$4=1,IF(OR(INDEX('×入力'!$A$1:$L$800,295+DN$3,2+DN$2)&lt;&gt;"",INDEX('×入力'!$A$1:$L$800,294,2+DN$2)&lt;&gt;"",INDEX('×入力'!$A$1:$L$800,295+DN$3,1)&lt;&gt;""),1,0),0)</f>
        <v/>
      </c>
      <c r="DO28">
        <f>IF(DO$4=1,IF(OR(INDEX('×入力'!$A$1:$L$800,295+DO$3,2+DO$2)&lt;&gt;"",INDEX('×入力'!$A$1:$L$800,294,2+DO$2)&lt;&gt;"",INDEX('×入力'!$A$1:$L$800,295+DO$3,1)&lt;&gt;""),1,0),0)</f>
        <v/>
      </c>
      <c r="DP28">
        <f>IF(DP$4=1,IF(OR(INDEX('×入力'!$A$1:$L$800,295+DP$3,2+DP$2)&lt;&gt;"",INDEX('×入力'!$A$1:$L$800,294,2+DP$2)&lt;&gt;"",INDEX('×入力'!$A$1:$L$800,295+DP$3,1)&lt;&gt;""),1,0),0)</f>
        <v/>
      </c>
      <c r="DQ28">
        <f>IF(DQ$4=1,IF(OR(INDEX('×入力'!$A$1:$L$800,295+DQ$3,2+DQ$2)&lt;&gt;"",INDEX('×入力'!$A$1:$L$800,294,2+DQ$2)&lt;&gt;"",INDEX('×入力'!$A$1:$L$800,295+DQ$3,1)&lt;&gt;""),1,0),0)</f>
        <v/>
      </c>
      <c r="DR28">
        <f>IF(DR$4=1,IF(OR(INDEX('×入力'!$A$1:$L$800,295+DR$3,2+DR$2)&lt;&gt;"",INDEX('×入力'!$A$1:$L$800,294,2+DR$2)&lt;&gt;"",INDEX('×入力'!$A$1:$L$800,295+DR$3,1)&lt;&gt;""),1,0),0)</f>
        <v/>
      </c>
      <c r="DS28">
        <f>IF(DS$4=1,IF(OR(INDEX('×入力'!$A$1:$L$800,295+DS$3,2+DS$2)&lt;&gt;"",INDEX('×入力'!$A$1:$L$800,294,2+DS$2)&lt;&gt;"",INDEX('×入力'!$A$1:$L$800,295+DS$3,1)&lt;&gt;""),1,0),0)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IF(D$4=1,IF(OR(INDEX('×入力'!$A$1:$L$800,311+D$3,2+D$2)&lt;&gt;"",INDEX('×入力'!$A$1:$L$800,310,2+D$2)&lt;&gt;"",INDEX('×入力'!$A$1:$L$800,311+D$3,1)&lt;&gt;""),1,0),0)</f>
        <v/>
      </c>
      <c r="E29">
        <f>IF(E$4=1,IF(OR(INDEX('×入力'!$A$1:$L$800,311+E$3,2+E$2)&lt;&gt;"",INDEX('×入力'!$A$1:$L$800,310,2+E$2)&lt;&gt;"",INDEX('×入力'!$A$1:$L$800,311+E$3,1)&lt;&gt;""),1,0),0)</f>
        <v/>
      </c>
      <c r="F29">
        <f>IF(F$4=1,IF(OR(INDEX('×入力'!$A$1:$L$800,311+F$3,2+F$2)&lt;&gt;"",INDEX('×入力'!$A$1:$L$800,310,2+F$2)&lt;&gt;"",INDEX('×入力'!$A$1:$L$800,311+F$3,1)&lt;&gt;""),1,0),0)</f>
        <v/>
      </c>
      <c r="G29">
        <f>IF(G$4=1,IF(OR(INDEX('×入力'!$A$1:$L$800,311+G$3,2+G$2)&lt;&gt;"",INDEX('×入力'!$A$1:$L$800,310,2+G$2)&lt;&gt;"",INDEX('×入力'!$A$1:$L$800,311+G$3,1)&lt;&gt;""),1,0),0)</f>
        <v/>
      </c>
      <c r="H29">
        <f>IF(H$4=1,IF(OR(INDEX('×入力'!$A$1:$L$800,311+H$3,2+H$2)&lt;&gt;"",INDEX('×入力'!$A$1:$L$800,310,2+H$2)&lt;&gt;"",INDEX('×入力'!$A$1:$L$800,311+H$3,1)&lt;&gt;""),1,0),0)</f>
        <v/>
      </c>
      <c r="I29">
        <f>IF(I$4=1,IF(OR(INDEX('×入力'!$A$1:$L$800,311+I$3,2+I$2)&lt;&gt;"",INDEX('×入力'!$A$1:$L$800,310,2+I$2)&lt;&gt;"",INDEX('×入力'!$A$1:$L$800,311+I$3,1)&lt;&gt;""),1,0),0)</f>
        <v/>
      </c>
      <c r="J29">
        <f>IF(J$4=1,IF(OR(INDEX('×入力'!$A$1:$L$800,311+J$3,2+J$2)&lt;&gt;"",INDEX('×入力'!$A$1:$L$800,310,2+J$2)&lt;&gt;"",INDEX('×入力'!$A$1:$L$800,311+J$3,1)&lt;&gt;""),1,0),0)</f>
        <v/>
      </c>
      <c r="K29">
        <f>IF(K$4=1,IF(OR(INDEX('×入力'!$A$1:$L$800,311+K$3,2+K$2)&lt;&gt;"",INDEX('×入力'!$A$1:$L$800,310,2+K$2)&lt;&gt;"",INDEX('×入力'!$A$1:$L$800,311+K$3,1)&lt;&gt;""),1,0),0)</f>
        <v/>
      </c>
      <c r="L29">
        <f>IF(L$4=1,IF(OR(INDEX('×入力'!$A$1:$L$800,311+L$3,2+L$2)&lt;&gt;"",INDEX('×入力'!$A$1:$L$800,310,2+L$2)&lt;&gt;"",INDEX('×入力'!$A$1:$L$800,311+L$3,1)&lt;&gt;""),1,0),0)</f>
        <v/>
      </c>
      <c r="M29">
        <f>IF(M$4=1,IF(OR(INDEX('×入力'!$A$1:$L$800,311+M$3,2+M$2)&lt;&gt;"",INDEX('×入力'!$A$1:$L$800,310,2+M$2)&lt;&gt;"",INDEX('×入力'!$A$1:$L$800,311+M$3,1)&lt;&gt;""),1,0),0)</f>
        <v/>
      </c>
      <c r="N29">
        <f>IF(N$4=1,IF(OR(INDEX('×入力'!$A$1:$L$800,311+N$3,2+N$2)&lt;&gt;"",INDEX('×入力'!$A$1:$L$800,310,2+N$2)&lt;&gt;"",INDEX('×入力'!$A$1:$L$800,311+N$3,1)&lt;&gt;""),1,0),0)</f>
        <v/>
      </c>
      <c r="O29">
        <f>IF(O$4=1,IF(OR(INDEX('×入力'!$A$1:$L$800,311+O$3,2+O$2)&lt;&gt;"",INDEX('×入力'!$A$1:$L$800,310,2+O$2)&lt;&gt;"",INDEX('×入力'!$A$1:$L$800,311+O$3,1)&lt;&gt;""),1,0),0)</f>
        <v/>
      </c>
      <c r="P29">
        <f>IF(P$4=1,IF(OR(INDEX('×入力'!$A$1:$L$800,311+P$3,2+P$2)&lt;&gt;"",INDEX('×入力'!$A$1:$L$800,310,2+P$2)&lt;&gt;"",INDEX('×入力'!$A$1:$L$800,311+P$3,1)&lt;&gt;""),1,0),0)</f>
        <v/>
      </c>
      <c r="Q29">
        <f>IF(Q$4=1,IF(OR(INDEX('×入力'!$A$1:$L$800,311+Q$3,2+Q$2)&lt;&gt;"",INDEX('×入力'!$A$1:$L$800,310,2+Q$2)&lt;&gt;"",INDEX('×入力'!$A$1:$L$800,311+Q$3,1)&lt;&gt;""),1,0),0)</f>
        <v/>
      </c>
      <c r="R29">
        <f>IF(R$4=1,IF(OR(INDEX('×入力'!$A$1:$L$800,311+R$3,2+R$2)&lt;&gt;"",INDEX('×入力'!$A$1:$L$800,310,2+R$2)&lt;&gt;"",INDEX('×入力'!$A$1:$L$800,311+R$3,1)&lt;&gt;""),1,0),0)</f>
        <v/>
      </c>
      <c r="S29">
        <f>IF(S$4=1,IF(OR(INDEX('×入力'!$A$1:$L$800,311+S$3,2+S$2)&lt;&gt;"",INDEX('×入力'!$A$1:$L$800,310,2+S$2)&lt;&gt;"",INDEX('×入力'!$A$1:$L$800,311+S$3,1)&lt;&gt;""),1,0),0)</f>
        <v/>
      </c>
      <c r="T29">
        <f>IF(T$4=1,IF(OR(INDEX('×入力'!$A$1:$L$800,311+T$3,2+T$2)&lt;&gt;"",INDEX('×入力'!$A$1:$L$800,310,2+T$2)&lt;&gt;"",INDEX('×入力'!$A$1:$L$800,311+T$3,1)&lt;&gt;""),1,0),0)</f>
        <v/>
      </c>
      <c r="U29">
        <f>IF(U$4=1,IF(OR(INDEX('×入力'!$A$1:$L$800,311+U$3,2+U$2)&lt;&gt;"",INDEX('×入力'!$A$1:$L$800,310,2+U$2)&lt;&gt;"",INDEX('×入力'!$A$1:$L$800,311+U$3,1)&lt;&gt;""),1,0),0)</f>
        <v/>
      </c>
      <c r="V29">
        <f>IF(V$4=1,IF(OR(INDEX('×入力'!$A$1:$L$800,311+V$3,2+V$2)&lt;&gt;"",INDEX('×入力'!$A$1:$L$800,310,2+V$2)&lt;&gt;"",INDEX('×入力'!$A$1:$L$800,311+V$3,1)&lt;&gt;""),1,0),0)</f>
        <v/>
      </c>
      <c r="W29">
        <f>IF(W$4=1,IF(OR(INDEX('×入力'!$A$1:$L$800,311+W$3,2+W$2)&lt;&gt;"",INDEX('×入力'!$A$1:$L$800,310,2+W$2)&lt;&gt;"",INDEX('×入力'!$A$1:$L$800,311+W$3,1)&lt;&gt;""),1,0),0)</f>
        <v/>
      </c>
      <c r="X29">
        <f>IF(X$4=1,IF(OR(INDEX('×入力'!$A$1:$L$800,311+X$3,2+X$2)&lt;&gt;"",INDEX('×入力'!$A$1:$L$800,310,2+X$2)&lt;&gt;"",INDEX('×入力'!$A$1:$L$800,311+X$3,1)&lt;&gt;""),1,0),0)</f>
        <v/>
      </c>
      <c r="Y29">
        <f>IF(Y$4=1,IF(OR(INDEX('×入力'!$A$1:$L$800,311+Y$3,2+Y$2)&lt;&gt;"",INDEX('×入力'!$A$1:$L$800,310,2+Y$2)&lt;&gt;"",INDEX('×入力'!$A$1:$L$800,311+Y$3,1)&lt;&gt;""),1,0),0)</f>
        <v/>
      </c>
      <c r="Z29">
        <f>IF(Z$4=1,IF(OR(INDEX('×入力'!$A$1:$L$800,311+Z$3,2+Z$2)&lt;&gt;"",INDEX('×入力'!$A$1:$L$800,310,2+Z$2)&lt;&gt;"",INDEX('×入力'!$A$1:$L$800,311+Z$3,1)&lt;&gt;""),1,0),0)</f>
        <v/>
      </c>
      <c r="AA29">
        <f>IF(AA$4=1,IF(OR(INDEX('×入力'!$A$1:$L$800,311+AA$3,2+AA$2)&lt;&gt;"",INDEX('×入力'!$A$1:$L$800,310,2+AA$2)&lt;&gt;"",INDEX('×入力'!$A$1:$L$800,311+AA$3,1)&lt;&gt;""),1,0),0)</f>
        <v/>
      </c>
      <c r="AB29">
        <f>IF(AB$4=1,IF(OR(INDEX('×入力'!$A$1:$L$800,311+AB$3,2+AB$2)&lt;&gt;"",INDEX('×入力'!$A$1:$L$800,310,2+AB$2)&lt;&gt;"",INDEX('×入力'!$A$1:$L$800,311+AB$3,1)&lt;&gt;""),1,0),0)</f>
        <v/>
      </c>
      <c r="AC29">
        <f>IF(AC$4=1,IF(OR(INDEX('×入力'!$A$1:$L$800,311+AC$3,2+AC$2)&lt;&gt;"",INDEX('×入力'!$A$1:$L$800,310,2+AC$2)&lt;&gt;"",INDEX('×入力'!$A$1:$L$800,311+AC$3,1)&lt;&gt;""),1,0),0)</f>
        <v/>
      </c>
      <c r="AD29">
        <f>IF(AD$4=1,IF(OR(INDEX('×入力'!$A$1:$L$800,311+AD$3,2+AD$2)&lt;&gt;"",INDEX('×入力'!$A$1:$L$800,310,2+AD$2)&lt;&gt;"",INDEX('×入力'!$A$1:$L$800,311+AD$3,1)&lt;&gt;""),1,0),0)</f>
        <v/>
      </c>
      <c r="AE29">
        <f>IF(AE$4=1,IF(OR(INDEX('×入力'!$A$1:$L$800,311+AE$3,2+AE$2)&lt;&gt;"",INDEX('×入力'!$A$1:$L$800,310,2+AE$2)&lt;&gt;"",INDEX('×入力'!$A$1:$L$800,311+AE$3,1)&lt;&gt;""),1,0),0)</f>
        <v/>
      </c>
      <c r="AF29">
        <f>IF(AF$4=1,IF(OR(INDEX('×入力'!$A$1:$L$800,311+AF$3,2+AF$2)&lt;&gt;"",INDEX('×入力'!$A$1:$L$800,310,2+AF$2)&lt;&gt;"",INDEX('×入力'!$A$1:$L$800,311+AF$3,1)&lt;&gt;""),1,0),0)</f>
        <v/>
      </c>
      <c r="AG29">
        <f>IF(AG$4=1,IF(OR(INDEX('×入力'!$A$1:$L$800,311+AG$3,2+AG$2)&lt;&gt;"",INDEX('×入力'!$A$1:$L$800,310,2+AG$2)&lt;&gt;"",INDEX('×入力'!$A$1:$L$800,311+AG$3,1)&lt;&gt;""),1,0),0)</f>
        <v/>
      </c>
      <c r="AH29">
        <f>IF(AH$4=1,IF(OR(INDEX('×入力'!$A$1:$L$800,311+AH$3,2+AH$2)&lt;&gt;"",INDEX('×入力'!$A$1:$L$800,310,2+AH$2)&lt;&gt;"",INDEX('×入力'!$A$1:$L$800,311+AH$3,1)&lt;&gt;""),1,0),0)</f>
        <v/>
      </c>
      <c r="AI29">
        <f>IF(AI$4=1,IF(OR(INDEX('×入力'!$A$1:$L$800,311+AI$3,2+AI$2)&lt;&gt;"",INDEX('×入力'!$A$1:$L$800,310,2+AI$2)&lt;&gt;"",INDEX('×入力'!$A$1:$L$800,311+AI$3,1)&lt;&gt;""),1,0),0)</f>
        <v/>
      </c>
      <c r="AJ29">
        <f>IF(AJ$4=1,IF(OR(INDEX('×入力'!$A$1:$L$800,311+AJ$3,2+AJ$2)&lt;&gt;"",INDEX('×入力'!$A$1:$L$800,310,2+AJ$2)&lt;&gt;"",INDEX('×入力'!$A$1:$L$800,311+AJ$3,1)&lt;&gt;""),1,0),0)</f>
        <v/>
      </c>
      <c r="AK29">
        <f>IF(AK$4=1,IF(OR(INDEX('×入力'!$A$1:$L$800,311+AK$3,2+AK$2)&lt;&gt;"",INDEX('×入力'!$A$1:$L$800,310,2+AK$2)&lt;&gt;"",INDEX('×入力'!$A$1:$L$800,311+AK$3,1)&lt;&gt;""),1,0),0)</f>
        <v/>
      </c>
      <c r="AL29">
        <f>IF(AL$4=1,IF(OR(INDEX('×入力'!$A$1:$L$800,311+AL$3,2+AL$2)&lt;&gt;"",INDEX('×入力'!$A$1:$L$800,310,2+AL$2)&lt;&gt;"",INDEX('×入力'!$A$1:$L$800,311+AL$3,1)&lt;&gt;""),1,0),0)</f>
        <v/>
      </c>
      <c r="AM29">
        <f>IF(AM$4=1,IF(OR(INDEX('×入力'!$A$1:$L$800,311+AM$3,2+AM$2)&lt;&gt;"",INDEX('×入力'!$A$1:$L$800,310,2+AM$2)&lt;&gt;"",INDEX('×入力'!$A$1:$L$800,311+AM$3,1)&lt;&gt;""),1,0),0)</f>
        <v/>
      </c>
      <c r="AN29">
        <f>IF(AN$4=1,IF(OR(INDEX('×入力'!$A$1:$L$800,311+AN$3,2+AN$2)&lt;&gt;"",INDEX('×入力'!$A$1:$L$800,310,2+AN$2)&lt;&gt;"",INDEX('×入力'!$A$1:$L$800,311+AN$3,1)&lt;&gt;""),1,0),0)</f>
        <v/>
      </c>
      <c r="AO29">
        <f>IF(AO$4=1,IF(OR(INDEX('×入力'!$A$1:$L$800,311+AO$3,2+AO$2)&lt;&gt;"",INDEX('×入力'!$A$1:$L$800,310,2+AO$2)&lt;&gt;"",INDEX('×入力'!$A$1:$L$800,311+AO$3,1)&lt;&gt;""),1,0),0)</f>
        <v/>
      </c>
      <c r="AP29">
        <f>IF(AP$4=1,IF(OR(INDEX('×入力'!$A$1:$L$800,311+AP$3,2+AP$2)&lt;&gt;"",INDEX('×入力'!$A$1:$L$800,310,2+AP$2)&lt;&gt;"",INDEX('×入力'!$A$1:$L$800,311+AP$3,1)&lt;&gt;""),1,0),0)</f>
        <v/>
      </c>
      <c r="AQ29">
        <f>IF(AQ$4=1,IF(OR(INDEX('×入力'!$A$1:$L$800,311+AQ$3,2+AQ$2)&lt;&gt;"",INDEX('×入力'!$A$1:$L$800,310,2+AQ$2)&lt;&gt;"",INDEX('×入力'!$A$1:$L$800,311+AQ$3,1)&lt;&gt;""),1,0),0)</f>
        <v/>
      </c>
      <c r="AR29">
        <f>IF(AR$4=1,IF(OR(INDEX('×入力'!$A$1:$L$800,311+AR$3,2+AR$2)&lt;&gt;"",INDEX('×入力'!$A$1:$L$800,310,2+AR$2)&lt;&gt;"",INDEX('×入力'!$A$1:$L$800,311+AR$3,1)&lt;&gt;""),1,0),0)</f>
        <v/>
      </c>
      <c r="AS29">
        <f>IF(AS$4=1,IF(OR(INDEX('×入力'!$A$1:$L$800,311+AS$3,2+AS$2)&lt;&gt;"",INDEX('×入力'!$A$1:$L$800,310,2+AS$2)&lt;&gt;"",INDEX('×入力'!$A$1:$L$800,311+AS$3,1)&lt;&gt;""),1,0),0)</f>
        <v/>
      </c>
      <c r="AT29">
        <f>IF(AT$4=1,IF(OR(INDEX('×入力'!$A$1:$L$800,311+AT$3,2+AT$2)&lt;&gt;"",INDEX('×入力'!$A$1:$L$800,310,2+AT$2)&lt;&gt;"",INDEX('×入力'!$A$1:$L$800,311+AT$3,1)&lt;&gt;""),1,0),0)</f>
        <v/>
      </c>
      <c r="AU29">
        <f>IF(AU$4=1,IF(OR(INDEX('×入力'!$A$1:$L$800,311+AU$3,2+AU$2)&lt;&gt;"",INDEX('×入力'!$A$1:$L$800,310,2+AU$2)&lt;&gt;"",INDEX('×入力'!$A$1:$L$800,311+AU$3,1)&lt;&gt;""),1,0),0)</f>
        <v/>
      </c>
      <c r="AV29">
        <f>IF(AV$4=1,IF(OR(INDEX('×入力'!$A$1:$L$800,311+AV$3,2+AV$2)&lt;&gt;"",INDEX('×入力'!$A$1:$L$800,310,2+AV$2)&lt;&gt;"",INDEX('×入力'!$A$1:$L$800,311+AV$3,1)&lt;&gt;""),1,0),0)</f>
        <v/>
      </c>
      <c r="AW29">
        <f>IF(AW$4=1,IF(OR(INDEX('×入力'!$A$1:$L$800,311+AW$3,2+AW$2)&lt;&gt;"",INDEX('×入力'!$A$1:$L$800,310,2+AW$2)&lt;&gt;"",INDEX('×入力'!$A$1:$L$800,311+AW$3,1)&lt;&gt;""),1,0),0)</f>
        <v/>
      </c>
      <c r="AX29">
        <f>IF(AX$4=1,IF(OR(INDEX('×入力'!$A$1:$L$800,311+AX$3,2+AX$2)&lt;&gt;"",INDEX('×入力'!$A$1:$L$800,310,2+AX$2)&lt;&gt;"",INDEX('×入力'!$A$1:$L$800,311+AX$3,1)&lt;&gt;""),1,0),0)</f>
        <v/>
      </c>
      <c r="AY29">
        <f>IF(AY$4=1,IF(OR(INDEX('×入力'!$A$1:$L$800,311+AY$3,2+AY$2)&lt;&gt;"",INDEX('×入力'!$A$1:$L$800,310,2+AY$2)&lt;&gt;"",INDEX('×入力'!$A$1:$L$800,311+AY$3,1)&lt;&gt;""),1,0),0)</f>
        <v/>
      </c>
      <c r="AZ29">
        <f>IF(AZ$4=1,IF(OR(INDEX('×入力'!$A$1:$L$800,311+AZ$3,2+AZ$2)&lt;&gt;"",INDEX('×入力'!$A$1:$L$800,310,2+AZ$2)&lt;&gt;"",INDEX('×入力'!$A$1:$L$800,311+AZ$3,1)&lt;&gt;""),1,0),0)</f>
        <v/>
      </c>
      <c r="BA29">
        <f>IF(BA$4=1,IF(OR(INDEX('×入力'!$A$1:$L$800,311+BA$3,2+BA$2)&lt;&gt;"",INDEX('×入力'!$A$1:$L$800,310,2+BA$2)&lt;&gt;"",INDEX('×入力'!$A$1:$L$800,311+BA$3,1)&lt;&gt;""),1,0),0)</f>
        <v/>
      </c>
      <c r="BB29">
        <f>IF(BB$4=1,IF(OR(INDEX('×入力'!$A$1:$L$800,311+BB$3,2+BB$2)&lt;&gt;"",INDEX('×入力'!$A$1:$L$800,310,2+BB$2)&lt;&gt;"",INDEX('×入力'!$A$1:$L$800,311+BB$3,1)&lt;&gt;""),1,0),0)</f>
        <v/>
      </c>
      <c r="BC29">
        <f>IF(BC$4=1,IF(OR(INDEX('×入力'!$A$1:$L$800,311+BC$3,2+BC$2)&lt;&gt;"",INDEX('×入力'!$A$1:$L$800,310,2+BC$2)&lt;&gt;"",INDEX('×入力'!$A$1:$L$800,311+BC$3,1)&lt;&gt;""),1,0),0)</f>
        <v/>
      </c>
      <c r="BD29">
        <f>IF(BD$4=1,IF(OR(INDEX('×入力'!$A$1:$L$800,311+BD$3,2+BD$2)&lt;&gt;"",INDEX('×入力'!$A$1:$L$800,310,2+BD$2)&lt;&gt;"",INDEX('×入力'!$A$1:$L$800,311+BD$3,1)&lt;&gt;""),1,0),0)</f>
        <v/>
      </c>
      <c r="BE29">
        <f>IF(BE$4=1,IF(OR(INDEX('×入力'!$A$1:$L$800,311+BE$3,2+BE$2)&lt;&gt;"",INDEX('×入力'!$A$1:$L$800,310,2+BE$2)&lt;&gt;"",INDEX('×入力'!$A$1:$L$800,311+BE$3,1)&lt;&gt;""),1,0),0)</f>
        <v/>
      </c>
      <c r="BF29">
        <f>IF(BF$4=1,IF(OR(INDEX('×入力'!$A$1:$L$800,311+BF$3,2+BF$2)&lt;&gt;"",INDEX('×入力'!$A$1:$L$800,310,2+BF$2)&lt;&gt;"",INDEX('×入力'!$A$1:$L$800,311+BF$3,1)&lt;&gt;""),1,0),0)</f>
        <v/>
      </c>
      <c r="BG29">
        <f>IF(BG$4=1,IF(OR(INDEX('×入力'!$A$1:$L$800,311+BG$3,2+BG$2)&lt;&gt;"",INDEX('×入力'!$A$1:$L$800,310,2+BG$2)&lt;&gt;"",INDEX('×入力'!$A$1:$L$800,311+BG$3,1)&lt;&gt;""),1,0),0)</f>
        <v/>
      </c>
      <c r="BH29">
        <f>IF(BH$4=1,IF(OR(INDEX('×入力'!$A$1:$L$800,311+BH$3,2+BH$2)&lt;&gt;"",INDEX('×入力'!$A$1:$L$800,310,2+BH$2)&lt;&gt;"",INDEX('×入力'!$A$1:$L$800,311+BH$3,1)&lt;&gt;""),1,0),0)</f>
        <v/>
      </c>
      <c r="BI29">
        <f>IF(BI$4=1,IF(OR(INDEX('×入力'!$A$1:$L$800,311+BI$3,2+BI$2)&lt;&gt;"",INDEX('×入力'!$A$1:$L$800,310,2+BI$2)&lt;&gt;"",INDEX('×入力'!$A$1:$L$800,311+BI$3,1)&lt;&gt;""),1,0),0)</f>
        <v/>
      </c>
      <c r="BJ29">
        <f>IF(BJ$4=1,IF(OR(INDEX('×入力'!$A$1:$L$800,311+BJ$3,2+BJ$2)&lt;&gt;"",INDEX('×入力'!$A$1:$L$800,310,2+BJ$2)&lt;&gt;"",INDEX('×入力'!$A$1:$L$800,311+BJ$3,1)&lt;&gt;""),1,0),0)</f>
        <v/>
      </c>
      <c r="BK29">
        <f>IF(BK$4=1,IF(OR(INDEX('×入力'!$A$1:$L$800,311+BK$3,2+BK$2)&lt;&gt;"",INDEX('×入力'!$A$1:$L$800,310,2+BK$2)&lt;&gt;"",INDEX('×入力'!$A$1:$L$800,311+BK$3,1)&lt;&gt;""),1,0),0)</f>
        <v/>
      </c>
      <c r="BL29">
        <f>IF(BL$4=1,IF(OR(INDEX('×入力'!$A$1:$L$800,311+BL$3,2+BL$2)&lt;&gt;"",INDEX('×入力'!$A$1:$L$800,310,2+BL$2)&lt;&gt;"",INDEX('×入力'!$A$1:$L$800,311+BL$3,1)&lt;&gt;""),1,0),0)</f>
        <v/>
      </c>
      <c r="BM29">
        <f>IF(BM$4=1,IF(OR(INDEX('×入力'!$A$1:$L$800,311+BM$3,2+BM$2)&lt;&gt;"",INDEX('×入力'!$A$1:$L$800,310,2+BM$2)&lt;&gt;"",INDEX('×入力'!$A$1:$L$800,311+BM$3,1)&lt;&gt;""),1,0),0)</f>
        <v/>
      </c>
      <c r="BN29">
        <f>IF(BN$4=1,IF(OR(INDEX('×入力'!$A$1:$L$800,311+BN$3,2+BN$2)&lt;&gt;"",INDEX('×入力'!$A$1:$L$800,310,2+BN$2)&lt;&gt;"",INDEX('×入力'!$A$1:$L$800,311+BN$3,1)&lt;&gt;""),1,0),0)</f>
        <v/>
      </c>
      <c r="BO29">
        <f>IF(BO$4=1,IF(OR(INDEX('×入力'!$A$1:$L$800,311+BO$3,2+BO$2)&lt;&gt;"",INDEX('×入力'!$A$1:$L$800,310,2+BO$2)&lt;&gt;"",INDEX('×入力'!$A$1:$L$800,311+BO$3,1)&lt;&gt;""),1,0),0)</f>
        <v/>
      </c>
      <c r="BP29">
        <f>IF(BP$4=1,IF(OR(INDEX('×入力'!$A$1:$L$800,311+BP$3,2+BP$2)&lt;&gt;"",INDEX('×入力'!$A$1:$L$800,310,2+BP$2)&lt;&gt;"",INDEX('×入力'!$A$1:$L$800,311+BP$3,1)&lt;&gt;""),1,0),0)</f>
        <v/>
      </c>
      <c r="BQ29">
        <f>IF(BQ$4=1,IF(OR(INDEX('×入力'!$A$1:$L$800,311+BQ$3,2+BQ$2)&lt;&gt;"",INDEX('×入力'!$A$1:$L$800,310,2+BQ$2)&lt;&gt;"",INDEX('×入力'!$A$1:$L$800,311+BQ$3,1)&lt;&gt;""),1,0),0)</f>
        <v/>
      </c>
      <c r="BR29">
        <f>IF(BR$4=1,IF(OR(INDEX('×入力'!$A$1:$L$800,311+BR$3,2+BR$2)&lt;&gt;"",INDEX('×入力'!$A$1:$L$800,310,2+BR$2)&lt;&gt;"",INDEX('×入力'!$A$1:$L$800,311+BR$3,1)&lt;&gt;""),1,0),0)</f>
        <v/>
      </c>
      <c r="BS29">
        <f>IF(BS$4=1,IF(OR(INDEX('×入力'!$A$1:$L$800,311+BS$3,2+BS$2)&lt;&gt;"",INDEX('×入力'!$A$1:$L$800,310,2+BS$2)&lt;&gt;"",INDEX('×入力'!$A$1:$L$800,311+BS$3,1)&lt;&gt;""),1,0),0)</f>
        <v/>
      </c>
      <c r="BT29">
        <f>IF(BT$4=1,IF(OR(INDEX('×入力'!$A$1:$L$800,311+BT$3,2+BT$2)&lt;&gt;"",INDEX('×入力'!$A$1:$L$800,310,2+BT$2)&lt;&gt;"",INDEX('×入力'!$A$1:$L$800,311+BT$3,1)&lt;&gt;""),1,0),0)</f>
        <v/>
      </c>
      <c r="BU29">
        <f>IF(BU$4=1,IF(OR(INDEX('×入力'!$A$1:$L$800,311+BU$3,2+BU$2)&lt;&gt;"",INDEX('×入力'!$A$1:$L$800,310,2+BU$2)&lt;&gt;"",INDEX('×入力'!$A$1:$L$800,311+BU$3,1)&lt;&gt;""),1,0),0)</f>
        <v/>
      </c>
      <c r="BV29">
        <f>IF(BV$4=1,IF(OR(INDEX('×入力'!$A$1:$L$800,311+BV$3,2+BV$2)&lt;&gt;"",INDEX('×入力'!$A$1:$L$800,310,2+BV$2)&lt;&gt;"",INDEX('×入力'!$A$1:$L$800,311+BV$3,1)&lt;&gt;""),1,0),0)</f>
        <v/>
      </c>
      <c r="BW29">
        <f>IF(BW$4=1,IF(OR(INDEX('×入力'!$A$1:$L$800,311+BW$3,2+BW$2)&lt;&gt;"",INDEX('×入力'!$A$1:$L$800,310,2+BW$2)&lt;&gt;"",INDEX('×入力'!$A$1:$L$800,311+BW$3,1)&lt;&gt;""),1,0),0)</f>
        <v/>
      </c>
      <c r="BX29">
        <f>IF(BX$4=1,IF(OR(INDEX('×入力'!$A$1:$L$800,311+BX$3,2+BX$2)&lt;&gt;"",INDEX('×入力'!$A$1:$L$800,310,2+BX$2)&lt;&gt;"",INDEX('×入力'!$A$1:$L$800,311+BX$3,1)&lt;&gt;""),1,0),0)</f>
        <v/>
      </c>
      <c r="BY29">
        <f>IF(BY$4=1,IF(OR(INDEX('×入力'!$A$1:$L$800,311+BY$3,2+BY$2)&lt;&gt;"",INDEX('×入力'!$A$1:$L$800,310,2+BY$2)&lt;&gt;"",INDEX('×入力'!$A$1:$L$800,311+BY$3,1)&lt;&gt;""),1,0),0)</f>
        <v/>
      </c>
      <c r="BZ29">
        <f>IF(BZ$4=1,IF(OR(INDEX('×入力'!$A$1:$L$800,311+BZ$3,2+BZ$2)&lt;&gt;"",INDEX('×入力'!$A$1:$L$800,310,2+BZ$2)&lt;&gt;"",INDEX('×入力'!$A$1:$L$800,311+BZ$3,1)&lt;&gt;""),1,0),0)</f>
        <v/>
      </c>
      <c r="CA29">
        <f>IF(CA$4=1,IF(OR(INDEX('×入力'!$A$1:$L$800,311+CA$3,2+CA$2)&lt;&gt;"",INDEX('×入力'!$A$1:$L$800,310,2+CA$2)&lt;&gt;"",INDEX('×入力'!$A$1:$L$800,311+CA$3,1)&lt;&gt;""),1,0),0)</f>
        <v/>
      </c>
      <c r="CB29">
        <f>IF(CB$4=1,IF(OR(INDEX('×入力'!$A$1:$L$800,311+CB$3,2+CB$2)&lt;&gt;"",INDEX('×入力'!$A$1:$L$800,310,2+CB$2)&lt;&gt;"",INDEX('×入力'!$A$1:$L$800,311+CB$3,1)&lt;&gt;""),1,0),0)</f>
        <v/>
      </c>
      <c r="CC29">
        <f>IF(CC$4=1,IF(OR(INDEX('×入力'!$A$1:$L$800,311+CC$3,2+CC$2)&lt;&gt;"",INDEX('×入力'!$A$1:$L$800,310,2+CC$2)&lt;&gt;"",INDEX('×入力'!$A$1:$L$800,311+CC$3,1)&lt;&gt;""),1,0),0)</f>
        <v/>
      </c>
      <c r="CD29">
        <f>IF(CD$4=1,IF(OR(INDEX('×入力'!$A$1:$L$800,311+CD$3,2+CD$2)&lt;&gt;"",INDEX('×入力'!$A$1:$L$800,310,2+CD$2)&lt;&gt;"",INDEX('×入力'!$A$1:$L$800,311+CD$3,1)&lt;&gt;""),1,0),0)</f>
        <v/>
      </c>
      <c r="CE29">
        <f>IF(CE$4=1,IF(OR(INDEX('×入力'!$A$1:$L$800,311+CE$3,2+CE$2)&lt;&gt;"",INDEX('×入力'!$A$1:$L$800,310,2+CE$2)&lt;&gt;"",INDEX('×入力'!$A$1:$L$800,311+CE$3,1)&lt;&gt;""),1,0),0)</f>
        <v/>
      </c>
      <c r="CF29">
        <f>IF(CF$4=1,IF(OR(INDEX('×入力'!$A$1:$L$800,311+CF$3,2+CF$2)&lt;&gt;"",INDEX('×入力'!$A$1:$L$800,310,2+CF$2)&lt;&gt;"",INDEX('×入力'!$A$1:$L$800,311+CF$3,1)&lt;&gt;""),1,0),0)</f>
        <v/>
      </c>
      <c r="CG29">
        <f>IF(CG$4=1,IF(OR(INDEX('×入力'!$A$1:$L$800,311+CG$3,2+CG$2)&lt;&gt;"",INDEX('×入力'!$A$1:$L$800,310,2+CG$2)&lt;&gt;"",INDEX('×入力'!$A$1:$L$800,311+CG$3,1)&lt;&gt;""),1,0),0)</f>
        <v/>
      </c>
      <c r="CH29">
        <f>IF(CH$4=1,IF(OR(INDEX('×入力'!$A$1:$L$800,311+CH$3,2+CH$2)&lt;&gt;"",INDEX('×入力'!$A$1:$L$800,310,2+CH$2)&lt;&gt;"",INDEX('×入力'!$A$1:$L$800,311+CH$3,1)&lt;&gt;""),1,0),0)</f>
        <v/>
      </c>
      <c r="CI29">
        <f>IF(CI$4=1,IF(OR(INDEX('×入力'!$A$1:$L$800,311+CI$3,2+CI$2)&lt;&gt;"",INDEX('×入力'!$A$1:$L$800,310,2+CI$2)&lt;&gt;"",INDEX('×入力'!$A$1:$L$800,311+CI$3,1)&lt;&gt;""),1,0),0)</f>
        <v/>
      </c>
      <c r="CJ29">
        <f>IF(CJ$4=1,IF(OR(INDEX('×入力'!$A$1:$L$800,311+CJ$3,2+CJ$2)&lt;&gt;"",INDEX('×入力'!$A$1:$L$800,310,2+CJ$2)&lt;&gt;"",INDEX('×入力'!$A$1:$L$800,311+CJ$3,1)&lt;&gt;""),1,0),0)</f>
        <v/>
      </c>
      <c r="CK29">
        <f>IF(CK$4=1,IF(OR(INDEX('×入力'!$A$1:$L$800,311+CK$3,2+CK$2)&lt;&gt;"",INDEX('×入力'!$A$1:$L$800,310,2+CK$2)&lt;&gt;"",INDEX('×入力'!$A$1:$L$800,311+CK$3,1)&lt;&gt;""),1,0),0)</f>
        <v/>
      </c>
      <c r="CL29">
        <f>IF(CL$4=1,IF(OR(INDEX('×入力'!$A$1:$L$800,311+CL$3,2+CL$2)&lt;&gt;"",INDEX('×入力'!$A$1:$L$800,310,2+CL$2)&lt;&gt;"",INDEX('×入力'!$A$1:$L$800,311+CL$3,1)&lt;&gt;""),1,0),0)</f>
        <v/>
      </c>
      <c r="CM29">
        <f>IF(CM$4=1,IF(OR(INDEX('×入力'!$A$1:$L$800,311+CM$3,2+CM$2)&lt;&gt;"",INDEX('×入力'!$A$1:$L$800,310,2+CM$2)&lt;&gt;"",INDEX('×入力'!$A$1:$L$800,311+CM$3,1)&lt;&gt;""),1,0),0)</f>
        <v/>
      </c>
      <c r="CN29">
        <f>IF(CN$4=1,IF(OR(INDEX('×入力'!$A$1:$L$800,311+CN$3,2+CN$2)&lt;&gt;"",INDEX('×入力'!$A$1:$L$800,310,2+CN$2)&lt;&gt;"",INDEX('×入力'!$A$1:$L$800,311+CN$3,1)&lt;&gt;""),1,0),0)</f>
        <v/>
      </c>
      <c r="CO29">
        <f>IF(CO$4=1,IF(OR(INDEX('×入力'!$A$1:$L$800,311+CO$3,2+CO$2)&lt;&gt;"",INDEX('×入力'!$A$1:$L$800,310,2+CO$2)&lt;&gt;"",INDEX('×入力'!$A$1:$L$800,311+CO$3,1)&lt;&gt;""),1,0),0)</f>
        <v/>
      </c>
      <c r="CP29">
        <f>IF(CP$4=1,IF(OR(INDEX('×入力'!$A$1:$L$800,311+CP$3,2+CP$2)&lt;&gt;"",INDEX('×入力'!$A$1:$L$800,310,2+CP$2)&lt;&gt;"",INDEX('×入力'!$A$1:$L$800,311+CP$3,1)&lt;&gt;""),1,0),0)</f>
        <v/>
      </c>
      <c r="CQ29">
        <f>IF(CQ$4=1,IF(OR(INDEX('×入力'!$A$1:$L$800,311+CQ$3,2+CQ$2)&lt;&gt;"",INDEX('×入力'!$A$1:$L$800,310,2+CQ$2)&lt;&gt;"",INDEX('×入力'!$A$1:$L$800,311+CQ$3,1)&lt;&gt;""),1,0),0)</f>
        <v/>
      </c>
      <c r="CR29">
        <f>IF(CR$4=1,IF(OR(INDEX('×入力'!$A$1:$L$800,311+CR$3,2+CR$2)&lt;&gt;"",INDEX('×入力'!$A$1:$L$800,310,2+CR$2)&lt;&gt;"",INDEX('×入力'!$A$1:$L$800,311+CR$3,1)&lt;&gt;""),1,0),0)</f>
        <v/>
      </c>
      <c r="CS29">
        <f>IF(CS$4=1,IF(OR(INDEX('×入力'!$A$1:$L$800,311+CS$3,2+CS$2)&lt;&gt;"",INDEX('×入力'!$A$1:$L$800,310,2+CS$2)&lt;&gt;"",INDEX('×入力'!$A$1:$L$800,311+CS$3,1)&lt;&gt;""),1,0),0)</f>
        <v/>
      </c>
      <c r="CT29">
        <f>IF(CT$4=1,IF(OR(INDEX('×入力'!$A$1:$L$800,311+CT$3,2+CT$2)&lt;&gt;"",INDEX('×入力'!$A$1:$L$800,310,2+CT$2)&lt;&gt;"",INDEX('×入力'!$A$1:$L$800,311+CT$3,1)&lt;&gt;""),1,0),0)</f>
        <v/>
      </c>
      <c r="CU29">
        <f>IF(CU$4=1,IF(OR(INDEX('×入力'!$A$1:$L$800,311+CU$3,2+CU$2)&lt;&gt;"",INDEX('×入力'!$A$1:$L$800,310,2+CU$2)&lt;&gt;"",INDEX('×入力'!$A$1:$L$800,311+CU$3,1)&lt;&gt;""),1,0),0)</f>
        <v/>
      </c>
      <c r="CV29">
        <f>IF(CV$4=1,IF(OR(INDEX('×入力'!$A$1:$L$800,311+CV$3,2+CV$2)&lt;&gt;"",INDEX('×入力'!$A$1:$L$800,310,2+CV$2)&lt;&gt;"",INDEX('×入力'!$A$1:$L$800,311+CV$3,1)&lt;&gt;""),1,0),0)</f>
        <v/>
      </c>
      <c r="CW29">
        <f>IF(CW$4=1,IF(OR(INDEX('×入力'!$A$1:$L$800,311+CW$3,2+CW$2)&lt;&gt;"",INDEX('×入力'!$A$1:$L$800,310,2+CW$2)&lt;&gt;"",INDEX('×入力'!$A$1:$L$800,311+CW$3,1)&lt;&gt;""),1,0),0)</f>
        <v/>
      </c>
      <c r="CX29">
        <f>IF(CX$4=1,IF(OR(INDEX('×入力'!$A$1:$L$800,311+CX$3,2+CX$2)&lt;&gt;"",INDEX('×入力'!$A$1:$L$800,310,2+CX$2)&lt;&gt;"",INDEX('×入力'!$A$1:$L$800,311+CX$3,1)&lt;&gt;""),1,0),0)</f>
        <v/>
      </c>
      <c r="CY29">
        <f>IF(CY$4=1,IF(OR(INDEX('×入力'!$A$1:$L$800,311+CY$3,2+CY$2)&lt;&gt;"",INDEX('×入力'!$A$1:$L$800,310,2+CY$2)&lt;&gt;"",INDEX('×入力'!$A$1:$L$800,311+CY$3,1)&lt;&gt;""),1,0),0)</f>
        <v/>
      </c>
      <c r="CZ29">
        <f>IF(CZ$4=1,IF(OR(INDEX('×入力'!$A$1:$L$800,311+CZ$3,2+CZ$2)&lt;&gt;"",INDEX('×入力'!$A$1:$L$800,310,2+CZ$2)&lt;&gt;"",INDEX('×入力'!$A$1:$L$800,311+CZ$3,1)&lt;&gt;""),1,0),0)</f>
        <v/>
      </c>
      <c r="DA29">
        <f>IF(DA$4=1,IF(OR(INDEX('×入力'!$A$1:$L$800,311+DA$3,2+DA$2)&lt;&gt;"",INDEX('×入力'!$A$1:$L$800,310,2+DA$2)&lt;&gt;"",INDEX('×入力'!$A$1:$L$800,311+DA$3,1)&lt;&gt;""),1,0),0)</f>
        <v/>
      </c>
      <c r="DB29">
        <f>IF(DB$4=1,IF(OR(INDEX('×入力'!$A$1:$L$800,311+DB$3,2+DB$2)&lt;&gt;"",INDEX('×入力'!$A$1:$L$800,310,2+DB$2)&lt;&gt;"",INDEX('×入力'!$A$1:$L$800,311+DB$3,1)&lt;&gt;""),1,0),0)</f>
        <v/>
      </c>
      <c r="DC29">
        <f>IF(DC$4=1,IF(OR(INDEX('×入力'!$A$1:$L$800,311+DC$3,2+DC$2)&lt;&gt;"",INDEX('×入力'!$A$1:$L$800,310,2+DC$2)&lt;&gt;"",INDEX('×入力'!$A$1:$L$800,311+DC$3,1)&lt;&gt;""),1,0),0)</f>
        <v/>
      </c>
      <c r="DD29">
        <f>IF(DD$4=1,IF(OR(INDEX('×入力'!$A$1:$L$800,311+DD$3,2+DD$2)&lt;&gt;"",INDEX('×入力'!$A$1:$L$800,310,2+DD$2)&lt;&gt;"",INDEX('×入力'!$A$1:$L$800,311+DD$3,1)&lt;&gt;""),1,0),0)</f>
        <v/>
      </c>
      <c r="DE29">
        <f>IF(DE$4=1,IF(OR(INDEX('×入力'!$A$1:$L$800,311+DE$3,2+DE$2)&lt;&gt;"",INDEX('×入力'!$A$1:$L$800,310,2+DE$2)&lt;&gt;"",INDEX('×入力'!$A$1:$L$800,311+DE$3,1)&lt;&gt;""),1,0),0)</f>
        <v/>
      </c>
      <c r="DF29">
        <f>IF(DF$4=1,IF(OR(INDEX('×入力'!$A$1:$L$800,311+DF$3,2+DF$2)&lt;&gt;"",INDEX('×入力'!$A$1:$L$800,310,2+DF$2)&lt;&gt;"",INDEX('×入力'!$A$1:$L$800,311+DF$3,1)&lt;&gt;""),1,0),0)</f>
        <v/>
      </c>
      <c r="DG29">
        <f>IF(DG$4=1,IF(OR(INDEX('×入力'!$A$1:$L$800,311+DG$3,2+DG$2)&lt;&gt;"",INDEX('×入力'!$A$1:$L$800,310,2+DG$2)&lt;&gt;"",INDEX('×入力'!$A$1:$L$800,311+DG$3,1)&lt;&gt;""),1,0),0)</f>
        <v/>
      </c>
      <c r="DH29">
        <f>IF(DH$4=1,IF(OR(INDEX('×入力'!$A$1:$L$800,311+DH$3,2+DH$2)&lt;&gt;"",INDEX('×入力'!$A$1:$L$800,310,2+DH$2)&lt;&gt;"",INDEX('×入力'!$A$1:$L$800,311+DH$3,1)&lt;&gt;""),1,0),0)</f>
        <v/>
      </c>
      <c r="DI29">
        <f>IF(DI$4=1,IF(OR(INDEX('×入力'!$A$1:$L$800,311+DI$3,2+DI$2)&lt;&gt;"",INDEX('×入力'!$A$1:$L$800,310,2+DI$2)&lt;&gt;"",INDEX('×入力'!$A$1:$L$800,311+DI$3,1)&lt;&gt;""),1,0),0)</f>
        <v/>
      </c>
      <c r="DJ29">
        <f>IF(DJ$4=1,IF(OR(INDEX('×入力'!$A$1:$L$800,311+DJ$3,2+DJ$2)&lt;&gt;"",INDEX('×入力'!$A$1:$L$800,310,2+DJ$2)&lt;&gt;"",INDEX('×入力'!$A$1:$L$800,311+DJ$3,1)&lt;&gt;""),1,0),0)</f>
        <v/>
      </c>
      <c r="DK29">
        <f>IF(DK$4=1,IF(OR(INDEX('×入力'!$A$1:$L$800,311+DK$3,2+DK$2)&lt;&gt;"",INDEX('×入力'!$A$1:$L$800,310,2+DK$2)&lt;&gt;"",INDEX('×入力'!$A$1:$L$800,311+DK$3,1)&lt;&gt;""),1,0),0)</f>
        <v/>
      </c>
      <c r="DL29">
        <f>IF(DL$4=1,IF(OR(INDEX('×入力'!$A$1:$L$800,311+DL$3,2+DL$2)&lt;&gt;"",INDEX('×入力'!$A$1:$L$800,310,2+DL$2)&lt;&gt;"",INDEX('×入力'!$A$1:$L$800,311+DL$3,1)&lt;&gt;""),1,0),0)</f>
        <v/>
      </c>
      <c r="DM29">
        <f>IF(DM$4=1,IF(OR(INDEX('×入力'!$A$1:$L$800,311+DM$3,2+DM$2)&lt;&gt;"",INDEX('×入力'!$A$1:$L$800,310,2+DM$2)&lt;&gt;"",INDEX('×入力'!$A$1:$L$800,311+DM$3,1)&lt;&gt;""),1,0),0)</f>
        <v/>
      </c>
      <c r="DN29">
        <f>IF(DN$4=1,IF(OR(INDEX('×入力'!$A$1:$L$800,311+DN$3,2+DN$2)&lt;&gt;"",INDEX('×入力'!$A$1:$L$800,310,2+DN$2)&lt;&gt;"",INDEX('×入力'!$A$1:$L$800,311+DN$3,1)&lt;&gt;""),1,0),0)</f>
        <v/>
      </c>
      <c r="DO29">
        <f>IF(DO$4=1,IF(OR(INDEX('×入力'!$A$1:$L$800,311+DO$3,2+DO$2)&lt;&gt;"",INDEX('×入力'!$A$1:$L$800,310,2+DO$2)&lt;&gt;"",INDEX('×入力'!$A$1:$L$800,311+DO$3,1)&lt;&gt;""),1,0),0)</f>
        <v/>
      </c>
      <c r="DP29">
        <f>IF(DP$4=1,IF(OR(INDEX('×入力'!$A$1:$L$800,311+DP$3,2+DP$2)&lt;&gt;"",INDEX('×入力'!$A$1:$L$800,310,2+DP$2)&lt;&gt;"",INDEX('×入力'!$A$1:$L$800,311+DP$3,1)&lt;&gt;""),1,0),0)</f>
        <v/>
      </c>
      <c r="DQ29">
        <f>IF(DQ$4=1,IF(OR(INDEX('×入力'!$A$1:$L$800,311+DQ$3,2+DQ$2)&lt;&gt;"",INDEX('×入力'!$A$1:$L$800,310,2+DQ$2)&lt;&gt;"",INDEX('×入力'!$A$1:$L$800,311+DQ$3,1)&lt;&gt;""),1,0),0)</f>
        <v/>
      </c>
      <c r="DR29">
        <f>IF(DR$4=1,IF(OR(INDEX('×入力'!$A$1:$L$800,311+DR$3,2+DR$2)&lt;&gt;"",INDEX('×入力'!$A$1:$L$800,310,2+DR$2)&lt;&gt;"",INDEX('×入力'!$A$1:$L$800,311+DR$3,1)&lt;&gt;""),1,0),0)</f>
        <v/>
      </c>
      <c r="DS29">
        <f>IF(DS$4=1,IF(OR(INDEX('×入力'!$A$1:$L$800,311+DS$3,2+DS$2)&lt;&gt;"",INDEX('×入力'!$A$1:$L$800,310,2+DS$2)&lt;&gt;"",INDEX('×入力'!$A$1:$L$800,311+DS$3,1)&lt;&gt;""),1,0),0)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IF(D$4=1,IF(OR(INDEX('×入力'!$A$1:$L$800,327+D$3,2+D$2)&lt;&gt;"",INDEX('×入力'!$A$1:$L$800,326,2+D$2)&lt;&gt;"",INDEX('×入力'!$A$1:$L$800,327+D$3,1)&lt;&gt;""),1,0),0)</f>
        <v/>
      </c>
      <c r="E30">
        <f>IF(E$4=1,IF(OR(INDEX('×入力'!$A$1:$L$800,327+E$3,2+E$2)&lt;&gt;"",INDEX('×入力'!$A$1:$L$800,326,2+E$2)&lt;&gt;"",INDEX('×入力'!$A$1:$L$800,327+E$3,1)&lt;&gt;""),1,0),0)</f>
        <v/>
      </c>
      <c r="F30">
        <f>IF(F$4=1,IF(OR(INDEX('×入力'!$A$1:$L$800,327+F$3,2+F$2)&lt;&gt;"",INDEX('×入力'!$A$1:$L$800,326,2+F$2)&lt;&gt;"",INDEX('×入力'!$A$1:$L$800,327+F$3,1)&lt;&gt;""),1,0),0)</f>
        <v/>
      </c>
      <c r="G30">
        <f>IF(G$4=1,IF(OR(INDEX('×入力'!$A$1:$L$800,327+G$3,2+G$2)&lt;&gt;"",INDEX('×入力'!$A$1:$L$800,326,2+G$2)&lt;&gt;"",INDEX('×入力'!$A$1:$L$800,327+G$3,1)&lt;&gt;""),1,0),0)</f>
        <v/>
      </c>
      <c r="H30">
        <f>IF(H$4=1,IF(OR(INDEX('×入力'!$A$1:$L$800,327+H$3,2+H$2)&lt;&gt;"",INDEX('×入力'!$A$1:$L$800,326,2+H$2)&lt;&gt;"",INDEX('×入力'!$A$1:$L$800,327+H$3,1)&lt;&gt;""),1,0),0)</f>
        <v/>
      </c>
      <c r="I30">
        <f>IF(I$4=1,IF(OR(INDEX('×入力'!$A$1:$L$800,327+I$3,2+I$2)&lt;&gt;"",INDEX('×入力'!$A$1:$L$800,326,2+I$2)&lt;&gt;"",INDEX('×入力'!$A$1:$L$800,327+I$3,1)&lt;&gt;""),1,0),0)</f>
        <v/>
      </c>
      <c r="J30">
        <f>IF(J$4=1,IF(OR(INDEX('×入力'!$A$1:$L$800,327+J$3,2+J$2)&lt;&gt;"",INDEX('×入力'!$A$1:$L$800,326,2+J$2)&lt;&gt;"",INDEX('×入力'!$A$1:$L$800,327+J$3,1)&lt;&gt;""),1,0),0)</f>
        <v/>
      </c>
      <c r="K30">
        <f>IF(K$4=1,IF(OR(INDEX('×入力'!$A$1:$L$800,327+K$3,2+K$2)&lt;&gt;"",INDEX('×入力'!$A$1:$L$800,326,2+K$2)&lt;&gt;"",INDEX('×入力'!$A$1:$L$800,327+K$3,1)&lt;&gt;""),1,0),0)</f>
        <v/>
      </c>
      <c r="L30">
        <f>IF(L$4=1,IF(OR(INDEX('×入力'!$A$1:$L$800,327+L$3,2+L$2)&lt;&gt;"",INDEX('×入力'!$A$1:$L$800,326,2+L$2)&lt;&gt;"",INDEX('×入力'!$A$1:$L$800,327+L$3,1)&lt;&gt;""),1,0),0)</f>
        <v/>
      </c>
      <c r="M30">
        <f>IF(M$4=1,IF(OR(INDEX('×入力'!$A$1:$L$800,327+M$3,2+M$2)&lt;&gt;"",INDEX('×入力'!$A$1:$L$800,326,2+M$2)&lt;&gt;"",INDEX('×入力'!$A$1:$L$800,327+M$3,1)&lt;&gt;""),1,0),0)</f>
        <v/>
      </c>
      <c r="N30">
        <f>IF(N$4=1,IF(OR(INDEX('×入力'!$A$1:$L$800,327+N$3,2+N$2)&lt;&gt;"",INDEX('×入力'!$A$1:$L$800,326,2+N$2)&lt;&gt;"",INDEX('×入力'!$A$1:$L$800,327+N$3,1)&lt;&gt;""),1,0),0)</f>
        <v/>
      </c>
      <c r="O30">
        <f>IF(O$4=1,IF(OR(INDEX('×入力'!$A$1:$L$800,327+O$3,2+O$2)&lt;&gt;"",INDEX('×入力'!$A$1:$L$800,326,2+O$2)&lt;&gt;"",INDEX('×入力'!$A$1:$L$800,327+O$3,1)&lt;&gt;""),1,0),0)</f>
        <v/>
      </c>
      <c r="P30">
        <f>IF(P$4=1,IF(OR(INDEX('×入力'!$A$1:$L$800,327+P$3,2+P$2)&lt;&gt;"",INDEX('×入力'!$A$1:$L$800,326,2+P$2)&lt;&gt;"",INDEX('×入力'!$A$1:$L$800,327+P$3,1)&lt;&gt;""),1,0),0)</f>
        <v/>
      </c>
      <c r="Q30">
        <f>IF(Q$4=1,IF(OR(INDEX('×入力'!$A$1:$L$800,327+Q$3,2+Q$2)&lt;&gt;"",INDEX('×入力'!$A$1:$L$800,326,2+Q$2)&lt;&gt;"",INDEX('×入力'!$A$1:$L$800,327+Q$3,1)&lt;&gt;""),1,0),0)</f>
        <v/>
      </c>
      <c r="R30">
        <f>IF(R$4=1,IF(OR(INDEX('×入力'!$A$1:$L$800,327+R$3,2+R$2)&lt;&gt;"",INDEX('×入力'!$A$1:$L$800,326,2+R$2)&lt;&gt;"",INDEX('×入力'!$A$1:$L$800,327+R$3,1)&lt;&gt;""),1,0),0)</f>
        <v/>
      </c>
      <c r="S30">
        <f>IF(S$4=1,IF(OR(INDEX('×入力'!$A$1:$L$800,327+S$3,2+S$2)&lt;&gt;"",INDEX('×入力'!$A$1:$L$800,326,2+S$2)&lt;&gt;"",INDEX('×入力'!$A$1:$L$800,327+S$3,1)&lt;&gt;""),1,0),0)</f>
        <v/>
      </c>
      <c r="T30">
        <f>IF(T$4=1,IF(OR(INDEX('×入力'!$A$1:$L$800,327+T$3,2+T$2)&lt;&gt;"",INDEX('×入力'!$A$1:$L$800,326,2+T$2)&lt;&gt;"",INDEX('×入力'!$A$1:$L$800,327+T$3,1)&lt;&gt;""),1,0),0)</f>
        <v/>
      </c>
      <c r="U30">
        <f>IF(U$4=1,IF(OR(INDEX('×入力'!$A$1:$L$800,327+U$3,2+U$2)&lt;&gt;"",INDEX('×入力'!$A$1:$L$800,326,2+U$2)&lt;&gt;"",INDEX('×入力'!$A$1:$L$800,327+U$3,1)&lt;&gt;""),1,0),0)</f>
        <v/>
      </c>
      <c r="V30">
        <f>IF(V$4=1,IF(OR(INDEX('×入力'!$A$1:$L$800,327+V$3,2+V$2)&lt;&gt;"",INDEX('×入力'!$A$1:$L$800,326,2+V$2)&lt;&gt;"",INDEX('×入力'!$A$1:$L$800,327+V$3,1)&lt;&gt;""),1,0),0)</f>
        <v/>
      </c>
      <c r="W30">
        <f>IF(W$4=1,IF(OR(INDEX('×入力'!$A$1:$L$800,327+W$3,2+W$2)&lt;&gt;"",INDEX('×入力'!$A$1:$L$800,326,2+W$2)&lt;&gt;"",INDEX('×入力'!$A$1:$L$800,327+W$3,1)&lt;&gt;""),1,0),0)</f>
        <v/>
      </c>
      <c r="X30">
        <f>IF(X$4=1,IF(OR(INDEX('×入力'!$A$1:$L$800,327+X$3,2+X$2)&lt;&gt;"",INDEX('×入力'!$A$1:$L$800,326,2+X$2)&lt;&gt;"",INDEX('×入力'!$A$1:$L$800,327+X$3,1)&lt;&gt;""),1,0),0)</f>
        <v/>
      </c>
      <c r="Y30">
        <f>IF(Y$4=1,IF(OR(INDEX('×入力'!$A$1:$L$800,327+Y$3,2+Y$2)&lt;&gt;"",INDEX('×入力'!$A$1:$L$800,326,2+Y$2)&lt;&gt;"",INDEX('×入力'!$A$1:$L$800,327+Y$3,1)&lt;&gt;""),1,0),0)</f>
        <v/>
      </c>
      <c r="Z30">
        <f>IF(Z$4=1,IF(OR(INDEX('×入力'!$A$1:$L$800,327+Z$3,2+Z$2)&lt;&gt;"",INDEX('×入力'!$A$1:$L$800,326,2+Z$2)&lt;&gt;"",INDEX('×入力'!$A$1:$L$800,327+Z$3,1)&lt;&gt;""),1,0),0)</f>
        <v/>
      </c>
      <c r="AA30">
        <f>IF(AA$4=1,IF(OR(INDEX('×入力'!$A$1:$L$800,327+AA$3,2+AA$2)&lt;&gt;"",INDEX('×入力'!$A$1:$L$800,326,2+AA$2)&lt;&gt;"",INDEX('×入力'!$A$1:$L$800,327+AA$3,1)&lt;&gt;""),1,0),0)</f>
        <v/>
      </c>
      <c r="AB30">
        <f>IF(AB$4=1,IF(OR(INDEX('×入力'!$A$1:$L$800,327+AB$3,2+AB$2)&lt;&gt;"",INDEX('×入力'!$A$1:$L$800,326,2+AB$2)&lt;&gt;"",INDEX('×入力'!$A$1:$L$800,327+AB$3,1)&lt;&gt;""),1,0),0)</f>
        <v/>
      </c>
      <c r="AC30">
        <f>IF(AC$4=1,IF(OR(INDEX('×入力'!$A$1:$L$800,327+AC$3,2+AC$2)&lt;&gt;"",INDEX('×入力'!$A$1:$L$800,326,2+AC$2)&lt;&gt;"",INDEX('×入力'!$A$1:$L$800,327+AC$3,1)&lt;&gt;""),1,0),0)</f>
        <v/>
      </c>
      <c r="AD30">
        <f>IF(AD$4=1,IF(OR(INDEX('×入力'!$A$1:$L$800,327+AD$3,2+AD$2)&lt;&gt;"",INDEX('×入力'!$A$1:$L$800,326,2+AD$2)&lt;&gt;"",INDEX('×入力'!$A$1:$L$800,327+AD$3,1)&lt;&gt;""),1,0),0)</f>
        <v/>
      </c>
      <c r="AE30">
        <f>IF(AE$4=1,IF(OR(INDEX('×入力'!$A$1:$L$800,327+AE$3,2+AE$2)&lt;&gt;"",INDEX('×入力'!$A$1:$L$800,326,2+AE$2)&lt;&gt;"",INDEX('×入力'!$A$1:$L$800,327+AE$3,1)&lt;&gt;""),1,0),0)</f>
        <v/>
      </c>
      <c r="AF30">
        <f>IF(AF$4=1,IF(OR(INDEX('×入力'!$A$1:$L$800,327+AF$3,2+AF$2)&lt;&gt;"",INDEX('×入力'!$A$1:$L$800,326,2+AF$2)&lt;&gt;"",INDEX('×入力'!$A$1:$L$800,327+AF$3,1)&lt;&gt;""),1,0),0)</f>
        <v/>
      </c>
      <c r="AG30">
        <f>IF(AG$4=1,IF(OR(INDEX('×入力'!$A$1:$L$800,327+AG$3,2+AG$2)&lt;&gt;"",INDEX('×入力'!$A$1:$L$800,326,2+AG$2)&lt;&gt;"",INDEX('×入力'!$A$1:$L$800,327+AG$3,1)&lt;&gt;""),1,0),0)</f>
        <v/>
      </c>
      <c r="AH30">
        <f>IF(AH$4=1,IF(OR(INDEX('×入力'!$A$1:$L$800,327+AH$3,2+AH$2)&lt;&gt;"",INDEX('×入力'!$A$1:$L$800,326,2+AH$2)&lt;&gt;"",INDEX('×入力'!$A$1:$L$800,327+AH$3,1)&lt;&gt;""),1,0),0)</f>
        <v/>
      </c>
      <c r="AI30">
        <f>IF(AI$4=1,IF(OR(INDEX('×入力'!$A$1:$L$800,327+AI$3,2+AI$2)&lt;&gt;"",INDEX('×入力'!$A$1:$L$800,326,2+AI$2)&lt;&gt;"",INDEX('×入力'!$A$1:$L$800,327+AI$3,1)&lt;&gt;""),1,0),0)</f>
        <v/>
      </c>
      <c r="AJ30">
        <f>IF(AJ$4=1,IF(OR(INDEX('×入力'!$A$1:$L$800,327+AJ$3,2+AJ$2)&lt;&gt;"",INDEX('×入力'!$A$1:$L$800,326,2+AJ$2)&lt;&gt;"",INDEX('×入力'!$A$1:$L$800,327+AJ$3,1)&lt;&gt;""),1,0),0)</f>
        <v/>
      </c>
      <c r="AK30">
        <f>IF(AK$4=1,IF(OR(INDEX('×入力'!$A$1:$L$800,327+AK$3,2+AK$2)&lt;&gt;"",INDEX('×入力'!$A$1:$L$800,326,2+AK$2)&lt;&gt;"",INDEX('×入力'!$A$1:$L$800,327+AK$3,1)&lt;&gt;""),1,0),0)</f>
        <v/>
      </c>
      <c r="AL30">
        <f>IF(AL$4=1,IF(OR(INDEX('×入力'!$A$1:$L$800,327+AL$3,2+AL$2)&lt;&gt;"",INDEX('×入力'!$A$1:$L$800,326,2+AL$2)&lt;&gt;"",INDEX('×入力'!$A$1:$L$800,327+AL$3,1)&lt;&gt;""),1,0),0)</f>
        <v/>
      </c>
      <c r="AM30">
        <f>IF(AM$4=1,IF(OR(INDEX('×入力'!$A$1:$L$800,327+AM$3,2+AM$2)&lt;&gt;"",INDEX('×入力'!$A$1:$L$800,326,2+AM$2)&lt;&gt;"",INDEX('×入力'!$A$1:$L$800,327+AM$3,1)&lt;&gt;""),1,0),0)</f>
        <v/>
      </c>
      <c r="AN30">
        <f>IF(AN$4=1,IF(OR(INDEX('×入力'!$A$1:$L$800,327+AN$3,2+AN$2)&lt;&gt;"",INDEX('×入力'!$A$1:$L$800,326,2+AN$2)&lt;&gt;"",INDEX('×入力'!$A$1:$L$800,327+AN$3,1)&lt;&gt;""),1,0),0)</f>
        <v/>
      </c>
      <c r="AO30">
        <f>IF(AO$4=1,IF(OR(INDEX('×入力'!$A$1:$L$800,327+AO$3,2+AO$2)&lt;&gt;"",INDEX('×入力'!$A$1:$L$800,326,2+AO$2)&lt;&gt;"",INDEX('×入力'!$A$1:$L$800,327+AO$3,1)&lt;&gt;""),1,0),0)</f>
        <v/>
      </c>
      <c r="AP30">
        <f>IF(AP$4=1,IF(OR(INDEX('×入力'!$A$1:$L$800,327+AP$3,2+AP$2)&lt;&gt;"",INDEX('×入力'!$A$1:$L$800,326,2+AP$2)&lt;&gt;"",INDEX('×入力'!$A$1:$L$800,327+AP$3,1)&lt;&gt;""),1,0),0)</f>
        <v/>
      </c>
      <c r="AQ30">
        <f>IF(AQ$4=1,IF(OR(INDEX('×入力'!$A$1:$L$800,327+AQ$3,2+AQ$2)&lt;&gt;"",INDEX('×入力'!$A$1:$L$800,326,2+AQ$2)&lt;&gt;"",INDEX('×入力'!$A$1:$L$800,327+AQ$3,1)&lt;&gt;""),1,0),0)</f>
        <v/>
      </c>
      <c r="AR30">
        <f>IF(AR$4=1,IF(OR(INDEX('×入力'!$A$1:$L$800,327+AR$3,2+AR$2)&lt;&gt;"",INDEX('×入力'!$A$1:$L$800,326,2+AR$2)&lt;&gt;"",INDEX('×入力'!$A$1:$L$800,327+AR$3,1)&lt;&gt;""),1,0),0)</f>
        <v/>
      </c>
      <c r="AS30">
        <f>IF(AS$4=1,IF(OR(INDEX('×入力'!$A$1:$L$800,327+AS$3,2+AS$2)&lt;&gt;"",INDEX('×入力'!$A$1:$L$800,326,2+AS$2)&lt;&gt;"",INDEX('×入力'!$A$1:$L$800,327+AS$3,1)&lt;&gt;""),1,0),0)</f>
        <v/>
      </c>
      <c r="AT30">
        <f>IF(AT$4=1,IF(OR(INDEX('×入力'!$A$1:$L$800,327+AT$3,2+AT$2)&lt;&gt;"",INDEX('×入力'!$A$1:$L$800,326,2+AT$2)&lt;&gt;"",INDEX('×入力'!$A$1:$L$800,327+AT$3,1)&lt;&gt;""),1,0),0)</f>
        <v/>
      </c>
      <c r="AU30">
        <f>IF(AU$4=1,IF(OR(INDEX('×入力'!$A$1:$L$800,327+AU$3,2+AU$2)&lt;&gt;"",INDEX('×入力'!$A$1:$L$800,326,2+AU$2)&lt;&gt;"",INDEX('×入力'!$A$1:$L$800,327+AU$3,1)&lt;&gt;""),1,0),0)</f>
        <v/>
      </c>
      <c r="AV30">
        <f>IF(AV$4=1,IF(OR(INDEX('×入力'!$A$1:$L$800,327+AV$3,2+AV$2)&lt;&gt;"",INDEX('×入力'!$A$1:$L$800,326,2+AV$2)&lt;&gt;"",INDEX('×入力'!$A$1:$L$800,327+AV$3,1)&lt;&gt;""),1,0),0)</f>
        <v/>
      </c>
      <c r="AW30">
        <f>IF(AW$4=1,IF(OR(INDEX('×入力'!$A$1:$L$800,327+AW$3,2+AW$2)&lt;&gt;"",INDEX('×入力'!$A$1:$L$800,326,2+AW$2)&lt;&gt;"",INDEX('×入力'!$A$1:$L$800,327+AW$3,1)&lt;&gt;""),1,0),0)</f>
        <v/>
      </c>
      <c r="AX30">
        <f>IF(AX$4=1,IF(OR(INDEX('×入力'!$A$1:$L$800,327+AX$3,2+AX$2)&lt;&gt;"",INDEX('×入力'!$A$1:$L$800,326,2+AX$2)&lt;&gt;"",INDEX('×入力'!$A$1:$L$800,327+AX$3,1)&lt;&gt;""),1,0),0)</f>
        <v/>
      </c>
      <c r="AY30">
        <f>IF(AY$4=1,IF(OR(INDEX('×入力'!$A$1:$L$800,327+AY$3,2+AY$2)&lt;&gt;"",INDEX('×入力'!$A$1:$L$800,326,2+AY$2)&lt;&gt;"",INDEX('×入力'!$A$1:$L$800,327+AY$3,1)&lt;&gt;""),1,0),0)</f>
        <v/>
      </c>
      <c r="AZ30">
        <f>IF(AZ$4=1,IF(OR(INDEX('×入力'!$A$1:$L$800,327+AZ$3,2+AZ$2)&lt;&gt;"",INDEX('×入力'!$A$1:$L$800,326,2+AZ$2)&lt;&gt;"",INDEX('×入力'!$A$1:$L$800,327+AZ$3,1)&lt;&gt;""),1,0),0)</f>
        <v/>
      </c>
      <c r="BA30">
        <f>IF(BA$4=1,IF(OR(INDEX('×入力'!$A$1:$L$800,327+BA$3,2+BA$2)&lt;&gt;"",INDEX('×入力'!$A$1:$L$800,326,2+BA$2)&lt;&gt;"",INDEX('×入力'!$A$1:$L$800,327+BA$3,1)&lt;&gt;""),1,0),0)</f>
        <v/>
      </c>
      <c r="BB30">
        <f>IF(BB$4=1,IF(OR(INDEX('×入力'!$A$1:$L$800,327+BB$3,2+BB$2)&lt;&gt;"",INDEX('×入力'!$A$1:$L$800,326,2+BB$2)&lt;&gt;"",INDEX('×入力'!$A$1:$L$800,327+BB$3,1)&lt;&gt;""),1,0),0)</f>
        <v/>
      </c>
      <c r="BC30">
        <f>IF(BC$4=1,IF(OR(INDEX('×入力'!$A$1:$L$800,327+BC$3,2+BC$2)&lt;&gt;"",INDEX('×入力'!$A$1:$L$800,326,2+BC$2)&lt;&gt;"",INDEX('×入力'!$A$1:$L$800,327+BC$3,1)&lt;&gt;""),1,0),0)</f>
        <v/>
      </c>
      <c r="BD30">
        <f>IF(BD$4=1,IF(OR(INDEX('×入力'!$A$1:$L$800,327+BD$3,2+BD$2)&lt;&gt;"",INDEX('×入力'!$A$1:$L$800,326,2+BD$2)&lt;&gt;"",INDEX('×入力'!$A$1:$L$800,327+BD$3,1)&lt;&gt;""),1,0),0)</f>
        <v/>
      </c>
      <c r="BE30">
        <f>IF(BE$4=1,IF(OR(INDEX('×入力'!$A$1:$L$800,327+BE$3,2+BE$2)&lt;&gt;"",INDEX('×入力'!$A$1:$L$800,326,2+BE$2)&lt;&gt;"",INDEX('×入力'!$A$1:$L$800,327+BE$3,1)&lt;&gt;""),1,0),0)</f>
        <v/>
      </c>
      <c r="BF30">
        <f>IF(BF$4=1,IF(OR(INDEX('×入力'!$A$1:$L$800,327+BF$3,2+BF$2)&lt;&gt;"",INDEX('×入力'!$A$1:$L$800,326,2+BF$2)&lt;&gt;"",INDEX('×入力'!$A$1:$L$800,327+BF$3,1)&lt;&gt;""),1,0),0)</f>
        <v/>
      </c>
      <c r="BG30">
        <f>IF(BG$4=1,IF(OR(INDEX('×入力'!$A$1:$L$800,327+BG$3,2+BG$2)&lt;&gt;"",INDEX('×入力'!$A$1:$L$800,326,2+BG$2)&lt;&gt;"",INDEX('×入力'!$A$1:$L$800,327+BG$3,1)&lt;&gt;""),1,0),0)</f>
        <v/>
      </c>
      <c r="BH30">
        <f>IF(BH$4=1,IF(OR(INDEX('×入力'!$A$1:$L$800,327+BH$3,2+BH$2)&lt;&gt;"",INDEX('×入力'!$A$1:$L$800,326,2+BH$2)&lt;&gt;"",INDEX('×入力'!$A$1:$L$800,327+BH$3,1)&lt;&gt;""),1,0),0)</f>
        <v/>
      </c>
      <c r="BI30">
        <f>IF(BI$4=1,IF(OR(INDEX('×入力'!$A$1:$L$800,327+BI$3,2+BI$2)&lt;&gt;"",INDEX('×入力'!$A$1:$L$800,326,2+BI$2)&lt;&gt;"",INDEX('×入力'!$A$1:$L$800,327+BI$3,1)&lt;&gt;""),1,0),0)</f>
        <v/>
      </c>
      <c r="BJ30">
        <f>IF(BJ$4=1,IF(OR(INDEX('×入力'!$A$1:$L$800,327+BJ$3,2+BJ$2)&lt;&gt;"",INDEX('×入力'!$A$1:$L$800,326,2+BJ$2)&lt;&gt;"",INDEX('×入力'!$A$1:$L$800,327+BJ$3,1)&lt;&gt;""),1,0),0)</f>
        <v/>
      </c>
      <c r="BK30">
        <f>IF(BK$4=1,IF(OR(INDEX('×入力'!$A$1:$L$800,327+BK$3,2+BK$2)&lt;&gt;"",INDEX('×入力'!$A$1:$L$800,326,2+BK$2)&lt;&gt;"",INDEX('×入力'!$A$1:$L$800,327+BK$3,1)&lt;&gt;""),1,0),0)</f>
        <v/>
      </c>
      <c r="BL30">
        <f>IF(BL$4=1,IF(OR(INDEX('×入力'!$A$1:$L$800,327+BL$3,2+BL$2)&lt;&gt;"",INDEX('×入力'!$A$1:$L$800,326,2+BL$2)&lt;&gt;"",INDEX('×入力'!$A$1:$L$800,327+BL$3,1)&lt;&gt;""),1,0),0)</f>
        <v/>
      </c>
      <c r="BM30">
        <f>IF(BM$4=1,IF(OR(INDEX('×入力'!$A$1:$L$800,327+BM$3,2+BM$2)&lt;&gt;"",INDEX('×入力'!$A$1:$L$800,326,2+BM$2)&lt;&gt;"",INDEX('×入力'!$A$1:$L$800,327+BM$3,1)&lt;&gt;""),1,0),0)</f>
        <v/>
      </c>
      <c r="BN30">
        <f>IF(BN$4=1,IF(OR(INDEX('×入力'!$A$1:$L$800,327+BN$3,2+BN$2)&lt;&gt;"",INDEX('×入力'!$A$1:$L$800,326,2+BN$2)&lt;&gt;"",INDEX('×入力'!$A$1:$L$800,327+BN$3,1)&lt;&gt;""),1,0),0)</f>
        <v/>
      </c>
      <c r="BO30">
        <f>IF(BO$4=1,IF(OR(INDEX('×入力'!$A$1:$L$800,327+BO$3,2+BO$2)&lt;&gt;"",INDEX('×入力'!$A$1:$L$800,326,2+BO$2)&lt;&gt;"",INDEX('×入力'!$A$1:$L$800,327+BO$3,1)&lt;&gt;""),1,0),0)</f>
        <v/>
      </c>
      <c r="BP30">
        <f>IF(BP$4=1,IF(OR(INDEX('×入力'!$A$1:$L$800,327+BP$3,2+BP$2)&lt;&gt;"",INDEX('×入力'!$A$1:$L$800,326,2+BP$2)&lt;&gt;"",INDEX('×入力'!$A$1:$L$800,327+BP$3,1)&lt;&gt;""),1,0),0)</f>
        <v/>
      </c>
      <c r="BQ30">
        <f>IF(BQ$4=1,IF(OR(INDEX('×入力'!$A$1:$L$800,327+BQ$3,2+BQ$2)&lt;&gt;"",INDEX('×入力'!$A$1:$L$800,326,2+BQ$2)&lt;&gt;"",INDEX('×入力'!$A$1:$L$800,327+BQ$3,1)&lt;&gt;""),1,0),0)</f>
        <v/>
      </c>
      <c r="BR30">
        <f>IF(BR$4=1,IF(OR(INDEX('×入力'!$A$1:$L$800,327+BR$3,2+BR$2)&lt;&gt;"",INDEX('×入力'!$A$1:$L$800,326,2+BR$2)&lt;&gt;"",INDEX('×入力'!$A$1:$L$800,327+BR$3,1)&lt;&gt;""),1,0),0)</f>
        <v/>
      </c>
      <c r="BS30">
        <f>IF(BS$4=1,IF(OR(INDEX('×入力'!$A$1:$L$800,327+BS$3,2+BS$2)&lt;&gt;"",INDEX('×入力'!$A$1:$L$800,326,2+BS$2)&lt;&gt;"",INDEX('×入力'!$A$1:$L$800,327+BS$3,1)&lt;&gt;""),1,0),0)</f>
        <v/>
      </c>
      <c r="BT30">
        <f>IF(BT$4=1,IF(OR(INDEX('×入力'!$A$1:$L$800,327+BT$3,2+BT$2)&lt;&gt;"",INDEX('×入力'!$A$1:$L$800,326,2+BT$2)&lt;&gt;"",INDEX('×入力'!$A$1:$L$800,327+BT$3,1)&lt;&gt;""),1,0),0)</f>
        <v/>
      </c>
      <c r="BU30">
        <f>IF(BU$4=1,IF(OR(INDEX('×入力'!$A$1:$L$800,327+BU$3,2+BU$2)&lt;&gt;"",INDEX('×入力'!$A$1:$L$800,326,2+BU$2)&lt;&gt;"",INDEX('×入力'!$A$1:$L$800,327+BU$3,1)&lt;&gt;""),1,0),0)</f>
        <v/>
      </c>
      <c r="BV30">
        <f>IF(BV$4=1,IF(OR(INDEX('×入力'!$A$1:$L$800,327+BV$3,2+BV$2)&lt;&gt;"",INDEX('×入力'!$A$1:$L$800,326,2+BV$2)&lt;&gt;"",INDEX('×入力'!$A$1:$L$800,327+BV$3,1)&lt;&gt;""),1,0),0)</f>
        <v/>
      </c>
      <c r="BW30">
        <f>IF(BW$4=1,IF(OR(INDEX('×入力'!$A$1:$L$800,327+BW$3,2+BW$2)&lt;&gt;"",INDEX('×入力'!$A$1:$L$800,326,2+BW$2)&lt;&gt;"",INDEX('×入力'!$A$1:$L$800,327+BW$3,1)&lt;&gt;""),1,0),0)</f>
        <v/>
      </c>
      <c r="BX30">
        <f>IF(BX$4=1,IF(OR(INDEX('×入力'!$A$1:$L$800,327+BX$3,2+BX$2)&lt;&gt;"",INDEX('×入力'!$A$1:$L$800,326,2+BX$2)&lt;&gt;"",INDEX('×入力'!$A$1:$L$800,327+BX$3,1)&lt;&gt;""),1,0),0)</f>
        <v/>
      </c>
      <c r="BY30">
        <f>IF(BY$4=1,IF(OR(INDEX('×入力'!$A$1:$L$800,327+BY$3,2+BY$2)&lt;&gt;"",INDEX('×入力'!$A$1:$L$800,326,2+BY$2)&lt;&gt;"",INDEX('×入力'!$A$1:$L$800,327+BY$3,1)&lt;&gt;""),1,0),0)</f>
        <v/>
      </c>
      <c r="BZ30">
        <f>IF(BZ$4=1,IF(OR(INDEX('×入力'!$A$1:$L$800,327+BZ$3,2+BZ$2)&lt;&gt;"",INDEX('×入力'!$A$1:$L$800,326,2+BZ$2)&lt;&gt;"",INDEX('×入力'!$A$1:$L$800,327+BZ$3,1)&lt;&gt;""),1,0),0)</f>
        <v/>
      </c>
      <c r="CA30">
        <f>IF(CA$4=1,IF(OR(INDEX('×入力'!$A$1:$L$800,327+CA$3,2+CA$2)&lt;&gt;"",INDEX('×入力'!$A$1:$L$800,326,2+CA$2)&lt;&gt;"",INDEX('×入力'!$A$1:$L$800,327+CA$3,1)&lt;&gt;""),1,0),0)</f>
        <v/>
      </c>
      <c r="CB30">
        <f>IF(CB$4=1,IF(OR(INDEX('×入力'!$A$1:$L$800,327+CB$3,2+CB$2)&lt;&gt;"",INDEX('×入力'!$A$1:$L$800,326,2+CB$2)&lt;&gt;"",INDEX('×入力'!$A$1:$L$800,327+CB$3,1)&lt;&gt;""),1,0),0)</f>
        <v/>
      </c>
      <c r="CC30">
        <f>IF(CC$4=1,IF(OR(INDEX('×入力'!$A$1:$L$800,327+CC$3,2+CC$2)&lt;&gt;"",INDEX('×入力'!$A$1:$L$800,326,2+CC$2)&lt;&gt;"",INDEX('×入力'!$A$1:$L$800,327+CC$3,1)&lt;&gt;""),1,0),0)</f>
        <v/>
      </c>
      <c r="CD30">
        <f>IF(CD$4=1,IF(OR(INDEX('×入力'!$A$1:$L$800,327+CD$3,2+CD$2)&lt;&gt;"",INDEX('×入力'!$A$1:$L$800,326,2+CD$2)&lt;&gt;"",INDEX('×入力'!$A$1:$L$800,327+CD$3,1)&lt;&gt;""),1,0),0)</f>
        <v/>
      </c>
      <c r="CE30">
        <f>IF(CE$4=1,IF(OR(INDEX('×入力'!$A$1:$L$800,327+CE$3,2+CE$2)&lt;&gt;"",INDEX('×入力'!$A$1:$L$800,326,2+CE$2)&lt;&gt;"",INDEX('×入力'!$A$1:$L$800,327+CE$3,1)&lt;&gt;""),1,0),0)</f>
        <v/>
      </c>
      <c r="CF30">
        <f>IF(CF$4=1,IF(OR(INDEX('×入力'!$A$1:$L$800,327+CF$3,2+CF$2)&lt;&gt;"",INDEX('×入力'!$A$1:$L$800,326,2+CF$2)&lt;&gt;"",INDEX('×入力'!$A$1:$L$800,327+CF$3,1)&lt;&gt;""),1,0),0)</f>
        <v/>
      </c>
      <c r="CG30">
        <f>IF(CG$4=1,IF(OR(INDEX('×入力'!$A$1:$L$800,327+CG$3,2+CG$2)&lt;&gt;"",INDEX('×入力'!$A$1:$L$800,326,2+CG$2)&lt;&gt;"",INDEX('×入力'!$A$1:$L$800,327+CG$3,1)&lt;&gt;""),1,0),0)</f>
        <v/>
      </c>
      <c r="CH30">
        <f>IF(CH$4=1,IF(OR(INDEX('×入力'!$A$1:$L$800,327+CH$3,2+CH$2)&lt;&gt;"",INDEX('×入力'!$A$1:$L$800,326,2+CH$2)&lt;&gt;"",INDEX('×入力'!$A$1:$L$800,327+CH$3,1)&lt;&gt;""),1,0),0)</f>
        <v/>
      </c>
      <c r="CI30">
        <f>IF(CI$4=1,IF(OR(INDEX('×入力'!$A$1:$L$800,327+CI$3,2+CI$2)&lt;&gt;"",INDEX('×入力'!$A$1:$L$800,326,2+CI$2)&lt;&gt;"",INDEX('×入力'!$A$1:$L$800,327+CI$3,1)&lt;&gt;""),1,0),0)</f>
        <v/>
      </c>
      <c r="CJ30">
        <f>IF(CJ$4=1,IF(OR(INDEX('×入力'!$A$1:$L$800,327+CJ$3,2+CJ$2)&lt;&gt;"",INDEX('×入力'!$A$1:$L$800,326,2+CJ$2)&lt;&gt;"",INDEX('×入力'!$A$1:$L$800,327+CJ$3,1)&lt;&gt;""),1,0),0)</f>
        <v/>
      </c>
      <c r="CK30">
        <f>IF(CK$4=1,IF(OR(INDEX('×入力'!$A$1:$L$800,327+CK$3,2+CK$2)&lt;&gt;"",INDEX('×入力'!$A$1:$L$800,326,2+CK$2)&lt;&gt;"",INDEX('×入力'!$A$1:$L$800,327+CK$3,1)&lt;&gt;""),1,0),0)</f>
        <v/>
      </c>
      <c r="CL30">
        <f>IF(CL$4=1,IF(OR(INDEX('×入力'!$A$1:$L$800,327+CL$3,2+CL$2)&lt;&gt;"",INDEX('×入力'!$A$1:$L$800,326,2+CL$2)&lt;&gt;"",INDEX('×入力'!$A$1:$L$800,327+CL$3,1)&lt;&gt;""),1,0),0)</f>
        <v/>
      </c>
      <c r="CM30">
        <f>IF(CM$4=1,IF(OR(INDEX('×入力'!$A$1:$L$800,327+CM$3,2+CM$2)&lt;&gt;"",INDEX('×入力'!$A$1:$L$800,326,2+CM$2)&lt;&gt;"",INDEX('×入力'!$A$1:$L$800,327+CM$3,1)&lt;&gt;""),1,0),0)</f>
        <v/>
      </c>
      <c r="CN30">
        <f>IF(CN$4=1,IF(OR(INDEX('×入力'!$A$1:$L$800,327+CN$3,2+CN$2)&lt;&gt;"",INDEX('×入力'!$A$1:$L$800,326,2+CN$2)&lt;&gt;"",INDEX('×入力'!$A$1:$L$800,327+CN$3,1)&lt;&gt;""),1,0),0)</f>
        <v/>
      </c>
      <c r="CO30">
        <f>IF(CO$4=1,IF(OR(INDEX('×入力'!$A$1:$L$800,327+CO$3,2+CO$2)&lt;&gt;"",INDEX('×入力'!$A$1:$L$800,326,2+CO$2)&lt;&gt;"",INDEX('×入力'!$A$1:$L$800,327+CO$3,1)&lt;&gt;""),1,0),0)</f>
        <v/>
      </c>
      <c r="CP30">
        <f>IF(CP$4=1,IF(OR(INDEX('×入力'!$A$1:$L$800,327+CP$3,2+CP$2)&lt;&gt;"",INDEX('×入力'!$A$1:$L$800,326,2+CP$2)&lt;&gt;"",INDEX('×入力'!$A$1:$L$800,327+CP$3,1)&lt;&gt;""),1,0),0)</f>
        <v/>
      </c>
      <c r="CQ30">
        <f>IF(CQ$4=1,IF(OR(INDEX('×入力'!$A$1:$L$800,327+CQ$3,2+CQ$2)&lt;&gt;"",INDEX('×入力'!$A$1:$L$800,326,2+CQ$2)&lt;&gt;"",INDEX('×入力'!$A$1:$L$800,327+CQ$3,1)&lt;&gt;""),1,0),0)</f>
        <v/>
      </c>
      <c r="CR30">
        <f>IF(CR$4=1,IF(OR(INDEX('×入力'!$A$1:$L$800,327+CR$3,2+CR$2)&lt;&gt;"",INDEX('×入力'!$A$1:$L$800,326,2+CR$2)&lt;&gt;"",INDEX('×入力'!$A$1:$L$800,327+CR$3,1)&lt;&gt;""),1,0),0)</f>
        <v/>
      </c>
      <c r="CS30">
        <f>IF(CS$4=1,IF(OR(INDEX('×入力'!$A$1:$L$800,327+CS$3,2+CS$2)&lt;&gt;"",INDEX('×入力'!$A$1:$L$800,326,2+CS$2)&lt;&gt;"",INDEX('×入力'!$A$1:$L$800,327+CS$3,1)&lt;&gt;""),1,0),0)</f>
        <v/>
      </c>
      <c r="CT30">
        <f>IF(CT$4=1,IF(OR(INDEX('×入力'!$A$1:$L$800,327+CT$3,2+CT$2)&lt;&gt;"",INDEX('×入力'!$A$1:$L$800,326,2+CT$2)&lt;&gt;"",INDEX('×入力'!$A$1:$L$800,327+CT$3,1)&lt;&gt;""),1,0),0)</f>
        <v/>
      </c>
      <c r="CU30">
        <f>IF(CU$4=1,IF(OR(INDEX('×入力'!$A$1:$L$800,327+CU$3,2+CU$2)&lt;&gt;"",INDEX('×入力'!$A$1:$L$800,326,2+CU$2)&lt;&gt;"",INDEX('×入力'!$A$1:$L$800,327+CU$3,1)&lt;&gt;""),1,0),0)</f>
        <v/>
      </c>
      <c r="CV30">
        <f>IF(CV$4=1,IF(OR(INDEX('×入力'!$A$1:$L$800,327+CV$3,2+CV$2)&lt;&gt;"",INDEX('×入力'!$A$1:$L$800,326,2+CV$2)&lt;&gt;"",INDEX('×入力'!$A$1:$L$800,327+CV$3,1)&lt;&gt;""),1,0),0)</f>
        <v/>
      </c>
      <c r="CW30">
        <f>IF(CW$4=1,IF(OR(INDEX('×入力'!$A$1:$L$800,327+CW$3,2+CW$2)&lt;&gt;"",INDEX('×入力'!$A$1:$L$800,326,2+CW$2)&lt;&gt;"",INDEX('×入力'!$A$1:$L$800,327+CW$3,1)&lt;&gt;""),1,0),0)</f>
        <v/>
      </c>
      <c r="CX30">
        <f>IF(CX$4=1,IF(OR(INDEX('×入力'!$A$1:$L$800,327+CX$3,2+CX$2)&lt;&gt;"",INDEX('×入力'!$A$1:$L$800,326,2+CX$2)&lt;&gt;"",INDEX('×入力'!$A$1:$L$800,327+CX$3,1)&lt;&gt;""),1,0),0)</f>
        <v/>
      </c>
      <c r="CY30">
        <f>IF(CY$4=1,IF(OR(INDEX('×入力'!$A$1:$L$800,327+CY$3,2+CY$2)&lt;&gt;"",INDEX('×入力'!$A$1:$L$800,326,2+CY$2)&lt;&gt;"",INDEX('×入力'!$A$1:$L$800,327+CY$3,1)&lt;&gt;""),1,0),0)</f>
        <v/>
      </c>
      <c r="CZ30">
        <f>IF(CZ$4=1,IF(OR(INDEX('×入力'!$A$1:$L$800,327+CZ$3,2+CZ$2)&lt;&gt;"",INDEX('×入力'!$A$1:$L$800,326,2+CZ$2)&lt;&gt;"",INDEX('×入力'!$A$1:$L$800,327+CZ$3,1)&lt;&gt;""),1,0),0)</f>
        <v/>
      </c>
      <c r="DA30">
        <f>IF(DA$4=1,IF(OR(INDEX('×入力'!$A$1:$L$800,327+DA$3,2+DA$2)&lt;&gt;"",INDEX('×入力'!$A$1:$L$800,326,2+DA$2)&lt;&gt;"",INDEX('×入力'!$A$1:$L$800,327+DA$3,1)&lt;&gt;""),1,0),0)</f>
        <v/>
      </c>
      <c r="DB30">
        <f>IF(DB$4=1,IF(OR(INDEX('×入力'!$A$1:$L$800,327+DB$3,2+DB$2)&lt;&gt;"",INDEX('×入力'!$A$1:$L$800,326,2+DB$2)&lt;&gt;"",INDEX('×入力'!$A$1:$L$800,327+DB$3,1)&lt;&gt;""),1,0),0)</f>
        <v/>
      </c>
      <c r="DC30">
        <f>IF(DC$4=1,IF(OR(INDEX('×入力'!$A$1:$L$800,327+DC$3,2+DC$2)&lt;&gt;"",INDEX('×入力'!$A$1:$L$800,326,2+DC$2)&lt;&gt;"",INDEX('×入力'!$A$1:$L$800,327+DC$3,1)&lt;&gt;""),1,0),0)</f>
        <v/>
      </c>
      <c r="DD30">
        <f>IF(DD$4=1,IF(OR(INDEX('×入力'!$A$1:$L$800,327+DD$3,2+DD$2)&lt;&gt;"",INDEX('×入力'!$A$1:$L$800,326,2+DD$2)&lt;&gt;"",INDEX('×入力'!$A$1:$L$800,327+DD$3,1)&lt;&gt;""),1,0),0)</f>
        <v/>
      </c>
      <c r="DE30">
        <f>IF(DE$4=1,IF(OR(INDEX('×入力'!$A$1:$L$800,327+DE$3,2+DE$2)&lt;&gt;"",INDEX('×入力'!$A$1:$L$800,326,2+DE$2)&lt;&gt;"",INDEX('×入力'!$A$1:$L$800,327+DE$3,1)&lt;&gt;""),1,0),0)</f>
        <v/>
      </c>
      <c r="DF30">
        <f>IF(DF$4=1,IF(OR(INDEX('×入力'!$A$1:$L$800,327+DF$3,2+DF$2)&lt;&gt;"",INDEX('×入力'!$A$1:$L$800,326,2+DF$2)&lt;&gt;"",INDEX('×入力'!$A$1:$L$800,327+DF$3,1)&lt;&gt;""),1,0),0)</f>
        <v/>
      </c>
      <c r="DG30">
        <f>IF(DG$4=1,IF(OR(INDEX('×入力'!$A$1:$L$800,327+DG$3,2+DG$2)&lt;&gt;"",INDEX('×入力'!$A$1:$L$800,326,2+DG$2)&lt;&gt;"",INDEX('×入力'!$A$1:$L$800,327+DG$3,1)&lt;&gt;""),1,0),0)</f>
        <v/>
      </c>
      <c r="DH30">
        <f>IF(DH$4=1,IF(OR(INDEX('×入力'!$A$1:$L$800,327+DH$3,2+DH$2)&lt;&gt;"",INDEX('×入力'!$A$1:$L$800,326,2+DH$2)&lt;&gt;"",INDEX('×入力'!$A$1:$L$800,327+DH$3,1)&lt;&gt;""),1,0),0)</f>
        <v/>
      </c>
      <c r="DI30">
        <f>IF(DI$4=1,IF(OR(INDEX('×入力'!$A$1:$L$800,327+DI$3,2+DI$2)&lt;&gt;"",INDEX('×入力'!$A$1:$L$800,326,2+DI$2)&lt;&gt;"",INDEX('×入力'!$A$1:$L$800,327+DI$3,1)&lt;&gt;""),1,0),0)</f>
        <v/>
      </c>
      <c r="DJ30">
        <f>IF(DJ$4=1,IF(OR(INDEX('×入力'!$A$1:$L$800,327+DJ$3,2+DJ$2)&lt;&gt;"",INDEX('×入力'!$A$1:$L$800,326,2+DJ$2)&lt;&gt;"",INDEX('×入力'!$A$1:$L$800,327+DJ$3,1)&lt;&gt;""),1,0),0)</f>
        <v/>
      </c>
      <c r="DK30">
        <f>IF(DK$4=1,IF(OR(INDEX('×入力'!$A$1:$L$800,327+DK$3,2+DK$2)&lt;&gt;"",INDEX('×入力'!$A$1:$L$800,326,2+DK$2)&lt;&gt;"",INDEX('×入力'!$A$1:$L$800,327+DK$3,1)&lt;&gt;""),1,0),0)</f>
        <v/>
      </c>
      <c r="DL30">
        <f>IF(DL$4=1,IF(OR(INDEX('×入力'!$A$1:$L$800,327+DL$3,2+DL$2)&lt;&gt;"",INDEX('×入力'!$A$1:$L$800,326,2+DL$2)&lt;&gt;"",INDEX('×入力'!$A$1:$L$800,327+DL$3,1)&lt;&gt;""),1,0),0)</f>
        <v/>
      </c>
      <c r="DM30">
        <f>IF(DM$4=1,IF(OR(INDEX('×入力'!$A$1:$L$800,327+DM$3,2+DM$2)&lt;&gt;"",INDEX('×入力'!$A$1:$L$800,326,2+DM$2)&lt;&gt;"",INDEX('×入力'!$A$1:$L$800,327+DM$3,1)&lt;&gt;""),1,0),0)</f>
        <v/>
      </c>
      <c r="DN30">
        <f>IF(DN$4=1,IF(OR(INDEX('×入力'!$A$1:$L$800,327+DN$3,2+DN$2)&lt;&gt;"",INDEX('×入力'!$A$1:$L$800,326,2+DN$2)&lt;&gt;"",INDEX('×入力'!$A$1:$L$800,327+DN$3,1)&lt;&gt;""),1,0),0)</f>
        <v/>
      </c>
      <c r="DO30">
        <f>IF(DO$4=1,IF(OR(INDEX('×入力'!$A$1:$L$800,327+DO$3,2+DO$2)&lt;&gt;"",INDEX('×入力'!$A$1:$L$800,326,2+DO$2)&lt;&gt;"",INDEX('×入力'!$A$1:$L$800,327+DO$3,1)&lt;&gt;""),1,0),0)</f>
        <v/>
      </c>
      <c r="DP30">
        <f>IF(DP$4=1,IF(OR(INDEX('×入力'!$A$1:$L$800,327+DP$3,2+DP$2)&lt;&gt;"",INDEX('×入力'!$A$1:$L$800,326,2+DP$2)&lt;&gt;"",INDEX('×入力'!$A$1:$L$800,327+DP$3,1)&lt;&gt;""),1,0),0)</f>
        <v/>
      </c>
      <c r="DQ30">
        <f>IF(DQ$4=1,IF(OR(INDEX('×入力'!$A$1:$L$800,327+DQ$3,2+DQ$2)&lt;&gt;"",INDEX('×入力'!$A$1:$L$800,326,2+DQ$2)&lt;&gt;"",INDEX('×入力'!$A$1:$L$800,327+DQ$3,1)&lt;&gt;""),1,0),0)</f>
        <v/>
      </c>
      <c r="DR30">
        <f>IF(DR$4=1,IF(OR(INDEX('×入力'!$A$1:$L$800,327+DR$3,2+DR$2)&lt;&gt;"",INDEX('×入力'!$A$1:$L$800,326,2+DR$2)&lt;&gt;"",INDEX('×入力'!$A$1:$L$800,327+DR$3,1)&lt;&gt;""),1,0),0)</f>
        <v/>
      </c>
      <c r="DS30">
        <f>IF(DS$4=1,IF(OR(INDEX('×入力'!$A$1:$L$800,327+DS$3,2+DS$2)&lt;&gt;"",INDEX('×入力'!$A$1:$L$800,326,2+DS$2)&lt;&gt;"",INDEX('×入力'!$A$1:$L$800,327+DS$3,1)&lt;&gt;""),1,0),0)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IF(D$4=1,IF(OR(INDEX('×入力'!$A$1:$L$800,343+D$3,2+D$2)&lt;&gt;"",INDEX('×入力'!$A$1:$L$800,342,2+D$2)&lt;&gt;"",INDEX('×入力'!$A$1:$L$800,343+D$3,1)&lt;&gt;""),1,0),0)</f>
        <v/>
      </c>
      <c r="E31">
        <f>IF(E$4=1,IF(OR(INDEX('×入力'!$A$1:$L$800,343+E$3,2+E$2)&lt;&gt;"",INDEX('×入力'!$A$1:$L$800,342,2+E$2)&lt;&gt;"",INDEX('×入力'!$A$1:$L$800,343+E$3,1)&lt;&gt;""),1,0),0)</f>
        <v/>
      </c>
      <c r="F31">
        <f>IF(F$4=1,IF(OR(INDEX('×入力'!$A$1:$L$800,343+F$3,2+F$2)&lt;&gt;"",INDEX('×入力'!$A$1:$L$800,342,2+F$2)&lt;&gt;"",INDEX('×入力'!$A$1:$L$800,343+F$3,1)&lt;&gt;""),1,0),0)</f>
        <v/>
      </c>
      <c r="G31">
        <f>IF(G$4=1,IF(OR(INDEX('×入力'!$A$1:$L$800,343+G$3,2+G$2)&lt;&gt;"",INDEX('×入力'!$A$1:$L$800,342,2+G$2)&lt;&gt;"",INDEX('×入力'!$A$1:$L$800,343+G$3,1)&lt;&gt;""),1,0),0)</f>
        <v/>
      </c>
      <c r="H31">
        <f>IF(H$4=1,IF(OR(INDEX('×入力'!$A$1:$L$800,343+H$3,2+H$2)&lt;&gt;"",INDEX('×入力'!$A$1:$L$800,342,2+H$2)&lt;&gt;"",INDEX('×入力'!$A$1:$L$800,343+H$3,1)&lt;&gt;""),1,0),0)</f>
        <v/>
      </c>
      <c r="I31">
        <f>IF(I$4=1,IF(OR(INDEX('×入力'!$A$1:$L$800,343+I$3,2+I$2)&lt;&gt;"",INDEX('×入力'!$A$1:$L$800,342,2+I$2)&lt;&gt;"",INDEX('×入力'!$A$1:$L$800,343+I$3,1)&lt;&gt;""),1,0),0)</f>
        <v/>
      </c>
      <c r="J31">
        <f>IF(J$4=1,IF(OR(INDEX('×入力'!$A$1:$L$800,343+J$3,2+J$2)&lt;&gt;"",INDEX('×入力'!$A$1:$L$800,342,2+J$2)&lt;&gt;"",INDEX('×入力'!$A$1:$L$800,343+J$3,1)&lt;&gt;""),1,0),0)</f>
        <v/>
      </c>
      <c r="K31">
        <f>IF(K$4=1,IF(OR(INDEX('×入力'!$A$1:$L$800,343+K$3,2+K$2)&lt;&gt;"",INDEX('×入力'!$A$1:$L$800,342,2+K$2)&lt;&gt;"",INDEX('×入力'!$A$1:$L$800,343+K$3,1)&lt;&gt;""),1,0),0)</f>
        <v/>
      </c>
      <c r="L31">
        <f>IF(L$4=1,IF(OR(INDEX('×入力'!$A$1:$L$800,343+L$3,2+L$2)&lt;&gt;"",INDEX('×入力'!$A$1:$L$800,342,2+L$2)&lt;&gt;"",INDEX('×入力'!$A$1:$L$800,343+L$3,1)&lt;&gt;""),1,0),0)</f>
        <v/>
      </c>
      <c r="M31">
        <f>IF(M$4=1,IF(OR(INDEX('×入力'!$A$1:$L$800,343+M$3,2+M$2)&lt;&gt;"",INDEX('×入力'!$A$1:$L$800,342,2+M$2)&lt;&gt;"",INDEX('×入力'!$A$1:$L$800,343+M$3,1)&lt;&gt;""),1,0),0)</f>
        <v/>
      </c>
      <c r="N31">
        <f>IF(N$4=1,IF(OR(INDEX('×入力'!$A$1:$L$800,343+N$3,2+N$2)&lt;&gt;"",INDEX('×入力'!$A$1:$L$800,342,2+N$2)&lt;&gt;"",INDEX('×入力'!$A$1:$L$800,343+N$3,1)&lt;&gt;""),1,0),0)</f>
        <v/>
      </c>
      <c r="O31">
        <f>IF(O$4=1,IF(OR(INDEX('×入力'!$A$1:$L$800,343+O$3,2+O$2)&lt;&gt;"",INDEX('×入力'!$A$1:$L$800,342,2+O$2)&lt;&gt;"",INDEX('×入力'!$A$1:$L$800,343+O$3,1)&lt;&gt;""),1,0),0)</f>
        <v/>
      </c>
      <c r="P31">
        <f>IF(P$4=1,IF(OR(INDEX('×入力'!$A$1:$L$800,343+P$3,2+P$2)&lt;&gt;"",INDEX('×入力'!$A$1:$L$800,342,2+P$2)&lt;&gt;"",INDEX('×入力'!$A$1:$L$800,343+P$3,1)&lt;&gt;""),1,0),0)</f>
        <v/>
      </c>
      <c r="Q31">
        <f>IF(Q$4=1,IF(OR(INDEX('×入力'!$A$1:$L$800,343+Q$3,2+Q$2)&lt;&gt;"",INDEX('×入力'!$A$1:$L$800,342,2+Q$2)&lt;&gt;"",INDEX('×入力'!$A$1:$L$800,343+Q$3,1)&lt;&gt;""),1,0),0)</f>
        <v/>
      </c>
      <c r="R31">
        <f>IF(R$4=1,IF(OR(INDEX('×入力'!$A$1:$L$800,343+R$3,2+R$2)&lt;&gt;"",INDEX('×入力'!$A$1:$L$800,342,2+R$2)&lt;&gt;"",INDEX('×入力'!$A$1:$L$800,343+R$3,1)&lt;&gt;""),1,0),0)</f>
        <v/>
      </c>
      <c r="S31">
        <f>IF(S$4=1,IF(OR(INDEX('×入力'!$A$1:$L$800,343+S$3,2+S$2)&lt;&gt;"",INDEX('×入力'!$A$1:$L$800,342,2+S$2)&lt;&gt;"",INDEX('×入力'!$A$1:$L$800,343+S$3,1)&lt;&gt;""),1,0),0)</f>
        <v/>
      </c>
      <c r="T31">
        <f>IF(T$4=1,IF(OR(INDEX('×入力'!$A$1:$L$800,343+T$3,2+T$2)&lt;&gt;"",INDEX('×入力'!$A$1:$L$800,342,2+T$2)&lt;&gt;"",INDEX('×入力'!$A$1:$L$800,343+T$3,1)&lt;&gt;""),1,0),0)</f>
        <v/>
      </c>
      <c r="U31">
        <f>IF(U$4=1,IF(OR(INDEX('×入力'!$A$1:$L$800,343+U$3,2+U$2)&lt;&gt;"",INDEX('×入力'!$A$1:$L$800,342,2+U$2)&lt;&gt;"",INDEX('×入力'!$A$1:$L$800,343+U$3,1)&lt;&gt;""),1,0),0)</f>
        <v/>
      </c>
      <c r="V31">
        <f>IF(V$4=1,IF(OR(INDEX('×入力'!$A$1:$L$800,343+V$3,2+V$2)&lt;&gt;"",INDEX('×入力'!$A$1:$L$800,342,2+V$2)&lt;&gt;"",INDEX('×入力'!$A$1:$L$800,343+V$3,1)&lt;&gt;""),1,0),0)</f>
        <v/>
      </c>
      <c r="W31">
        <f>IF(W$4=1,IF(OR(INDEX('×入力'!$A$1:$L$800,343+W$3,2+W$2)&lt;&gt;"",INDEX('×入力'!$A$1:$L$800,342,2+W$2)&lt;&gt;"",INDEX('×入力'!$A$1:$L$800,343+W$3,1)&lt;&gt;""),1,0),0)</f>
        <v/>
      </c>
      <c r="X31">
        <f>IF(X$4=1,IF(OR(INDEX('×入力'!$A$1:$L$800,343+X$3,2+X$2)&lt;&gt;"",INDEX('×入力'!$A$1:$L$800,342,2+X$2)&lt;&gt;"",INDEX('×入力'!$A$1:$L$800,343+X$3,1)&lt;&gt;""),1,0),0)</f>
        <v/>
      </c>
      <c r="Y31">
        <f>IF(Y$4=1,IF(OR(INDEX('×入力'!$A$1:$L$800,343+Y$3,2+Y$2)&lt;&gt;"",INDEX('×入力'!$A$1:$L$800,342,2+Y$2)&lt;&gt;"",INDEX('×入力'!$A$1:$L$800,343+Y$3,1)&lt;&gt;""),1,0),0)</f>
        <v/>
      </c>
      <c r="Z31">
        <f>IF(Z$4=1,IF(OR(INDEX('×入力'!$A$1:$L$800,343+Z$3,2+Z$2)&lt;&gt;"",INDEX('×入力'!$A$1:$L$800,342,2+Z$2)&lt;&gt;"",INDEX('×入力'!$A$1:$L$800,343+Z$3,1)&lt;&gt;""),1,0),0)</f>
        <v/>
      </c>
      <c r="AA31">
        <f>IF(AA$4=1,IF(OR(INDEX('×入力'!$A$1:$L$800,343+AA$3,2+AA$2)&lt;&gt;"",INDEX('×入力'!$A$1:$L$800,342,2+AA$2)&lt;&gt;"",INDEX('×入力'!$A$1:$L$800,343+AA$3,1)&lt;&gt;""),1,0),0)</f>
        <v/>
      </c>
      <c r="AB31">
        <f>IF(AB$4=1,IF(OR(INDEX('×入力'!$A$1:$L$800,343+AB$3,2+AB$2)&lt;&gt;"",INDEX('×入力'!$A$1:$L$800,342,2+AB$2)&lt;&gt;"",INDEX('×入力'!$A$1:$L$800,343+AB$3,1)&lt;&gt;""),1,0),0)</f>
        <v/>
      </c>
      <c r="AC31">
        <f>IF(AC$4=1,IF(OR(INDEX('×入力'!$A$1:$L$800,343+AC$3,2+AC$2)&lt;&gt;"",INDEX('×入力'!$A$1:$L$800,342,2+AC$2)&lt;&gt;"",INDEX('×入力'!$A$1:$L$800,343+AC$3,1)&lt;&gt;""),1,0),0)</f>
        <v/>
      </c>
      <c r="AD31">
        <f>IF(AD$4=1,IF(OR(INDEX('×入力'!$A$1:$L$800,343+AD$3,2+AD$2)&lt;&gt;"",INDEX('×入力'!$A$1:$L$800,342,2+AD$2)&lt;&gt;"",INDEX('×入力'!$A$1:$L$800,343+AD$3,1)&lt;&gt;""),1,0),0)</f>
        <v/>
      </c>
      <c r="AE31">
        <f>IF(AE$4=1,IF(OR(INDEX('×入力'!$A$1:$L$800,343+AE$3,2+AE$2)&lt;&gt;"",INDEX('×入力'!$A$1:$L$800,342,2+AE$2)&lt;&gt;"",INDEX('×入力'!$A$1:$L$800,343+AE$3,1)&lt;&gt;""),1,0),0)</f>
        <v/>
      </c>
      <c r="AF31">
        <f>IF(AF$4=1,IF(OR(INDEX('×入力'!$A$1:$L$800,343+AF$3,2+AF$2)&lt;&gt;"",INDEX('×入力'!$A$1:$L$800,342,2+AF$2)&lt;&gt;"",INDEX('×入力'!$A$1:$L$800,343+AF$3,1)&lt;&gt;""),1,0),0)</f>
        <v/>
      </c>
      <c r="AG31">
        <f>IF(AG$4=1,IF(OR(INDEX('×入力'!$A$1:$L$800,343+AG$3,2+AG$2)&lt;&gt;"",INDEX('×入力'!$A$1:$L$800,342,2+AG$2)&lt;&gt;"",INDEX('×入力'!$A$1:$L$800,343+AG$3,1)&lt;&gt;""),1,0),0)</f>
        <v/>
      </c>
      <c r="AH31">
        <f>IF(AH$4=1,IF(OR(INDEX('×入力'!$A$1:$L$800,343+AH$3,2+AH$2)&lt;&gt;"",INDEX('×入力'!$A$1:$L$800,342,2+AH$2)&lt;&gt;"",INDEX('×入力'!$A$1:$L$800,343+AH$3,1)&lt;&gt;""),1,0),0)</f>
        <v/>
      </c>
      <c r="AI31">
        <f>IF(AI$4=1,IF(OR(INDEX('×入力'!$A$1:$L$800,343+AI$3,2+AI$2)&lt;&gt;"",INDEX('×入力'!$A$1:$L$800,342,2+AI$2)&lt;&gt;"",INDEX('×入力'!$A$1:$L$800,343+AI$3,1)&lt;&gt;""),1,0),0)</f>
        <v/>
      </c>
      <c r="AJ31">
        <f>IF(AJ$4=1,IF(OR(INDEX('×入力'!$A$1:$L$800,343+AJ$3,2+AJ$2)&lt;&gt;"",INDEX('×入力'!$A$1:$L$800,342,2+AJ$2)&lt;&gt;"",INDEX('×入力'!$A$1:$L$800,343+AJ$3,1)&lt;&gt;""),1,0),0)</f>
        <v/>
      </c>
      <c r="AK31">
        <f>IF(AK$4=1,IF(OR(INDEX('×入力'!$A$1:$L$800,343+AK$3,2+AK$2)&lt;&gt;"",INDEX('×入力'!$A$1:$L$800,342,2+AK$2)&lt;&gt;"",INDEX('×入力'!$A$1:$L$800,343+AK$3,1)&lt;&gt;""),1,0),0)</f>
        <v/>
      </c>
      <c r="AL31">
        <f>IF(AL$4=1,IF(OR(INDEX('×入力'!$A$1:$L$800,343+AL$3,2+AL$2)&lt;&gt;"",INDEX('×入力'!$A$1:$L$800,342,2+AL$2)&lt;&gt;"",INDEX('×入力'!$A$1:$L$800,343+AL$3,1)&lt;&gt;""),1,0),0)</f>
        <v/>
      </c>
      <c r="AM31">
        <f>IF(AM$4=1,IF(OR(INDEX('×入力'!$A$1:$L$800,343+AM$3,2+AM$2)&lt;&gt;"",INDEX('×入力'!$A$1:$L$800,342,2+AM$2)&lt;&gt;"",INDEX('×入力'!$A$1:$L$800,343+AM$3,1)&lt;&gt;""),1,0),0)</f>
        <v/>
      </c>
      <c r="AN31">
        <f>IF(AN$4=1,IF(OR(INDEX('×入力'!$A$1:$L$800,343+AN$3,2+AN$2)&lt;&gt;"",INDEX('×入力'!$A$1:$L$800,342,2+AN$2)&lt;&gt;"",INDEX('×入力'!$A$1:$L$800,343+AN$3,1)&lt;&gt;""),1,0),0)</f>
        <v/>
      </c>
      <c r="AO31">
        <f>IF(AO$4=1,IF(OR(INDEX('×入力'!$A$1:$L$800,343+AO$3,2+AO$2)&lt;&gt;"",INDEX('×入力'!$A$1:$L$800,342,2+AO$2)&lt;&gt;"",INDEX('×入力'!$A$1:$L$800,343+AO$3,1)&lt;&gt;""),1,0),0)</f>
        <v/>
      </c>
      <c r="AP31">
        <f>IF(AP$4=1,IF(OR(INDEX('×入力'!$A$1:$L$800,343+AP$3,2+AP$2)&lt;&gt;"",INDEX('×入力'!$A$1:$L$800,342,2+AP$2)&lt;&gt;"",INDEX('×入力'!$A$1:$L$800,343+AP$3,1)&lt;&gt;""),1,0),0)</f>
        <v/>
      </c>
      <c r="AQ31">
        <f>IF(AQ$4=1,IF(OR(INDEX('×入力'!$A$1:$L$800,343+AQ$3,2+AQ$2)&lt;&gt;"",INDEX('×入力'!$A$1:$L$800,342,2+AQ$2)&lt;&gt;"",INDEX('×入力'!$A$1:$L$800,343+AQ$3,1)&lt;&gt;""),1,0),0)</f>
        <v/>
      </c>
      <c r="AR31">
        <f>IF(AR$4=1,IF(OR(INDEX('×入力'!$A$1:$L$800,343+AR$3,2+AR$2)&lt;&gt;"",INDEX('×入力'!$A$1:$L$800,342,2+AR$2)&lt;&gt;"",INDEX('×入力'!$A$1:$L$800,343+AR$3,1)&lt;&gt;""),1,0),0)</f>
        <v/>
      </c>
      <c r="AS31">
        <f>IF(AS$4=1,IF(OR(INDEX('×入力'!$A$1:$L$800,343+AS$3,2+AS$2)&lt;&gt;"",INDEX('×入力'!$A$1:$L$800,342,2+AS$2)&lt;&gt;"",INDEX('×入力'!$A$1:$L$800,343+AS$3,1)&lt;&gt;""),1,0),0)</f>
        <v/>
      </c>
      <c r="AT31">
        <f>IF(AT$4=1,IF(OR(INDEX('×入力'!$A$1:$L$800,343+AT$3,2+AT$2)&lt;&gt;"",INDEX('×入力'!$A$1:$L$800,342,2+AT$2)&lt;&gt;"",INDEX('×入力'!$A$1:$L$800,343+AT$3,1)&lt;&gt;""),1,0),0)</f>
        <v/>
      </c>
      <c r="AU31">
        <f>IF(AU$4=1,IF(OR(INDEX('×入力'!$A$1:$L$800,343+AU$3,2+AU$2)&lt;&gt;"",INDEX('×入力'!$A$1:$L$800,342,2+AU$2)&lt;&gt;"",INDEX('×入力'!$A$1:$L$800,343+AU$3,1)&lt;&gt;""),1,0),0)</f>
        <v/>
      </c>
      <c r="AV31">
        <f>IF(AV$4=1,IF(OR(INDEX('×入力'!$A$1:$L$800,343+AV$3,2+AV$2)&lt;&gt;"",INDEX('×入力'!$A$1:$L$800,342,2+AV$2)&lt;&gt;"",INDEX('×入力'!$A$1:$L$800,343+AV$3,1)&lt;&gt;""),1,0),0)</f>
        <v/>
      </c>
      <c r="AW31">
        <f>IF(AW$4=1,IF(OR(INDEX('×入力'!$A$1:$L$800,343+AW$3,2+AW$2)&lt;&gt;"",INDEX('×入力'!$A$1:$L$800,342,2+AW$2)&lt;&gt;"",INDEX('×入力'!$A$1:$L$800,343+AW$3,1)&lt;&gt;""),1,0),0)</f>
        <v/>
      </c>
      <c r="AX31">
        <f>IF(AX$4=1,IF(OR(INDEX('×入力'!$A$1:$L$800,343+AX$3,2+AX$2)&lt;&gt;"",INDEX('×入力'!$A$1:$L$800,342,2+AX$2)&lt;&gt;"",INDEX('×入力'!$A$1:$L$800,343+AX$3,1)&lt;&gt;""),1,0),0)</f>
        <v/>
      </c>
      <c r="AY31">
        <f>IF(AY$4=1,IF(OR(INDEX('×入力'!$A$1:$L$800,343+AY$3,2+AY$2)&lt;&gt;"",INDEX('×入力'!$A$1:$L$800,342,2+AY$2)&lt;&gt;"",INDEX('×入力'!$A$1:$L$800,343+AY$3,1)&lt;&gt;""),1,0),0)</f>
        <v/>
      </c>
      <c r="AZ31">
        <f>IF(AZ$4=1,IF(OR(INDEX('×入力'!$A$1:$L$800,343+AZ$3,2+AZ$2)&lt;&gt;"",INDEX('×入力'!$A$1:$L$800,342,2+AZ$2)&lt;&gt;"",INDEX('×入力'!$A$1:$L$800,343+AZ$3,1)&lt;&gt;""),1,0),0)</f>
        <v/>
      </c>
      <c r="BA31">
        <f>IF(BA$4=1,IF(OR(INDEX('×入力'!$A$1:$L$800,343+BA$3,2+BA$2)&lt;&gt;"",INDEX('×入力'!$A$1:$L$800,342,2+BA$2)&lt;&gt;"",INDEX('×入力'!$A$1:$L$800,343+BA$3,1)&lt;&gt;""),1,0),0)</f>
        <v/>
      </c>
      <c r="BB31">
        <f>IF(BB$4=1,IF(OR(INDEX('×入力'!$A$1:$L$800,343+BB$3,2+BB$2)&lt;&gt;"",INDEX('×入力'!$A$1:$L$800,342,2+BB$2)&lt;&gt;"",INDEX('×入力'!$A$1:$L$800,343+BB$3,1)&lt;&gt;""),1,0),0)</f>
        <v/>
      </c>
      <c r="BC31">
        <f>IF(BC$4=1,IF(OR(INDEX('×入力'!$A$1:$L$800,343+BC$3,2+BC$2)&lt;&gt;"",INDEX('×入力'!$A$1:$L$800,342,2+BC$2)&lt;&gt;"",INDEX('×入力'!$A$1:$L$800,343+BC$3,1)&lt;&gt;""),1,0),0)</f>
        <v/>
      </c>
      <c r="BD31">
        <f>IF(BD$4=1,IF(OR(INDEX('×入力'!$A$1:$L$800,343+BD$3,2+BD$2)&lt;&gt;"",INDEX('×入力'!$A$1:$L$800,342,2+BD$2)&lt;&gt;"",INDEX('×入力'!$A$1:$L$800,343+BD$3,1)&lt;&gt;""),1,0),0)</f>
        <v/>
      </c>
      <c r="BE31">
        <f>IF(BE$4=1,IF(OR(INDEX('×入力'!$A$1:$L$800,343+BE$3,2+BE$2)&lt;&gt;"",INDEX('×入力'!$A$1:$L$800,342,2+BE$2)&lt;&gt;"",INDEX('×入力'!$A$1:$L$800,343+BE$3,1)&lt;&gt;""),1,0),0)</f>
        <v/>
      </c>
      <c r="BF31">
        <f>IF(BF$4=1,IF(OR(INDEX('×入力'!$A$1:$L$800,343+BF$3,2+BF$2)&lt;&gt;"",INDEX('×入力'!$A$1:$L$800,342,2+BF$2)&lt;&gt;"",INDEX('×入力'!$A$1:$L$800,343+BF$3,1)&lt;&gt;""),1,0),0)</f>
        <v/>
      </c>
      <c r="BG31">
        <f>IF(BG$4=1,IF(OR(INDEX('×入力'!$A$1:$L$800,343+BG$3,2+BG$2)&lt;&gt;"",INDEX('×入力'!$A$1:$L$800,342,2+BG$2)&lt;&gt;"",INDEX('×入力'!$A$1:$L$800,343+BG$3,1)&lt;&gt;""),1,0),0)</f>
        <v/>
      </c>
      <c r="BH31">
        <f>IF(BH$4=1,IF(OR(INDEX('×入力'!$A$1:$L$800,343+BH$3,2+BH$2)&lt;&gt;"",INDEX('×入力'!$A$1:$L$800,342,2+BH$2)&lt;&gt;"",INDEX('×入力'!$A$1:$L$800,343+BH$3,1)&lt;&gt;""),1,0),0)</f>
        <v/>
      </c>
      <c r="BI31">
        <f>IF(BI$4=1,IF(OR(INDEX('×入力'!$A$1:$L$800,343+BI$3,2+BI$2)&lt;&gt;"",INDEX('×入力'!$A$1:$L$800,342,2+BI$2)&lt;&gt;"",INDEX('×入力'!$A$1:$L$800,343+BI$3,1)&lt;&gt;""),1,0),0)</f>
        <v/>
      </c>
      <c r="BJ31">
        <f>IF(BJ$4=1,IF(OR(INDEX('×入力'!$A$1:$L$800,343+BJ$3,2+BJ$2)&lt;&gt;"",INDEX('×入力'!$A$1:$L$800,342,2+BJ$2)&lt;&gt;"",INDEX('×入力'!$A$1:$L$800,343+BJ$3,1)&lt;&gt;""),1,0),0)</f>
        <v/>
      </c>
      <c r="BK31">
        <f>IF(BK$4=1,IF(OR(INDEX('×入力'!$A$1:$L$800,343+BK$3,2+BK$2)&lt;&gt;"",INDEX('×入力'!$A$1:$L$800,342,2+BK$2)&lt;&gt;"",INDEX('×入力'!$A$1:$L$800,343+BK$3,1)&lt;&gt;""),1,0),0)</f>
        <v/>
      </c>
      <c r="BL31">
        <f>IF(BL$4=1,IF(OR(INDEX('×入力'!$A$1:$L$800,343+BL$3,2+BL$2)&lt;&gt;"",INDEX('×入力'!$A$1:$L$800,342,2+BL$2)&lt;&gt;"",INDEX('×入力'!$A$1:$L$800,343+BL$3,1)&lt;&gt;""),1,0),0)</f>
        <v/>
      </c>
      <c r="BM31">
        <f>IF(BM$4=1,IF(OR(INDEX('×入力'!$A$1:$L$800,343+BM$3,2+BM$2)&lt;&gt;"",INDEX('×入力'!$A$1:$L$800,342,2+BM$2)&lt;&gt;"",INDEX('×入力'!$A$1:$L$800,343+BM$3,1)&lt;&gt;""),1,0),0)</f>
        <v/>
      </c>
      <c r="BN31">
        <f>IF(BN$4=1,IF(OR(INDEX('×入力'!$A$1:$L$800,343+BN$3,2+BN$2)&lt;&gt;"",INDEX('×入力'!$A$1:$L$800,342,2+BN$2)&lt;&gt;"",INDEX('×入力'!$A$1:$L$800,343+BN$3,1)&lt;&gt;""),1,0),0)</f>
        <v/>
      </c>
      <c r="BO31">
        <f>IF(BO$4=1,IF(OR(INDEX('×入力'!$A$1:$L$800,343+BO$3,2+BO$2)&lt;&gt;"",INDEX('×入力'!$A$1:$L$800,342,2+BO$2)&lt;&gt;"",INDEX('×入力'!$A$1:$L$800,343+BO$3,1)&lt;&gt;""),1,0),0)</f>
        <v/>
      </c>
      <c r="BP31">
        <f>IF(BP$4=1,IF(OR(INDEX('×入力'!$A$1:$L$800,343+BP$3,2+BP$2)&lt;&gt;"",INDEX('×入力'!$A$1:$L$800,342,2+BP$2)&lt;&gt;"",INDEX('×入力'!$A$1:$L$800,343+BP$3,1)&lt;&gt;""),1,0),0)</f>
        <v/>
      </c>
      <c r="BQ31">
        <f>IF(BQ$4=1,IF(OR(INDEX('×入力'!$A$1:$L$800,343+BQ$3,2+BQ$2)&lt;&gt;"",INDEX('×入力'!$A$1:$L$800,342,2+BQ$2)&lt;&gt;"",INDEX('×入力'!$A$1:$L$800,343+BQ$3,1)&lt;&gt;""),1,0),0)</f>
        <v/>
      </c>
      <c r="BR31">
        <f>IF(BR$4=1,IF(OR(INDEX('×入力'!$A$1:$L$800,343+BR$3,2+BR$2)&lt;&gt;"",INDEX('×入力'!$A$1:$L$800,342,2+BR$2)&lt;&gt;"",INDEX('×入力'!$A$1:$L$800,343+BR$3,1)&lt;&gt;""),1,0),0)</f>
        <v/>
      </c>
      <c r="BS31">
        <f>IF(BS$4=1,IF(OR(INDEX('×入力'!$A$1:$L$800,343+BS$3,2+BS$2)&lt;&gt;"",INDEX('×入力'!$A$1:$L$800,342,2+BS$2)&lt;&gt;"",INDEX('×入力'!$A$1:$L$800,343+BS$3,1)&lt;&gt;""),1,0),0)</f>
        <v/>
      </c>
      <c r="BT31">
        <f>IF(BT$4=1,IF(OR(INDEX('×入力'!$A$1:$L$800,343+BT$3,2+BT$2)&lt;&gt;"",INDEX('×入力'!$A$1:$L$800,342,2+BT$2)&lt;&gt;"",INDEX('×入力'!$A$1:$L$800,343+BT$3,1)&lt;&gt;""),1,0),0)</f>
        <v/>
      </c>
      <c r="BU31">
        <f>IF(BU$4=1,IF(OR(INDEX('×入力'!$A$1:$L$800,343+BU$3,2+BU$2)&lt;&gt;"",INDEX('×入力'!$A$1:$L$800,342,2+BU$2)&lt;&gt;"",INDEX('×入力'!$A$1:$L$800,343+BU$3,1)&lt;&gt;""),1,0),0)</f>
        <v/>
      </c>
      <c r="BV31">
        <f>IF(BV$4=1,IF(OR(INDEX('×入力'!$A$1:$L$800,343+BV$3,2+BV$2)&lt;&gt;"",INDEX('×入力'!$A$1:$L$800,342,2+BV$2)&lt;&gt;"",INDEX('×入力'!$A$1:$L$800,343+BV$3,1)&lt;&gt;""),1,0),0)</f>
        <v/>
      </c>
      <c r="BW31">
        <f>IF(BW$4=1,IF(OR(INDEX('×入力'!$A$1:$L$800,343+BW$3,2+BW$2)&lt;&gt;"",INDEX('×入力'!$A$1:$L$800,342,2+BW$2)&lt;&gt;"",INDEX('×入力'!$A$1:$L$800,343+BW$3,1)&lt;&gt;""),1,0),0)</f>
        <v/>
      </c>
      <c r="BX31">
        <f>IF(BX$4=1,IF(OR(INDEX('×入力'!$A$1:$L$800,343+BX$3,2+BX$2)&lt;&gt;"",INDEX('×入力'!$A$1:$L$800,342,2+BX$2)&lt;&gt;"",INDEX('×入力'!$A$1:$L$800,343+BX$3,1)&lt;&gt;""),1,0),0)</f>
        <v/>
      </c>
      <c r="BY31">
        <f>IF(BY$4=1,IF(OR(INDEX('×入力'!$A$1:$L$800,343+BY$3,2+BY$2)&lt;&gt;"",INDEX('×入力'!$A$1:$L$800,342,2+BY$2)&lt;&gt;"",INDEX('×入力'!$A$1:$L$800,343+BY$3,1)&lt;&gt;""),1,0),0)</f>
        <v/>
      </c>
      <c r="BZ31">
        <f>IF(BZ$4=1,IF(OR(INDEX('×入力'!$A$1:$L$800,343+BZ$3,2+BZ$2)&lt;&gt;"",INDEX('×入力'!$A$1:$L$800,342,2+BZ$2)&lt;&gt;"",INDEX('×入力'!$A$1:$L$800,343+BZ$3,1)&lt;&gt;""),1,0),0)</f>
        <v/>
      </c>
      <c r="CA31">
        <f>IF(CA$4=1,IF(OR(INDEX('×入力'!$A$1:$L$800,343+CA$3,2+CA$2)&lt;&gt;"",INDEX('×入力'!$A$1:$L$800,342,2+CA$2)&lt;&gt;"",INDEX('×入力'!$A$1:$L$800,343+CA$3,1)&lt;&gt;""),1,0),0)</f>
        <v/>
      </c>
      <c r="CB31">
        <f>IF(CB$4=1,IF(OR(INDEX('×入力'!$A$1:$L$800,343+CB$3,2+CB$2)&lt;&gt;"",INDEX('×入力'!$A$1:$L$800,342,2+CB$2)&lt;&gt;"",INDEX('×入力'!$A$1:$L$800,343+CB$3,1)&lt;&gt;""),1,0),0)</f>
        <v/>
      </c>
      <c r="CC31">
        <f>IF(CC$4=1,IF(OR(INDEX('×入力'!$A$1:$L$800,343+CC$3,2+CC$2)&lt;&gt;"",INDEX('×入力'!$A$1:$L$800,342,2+CC$2)&lt;&gt;"",INDEX('×入力'!$A$1:$L$800,343+CC$3,1)&lt;&gt;""),1,0),0)</f>
        <v/>
      </c>
      <c r="CD31">
        <f>IF(CD$4=1,IF(OR(INDEX('×入力'!$A$1:$L$800,343+CD$3,2+CD$2)&lt;&gt;"",INDEX('×入力'!$A$1:$L$800,342,2+CD$2)&lt;&gt;"",INDEX('×入力'!$A$1:$L$800,343+CD$3,1)&lt;&gt;""),1,0),0)</f>
        <v/>
      </c>
      <c r="CE31">
        <f>IF(CE$4=1,IF(OR(INDEX('×入力'!$A$1:$L$800,343+CE$3,2+CE$2)&lt;&gt;"",INDEX('×入力'!$A$1:$L$800,342,2+CE$2)&lt;&gt;"",INDEX('×入力'!$A$1:$L$800,343+CE$3,1)&lt;&gt;""),1,0),0)</f>
        <v/>
      </c>
      <c r="CF31">
        <f>IF(CF$4=1,IF(OR(INDEX('×入力'!$A$1:$L$800,343+CF$3,2+CF$2)&lt;&gt;"",INDEX('×入力'!$A$1:$L$800,342,2+CF$2)&lt;&gt;"",INDEX('×入力'!$A$1:$L$800,343+CF$3,1)&lt;&gt;""),1,0),0)</f>
        <v/>
      </c>
      <c r="CG31">
        <f>IF(CG$4=1,IF(OR(INDEX('×入力'!$A$1:$L$800,343+CG$3,2+CG$2)&lt;&gt;"",INDEX('×入力'!$A$1:$L$800,342,2+CG$2)&lt;&gt;"",INDEX('×入力'!$A$1:$L$800,343+CG$3,1)&lt;&gt;""),1,0),0)</f>
        <v/>
      </c>
      <c r="CH31">
        <f>IF(CH$4=1,IF(OR(INDEX('×入力'!$A$1:$L$800,343+CH$3,2+CH$2)&lt;&gt;"",INDEX('×入力'!$A$1:$L$800,342,2+CH$2)&lt;&gt;"",INDEX('×入力'!$A$1:$L$800,343+CH$3,1)&lt;&gt;""),1,0),0)</f>
        <v/>
      </c>
      <c r="CI31">
        <f>IF(CI$4=1,IF(OR(INDEX('×入力'!$A$1:$L$800,343+CI$3,2+CI$2)&lt;&gt;"",INDEX('×入力'!$A$1:$L$800,342,2+CI$2)&lt;&gt;"",INDEX('×入力'!$A$1:$L$800,343+CI$3,1)&lt;&gt;""),1,0),0)</f>
        <v/>
      </c>
      <c r="CJ31">
        <f>IF(CJ$4=1,IF(OR(INDEX('×入力'!$A$1:$L$800,343+CJ$3,2+CJ$2)&lt;&gt;"",INDEX('×入力'!$A$1:$L$800,342,2+CJ$2)&lt;&gt;"",INDEX('×入力'!$A$1:$L$800,343+CJ$3,1)&lt;&gt;""),1,0),0)</f>
        <v/>
      </c>
      <c r="CK31">
        <f>IF(CK$4=1,IF(OR(INDEX('×入力'!$A$1:$L$800,343+CK$3,2+CK$2)&lt;&gt;"",INDEX('×入力'!$A$1:$L$800,342,2+CK$2)&lt;&gt;"",INDEX('×入力'!$A$1:$L$800,343+CK$3,1)&lt;&gt;""),1,0),0)</f>
        <v/>
      </c>
      <c r="CL31">
        <f>IF(CL$4=1,IF(OR(INDEX('×入力'!$A$1:$L$800,343+CL$3,2+CL$2)&lt;&gt;"",INDEX('×入力'!$A$1:$L$800,342,2+CL$2)&lt;&gt;"",INDEX('×入力'!$A$1:$L$800,343+CL$3,1)&lt;&gt;""),1,0),0)</f>
        <v/>
      </c>
      <c r="CM31">
        <f>IF(CM$4=1,IF(OR(INDEX('×入力'!$A$1:$L$800,343+CM$3,2+CM$2)&lt;&gt;"",INDEX('×入力'!$A$1:$L$800,342,2+CM$2)&lt;&gt;"",INDEX('×入力'!$A$1:$L$800,343+CM$3,1)&lt;&gt;""),1,0),0)</f>
        <v/>
      </c>
      <c r="CN31">
        <f>IF(CN$4=1,IF(OR(INDEX('×入力'!$A$1:$L$800,343+CN$3,2+CN$2)&lt;&gt;"",INDEX('×入力'!$A$1:$L$800,342,2+CN$2)&lt;&gt;"",INDEX('×入力'!$A$1:$L$800,343+CN$3,1)&lt;&gt;""),1,0),0)</f>
        <v/>
      </c>
      <c r="CO31">
        <f>IF(CO$4=1,IF(OR(INDEX('×入力'!$A$1:$L$800,343+CO$3,2+CO$2)&lt;&gt;"",INDEX('×入力'!$A$1:$L$800,342,2+CO$2)&lt;&gt;"",INDEX('×入力'!$A$1:$L$800,343+CO$3,1)&lt;&gt;""),1,0),0)</f>
        <v/>
      </c>
      <c r="CP31">
        <f>IF(CP$4=1,IF(OR(INDEX('×入力'!$A$1:$L$800,343+CP$3,2+CP$2)&lt;&gt;"",INDEX('×入力'!$A$1:$L$800,342,2+CP$2)&lt;&gt;"",INDEX('×入力'!$A$1:$L$800,343+CP$3,1)&lt;&gt;""),1,0),0)</f>
        <v/>
      </c>
      <c r="CQ31">
        <f>IF(CQ$4=1,IF(OR(INDEX('×入力'!$A$1:$L$800,343+CQ$3,2+CQ$2)&lt;&gt;"",INDEX('×入力'!$A$1:$L$800,342,2+CQ$2)&lt;&gt;"",INDEX('×入力'!$A$1:$L$800,343+CQ$3,1)&lt;&gt;""),1,0),0)</f>
        <v/>
      </c>
      <c r="CR31">
        <f>IF(CR$4=1,IF(OR(INDEX('×入力'!$A$1:$L$800,343+CR$3,2+CR$2)&lt;&gt;"",INDEX('×入力'!$A$1:$L$800,342,2+CR$2)&lt;&gt;"",INDEX('×入力'!$A$1:$L$800,343+CR$3,1)&lt;&gt;""),1,0),0)</f>
        <v/>
      </c>
      <c r="CS31">
        <f>IF(CS$4=1,IF(OR(INDEX('×入力'!$A$1:$L$800,343+CS$3,2+CS$2)&lt;&gt;"",INDEX('×入力'!$A$1:$L$800,342,2+CS$2)&lt;&gt;"",INDEX('×入力'!$A$1:$L$800,343+CS$3,1)&lt;&gt;""),1,0),0)</f>
        <v/>
      </c>
      <c r="CT31">
        <f>IF(CT$4=1,IF(OR(INDEX('×入力'!$A$1:$L$800,343+CT$3,2+CT$2)&lt;&gt;"",INDEX('×入力'!$A$1:$L$800,342,2+CT$2)&lt;&gt;"",INDEX('×入力'!$A$1:$L$800,343+CT$3,1)&lt;&gt;""),1,0),0)</f>
        <v/>
      </c>
      <c r="CU31">
        <f>IF(CU$4=1,IF(OR(INDEX('×入力'!$A$1:$L$800,343+CU$3,2+CU$2)&lt;&gt;"",INDEX('×入力'!$A$1:$L$800,342,2+CU$2)&lt;&gt;"",INDEX('×入力'!$A$1:$L$800,343+CU$3,1)&lt;&gt;""),1,0),0)</f>
        <v/>
      </c>
      <c r="CV31">
        <f>IF(CV$4=1,IF(OR(INDEX('×入力'!$A$1:$L$800,343+CV$3,2+CV$2)&lt;&gt;"",INDEX('×入力'!$A$1:$L$800,342,2+CV$2)&lt;&gt;"",INDEX('×入力'!$A$1:$L$800,343+CV$3,1)&lt;&gt;""),1,0),0)</f>
        <v/>
      </c>
      <c r="CW31">
        <f>IF(CW$4=1,IF(OR(INDEX('×入力'!$A$1:$L$800,343+CW$3,2+CW$2)&lt;&gt;"",INDEX('×入力'!$A$1:$L$800,342,2+CW$2)&lt;&gt;"",INDEX('×入力'!$A$1:$L$800,343+CW$3,1)&lt;&gt;""),1,0),0)</f>
        <v/>
      </c>
      <c r="CX31">
        <f>IF(CX$4=1,IF(OR(INDEX('×入力'!$A$1:$L$800,343+CX$3,2+CX$2)&lt;&gt;"",INDEX('×入力'!$A$1:$L$800,342,2+CX$2)&lt;&gt;"",INDEX('×入力'!$A$1:$L$800,343+CX$3,1)&lt;&gt;""),1,0),0)</f>
        <v/>
      </c>
      <c r="CY31">
        <f>IF(CY$4=1,IF(OR(INDEX('×入力'!$A$1:$L$800,343+CY$3,2+CY$2)&lt;&gt;"",INDEX('×入力'!$A$1:$L$800,342,2+CY$2)&lt;&gt;"",INDEX('×入力'!$A$1:$L$800,343+CY$3,1)&lt;&gt;""),1,0),0)</f>
        <v/>
      </c>
      <c r="CZ31">
        <f>IF(CZ$4=1,IF(OR(INDEX('×入力'!$A$1:$L$800,343+CZ$3,2+CZ$2)&lt;&gt;"",INDEX('×入力'!$A$1:$L$800,342,2+CZ$2)&lt;&gt;"",INDEX('×入力'!$A$1:$L$800,343+CZ$3,1)&lt;&gt;""),1,0),0)</f>
        <v/>
      </c>
      <c r="DA31">
        <f>IF(DA$4=1,IF(OR(INDEX('×入力'!$A$1:$L$800,343+DA$3,2+DA$2)&lt;&gt;"",INDEX('×入力'!$A$1:$L$800,342,2+DA$2)&lt;&gt;"",INDEX('×入力'!$A$1:$L$800,343+DA$3,1)&lt;&gt;""),1,0),0)</f>
        <v/>
      </c>
      <c r="DB31">
        <f>IF(DB$4=1,IF(OR(INDEX('×入力'!$A$1:$L$800,343+DB$3,2+DB$2)&lt;&gt;"",INDEX('×入力'!$A$1:$L$800,342,2+DB$2)&lt;&gt;"",INDEX('×入力'!$A$1:$L$800,343+DB$3,1)&lt;&gt;""),1,0),0)</f>
        <v/>
      </c>
      <c r="DC31">
        <f>IF(DC$4=1,IF(OR(INDEX('×入力'!$A$1:$L$800,343+DC$3,2+DC$2)&lt;&gt;"",INDEX('×入力'!$A$1:$L$800,342,2+DC$2)&lt;&gt;"",INDEX('×入力'!$A$1:$L$800,343+DC$3,1)&lt;&gt;""),1,0),0)</f>
        <v/>
      </c>
      <c r="DD31">
        <f>IF(DD$4=1,IF(OR(INDEX('×入力'!$A$1:$L$800,343+DD$3,2+DD$2)&lt;&gt;"",INDEX('×入力'!$A$1:$L$800,342,2+DD$2)&lt;&gt;"",INDEX('×入力'!$A$1:$L$800,343+DD$3,1)&lt;&gt;""),1,0),0)</f>
        <v/>
      </c>
      <c r="DE31">
        <f>IF(DE$4=1,IF(OR(INDEX('×入力'!$A$1:$L$800,343+DE$3,2+DE$2)&lt;&gt;"",INDEX('×入力'!$A$1:$L$800,342,2+DE$2)&lt;&gt;"",INDEX('×入力'!$A$1:$L$800,343+DE$3,1)&lt;&gt;""),1,0),0)</f>
        <v/>
      </c>
      <c r="DF31">
        <f>IF(DF$4=1,IF(OR(INDEX('×入力'!$A$1:$L$800,343+DF$3,2+DF$2)&lt;&gt;"",INDEX('×入力'!$A$1:$L$800,342,2+DF$2)&lt;&gt;"",INDEX('×入力'!$A$1:$L$800,343+DF$3,1)&lt;&gt;""),1,0),0)</f>
        <v/>
      </c>
      <c r="DG31">
        <f>IF(DG$4=1,IF(OR(INDEX('×入力'!$A$1:$L$800,343+DG$3,2+DG$2)&lt;&gt;"",INDEX('×入力'!$A$1:$L$800,342,2+DG$2)&lt;&gt;"",INDEX('×入力'!$A$1:$L$800,343+DG$3,1)&lt;&gt;""),1,0),0)</f>
        <v/>
      </c>
      <c r="DH31">
        <f>IF(DH$4=1,IF(OR(INDEX('×入力'!$A$1:$L$800,343+DH$3,2+DH$2)&lt;&gt;"",INDEX('×入力'!$A$1:$L$800,342,2+DH$2)&lt;&gt;"",INDEX('×入力'!$A$1:$L$800,343+DH$3,1)&lt;&gt;""),1,0),0)</f>
        <v/>
      </c>
      <c r="DI31">
        <f>IF(DI$4=1,IF(OR(INDEX('×入力'!$A$1:$L$800,343+DI$3,2+DI$2)&lt;&gt;"",INDEX('×入力'!$A$1:$L$800,342,2+DI$2)&lt;&gt;"",INDEX('×入力'!$A$1:$L$800,343+DI$3,1)&lt;&gt;""),1,0),0)</f>
        <v/>
      </c>
      <c r="DJ31">
        <f>IF(DJ$4=1,IF(OR(INDEX('×入力'!$A$1:$L$800,343+DJ$3,2+DJ$2)&lt;&gt;"",INDEX('×入力'!$A$1:$L$800,342,2+DJ$2)&lt;&gt;"",INDEX('×入力'!$A$1:$L$800,343+DJ$3,1)&lt;&gt;""),1,0),0)</f>
        <v/>
      </c>
      <c r="DK31">
        <f>IF(DK$4=1,IF(OR(INDEX('×入力'!$A$1:$L$800,343+DK$3,2+DK$2)&lt;&gt;"",INDEX('×入力'!$A$1:$L$800,342,2+DK$2)&lt;&gt;"",INDEX('×入力'!$A$1:$L$800,343+DK$3,1)&lt;&gt;""),1,0),0)</f>
        <v/>
      </c>
      <c r="DL31">
        <f>IF(DL$4=1,IF(OR(INDEX('×入力'!$A$1:$L$800,343+DL$3,2+DL$2)&lt;&gt;"",INDEX('×入力'!$A$1:$L$800,342,2+DL$2)&lt;&gt;"",INDEX('×入力'!$A$1:$L$800,343+DL$3,1)&lt;&gt;""),1,0),0)</f>
        <v/>
      </c>
      <c r="DM31">
        <f>IF(DM$4=1,IF(OR(INDEX('×入力'!$A$1:$L$800,343+DM$3,2+DM$2)&lt;&gt;"",INDEX('×入力'!$A$1:$L$800,342,2+DM$2)&lt;&gt;"",INDEX('×入力'!$A$1:$L$800,343+DM$3,1)&lt;&gt;""),1,0),0)</f>
        <v/>
      </c>
      <c r="DN31">
        <f>IF(DN$4=1,IF(OR(INDEX('×入力'!$A$1:$L$800,343+DN$3,2+DN$2)&lt;&gt;"",INDEX('×入力'!$A$1:$L$800,342,2+DN$2)&lt;&gt;"",INDEX('×入力'!$A$1:$L$800,343+DN$3,1)&lt;&gt;""),1,0),0)</f>
        <v/>
      </c>
      <c r="DO31">
        <f>IF(DO$4=1,IF(OR(INDEX('×入力'!$A$1:$L$800,343+DO$3,2+DO$2)&lt;&gt;"",INDEX('×入力'!$A$1:$L$800,342,2+DO$2)&lt;&gt;"",INDEX('×入力'!$A$1:$L$800,343+DO$3,1)&lt;&gt;""),1,0),0)</f>
        <v/>
      </c>
      <c r="DP31">
        <f>IF(DP$4=1,IF(OR(INDEX('×入力'!$A$1:$L$800,343+DP$3,2+DP$2)&lt;&gt;"",INDEX('×入力'!$A$1:$L$800,342,2+DP$2)&lt;&gt;"",INDEX('×入力'!$A$1:$L$800,343+DP$3,1)&lt;&gt;""),1,0),0)</f>
        <v/>
      </c>
      <c r="DQ31">
        <f>IF(DQ$4=1,IF(OR(INDEX('×入力'!$A$1:$L$800,343+DQ$3,2+DQ$2)&lt;&gt;"",INDEX('×入力'!$A$1:$L$800,342,2+DQ$2)&lt;&gt;"",INDEX('×入力'!$A$1:$L$800,343+DQ$3,1)&lt;&gt;""),1,0),0)</f>
        <v/>
      </c>
      <c r="DR31">
        <f>IF(DR$4=1,IF(OR(INDEX('×入力'!$A$1:$L$800,343+DR$3,2+DR$2)&lt;&gt;"",INDEX('×入力'!$A$1:$L$800,342,2+DR$2)&lt;&gt;"",INDEX('×入力'!$A$1:$L$800,343+DR$3,1)&lt;&gt;""),1,0),0)</f>
        <v/>
      </c>
      <c r="DS31">
        <f>IF(DS$4=1,IF(OR(INDEX('×入力'!$A$1:$L$800,343+DS$3,2+DS$2)&lt;&gt;"",INDEX('×入力'!$A$1:$L$800,342,2+DS$2)&lt;&gt;"",INDEX('×入力'!$A$1:$L$800,343+DS$3,1)&lt;&gt;""),1,0),0)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IF(D$4=1,IF(OR(INDEX('×入力'!$A$1:$L$800,359+D$3,2+D$2)&lt;&gt;"",INDEX('×入力'!$A$1:$L$800,358,2+D$2)&lt;&gt;"",INDEX('×入力'!$A$1:$L$800,359+D$3,1)&lt;&gt;""),1,0),0)</f>
        <v/>
      </c>
      <c r="E32">
        <f>IF(E$4=1,IF(OR(INDEX('×入力'!$A$1:$L$800,359+E$3,2+E$2)&lt;&gt;"",INDEX('×入力'!$A$1:$L$800,358,2+E$2)&lt;&gt;"",INDEX('×入力'!$A$1:$L$800,359+E$3,1)&lt;&gt;""),1,0),0)</f>
        <v/>
      </c>
      <c r="F32">
        <f>IF(F$4=1,IF(OR(INDEX('×入力'!$A$1:$L$800,359+F$3,2+F$2)&lt;&gt;"",INDEX('×入力'!$A$1:$L$800,358,2+F$2)&lt;&gt;"",INDEX('×入力'!$A$1:$L$800,359+F$3,1)&lt;&gt;""),1,0),0)</f>
        <v/>
      </c>
      <c r="G32">
        <f>IF(G$4=1,IF(OR(INDEX('×入力'!$A$1:$L$800,359+G$3,2+G$2)&lt;&gt;"",INDEX('×入力'!$A$1:$L$800,358,2+G$2)&lt;&gt;"",INDEX('×入力'!$A$1:$L$800,359+G$3,1)&lt;&gt;""),1,0),0)</f>
        <v/>
      </c>
      <c r="H32">
        <f>IF(H$4=1,IF(OR(INDEX('×入力'!$A$1:$L$800,359+H$3,2+H$2)&lt;&gt;"",INDEX('×入力'!$A$1:$L$800,358,2+H$2)&lt;&gt;"",INDEX('×入力'!$A$1:$L$800,359+H$3,1)&lt;&gt;""),1,0),0)</f>
        <v/>
      </c>
      <c r="I32">
        <f>IF(I$4=1,IF(OR(INDEX('×入力'!$A$1:$L$800,359+I$3,2+I$2)&lt;&gt;"",INDEX('×入力'!$A$1:$L$800,358,2+I$2)&lt;&gt;"",INDEX('×入力'!$A$1:$L$800,359+I$3,1)&lt;&gt;""),1,0),0)</f>
        <v/>
      </c>
      <c r="J32">
        <f>IF(J$4=1,IF(OR(INDEX('×入力'!$A$1:$L$800,359+J$3,2+J$2)&lt;&gt;"",INDEX('×入力'!$A$1:$L$800,358,2+J$2)&lt;&gt;"",INDEX('×入力'!$A$1:$L$800,359+J$3,1)&lt;&gt;""),1,0),0)</f>
        <v/>
      </c>
      <c r="K32">
        <f>IF(K$4=1,IF(OR(INDEX('×入力'!$A$1:$L$800,359+K$3,2+K$2)&lt;&gt;"",INDEX('×入力'!$A$1:$L$800,358,2+K$2)&lt;&gt;"",INDEX('×入力'!$A$1:$L$800,359+K$3,1)&lt;&gt;""),1,0),0)</f>
        <v/>
      </c>
      <c r="L32">
        <f>IF(L$4=1,IF(OR(INDEX('×入力'!$A$1:$L$800,359+L$3,2+L$2)&lt;&gt;"",INDEX('×入力'!$A$1:$L$800,358,2+L$2)&lt;&gt;"",INDEX('×入力'!$A$1:$L$800,359+L$3,1)&lt;&gt;""),1,0),0)</f>
        <v/>
      </c>
      <c r="M32">
        <f>IF(M$4=1,IF(OR(INDEX('×入力'!$A$1:$L$800,359+M$3,2+M$2)&lt;&gt;"",INDEX('×入力'!$A$1:$L$800,358,2+M$2)&lt;&gt;"",INDEX('×入力'!$A$1:$L$800,359+M$3,1)&lt;&gt;""),1,0),0)</f>
        <v/>
      </c>
      <c r="N32">
        <f>IF(N$4=1,IF(OR(INDEX('×入力'!$A$1:$L$800,359+N$3,2+N$2)&lt;&gt;"",INDEX('×入力'!$A$1:$L$800,358,2+N$2)&lt;&gt;"",INDEX('×入力'!$A$1:$L$800,359+N$3,1)&lt;&gt;""),1,0),0)</f>
        <v/>
      </c>
      <c r="O32">
        <f>IF(O$4=1,IF(OR(INDEX('×入力'!$A$1:$L$800,359+O$3,2+O$2)&lt;&gt;"",INDEX('×入力'!$A$1:$L$800,358,2+O$2)&lt;&gt;"",INDEX('×入力'!$A$1:$L$800,359+O$3,1)&lt;&gt;""),1,0),0)</f>
        <v/>
      </c>
      <c r="P32">
        <f>IF(P$4=1,IF(OR(INDEX('×入力'!$A$1:$L$800,359+P$3,2+P$2)&lt;&gt;"",INDEX('×入力'!$A$1:$L$800,358,2+P$2)&lt;&gt;"",INDEX('×入力'!$A$1:$L$800,359+P$3,1)&lt;&gt;""),1,0),0)</f>
        <v/>
      </c>
      <c r="Q32">
        <f>IF(Q$4=1,IF(OR(INDEX('×入力'!$A$1:$L$800,359+Q$3,2+Q$2)&lt;&gt;"",INDEX('×入力'!$A$1:$L$800,358,2+Q$2)&lt;&gt;"",INDEX('×入力'!$A$1:$L$800,359+Q$3,1)&lt;&gt;""),1,0),0)</f>
        <v/>
      </c>
      <c r="R32">
        <f>IF(R$4=1,IF(OR(INDEX('×入力'!$A$1:$L$800,359+R$3,2+R$2)&lt;&gt;"",INDEX('×入力'!$A$1:$L$800,358,2+R$2)&lt;&gt;"",INDEX('×入力'!$A$1:$L$800,359+R$3,1)&lt;&gt;""),1,0),0)</f>
        <v/>
      </c>
      <c r="S32">
        <f>IF(S$4=1,IF(OR(INDEX('×入力'!$A$1:$L$800,359+S$3,2+S$2)&lt;&gt;"",INDEX('×入力'!$A$1:$L$800,358,2+S$2)&lt;&gt;"",INDEX('×入力'!$A$1:$L$800,359+S$3,1)&lt;&gt;""),1,0),0)</f>
        <v/>
      </c>
      <c r="T32">
        <f>IF(T$4=1,IF(OR(INDEX('×入力'!$A$1:$L$800,359+T$3,2+T$2)&lt;&gt;"",INDEX('×入力'!$A$1:$L$800,358,2+T$2)&lt;&gt;"",INDEX('×入力'!$A$1:$L$800,359+T$3,1)&lt;&gt;""),1,0),0)</f>
        <v/>
      </c>
      <c r="U32">
        <f>IF(U$4=1,IF(OR(INDEX('×入力'!$A$1:$L$800,359+U$3,2+U$2)&lt;&gt;"",INDEX('×入力'!$A$1:$L$800,358,2+U$2)&lt;&gt;"",INDEX('×入力'!$A$1:$L$800,359+U$3,1)&lt;&gt;""),1,0),0)</f>
        <v/>
      </c>
      <c r="V32">
        <f>IF(V$4=1,IF(OR(INDEX('×入力'!$A$1:$L$800,359+V$3,2+V$2)&lt;&gt;"",INDEX('×入力'!$A$1:$L$800,358,2+V$2)&lt;&gt;"",INDEX('×入力'!$A$1:$L$800,359+V$3,1)&lt;&gt;""),1,0),0)</f>
        <v/>
      </c>
      <c r="W32">
        <f>IF(W$4=1,IF(OR(INDEX('×入力'!$A$1:$L$800,359+W$3,2+W$2)&lt;&gt;"",INDEX('×入力'!$A$1:$L$800,358,2+W$2)&lt;&gt;"",INDEX('×入力'!$A$1:$L$800,359+W$3,1)&lt;&gt;""),1,0),0)</f>
        <v/>
      </c>
      <c r="X32">
        <f>IF(X$4=1,IF(OR(INDEX('×入力'!$A$1:$L$800,359+X$3,2+X$2)&lt;&gt;"",INDEX('×入力'!$A$1:$L$800,358,2+X$2)&lt;&gt;"",INDEX('×入力'!$A$1:$L$800,359+X$3,1)&lt;&gt;""),1,0),0)</f>
        <v/>
      </c>
      <c r="Y32">
        <f>IF(Y$4=1,IF(OR(INDEX('×入力'!$A$1:$L$800,359+Y$3,2+Y$2)&lt;&gt;"",INDEX('×入力'!$A$1:$L$800,358,2+Y$2)&lt;&gt;"",INDEX('×入力'!$A$1:$L$800,359+Y$3,1)&lt;&gt;""),1,0),0)</f>
        <v/>
      </c>
      <c r="Z32">
        <f>IF(Z$4=1,IF(OR(INDEX('×入力'!$A$1:$L$800,359+Z$3,2+Z$2)&lt;&gt;"",INDEX('×入力'!$A$1:$L$800,358,2+Z$2)&lt;&gt;"",INDEX('×入力'!$A$1:$L$800,359+Z$3,1)&lt;&gt;""),1,0),0)</f>
        <v/>
      </c>
      <c r="AA32">
        <f>IF(AA$4=1,IF(OR(INDEX('×入力'!$A$1:$L$800,359+AA$3,2+AA$2)&lt;&gt;"",INDEX('×入力'!$A$1:$L$800,358,2+AA$2)&lt;&gt;"",INDEX('×入力'!$A$1:$L$800,359+AA$3,1)&lt;&gt;""),1,0),0)</f>
        <v/>
      </c>
      <c r="AB32">
        <f>IF(AB$4=1,IF(OR(INDEX('×入力'!$A$1:$L$800,359+AB$3,2+AB$2)&lt;&gt;"",INDEX('×入力'!$A$1:$L$800,358,2+AB$2)&lt;&gt;"",INDEX('×入力'!$A$1:$L$800,359+AB$3,1)&lt;&gt;""),1,0),0)</f>
        <v/>
      </c>
      <c r="AC32">
        <f>IF(AC$4=1,IF(OR(INDEX('×入力'!$A$1:$L$800,359+AC$3,2+AC$2)&lt;&gt;"",INDEX('×入力'!$A$1:$L$800,358,2+AC$2)&lt;&gt;"",INDEX('×入力'!$A$1:$L$800,359+AC$3,1)&lt;&gt;""),1,0),0)</f>
        <v/>
      </c>
      <c r="AD32">
        <f>IF(AD$4=1,IF(OR(INDEX('×入力'!$A$1:$L$800,359+AD$3,2+AD$2)&lt;&gt;"",INDEX('×入力'!$A$1:$L$800,358,2+AD$2)&lt;&gt;"",INDEX('×入力'!$A$1:$L$800,359+AD$3,1)&lt;&gt;""),1,0),0)</f>
        <v/>
      </c>
      <c r="AE32">
        <f>IF(AE$4=1,IF(OR(INDEX('×入力'!$A$1:$L$800,359+AE$3,2+AE$2)&lt;&gt;"",INDEX('×入力'!$A$1:$L$800,358,2+AE$2)&lt;&gt;"",INDEX('×入力'!$A$1:$L$800,359+AE$3,1)&lt;&gt;""),1,0),0)</f>
        <v/>
      </c>
      <c r="AF32">
        <f>IF(AF$4=1,IF(OR(INDEX('×入力'!$A$1:$L$800,359+AF$3,2+AF$2)&lt;&gt;"",INDEX('×入力'!$A$1:$L$800,358,2+AF$2)&lt;&gt;"",INDEX('×入力'!$A$1:$L$800,359+AF$3,1)&lt;&gt;""),1,0),0)</f>
        <v/>
      </c>
      <c r="AG32">
        <f>IF(AG$4=1,IF(OR(INDEX('×入力'!$A$1:$L$800,359+AG$3,2+AG$2)&lt;&gt;"",INDEX('×入力'!$A$1:$L$800,358,2+AG$2)&lt;&gt;"",INDEX('×入力'!$A$1:$L$800,359+AG$3,1)&lt;&gt;""),1,0),0)</f>
        <v/>
      </c>
      <c r="AH32">
        <f>IF(AH$4=1,IF(OR(INDEX('×入力'!$A$1:$L$800,359+AH$3,2+AH$2)&lt;&gt;"",INDEX('×入力'!$A$1:$L$800,358,2+AH$2)&lt;&gt;"",INDEX('×入力'!$A$1:$L$800,359+AH$3,1)&lt;&gt;""),1,0),0)</f>
        <v/>
      </c>
      <c r="AI32">
        <f>IF(AI$4=1,IF(OR(INDEX('×入力'!$A$1:$L$800,359+AI$3,2+AI$2)&lt;&gt;"",INDEX('×入力'!$A$1:$L$800,358,2+AI$2)&lt;&gt;"",INDEX('×入力'!$A$1:$L$800,359+AI$3,1)&lt;&gt;""),1,0),0)</f>
        <v/>
      </c>
      <c r="AJ32">
        <f>IF(AJ$4=1,IF(OR(INDEX('×入力'!$A$1:$L$800,359+AJ$3,2+AJ$2)&lt;&gt;"",INDEX('×入力'!$A$1:$L$800,358,2+AJ$2)&lt;&gt;"",INDEX('×入力'!$A$1:$L$800,359+AJ$3,1)&lt;&gt;""),1,0),0)</f>
        <v/>
      </c>
      <c r="AK32">
        <f>IF(AK$4=1,IF(OR(INDEX('×入力'!$A$1:$L$800,359+AK$3,2+AK$2)&lt;&gt;"",INDEX('×入力'!$A$1:$L$800,358,2+AK$2)&lt;&gt;"",INDEX('×入力'!$A$1:$L$800,359+AK$3,1)&lt;&gt;""),1,0),0)</f>
        <v/>
      </c>
      <c r="AL32">
        <f>IF(AL$4=1,IF(OR(INDEX('×入力'!$A$1:$L$800,359+AL$3,2+AL$2)&lt;&gt;"",INDEX('×入力'!$A$1:$L$800,358,2+AL$2)&lt;&gt;"",INDEX('×入力'!$A$1:$L$800,359+AL$3,1)&lt;&gt;""),1,0),0)</f>
        <v/>
      </c>
      <c r="AM32">
        <f>IF(AM$4=1,IF(OR(INDEX('×入力'!$A$1:$L$800,359+AM$3,2+AM$2)&lt;&gt;"",INDEX('×入力'!$A$1:$L$800,358,2+AM$2)&lt;&gt;"",INDEX('×入力'!$A$1:$L$800,359+AM$3,1)&lt;&gt;""),1,0),0)</f>
        <v/>
      </c>
      <c r="AN32">
        <f>IF(AN$4=1,IF(OR(INDEX('×入力'!$A$1:$L$800,359+AN$3,2+AN$2)&lt;&gt;"",INDEX('×入力'!$A$1:$L$800,358,2+AN$2)&lt;&gt;"",INDEX('×入力'!$A$1:$L$800,359+AN$3,1)&lt;&gt;""),1,0),0)</f>
        <v/>
      </c>
      <c r="AO32">
        <f>IF(AO$4=1,IF(OR(INDEX('×入力'!$A$1:$L$800,359+AO$3,2+AO$2)&lt;&gt;"",INDEX('×入力'!$A$1:$L$800,358,2+AO$2)&lt;&gt;"",INDEX('×入力'!$A$1:$L$800,359+AO$3,1)&lt;&gt;""),1,0),0)</f>
        <v/>
      </c>
      <c r="AP32">
        <f>IF(AP$4=1,IF(OR(INDEX('×入力'!$A$1:$L$800,359+AP$3,2+AP$2)&lt;&gt;"",INDEX('×入力'!$A$1:$L$800,358,2+AP$2)&lt;&gt;"",INDEX('×入力'!$A$1:$L$800,359+AP$3,1)&lt;&gt;""),1,0),0)</f>
        <v/>
      </c>
      <c r="AQ32">
        <f>IF(AQ$4=1,IF(OR(INDEX('×入力'!$A$1:$L$800,359+AQ$3,2+AQ$2)&lt;&gt;"",INDEX('×入力'!$A$1:$L$800,358,2+AQ$2)&lt;&gt;"",INDEX('×入力'!$A$1:$L$800,359+AQ$3,1)&lt;&gt;""),1,0),0)</f>
        <v/>
      </c>
      <c r="AR32">
        <f>IF(AR$4=1,IF(OR(INDEX('×入力'!$A$1:$L$800,359+AR$3,2+AR$2)&lt;&gt;"",INDEX('×入力'!$A$1:$L$800,358,2+AR$2)&lt;&gt;"",INDEX('×入力'!$A$1:$L$800,359+AR$3,1)&lt;&gt;""),1,0),0)</f>
        <v/>
      </c>
      <c r="AS32">
        <f>IF(AS$4=1,IF(OR(INDEX('×入力'!$A$1:$L$800,359+AS$3,2+AS$2)&lt;&gt;"",INDEX('×入力'!$A$1:$L$800,358,2+AS$2)&lt;&gt;"",INDEX('×入力'!$A$1:$L$800,359+AS$3,1)&lt;&gt;""),1,0),0)</f>
        <v/>
      </c>
      <c r="AT32">
        <f>IF(AT$4=1,IF(OR(INDEX('×入力'!$A$1:$L$800,359+AT$3,2+AT$2)&lt;&gt;"",INDEX('×入力'!$A$1:$L$800,358,2+AT$2)&lt;&gt;"",INDEX('×入力'!$A$1:$L$800,359+AT$3,1)&lt;&gt;""),1,0),0)</f>
        <v/>
      </c>
      <c r="AU32">
        <f>IF(AU$4=1,IF(OR(INDEX('×入力'!$A$1:$L$800,359+AU$3,2+AU$2)&lt;&gt;"",INDEX('×入力'!$A$1:$L$800,358,2+AU$2)&lt;&gt;"",INDEX('×入力'!$A$1:$L$800,359+AU$3,1)&lt;&gt;""),1,0),0)</f>
        <v/>
      </c>
      <c r="AV32">
        <f>IF(AV$4=1,IF(OR(INDEX('×入力'!$A$1:$L$800,359+AV$3,2+AV$2)&lt;&gt;"",INDEX('×入力'!$A$1:$L$800,358,2+AV$2)&lt;&gt;"",INDEX('×入力'!$A$1:$L$800,359+AV$3,1)&lt;&gt;""),1,0),0)</f>
        <v/>
      </c>
      <c r="AW32">
        <f>IF(AW$4=1,IF(OR(INDEX('×入力'!$A$1:$L$800,359+AW$3,2+AW$2)&lt;&gt;"",INDEX('×入力'!$A$1:$L$800,358,2+AW$2)&lt;&gt;"",INDEX('×入力'!$A$1:$L$800,359+AW$3,1)&lt;&gt;""),1,0),0)</f>
        <v/>
      </c>
      <c r="AX32">
        <f>IF(AX$4=1,IF(OR(INDEX('×入力'!$A$1:$L$800,359+AX$3,2+AX$2)&lt;&gt;"",INDEX('×入力'!$A$1:$L$800,358,2+AX$2)&lt;&gt;"",INDEX('×入力'!$A$1:$L$800,359+AX$3,1)&lt;&gt;""),1,0),0)</f>
        <v/>
      </c>
      <c r="AY32">
        <f>IF(AY$4=1,IF(OR(INDEX('×入力'!$A$1:$L$800,359+AY$3,2+AY$2)&lt;&gt;"",INDEX('×入力'!$A$1:$L$800,358,2+AY$2)&lt;&gt;"",INDEX('×入力'!$A$1:$L$800,359+AY$3,1)&lt;&gt;""),1,0),0)</f>
        <v/>
      </c>
      <c r="AZ32">
        <f>IF(AZ$4=1,IF(OR(INDEX('×入力'!$A$1:$L$800,359+AZ$3,2+AZ$2)&lt;&gt;"",INDEX('×入力'!$A$1:$L$800,358,2+AZ$2)&lt;&gt;"",INDEX('×入力'!$A$1:$L$800,359+AZ$3,1)&lt;&gt;""),1,0),0)</f>
        <v/>
      </c>
      <c r="BA32">
        <f>IF(BA$4=1,IF(OR(INDEX('×入力'!$A$1:$L$800,359+BA$3,2+BA$2)&lt;&gt;"",INDEX('×入力'!$A$1:$L$800,358,2+BA$2)&lt;&gt;"",INDEX('×入力'!$A$1:$L$800,359+BA$3,1)&lt;&gt;""),1,0),0)</f>
        <v/>
      </c>
      <c r="BB32">
        <f>IF(BB$4=1,IF(OR(INDEX('×入力'!$A$1:$L$800,359+BB$3,2+BB$2)&lt;&gt;"",INDEX('×入力'!$A$1:$L$800,358,2+BB$2)&lt;&gt;"",INDEX('×入力'!$A$1:$L$800,359+BB$3,1)&lt;&gt;""),1,0),0)</f>
        <v/>
      </c>
      <c r="BC32">
        <f>IF(BC$4=1,IF(OR(INDEX('×入力'!$A$1:$L$800,359+BC$3,2+BC$2)&lt;&gt;"",INDEX('×入力'!$A$1:$L$800,358,2+BC$2)&lt;&gt;"",INDEX('×入力'!$A$1:$L$800,359+BC$3,1)&lt;&gt;""),1,0),0)</f>
        <v/>
      </c>
      <c r="BD32">
        <f>IF(BD$4=1,IF(OR(INDEX('×入力'!$A$1:$L$800,359+BD$3,2+BD$2)&lt;&gt;"",INDEX('×入力'!$A$1:$L$800,358,2+BD$2)&lt;&gt;"",INDEX('×入力'!$A$1:$L$800,359+BD$3,1)&lt;&gt;""),1,0),0)</f>
        <v/>
      </c>
      <c r="BE32">
        <f>IF(BE$4=1,IF(OR(INDEX('×入力'!$A$1:$L$800,359+BE$3,2+BE$2)&lt;&gt;"",INDEX('×入力'!$A$1:$L$800,358,2+BE$2)&lt;&gt;"",INDEX('×入力'!$A$1:$L$800,359+BE$3,1)&lt;&gt;""),1,0),0)</f>
        <v/>
      </c>
      <c r="BF32">
        <f>IF(BF$4=1,IF(OR(INDEX('×入力'!$A$1:$L$800,359+BF$3,2+BF$2)&lt;&gt;"",INDEX('×入力'!$A$1:$L$800,358,2+BF$2)&lt;&gt;"",INDEX('×入力'!$A$1:$L$800,359+BF$3,1)&lt;&gt;""),1,0),0)</f>
        <v/>
      </c>
      <c r="BG32">
        <f>IF(BG$4=1,IF(OR(INDEX('×入力'!$A$1:$L$800,359+BG$3,2+BG$2)&lt;&gt;"",INDEX('×入力'!$A$1:$L$800,358,2+BG$2)&lt;&gt;"",INDEX('×入力'!$A$1:$L$800,359+BG$3,1)&lt;&gt;""),1,0),0)</f>
        <v/>
      </c>
      <c r="BH32">
        <f>IF(BH$4=1,IF(OR(INDEX('×入力'!$A$1:$L$800,359+BH$3,2+BH$2)&lt;&gt;"",INDEX('×入力'!$A$1:$L$800,358,2+BH$2)&lt;&gt;"",INDEX('×入力'!$A$1:$L$800,359+BH$3,1)&lt;&gt;""),1,0),0)</f>
        <v/>
      </c>
      <c r="BI32">
        <f>IF(BI$4=1,IF(OR(INDEX('×入力'!$A$1:$L$800,359+BI$3,2+BI$2)&lt;&gt;"",INDEX('×入力'!$A$1:$L$800,358,2+BI$2)&lt;&gt;"",INDEX('×入力'!$A$1:$L$800,359+BI$3,1)&lt;&gt;""),1,0),0)</f>
        <v/>
      </c>
      <c r="BJ32">
        <f>IF(BJ$4=1,IF(OR(INDEX('×入力'!$A$1:$L$800,359+BJ$3,2+BJ$2)&lt;&gt;"",INDEX('×入力'!$A$1:$L$800,358,2+BJ$2)&lt;&gt;"",INDEX('×入力'!$A$1:$L$800,359+BJ$3,1)&lt;&gt;""),1,0),0)</f>
        <v/>
      </c>
      <c r="BK32">
        <f>IF(BK$4=1,IF(OR(INDEX('×入力'!$A$1:$L$800,359+BK$3,2+BK$2)&lt;&gt;"",INDEX('×入力'!$A$1:$L$800,358,2+BK$2)&lt;&gt;"",INDEX('×入力'!$A$1:$L$800,359+BK$3,1)&lt;&gt;""),1,0),0)</f>
        <v/>
      </c>
      <c r="BL32">
        <f>IF(BL$4=1,IF(OR(INDEX('×入力'!$A$1:$L$800,359+BL$3,2+BL$2)&lt;&gt;"",INDEX('×入力'!$A$1:$L$800,358,2+BL$2)&lt;&gt;"",INDEX('×入力'!$A$1:$L$800,359+BL$3,1)&lt;&gt;""),1,0),0)</f>
        <v/>
      </c>
      <c r="BM32">
        <f>IF(BM$4=1,IF(OR(INDEX('×入力'!$A$1:$L$800,359+BM$3,2+BM$2)&lt;&gt;"",INDEX('×入力'!$A$1:$L$800,358,2+BM$2)&lt;&gt;"",INDEX('×入力'!$A$1:$L$800,359+BM$3,1)&lt;&gt;""),1,0),0)</f>
        <v/>
      </c>
      <c r="BN32">
        <f>IF(BN$4=1,IF(OR(INDEX('×入力'!$A$1:$L$800,359+BN$3,2+BN$2)&lt;&gt;"",INDEX('×入力'!$A$1:$L$800,358,2+BN$2)&lt;&gt;"",INDEX('×入力'!$A$1:$L$800,359+BN$3,1)&lt;&gt;""),1,0),0)</f>
        <v/>
      </c>
      <c r="BO32">
        <f>IF(BO$4=1,IF(OR(INDEX('×入力'!$A$1:$L$800,359+BO$3,2+BO$2)&lt;&gt;"",INDEX('×入力'!$A$1:$L$800,358,2+BO$2)&lt;&gt;"",INDEX('×入力'!$A$1:$L$800,359+BO$3,1)&lt;&gt;""),1,0),0)</f>
        <v/>
      </c>
      <c r="BP32">
        <f>IF(BP$4=1,IF(OR(INDEX('×入力'!$A$1:$L$800,359+BP$3,2+BP$2)&lt;&gt;"",INDEX('×入力'!$A$1:$L$800,358,2+BP$2)&lt;&gt;"",INDEX('×入力'!$A$1:$L$800,359+BP$3,1)&lt;&gt;""),1,0),0)</f>
        <v/>
      </c>
      <c r="BQ32">
        <f>IF(BQ$4=1,IF(OR(INDEX('×入力'!$A$1:$L$800,359+BQ$3,2+BQ$2)&lt;&gt;"",INDEX('×入力'!$A$1:$L$800,358,2+BQ$2)&lt;&gt;"",INDEX('×入力'!$A$1:$L$800,359+BQ$3,1)&lt;&gt;""),1,0),0)</f>
        <v/>
      </c>
      <c r="BR32">
        <f>IF(BR$4=1,IF(OR(INDEX('×入力'!$A$1:$L$800,359+BR$3,2+BR$2)&lt;&gt;"",INDEX('×入力'!$A$1:$L$800,358,2+BR$2)&lt;&gt;"",INDEX('×入力'!$A$1:$L$800,359+BR$3,1)&lt;&gt;""),1,0),0)</f>
        <v/>
      </c>
      <c r="BS32">
        <f>IF(BS$4=1,IF(OR(INDEX('×入力'!$A$1:$L$800,359+BS$3,2+BS$2)&lt;&gt;"",INDEX('×入力'!$A$1:$L$800,358,2+BS$2)&lt;&gt;"",INDEX('×入力'!$A$1:$L$800,359+BS$3,1)&lt;&gt;""),1,0),0)</f>
        <v/>
      </c>
      <c r="BT32">
        <f>IF(BT$4=1,IF(OR(INDEX('×入力'!$A$1:$L$800,359+BT$3,2+BT$2)&lt;&gt;"",INDEX('×入力'!$A$1:$L$800,358,2+BT$2)&lt;&gt;"",INDEX('×入力'!$A$1:$L$800,359+BT$3,1)&lt;&gt;""),1,0),0)</f>
        <v/>
      </c>
      <c r="BU32">
        <f>IF(BU$4=1,IF(OR(INDEX('×入力'!$A$1:$L$800,359+BU$3,2+BU$2)&lt;&gt;"",INDEX('×入力'!$A$1:$L$800,358,2+BU$2)&lt;&gt;"",INDEX('×入力'!$A$1:$L$800,359+BU$3,1)&lt;&gt;""),1,0),0)</f>
        <v/>
      </c>
      <c r="BV32">
        <f>IF(BV$4=1,IF(OR(INDEX('×入力'!$A$1:$L$800,359+BV$3,2+BV$2)&lt;&gt;"",INDEX('×入力'!$A$1:$L$800,358,2+BV$2)&lt;&gt;"",INDEX('×入力'!$A$1:$L$800,359+BV$3,1)&lt;&gt;""),1,0),0)</f>
        <v/>
      </c>
      <c r="BW32">
        <f>IF(BW$4=1,IF(OR(INDEX('×入力'!$A$1:$L$800,359+BW$3,2+BW$2)&lt;&gt;"",INDEX('×入力'!$A$1:$L$800,358,2+BW$2)&lt;&gt;"",INDEX('×入力'!$A$1:$L$800,359+BW$3,1)&lt;&gt;""),1,0),0)</f>
        <v/>
      </c>
      <c r="BX32">
        <f>IF(BX$4=1,IF(OR(INDEX('×入力'!$A$1:$L$800,359+BX$3,2+BX$2)&lt;&gt;"",INDEX('×入力'!$A$1:$L$800,358,2+BX$2)&lt;&gt;"",INDEX('×入力'!$A$1:$L$800,359+BX$3,1)&lt;&gt;""),1,0),0)</f>
        <v/>
      </c>
      <c r="BY32">
        <f>IF(BY$4=1,IF(OR(INDEX('×入力'!$A$1:$L$800,359+BY$3,2+BY$2)&lt;&gt;"",INDEX('×入力'!$A$1:$L$800,358,2+BY$2)&lt;&gt;"",INDEX('×入力'!$A$1:$L$800,359+BY$3,1)&lt;&gt;""),1,0),0)</f>
        <v/>
      </c>
      <c r="BZ32">
        <f>IF(BZ$4=1,IF(OR(INDEX('×入力'!$A$1:$L$800,359+BZ$3,2+BZ$2)&lt;&gt;"",INDEX('×入力'!$A$1:$L$800,358,2+BZ$2)&lt;&gt;"",INDEX('×入力'!$A$1:$L$800,359+BZ$3,1)&lt;&gt;""),1,0),0)</f>
        <v/>
      </c>
      <c r="CA32">
        <f>IF(CA$4=1,IF(OR(INDEX('×入力'!$A$1:$L$800,359+CA$3,2+CA$2)&lt;&gt;"",INDEX('×入力'!$A$1:$L$800,358,2+CA$2)&lt;&gt;"",INDEX('×入力'!$A$1:$L$800,359+CA$3,1)&lt;&gt;""),1,0),0)</f>
        <v/>
      </c>
      <c r="CB32">
        <f>IF(CB$4=1,IF(OR(INDEX('×入力'!$A$1:$L$800,359+CB$3,2+CB$2)&lt;&gt;"",INDEX('×入力'!$A$1:$L$800,358,2+CB$2)&lt;&gt;"",INDEX('×入力'!$A$1:$L$800,359+CB$3,1)&lt;&gt;""),1,0),0)</f>
        <v/>
      </c>
      <c r="CC32">
        <f>IF(CC$4=1,IF(OR(INDEX('×入力'!$A$1:$L$800,359+CC$3,2+CC$2)&lt;&gt;"",INDEX('×入力'!$A$1:$L$800,358,2+CC$2)&lt;&gt;"",INDEX('×入力'!$A$1:$L$800,359+CC$3,1)&lt;&gt;""),1,0),0)</f>
        <v/>
      </c>
      <c r="CD32">
        <f>IF(CD$4=1,IF(OR(INDEX('×入力'!$A$1:$L$800,359+CD$3,2+CD$2)&lt;&gt;"",INDEX('×入力'!$A$1:$L$800,358,2+CD$2)&lt;&gt;"",INDEX('×入力'!$A$1:$L$800,359+CD$3,1)&lt;&gt;""),1,0),0)</f>
        <v/>
      </c>
      <c r="CE32">
        <f>IF(CE$4=1,IF(OR(INDEX('×入力'!$A$1:$L$800,359+CE$3,2+CE$2)&lt;&gt;"",INDEX('×入力'!$A$1:$L$800,358,2+CE$2)&lt;&gt;"",INDEX('×入力'!$A$1:$L$800,359+CE$3,1)&lt;&gt;""),1,0),0)</f>
        <v/>
      </c>
      <c r="CF32">
        <f>IF(CF$4=1,IF(OR(INDEX('×入力'!$A$1:$L$800,359+CF$3,2+CF$2)&lt;&gt;"",INDEX('×入力'!$A$1:$L$800,358,2+CF$2)&lt;&gt;"",INDEX('×入力'!$A$1:$L$800,359+CF$3,1)&lt;&gt;""),1,0),0)</f>
        <v/>
      </c>
      <c r="CG32">
        <f>IF(CG$4=1,IF(OR(INDEX('×入力'!$A$1:$L$800,359+CG$3,2+CG$2)&lt;&gt;"",INDEX('×入力'!$A$1:$L$800,358,2+CG$2)&lt;&gt;"",INDEX('×入力'!$A$1:$L$800,359+CG$3,1)&lt;&gt;""),1,0),0)</f>
        <v/>
      </c>
      <c r="CH32">
        <f>IF(CH$4=1,IF(OR(INDEX('×入力'!$A$1:$L$800,359+CH$3,2+CH$2)&lt;&gt;"",INDEX('×入力'!$A$1:$L$800,358,2+CH$2)&lt;&gt;"",INDEX('×入力'!$A$1:$L$800,359+CH$3,1)&lt;&gt;""),1,0),0)</f>
        <v/>
      </c>
      <c r="CI32">
        <f>IF(CI$4=1,IF(OR(INDEX('×入力'!$A$1:$L$800,359+CI$3,2+CI$2)&lt;&gt;"",INDEX('×入力'!$A$1:$L$800,358,2+CI$2)&lt;&gt;"",INDEX('×入力'!$A$1:$L$800,359+CI$3,1)&lt;&gt;""),1,0),0)</f>
        <v/>
      </c>
      <c r="CJ32">
        <f>IF(CJ$4=1,IF(OR(INDEX('×入力'!$A$1:$L$800,359+CJ$3,2+CJ$2)&lt;&gt;"",INDEX('×入力'!$A$1:$L$800,358,2+CJ$2)&lt;&gt;"",INDEX('×入力'!$A$1:$L$800,359+CJ$3,1)&lt;&gt;""),1,0),0)</f>
        <v/>
      </c>
      <c r="CK32">
        <f>IF(CK$4=1,IF(OR(INDEX('×入力'!$A$1:$L$800,359+CK$3,2+CK$2)&lt;&gt;"",INDEX('×入力'!$A$1:$L$800,358,2+CK$2)&lt;&gt;"",INDEX('×入力'!$A$1:$L$800,359+CK$3,1)&lt;&gt;""),1,0),0)</f>
        <v/>
      </c>
      <c r="CL32">
        <f>IF(CL$4=1,IF(OR(INDEX('×入力'!$A$1:$L$800,359+CL$3,2+CL$2)&lt;&gt;"",INDEX('×入力'!$A$1:$L$800,358,2+CL$2)&lt;&gt;"",INDEX('×入力'!$A$1:$L$800,359+CL$3,1)&lt;&gt;""),1,0),0)</f>
        <v/>
      </c>
      <c r="CM32">
        <f>IF(CM$4=1,IF(OR(INDEX('×入力'!$A$1:$L$800,359+CM$3,2+CM$2)&lt;&gt;"",INDEX('×入力'!$A$1:$L$800,358,2+CM$2)&lt;&gt;"",INDEX('×入力'!$A$1:$L$800,359+CM$3,1)&lt;&gt;""),1,0),0)</f>
        <v/>
      </c>
      <c r="CN32">
        <f>IF(CN$4=1,IF(OR(INDEX('×入力'!$A$1:$L$800,359+CN$3,2+CN$2)&lt;&gt;"",INDEX('×入力'!$A$1:$L$800,358,2+CN$2)&lt;&gt;"",INDEX('×入力'!$A$1:$L$800,359+CN$3,1)&lt;&gt;""),1,0),0)</f>
        <v/>
      </c>
      <c r="CO32">
        <f>IF(CO$4=1,IF(OR(INDEX('×入力'!$A$1:$L$800,359+CO$3,2+CO$2)&lt;&gt;"",INDEX('×入力'!$A$1:$L$800,358,2+CO$2)&lt;&gt;"",INDEX('×入力'!$A$1:$L$800,359+CO$3,1)&lt;&gt;""),1,0),0)</f>
        <v/>
      </c>
      <c r="CP32">
        <f>IF(CP$4=1,IF(OR(INDEX('×入力'!$A$1:$L$800,359+CP$3,2+CP$2)&lt;&gt;"",INDEX('×入力'!$A$1:$L$800,358,2+CP$2)&lt;&gt;"",INDEX('×入力'!$A$1:$L$800,359+CP$3,1)&lt;&gt;""),1,0),0)</f>
        <v/>
      </c>
      <c r="CQ32">
        <f>IF(CQ$4=1,IF(OR(INDEX('×入力'!$A$1:$L$800,359+CQ$3,2+CQ$2)&lt;&gt;"",INDEX('×入力'!$A$1:$L$800,358,2+CQ$2)&lt;&gt;"",INDEX('×入力'!$A$1:$L$800,359+CQ$3,1)&lt;&gt;""),1,0),0)</f>
        <v/>
      </c>
      <c r="CR32">
        <f>IF(CR$4=1,IF(OR(INDEX('×入力'!$A$1:$L$800,359+CR$3,2+CR$2)&lt;&gt;"",INDEX('×入力'!$A$1:$L$800,358,2+CR$2)&lt;&gt;"",INDEX('×入力'!$A$1:$L$800,359+CR$3,1)&lt;&gt;""),1,0),0)</f>
        <v/>
      </c>
      <c r="CS32">
        <f>IF(CS$4=1,IF(OR(INDEX('×入力'!$A$1:$L$800,359+CS$3,2+CS$2)&lt;&gt;"",INDEX('×入力'!$A$1:$L$800,358,2+CS$2)&lt;&gt;"",INDEX('×入力'!$A$1:$L$800,359+CS$3,1)&lt;&gt;""),1,0),0)</f>
        <v/>
      </c>
      <c r="CT32">
        <f>IF(CT$4=1,IF(OR(INDEX('×入力'!$A$1:$L$800,359+CT$3,2+CT$2)&lt;&gt;"",INDEX('×入力'!$A$1:$L$800,358,2+CT$2)&lt;&gt;"",INDEX('×入力'!$A$1:$L$800,359+CT$3,1)&lt;&gt;""),1,0),0)</f>
        <v/>
      </c>
      <c r="CU32">
        <f>IF(CU$4=1,IF(OR(INDEX('×入力'!$A$1:$L$800,359+CU$3,2+CU$2)&lt;&gt;"",INDEX('×入力'!$A$1:$L$800,358,2+CU$2)&lt;&gt;"",INDEX('×入力'!$A$1:$L$800,359+CU$3,1)&lt;&gt;""),1,0),0)</f>
        <v/>
      </c>
      <c r="CV32">
        <f>IF(CV$4=1,IF(OR(INDEX('×入力'!$A$1:$L$800,359+CV$3,2+CV$2)&lt;&gt;"",INDEX('×入力'!$A$1:$L$800,358,2+CV$2)&lt;&gt;"",INDEX('×入力'!$A$1:$L$800,359+CV$3,1)&lt;&gt;""),1,0),0)</f>
        <v/>
      </c>
      <c r="CW32">
        <f>IF(CW$4=1,IF(OR(INDEX('×入力'!$A$1:$L$800,359+CW$3,2+CW$2)&lt;&gt;"",INDEX('×入力'!$A$1:$L$800,358,2+CW$2)&lt;&gt;"",INDEX('×入力'!$A$1:$L$800,359+CW$3,1)&lt;&gt;""),1,0),0)</f>
        <v/>
      </c>
      <c r="CX32">
        <f>IF(CX$4=1,IF(OR(INDEX('×入力'!$A$1:$L$800,359+CX$3,2+CX$2)&lt;&gt;"",INDEX('×入力'!$A$1:$L$800,358,2+CX$2)&lt;&gt;"",INDEX('×入力'!$A$1:$L$800,359+CX$3,1)&lt;&gt;""),1,0),0)</f>
        <v/>
      </c>
      <c r="CY32">
        <f>IF(CY$4=1,IF(OR(INDEX('×入力'!$A$1:$L$800,359+CY$3,2+CY$2)&lt;&gt;"",INDEX('×入力'!$A$1:$L$800,358,2+CY$2)&lt;&gt;"",INDEX('×入力'!$A$1:$L$800,359+CY$3,1)&lt;&gt;""),1,0),0)</f>
        <v/>
      </c>
      <c r="CZ32">
        <f>IF(CZ$4=1,IF(OR(INDEX('×入力'!$A$1:$L$800,359+CZ$3,2+CZ$2)&lt;&gt;"",INDEX('×入力'!$A$1:$L$800,358,2+CZ$2)&lt;&gt;"",INDEX('×入力'!$A$1:$L$800,359+CZ$3,1)&lt;&gt;""),1,0),0)</f>
        <v/>
      </c>
      <c r="DA32">
        <f>IF(DA$4=1,IF(OR(INDEX('×入力'!$A$1:$L$800,359+DA$3,2+DA$2)&lt;&gt;"",INDEX('×入力'!$A$1:$L$800,358,2+DA$2)&lt;&gt;"",INDEX('×入力'!$A$1:$L$800,359+DA$3,1)&lt;&gt;""),1,0),0)</f>
        <v/>
      </c>
      <c r="DB32">
        <f>IF(DB$4=1,IF(OR(INDEX('×入力'!$A$1:$L$800,359+DB$3,2+DB$2)&lt;&gt;"",INDEX('×入力'!$A$1:$L$800,358,2+DB$2)&lt;&gt;"",INDEX('×入力'!$A$1:$L$800,359+DB$3,1)&lt;&gt;""),1,0),0)</f>
        <v/>
      </c>
      <c r="DC32">
        <f>IF(DC$4=1,IF(OR(INDEX('×入力'!$A$1:$L$800,359+DC$3,2+DC$2)&lt;&gt;"",INDEX('×入力'!$A$1:$L$800,358,2+DC$2)&lt;&gt;"",INDEX('×入力'!$A$1:$L$800,359+DC$3,1)&lt;&gt;""),1,0),0)</f>
        <v/>
      </c>
      <c r="DD32">
        <f>IF(DD$4=1,IF(OR(INDEX('×入力'!$A$1:$L$800,359+DD$3,2+DD$2)&lt;&gt;"",INDEX('×入力'!$A$1:$L$800,358,2+DD$2)&lt;&gt;"",INDEX('×入力'!$A$1:$L$800,359+DD$3,1)&lt;&gt;""),1,0),0)</f>
        <v/>
      </c>
      <c r="DE32">
        <f>IF(DE$4=1,IF(OR(INDEX('×入力'!$A$1:$L$800,359+DE$3,2+DE$2)&lt;&gt;"",INDEX('×入力'!$A$1:$L$800,358,2+DE$2)&lt;&gt;"",INDEX('×入力'!$A$1:$L$800,359+DE$3,1)&lt;&gt;""),1,0),0)</f>
        <v/>
      </c>
      <c r="DF32">
        <f>IF(DF$4=1,IF(OR(INDEX('×入力'!$A$1:$L$800,359+DF$3,2+DF$2)&lt;&gt;"",INDEX('×入力'!$A$1:$L$800,358,2+DF$2)&lt;&gt;"",INDEX('×入力'!$A$1:$L$800,359+DF$3,1)&lt;&gt;""),1,0),0)</f>
        <v/>
      </c>
      <c r="DG32">
        <f>IF(DG$4=1,IF(OR(INDEX('×入力'!$A$1:$L$800,359+DG$3,2+DG$2)&lt;&gt;"",INDEX('×入力'!$A$1:$L$800,358,2+DG$2)&lt;&gt;"",INDEX('×入力'!$A$1:$L$800,359+DG$3,1)&lt;&gt;""),1,0),0)</f>
        <v/>
      </c>
      <c r="DH32">
        <f>IF(DH$4=1,IF(OR(INDEX('×入力'!$A$1:$L$800,359+DH$3,2+DH$2)&lt;&gt;"",INDEX('×入力'!$A$1:$L$800,358,2+DH$2)&lt;&gt;"",INDEX('×入力'!$A$1:$L$800,359+DH$3,1)&lt;&gt;""),1,0),0)</f>
        <v/>
      </c>
      <c r="DI32">
        <f>IF(DI$4=1,IF(OR(INDEX('×入力'!$A$1:$L$800,359+DI$3,2+DI$2)&lt;&gt;"",INDEX('×入力'!$A$1:$L$800,358,2+DI$2)&lt;&gt;"",INDEX('×入力'!$A$1:$L$800,359+DI$3,1)&lt;&gt;""),1,0),0)</f>
        <v/>
      </c>
      <c r="DJ32">
        <f>IF(DJ$4=1,IF(OR(INDEX('×入力'!$A$1:$L$800,359+DJ$3,2+DJ$2)&lt;&gt;"",INDEX('×入力'!$A$1:$L$800,358,2+DJ$2)&lt;&gt;"",INDEX('×入力'!$A$1:$L$800,359+DJ$3,1)&lt;&gt;""),1,0),0)</f>
        <v/>
      </c>
      <c r="DK32">
        <f>IF(DK$4=1,IF(OR(INDEX('×入力'!$A$1:$L$800,359+DK$3,2+DK$2)&lt;&gt;"",INDEX('×入力'!$A$1:$L$800,358,2+DK$2)&lt;&gt;"",INDEX('×入力'!$A$1:$L$800,359+DK$3,1)&lt;&gt;""),1,0),0)</f>
        <v/>
      </c>
      <c r="DL32">
        <f>IF(DL$4=1,IF(OR(INDEX('×入力'!$A$1:$L$800,359+DL$3,2+DL$2)&lt;&gt;"",INDEX('×入力'!$A$1:$L$800,358,2+DL$2)&lt;&gt;"",INDEX('×入力'!$A$1:$L$800,359+DL$3,1)&lt;&gt;""),1,0),0)</f>
        <v/>
      </c>
      <c r="DM32">
        <f>IF(DM$4=1,IF(OR(INDEX('×入力'!$A$1:$L$800,359+DM$3,2+DM$2)&lt;&gt;"",INDEX('×入力'!$A$1:$L$800,358,2+DM$2)&lt;&gt;"",INDEX('×入力'!$A$1:$L$800,359+DM$3,1)&lt;&gt;""),1,0),0)</f>
        <v/>
      </c>
      <c r="DN32">
        <f>IF(DN$4=1,IF(OR(INDEX('×入力'!$A$1:$L$800,359+DN$3,2+DN$2)&lt;&gt;"",INDEX('×入力'!$A$1:$L$800,358,2+DN$2)&lt;&gt;"",INDEX('×入力'!$A$1:$L$800,359+DN$3,1)&lt;&gt;""),1,0),0)</f>
        <v/>
      </c>
      <c r="DO32">
        <f>IF(DO$4=1,IF(OR(INDEX('×入力'!$A$1:$L$800,359+DO$3,2+DO$2)&lt;&gt;"",INDEX('×入力'!$A$1:$L$800,358,2+DO$2)&lt;&gt;"",INDEX('×入力'!$A$1:$L$800,359+DO$3,1)&lt;&gt;""),1,0),0)</f>
        <v/>
      </c>
      <c r="DP32">
        <f>IF(DP$4=1,IF(OR(INDEX('×入力'!$A$1:$L$800,359+DP$3,2+DP$2)&lt;&gt;"",INDEX('×入力'!$A$1:$L$800,358,2+DP$2)&lt;&gt;"",INDEX('×入力'!$A$1:$L$800,359+DP$3,1)&lt;&gt;""),1,0),0)</f>
        <v/>
      </c>
      <c r="DQ32">
        <f>IF(DQ$4=1,IF(OR(INDEX('×入力'!$A$1:$L$800,359+DQ$3,2+DQ$2)&lt;&gt;"",INDEX('×入力'!$A$1:$L$800,358,2+DQ$2)&lt;&gt;"",INDEX('×入力'!$A$1:$L$800,359+DQ$3,1)&lt;&gt;""),1,0),0)</f>
        <v/>
      </c>
      <c r="DR32">
        <f>IF(DR$4=1,IF(OR(INDEX('×入力'!$A$1:$L$800,359+DR$3,2+DR$2)&lt;&gt;"",INDEX('×入力'!$A$1:$L$800,358,2+DR$2)&lt;&gt;"",INDEX('×入力'!$A$1:$L$800,359+DR$3,1)&lt;&gt;""),1,0),0)</f>
        <v/>
      </c>
      <c r="DS32">
        <f>IF(DS$4=1,IF(OR(INDEX('×入力'!$A$1:$L$800,359+DS$3,2+DS$2)&lt;&gt;"",INDEX('×入力'!$A$1:$L$800,358,2+DS$2)&lt;&gt;"",INDEX('×入力'!$A$1:$L$800,359+DS$3,1)&lt;&gt;""),1,0),0)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IF(D$4=1,IF(OR(INDEX('×入力'!$A$1:$L$800,375+D$3,2+D$2)&lt;&gt;"",INDEX('×入力'!$A$1:$L$800,374,2+D$2)&lt;&gt;"",INDEX('×入力'!$A$1:$L$800,375+D$3,1)&lt;&gt;""),1,0),0)</f>
        <v/>
      </c>
      <c r="E33">
        <f>IF(E$4=1,IF(OR(INDEX('×入力'!$A$1:$L$800,375+E$3,2+E$2)&lt;&gt;"",INDEX('×入力'!$A$1:$L$800,374,2+E$2)&lt;&gt;"",INDEX('×入力'!$A$1:$L$800,375+E$3,1)&lt;&gt;""),1,0),0)</f>
        <v/>
      </c>
      <c r="F33">
        <f>IF(F$4=1,IF(OR(INDEX('×入力'!$A$1:$L$800,375+F$3,2+F$2)&lt;&gt;"",INDEX('×入力'!$A$1:$L$800,374,2+F$2)&lt;&gt;"",INDEX('×入力'!$A$1:$L$800,375+F$3,1)&lt;&gt;""),1,0),0)</f>
        <v/>
      </c>
      <c r="G33">
        <f>IF(G$4=1,IF(OR(INDEX('×入力'!$A$1:$L$800,375+G$3,2+G$2)&lt;&gt;"",INDEX('×入力'!$A$1:$L$800,374,2+G$2)&lt;&gt;"",INDEX('×入力'!$A$1:$L$800,375+G$3,1)&lt;&gt;""),1,0),0)</f>
        <v/>
      </c>
      <c r="H33">
        <f>IF(H$4=1,IF(OR(INDEX('×入力'!$A$1:$L$800,375+H$3,2+H$2)&lt;&gt;"",INDEX('×入力'!$A$1:$L$800,374,2+H$2)&lt;&gt;"",INDEX('×入力'!$A$1:$L$800,375+H$3,1)&lt;&gt;""),1,0),0)</f>
        <v/>
      </c>
      <c r="I33">
        <f>IF(I$4=1,IF(OR(INDEX('×入力'!$A$1:$L$800,375+I$3,2+I$2)&lt;&gt;"",INDEX('×入力'!$A$1:$L$800,374,2+I$2)&lt;&gt;"",INDEX('×入力'!$A$1:$L$800,375+I$3,1)&lt;&gt;""),1,0),0)</f>
        <v/>
      </c>
      <c r="J33">
        <f>IF(J$4=1,IF(OR(INDEX('×入力'!$A$1:$L$800,375+J$3,2+J$2)&lt;&gt;"",INDEX('×入力'!$A$1:$L$800,374,2+J$2)&lt;&gt;"",INDEX('×入力'!$A$1:$L$800,375+J$3,1)&lt;&gt;""),1,0),0)</f>
        <v/>
      </c>
      <c r="K33">
        <f>IF(K$4=1,IF(OR(INDEX('×入力'!$A$1:$L$800,375+K$3,2+K$2)&lt;&gt;"",INDEX('×入力'!$A$1:$L$800,374,2+K$2)&lt;&gt;"",INDEX('×入力'!$A$1:$L$800,375+K$3,1)&lt;&gt;""),1,0),0)</f>
        <v/>
      </c>
      <c r="L33">
        <f>IF(L$4=1,IF(OR(INDEX('×入力'!$A$1:$L$800,375+L$3,2+L$2)&lt;&gt;"",INDEX('×入力'!$A$1:$L$800,374,2+L$2)&lt;&gt;"",INDEX('×入力'!$A$1:$L$800,375+L$3,1)&lt;&gt;""),1,0),0)</f>
        <v/>
      </c>
      <c r="M33">
        <f>IF(M$4=1,IF(OR(INDEX('×入力'!$A$1:$L$800,375+M$3,2+M$2)&lt;&gt;"",INDEX('×入力'!$A$1:$L$800,374,2+M$2)&lt;&gt;"",INDEX('×入力'!$A$1:$L$800,375+M$3,1)&lt;&gt;""),1,0),0)</f>
        <v/>
      </c>
      <c r="N33">
        <f>IF(N$4=1,IF(OR(INDEX('×入力'!$A$1:$L$800,375+N$3,2+N$2)&lt;&gt;"",INDEX('×入力'!$A$1:$L$800,374,2+N$2)&lt;&gt;"",INDEX('×入力'!$A$1:$L$800,375+N$3,1)&lt;&gt;""),1,0),0)</f>
        <v/>
      </c>
      <c r="O33">
        <f>IF(O$4=1,IF(OR(INDEX('×入力'!$A$1:$L$800,375+O$3,2+O$2)&lt;&gt;"",INDEX('×入力'!$A$1:$L$800,374,2+O$2)&lt;&gt;"",INDEX('×入力'!$A$1:$L$800,375+O$3,1)&lt;&gt;""),1,0),0)</f>
        <v/>
      </c>
      <c r="P33">
        <f>IF(P$4=1,IF(OR(INDEX('×入力'!$A$1:$L$800,375+P$3,2+P$2)&lt;&gt;"",INDEX('×入力'!$A$1:$L$800,374,2+P$2)&lt;&gt;"",INDEX('×入力'!$A$1:$L$800,375+P$3,1)&lt;&gt;""),1,0),0)</f>
        <v/>
      </c>
      <c r="Q33">
        <f>IF(Q$4=1,IF(OR(INDEX('×入力'!$A$1:$L$800,375+Q$3,2+Q$2)&lt;&gt;"",INDEX('×入力'!$A$1:$L$800,374,2+Q$2)&lt;&gt;"",INDEX('×入力'!$A$1:$L$800,375+Q$3,1)&lt;&gt;""),1,0),0)</f>
        <v/>
      </c>
      <c r="R33">
        <f>IF(R$4=1,IF(OR(INDEX('×入力'!$A$1:$L$800,375+R$3,2+R$2)&lt;&gt;"",INDEX('×入力'!$A$1:$L$800,374,2+R$2)&lt;&gt;"",INDEX('×入力'!$A$1:$L$800,375+R$3,1)&lt;&gt;""),1,0),0)</f>
        <v/>
      </c>
      <c r="S33">
        <f>IF(S$4=1,IF(OR(INDEX('×入力'!$A$1:$L$800,375+S$3,2+S$2)&lt;&gt;"",INDEX('×入力'!$A$1:$L$800,374,2+S$2)&lt;&gt;"",INDEX('×入力'!$A$1:$L$800,375+S$3,1)&lt;&gt;""),1,0),0)</f>
        <v/>
      </c>
      <c r="T33">
        <f>IF(T$4=1,IF(OR(INDEX('×入力'!$A$1:$L$800,375+T$3,2+T$2)&lt;&gt;"",INDEX('×入力'!$A$1:$L$800,374,2+T$2)&lt;&gt;"",INDEX('×入力'!$A$1:$L$800,375+T$3,1)&lt;&gt;""),1,0),0)</f>
        <v/>
      </c>
      <c r="U33">
        <f>IF(U$4=1,IF(OR(INDEX('×入力'!$A$1:$L$800,375+U$3,2+U$2)&lt;&gt;"",INDEX('×入力'!$A$1:$L$800,374,2+U$2)&lt;&gt;"",INDEX('×入力'!$A$1:$L$800,375+U$3,1)&lt;&gt;""),1,0),0)</f>
        <v/>
      </c>
      <c r="V33">
        <f>IF(V$4=1,IF(OR(INDEX('×入力'!$A$1:$L$800,375+V$3,2+V$2)&lt;&gt;"",INDEX('×入力'!$A$1:$L$800,374,2+V$2)&lt;&gt;"",INDEX('×入力'!$A$1:$L$800,375+V$3,1)&lt;&gt;""),1,0),0)</f>
        <v/>
      </c>
      <c r="W33">
        <f>IF(W$4=1,IF(OR(INDEX('×入力'!$A$1:$L$800,375+W$3,2+W$2)&lt;&gt;"",INDEX('×入力'!$A$1:$L$800,374,2+W$2)&lt;&gt;"",INDEX('×入力'!$A$1:$L$800,375+W$3,1)&lt;&gt;""),1,0),0)</f>
        <v/>
      </c>
      <c r="X33">
        <f>IF(X$4=1,IF(OR(INDEX('×入力'!$A$1:$L$800,375+X$3,2+X$2)&lt;&gt;"",INDEX('×入力'!$A$1:$L$800,374,2+X$2)&lt;&gt;"",INDEX('×入力'!$A$1:$L$800,375+X$3,1)&lt;&gt;""),1,0),0)</f>
        <v/>
      </c>
      <c r="Y33">
        <f>IF(Y$4=1,IF(OR(INDEX('×入力'!$A$1:$L$800,375+Y$3,2+Y$2)&lt;&gt;"",INDEX('×入力'!$A$1:$L$800,374,2+Y$2)&lt;&gt;"",INDEX('×入力'!$A$1:$L$800,375+Y$3,1)&lt;&gt;""),1,0),0)</f>
        <v/>
      </c>
      <c r="Z33">
        <f>IF(Z$4=1,IF(OR(INDEX('×入力'!$A$1:$L$800,375+Z$3,2+Z$2)&lt;&gt;"",INDEX('×入力'!$A$1:$L$800,374,2+Z$2)&lt;&gt;"",INDEX('×入力'!$A$1:$L$800,375+Z$3,1)&lt;&gt;""),1,0),0)</f>
        <v/>
      </c>
      <c r="AA33">
        <f>IF(AA$4=1,IF(OR(INDEX('×入力'!$A$1:$L$800,375+AA$3,2+AA$2)&lt;&gt;"",INDEX('×入力'!$A$1:$L$800,374,2+AA$2)&lt;&gt;"",INDEX('×入力'!$A$1:$L$800,375+AA$3,1)&lt;&gt;""),1,0),0)</f>
        <v/>
      </c>
      <c r="AB33">
        <f>IF(AB$4=1,IF(OR(INDEX('×入力'!$A$1:$L$800,375+AB$3,2+AB$2)&lt;&gt;"",INDEX('×入力'!$A$1:$L$800,374,2+AB$2)&lt;&gt;"",INDEX('×入力'!$A$1:$L$800,375+AB$3,1)&lt;&gt;""),1,0),0)</f>
        <v/>
      </c>
      <c r="AC33">
        <f>IF(AC$4=1,IF(OR(INDEX('×入力'!$A$1:$L$800,375+AC$3,2+AC$2)&lt;&gt;"",INDEX('×入力'!$A$1:$L$800,374,2+AC$2)&lt;&gt;"",INDEX('×入力'!$A$1:$L$800,375+AC$3,1)&lt;&gt;""),1,0),0)</f>
        <v/>
      </c>
      <c r="AD33">
        <f>IF(AD$4=1,IF(OR(INDEX('×入力'!$A$1:$L$800,375+AD$3,2+AD$2)&lt;&gt;"",INDEX('×入力'!$A$1:$L$800,374,2+AD$2)&lt;&gt;"",INDEX('×入力'!$A$1:$L$800,375+AD$3,1)&lt;&gt;""),1,0),0)</f>
        <v/>
      </c>
      <c r="AE33">
        <f>IF(AE$4=1,IF(OR(INDEX('×入力'!$A$1:$L$800,375+AE$3,2+AE$2)&lt;&gt;"",INDEX('×入力'!$A$1:$L$800,374,2+AE$2)&lt;&gt;"",INDEX('×入力'!$A$1:$L$800,375+AE$3,1)&lt;&gt;""),1,0),0)</f>
        <v/>
      </c>
      <c r="AF33">
        <f>IF(AF$4=1,IF(OR(INDEX('×入力'!$A$1:$L$800,375+AF$3,2+AF$2)&lt;&gt;"",INDEX('×入力'!$A$1:$L$800,374,2+AF$2)&lt;&gt;"",INDEX('×入力'!$A$1:$L$800,375+AF$3,1)&lt;&gt;""),1,0),0)</f>
        <v/>
      </c>
      <c r="AG33">
        <f>IF(AG$4=1,IF(OR(INDEX('×入力'!$A$1:$L$800,375+AG$3,2+AG$2)&lt;&gt;"",INDEX('×入力'!$A$1:$L$800,374,2+AG$2)&lt;&gt;"",INDEX('×入力'!$A$1:$L$800,375+AG$3,1)&lt;&gt;""),1,0),0)</f>
        <v/>
      </c>
      <c r="AH33">
        <f>IF(AH$4=1,IF(OR(INDEX('×入力'!$A$1:$L$800,375+AH$3,2+AH$2)&lt;&gt;"",INDEX('×入力'!$A$1:$L$800,374,2+AH$2)&lt;&gt;"",INDEX('×入力'!$A$1:$L$800,375+AH$3,1)&lt;&gt;""),1,0),0)</f>
        <v/>
      </c>
      <c r="AI33">
        <f>IF(AI$4=1,IF(OR(INDEX('×入力'!$A$1:$L$800,375+AI$3,2+AI$2)&lt;&gt;"",INDEX('×入力'!$A$1:$L$800,374,2+AI$2)&lt;&gt;"",INDEX('×入力'!$A$1:$L$800,375+AI$3,1)&lt;&gt;""),1,0),0)</f>
        <v/>
      </c>
      <c r="AJ33">
        <f>IF(AJ$4=1,IF(OR(INDEX('×入力'!$A$1:$L$800,375+AJ$3,2+AJ$2)&lt;&gt;"",INDEX('×入力'!$A$1:$L$800,374,2+AJ$2)&lt;&gt;"",INDEX('×入力'!$A$1:$L$800,375+AJ$3,1)&lt;&gt;""),1,0),0)</f>
        <v/>
      </c>
      <c r="AK33">
        <f>IF(AK$4=1,IF(OR(INDEX('×入力'!$A$1:$L$800,375+AK$3,2+AK$2)&lt;&gt;"",INDEX('×入力'!$A$1:$L$800,374,2+AK$2)&lt;&gt;"",INDEX('×入力'!$A$1:$L$800,375+AK$3,1)&lt;&gt;""),1,0),0)</f>
        <v/>
      </c>
      <c r="AL33">
        <f>IF(AL$4=1,IF(OR(INDEX('×入力'!$A$1:$L$800,375+AL$3,2+AL$2)&lt;&gt;"",INDEX('×入力'!$A$1:$L$800,374,2+AL$2)&lt;&gt;"",INDEX('×入力'!$A$1:$L$800,375+AL$3,1)&lt;&gt;""),1,0),0)</f>
        <v/>
      </c>
      <c r="AM33">
        <f>IF(AM$4=1,IF(OR(INDEX('×入力'!$A$1:$L$800,375+AM$3,2+AM$2)&lt;&gt;"",INDEX('×入力'!$A$1:$L$800,374,2+AM$2)&lt;&gt;"",INDEX('×入力'!$A$1:$L$800,375+AM$3,1)&lt;&gt;""),1,0),0)</f>
        <v/>
      </c>
      <c r="AN33">
        <f>IF(AN$4=1,IF(OR(INDEX('×入力'!$A$1:$L$800,375+AN$3,2+AN$2)&lt;&gt;"",INDEX('×入力'!$A$1:$L$800,374,2+AN$2)&lt;&gt;"",INDEX('×入力'!$A$1:$L$800,375+AN$3,1)&lt;&gt;""),1,0),0)</f>
        <v/>
      </c>
      <c r="AO33">
        <f>IF(AO$4=1,IF(OR(INDEX('×入力'!$A$1:$L$800,375+AO$3,2+AO$2)&lt;&gt;"",INDEX('×入力'!$A$1:$L$800,374,2+AO$2)&lt;&gt;"",INDEX('×入力'!$A$1:$L$800,375+AO$3,1)&lt;&gt;""),1,0),0)</f>
        <v/>
      </c>
      <c r="AP33">
        <f>IF(AP$4=1,IF(OR(INDEX('×入力'!$A$1:$L$800,375+AP$3,2+AP$2)&lt;&gt;"",INDEX('×入力'!$A$1:$L$800,374,2+AP$2)&lt;&gt;"",INDEX('×入力'!$A$1:$L$800,375+AP$3,1)&lt;&gt;""),1,0),0)</f>
        <v/>
      </c>
      <c r="AQ33">
        <f>IF(AQ$4=1,IF(OR(INDEX('×入力'!$A$1:$L$800,375+AQ$3,2+AQ$2)&lt;&gt;"",INDEX('×入力'!$A$1:$L$800,374,2+AQ$2)&lt;&gt;"",INDEX('×入力'!$A$1:$L$800,375+AQ$3,1)&lt;&gt;""),1,0),0)</f>
        <v/>
      </c>
      <c r="AR33">
        <f>IF(AR$4=1,IF(OR(INDEX('×入力'!$A$1:$L$800,375+AR$3,2+AR$2)&lt;&gt;"",INDEX('×入力'!$A$1:$L$800,374,2+AR$2)&lt;&gt;"",INDEX('×入力'!$A$1:$L$800,375+AR$3,1)&lt;&gt;""),1,0),0)</f>
        <v/>
      </c>
      <c r="AS33">
        <f>IF(AS$4=1,IF(OR(INDEX('×入力'!$A$1:$L$800,375+AS$3,2+AS$2)&lt;&gt;"",INDEX('×入力'!$A$1:$L$800,374,2+AS$2)&lt;&gt;"",INDEX('×入力'!$A$1:$L$800,375+AS$3,1)&lt;&gt;""),1,0),0)</f>
        <v/>
      </c>
      <c r="AT33">
        <f>IF(AT$4=1,IF(OR(INDEX('×入力'!$A$1:$L$800,375+AT$3,2+AT$2)&lt;&gt;"",INDEX('×入力'!$A$1:$L$800,374,2+AT$2)&lt;&gt;"",INDEX('×入力'!$A$1:$L$800,375+AT$3,1)&lt;&gt;""),1,0),0)</f>
        <v/>
      </c>
      <c r="AU33">
        <f>IF(AU$4=1,IF(OR(INDEX('×入力'!$A$1:$L$800,375+AU$3,2+AU$2)&lt;&gt;"",INDEX('×入力'!$A$1:$L$800,374,2+AU$2)&lt;&gt;"",INDEX('×入力'!$A$1:$L$800,375+AU$3,1)&lt;&gt;""),1,0),0)</f>
        <v/>
      </c>
      <c r="AV33">
        <f>IF(AV$4=1,IF(OR(INDEX('×入力'!$A$1:$L$800,375+AV$3,2+AV$2)&lt;&gt;"",INDEX('×入力'!$A$1:$L$800,374,2+AV$2)&lt;&gt;"",INDEX('×入力'!$A$1:$L$800,375+AV$3,1)&lt;&gt;""),1,0),0)</f>
        <v/>
      </c>
      <c r="AW33">
        <f>IF(AW$4=1,IF(OR(INDEX('×入力'!$A$1:$L$800,375+AW$3,2+AW$2)&lt;&gt;"",INDEX('×入力'!$A$1:$L$800,374,2+AW$2)&lt;&gt;"",INDEX('×入力'!$A$1:$L$800,375+AW$3,1)&lt;&gt;""),1,0),0)</f>
        <v/>
      </c>
      <c r="AX33">
        <f>IF(AX$4=1,IF(OR(INDEX('×入力'!$A$1:$L$800,375+AX$3,2+AX$2)&lt;&gt;"",INDEX('×入力'!$A$1:$L$800,374,2+AX$2)&lt;&gt;"",INDEX('×入力'!$A$1:$L$800,375+AX$3,1)&lt;&gt;""),1,0),0)</f>
        <v/>
      </c>
      <c r="AY33">
        <f>IF(AY$4=1,IF(OR(INDEX('×入力'!$A$1:$L$800,375+AY$3,2+AY$2)&lt;&gt;"",INDEX('×入力'!$A$1:$L$800,374,2+AY$2)&lt;&gt;"",INDEX('×入力'!$A$1:$L$800,375+AY$3,1)&lt;&gt;""),1,0),0)</f>
        <v/>
      </c>
      <c r="AZ33">
        <f>IF(AZ$4=1,IF(OR(INDEX('×入力'!$A$1:$L$800,375+AZ$3,2+AZ$2)&lt;&gt;"",INDEX('×入力'!$A$1:$L$800,374,2+AZ$2)&lt;&gt;"",INDEX('×入力'!$A$1:$L$800,375+AZ$3,1)&lt;&gt;""),1,0),0)</f>
        <v/>
      </c>
      <c r="BA33">
        <f>IF(BA$4=1,IF(OR(INDEX('×入力'!$A$1:$L$800,375+BA$3,2+BA$2)&lt;&gt;"",INDEX('×入力'!$A$1:$L$800,374,2+BA$2)&lt;&gt;"",INDEX('×入力'!$A$1:$L$800,375+BA$3,1)&lt;&gt;""),1,0),0)</f>
        <v/>
      </c>
      <c r="BB33">
        <f>IF(BB$4=1,IF(OR(INDEX('×入力'!$A$1:$L$800,375+BB$3,2+BB$2)&lt;&gt;"",INDEX('×入力'!$A$1:$L$800,374,2+BB$2)&lt;&gt;"",INDEX('×入力'!$A$1:$L$800,375+BB$3,1)&lt;&gt;""),1,0),0)</f>
        <v/>
      </c>
      <c r="BC33">
        <f>IF(BC$4=1,IF(OR(INDEX('×入力'!$A$1:$L$800,375+BC$3,2+BC$2)&lt;&gt;"",INDEX('×入力'!$A$1:$L$800,374,2+BC$2)&lt;&gt;"",INDEX('×入力'!$A$1:$L$800,375+BC$3,1)&lt;&gt;""),1,0),0)</f>
        <v/>
      </c>
      <c r="BD33">
        <f>IF(BD$4=1,IF(OR(INDEX('×入力'!$A$1:$L$800,375+BD$3,2+BD$2)&lt;&gt;"",INDEX('×入力'!$A$1:$L$800,374,2+BD$2)&lt;&gt;"",INDEX('×入力'!$A$1:$L$800,375+BD$3,1)&lt;&gt;""),1,0),0)</f>
        <v/>
      </c>
      <c r="BE33">
        <f>IF(BE$4=1,IF(OR(INDEX('×入力'!$A$1:$L$800,375+BE$3,2+BE$2)&lt;&gt;"",INDEX('×入力'!$A$1:$L$800,374,2+BE$2)&lt;&gt;"",INDEX('×入力'!$A$1:$L$800,375+BE$3,1)&lt;&gt;""),1,0),0)</f>
        <v/>
      </c>
      <c r="BF33">
        <f>IF(BF$4=1,IF(OR(INDEX('×入力'!$A$1:$L$800,375+BF$3,2+BF$2)&lt;&gt;"",INDEX('×入力'!$A$1:$L$800,374,2+BF$2)&lt;&gt;"",INDEX('×入力'!$A$1:$L$800,375+BF$3,1)&lt;&gt;""),1,0),0)</f>
        <v/>
      </c>
      <c r="BG33">
        <f>IF(BG$4=1,IF(OR(INDEX('×入力'!$A$1:$L$800,375+BG$3,2+BG$2)&lt;&gt;"",INDEX('×入力'!$A$1:$L$800,374,2+BG$2)&lt;&gt;"",INDEX('×入力'!$A$1:$L$800,375+BG$3,1)&lt;&gt;""),1,0),0)</f>
        <v/>
      </c>
      <c r="BH33">
        <f>IF(BH$4=1,IF(OR(INDEX('×入力'!$A$1:$L$800,375+BH$3,2+BH$2)&lt;&gt;"",INDEX('×入力'!$A$1:$L$800,374,2+BH$2)&lt;&gt;"",INDEX('×入力'!$A$1:$L$800,375+BH$3,1)&lt;&gt;""),1,0),0)</f>
        <v/>
      </c>
      <c r="BI33">
        <f>IF(BI$4=1,IF(OR(INDEX('×入力'!$A$1:$L$800,375+BI$3,2+BI$2)&lt;&gt;"",INDEX('×入力'!$A$1:$L$800,374,2+BI$2)&lt;&gt;"",INDEX('×入力'!$A$1:$L$800,375+BI$3,1)&lt;&gt;""),1,0),0)</f>
        <v/>
      </c>
      <c r="BJ33">
        <f>IF(BJ$4=1,IF(OR(INDEX('×入力'!$A$1:$L$800,375+BJ$3,2+BJ$2)&lt;&gt;"",INDEX('×入力'!$A$1:$L$800,374,2+BJ$2)&lt;&gt;"",INDEX('×入力'!$A$1:$L$800,375+BJ$3,1)&lt;&gt;""),1,0),0)</f>
        <v/>
      </c>
      <c r="BK33">
        <f>IF(BK$4=1,IF(OR(INDEX('×入力'!$A$1:$L$800,375+BK$3,2+BK$2)&lt;&gt;"",INDEX('×入力'!$A$1:$L$800,374,2+BK$2)&lt;&gt;"",INDEX('×入力'!$A$1:$L$800,375+BK$3,1)&lt;&gt;""),1,0),0)</f>
        <v/>
      </c>
      <c r="BL33">
        <f>IF(BL$4=1,IF(OR(INDEX('×入力'!$A$1:$L$800,375+BL$3,2+BL$2)&lt;&gt;"",INDEX('×入力'!$A$1:$L$800,374,2+BL$2)&lt;&gt;"",INDEX('×入力'!$A$1:$L$800,375+BL$3,1)&lt;&gt;""),1,0),0)</f>
        <v/>
      </c>
      <c r="BM33">
        <f>IF(BM$4=1,IF(OR(INDEX('×入力'!$A$1:$L$800,375+BM$3,2+BM$2)&lt;&gt;"",INDEX('×入力'!$A$1:$L$800,374,2+BM$2)&lt;&gt;"",INDEX('×入力'!$A$1:$L$800,375+BM$3,1)&lt;&gt;""),1,0),0)</f>
        <v/>
      </c>
      <c r="BN33">
        <f>IF(BN$4=1,IF(OR(INDEX('×入力'!$A$1:$L$800,375+BN$3,2+BN$2)&lt;&gt;"",INDEX('×入力'!$A$1:$L$800,374,2+BN$2)&lt;&gt;"",INDEX('×入力'!$A$1:$L$800,375+BN$3,1)&lt;&gt;""),1,0),0)</f>
        <v/>
      </c>
      <c r="BO33">
        <f>IF(BO$4=1,IF(OR(INDEX('×入力'!$A$1:$L$800,375+BO$3,2+BO$2)&lt;&gt;"",INDEX('×入力'!$A$1:$L$800,374,2+BO$2)&lt;&gt;"",INDEX('×入力'!$A$1:$L$800,375+BO$3,1)&lt;&gt;""),1,0),0)</f>
        <v/>
      </c>
      <c r="BP33">
        <f>IF(BP$4=1,IF(OR(INDEX('×入力'!$A$1:$L$800,375+BP$3,2+BP$2)&lt;&gt;"",INDEX('×入力'!$A$1:$L$800,374,2+BP$2)&lt;&gt;"",INDEX('×入力'!$A$1:$L$800,375+BP$3,1)&lt;&gt;""),1,0),0)</f>
        <v/>
      </c>
      <c r="BQ33">
        <f>IF(BQ$4=1,IF(OR(INDEX('×入力'!$A$1:$L$800,375+BQ$3,2+BQ$2)&lt;&gt;"",INDEX('×入力'!$A$1:$L$800,374,2+BQ$2)&lt;&gt;"",INDEX('×入力'!$A$1:$L$800,375+BQ$3,1)&lt;&gt;""),1,0),0)</f>
        <v/>
      </c>
      <c r="BR33">
        <f>IF(BR$4=1,IF(OR(INDEX('×入力'!$A$1:$L$800,375+BR$3,2+BR$2)&lt;&gt;"",INDEX('×入力'!$A$1:$L$800,374,2+BR$2)&lt;&gt;"",INDEX('×入力'!$A$1:$L$800,375+BR$3,1)&lt;&gt;""),1,0),0)</f>
        <v/>
      </c>
      <c r="BS33">
        <f>IF(BS$4=1,IF(OR(INDEX('×入力'!$A$1:$L$800,375+BS$3,2+BS$2)&lt;&gt;"",INDEX('×入力'!$A$1:$L$800,374,2+BS$2)&lt;&gt;"",INDEX('×入力'!$A$1:$L$800,375+BS$3,1)&lt;&gt;""),1,0),0)</f>
        <v/>
      </c>
      <c r="BT33">
        <f>IF(BT$4=1,IF(OR(INDEX('×入力'!$A$1:$L$800,375+BT$3,2+BT$2)&lt;&gt;"",INDEX('×入力'!$A$1:$L$800,374,2+BT$2)&lt;&gt;"",INDEX('×入力'!$A$1:$L$800,375+BT$3,1)&lt;&gt;""),1,0),0)</f>
        <v/>
      </c>
      <c r="BU33">
        <f>IF(BU$4=1,IF(OR(INDEX('×入力'!$A$1:$L$800,375+BU$3,2+BU$2)&lt;&gt;"",INDEX('×入力'!$A$1:$L$800,374,2+BU$2)&lt;&gt;"",INDEX('×入力'!$A$1:$L$800,375+BU$3,1)&lt;&gt;""),1,0),0)</f>
        <v/>
      </c>
      <c r="BV33">
        <f>IF(BV$4=1,IF(OR(INDEX('×入力'!$A$1:$L$800,375+BV$3,2+BV$2)&lt;&gt;"",INDEX('×入力'!$A$1:$L$800,374,2+BV$2)&lt;&gt;"",INDEX('×入力'!$A$1:$L$800,375+BV$3,1)&lt;&gt;""),1,0),0)</f>
        <v/>
      </c>
      <c r="BW33">
        <f>IF(BW$4=1,IF(OR(INDEX('×入力'!$A$1:$L$800,375+BW$3,2+BW$2)&lt;&gt;"",INDEX('×入力'!$A$1:$L$800,374,2+BW$2)&lt;&gt;"",INDEX('×入力'!$A$1:$L$800,375+BW$3,1)&lt;&gt;""),1,0),0)</f>
        <v/>
      </c>
      <c r="BX33">
        <f>IF(BX$4=1,IF(OR(INDEX('×入力'!$A$1:$L$800,375+BX$3,2+BX$2)&lt;&gt;"",INDEX('×入力'!$A$1:$L$800,374,2+BX$2)&lt;&gt;"",INDEX('×入力'!$A$1:$L$800,375+BX$3,1)&lt;&gt;""),1,0),0)</f>
        <v/>
      </c>
      <c r="BY33">
        <f>IF(BY$4=1,IF(OR(INDEX('×入力'!$A$1:$L$800,375+BY$3,2+BY$2)&lt;&gt;"",INDEX('×入力'!$A$1:$L$800,374,2+BY$2)&lt;&gt;"",INDEX('×入力'!$A$1:$L$800,375+BY$3,1)&lt;&gt;""),1,0),0)</f>
        <v/>
      </c>
      <c r="BZ33">
        <f>IF(BZ$4=1,IF(OR(INDEX('×入力'!$A$1:$L$800,375+BZ$3,2+BZ$2)&lt;&gt;"",INDEX('×入力'!$A$1:$L$800,374,2+BZ$2)&lt;&gt;"",INDEX('×入力'!$A$1:$L$800,375+BZ$3,1)&lt;&gt;""),1,0),0)</f>
        <v/>
      </c>
      <c r="CA33">
        <f>IF(CA$4=1,IF(OR(INDEX('×入力'!$A$1:$L$800,375+CA$3,2+CA$2)&lt;&gt;"",INDEX('×入力'!$A$1:$L$800,374,2+CA$2)&lt;&gt;"",INDEX('×入力'!$A$1:$L$800,375+CA$3,1)&lt;&gt;""),1,0),0)</f>
        <v/>
      </c>
      <c r="CB33">
        <f>IF(CB$4=1,IF(OR(INDEX('×入力'!$A$1:$L$800,375+CB$3,2+CB$2)&lt;&gt;"",INDEX('×入力'!$A$1:$L$800,374,2+CB$2)&lt;&gt;"",INDEX('×入力'!$A$1:$L$800,375+CB$3,1)&lt;&gt;""),1,0),0)</f>
        <v/>
      </c>
      <c r="CC33">
        <f>IF(CC$4=1,IF(OR(INDEX('×入力'!$A$1:$L$800,375+CC$3,2+CC$2)&lt;&gt;"",INDEX('×入力'!$A$1:$L$800,374,2+CC$2)&lt;&gt;"",INDEX('×入力'!$A$1:$L$800,375+CC$3,1)&lt;&gt;""),1,0),0)</f>
        <v/>
      </c>
      <c r="CD33">
        <f>IF(CD$4=1,IF(OR(INDEX('×入力'!$A$1:$L$800,375+CD$3,2+CD$2)&lt;&gt;"",INDEX('×入力'!$A$1:$L$800,374,2+CD$2)&lt;&gt;"",INDEX('×入力'!$A$1:$L$800,375+CD$3,1)&lt;&gt;""),1,0),0)</f>
        <v/>
      </c>
      <c r="CE33">
        <f>IF(CE$4=1,IF(OR(INDEX('×入力'!$A$1:$L$800,375+CE$3,2+CE$2)&lt;&gt;"",INDEX('×入力'!$A$1:$L$800,374,2+CE$2)&lt;&gt;"",INDEX('×入力'!$A$1:$L$800,375+CE$3,1)&lt;&gt;""),1,0),0)</f>
        <v/>
      </c>
      <c r="CF33">
        <f>IF(CF$4=1,IF(OR(INDEX('×入力'!$A$1:$L$800,375+CF$3,2+CF$2)&lt;&gt;"",INDEX('×入力'!$A$1:$L$800,374,2+CF$2)&lt;&gt;"",INDEX('×入力'!$A$1:$L$800,375+CF$3,1)&lt;&gt;""),1,0),0)</f>
        <v/>
      </c>
      <c r="CG33">
        <f>IF(CG$4=1,IF(OR(INDEX('×入力'!$A$1:$L$800,375+CG$3,2+CG$2)&lt;&gt;"",INDEX('×入力'!$A$1:$L$800,374,2+CG$2)&lt;&gt;"",INDEX('×入力'!$A$1:$L$800,375+CG$3,1)&lt;&gt;""),1,0),0)</f>
        <v/>
      </c>
      <c r="CH33">
        <f>IF(CH$4=1,IF(OR(INDEX('×入力'!$A$1:$L$800,375+CH$3,2+CH$2)&lt;&gt;"",INDEX('×入力'!$A$1:$L$800,374,2+CH$2)&lt;&gt;"",INDEX('×入力'!$A$1:$L$800,375+CH$3,1)&lt;&gt;""),1,0),0)</f>
        <v/>
      </c>
      <c r="CI33">
        <f>IF(CI$4=1,IF(OR(INDEX('×入力'!$A$1:$L$800,375+CI$3,2+CI$2)&lt;&gt;"",INDEX('×入力'!$A$1:$L$800,374,2+CI$2)&lt;&gt;"",INDEX('×入力'!$A$1:$L$800,375+CI$3,1)&lt;&gt;""),1,0),0)</f>
        <v/>
      </c>
      <c r="CJ33">
        <f>IF(CJ$4=1,IF(OR(INDEX('×入力'!$A$1:$L$800,375+CJ$3,2+CJ$2)&lt;&gt;"",INDEX('×入力'!$A$1:$L$800,374,2+CJ$2)&lt;&gt;"",INDEX('×入力'!$A$1:$L$800,375+CJ$3,1)&lt;&gt;""),1,0),0)</f>
        <v/>
      </c>
      <c r="CK33">
        <f>IF(CK$4=1,IF(OR(INDEX('×入力'!$A$1:$L$800,375+CK$3,2+CK$2)&lt;&gt;"",INDEX('×入力'!$A$1:$L$800,374,2+CK$2)&lt;&gt;"",INDEX('×入力'!$A$1:$L$800,375+CK$3,1)&lt;&gt;""),1,0),0)</f>
        <v/>
      </c>
      <c r="CL33">
        <f>IF(CL$4=1,IF(OR(INDEX('×入力'!$A$1:$L$800,375+CL$3,2+CL$2)&lt;&gt;"",INDEX('×入力'!$A$1:$L$800,374,2+CL$2)&lt;&gt;"",INDEX('×入力'!$A$1:$L$800,375+CL$3,1)&lt;&gt;""),1,0),0)</f>
        <v/>
      </c>
      <c r="CM33">
        <f>IF(CM$4=1,IF(OR(INDEX('×入力'!$A$1:$L$800,375+CM$3,2+CM$2)&lt;&gt;"",INDEX('×入力'!$A$1:$L$800,374,2+CM$2)&lt;&gt;"",INDEX('×入力'!$A$1:$L$800,375+CM$3,1)&lt;&gt;""),1,0),0)</f>
        <v/>
      </c>
      <c r="CN33">
        <f>IF(CN$4=1,IF(OR(INDEX('×入力'!$A$1:$L$800,375+CN$3,2+CN$2)&lt;&gt;"",INDEX('×入力'!$A$1:$L$800,374,2+CN$2)&lt;&gt;"",INDEX('×入力'!$A$1:$L$800,375+CN$3,1)&lt;&gt;""),1,0),0)</f>
        <v/>
      </c>
      <c r="CO33">
        <f>IF(CO$4=1,IF(OR(INDEX('×入力'!$A$1:$L$800,375+CO$3,2+CO$2)&lt;&gt;"",INDEX('×入力'!$A$1:$L$800,374,2+CO$2)&lt;&gt;"",INDEX('×入力'!$A$1:$L$800,375+CO$3,1)&lt;&gt;""),1,0),0)</f>
        <v/>
      </c>
      <c r="CP33">
        <f>IF(CP$4=1,IF(OR(INDEX('×入力'!$A$1:$L$800,375+CP$3,2+CP$2)&lt;&gt;"",INDEX('×入力'!$A$1:$L$800,374,2+CP$2)&lt;&gt;"",INDEX('×入力'!$A$1:$L$800,375+CP$3,1)&lt;&gt;""),1,0),0)</f>
        <v/>
      </c>
      <c r="CQ33">
        <f>IF(CQ$4=1,IF(OR(INDEX('×入力'!$A$1:$L$800,375+CQ$3,2+CQ$2)&lt;&gt;"",INDEX('×入力'!$A$1:$L$800,374,2+CQ$2)&lt;&gt;"",INDEX('×入力'!$A$1:$L$800,375+CQ$3,1)&lt;&gt;""),1,0),0)</f>
        <v/>
      </c>
      <c r="CR33">
        <f>IF(CR$4=1,IF(OR(INDEX('×入力'!$A$1:$L$800,375+CR$3,2+CR$2)&lt;&gt;"",INDEX('×入力'!$A$1:$L$800,374,2+CR$2)&lt;&gt;"",INDEX('×入力'!$A$1:$L$800,375+CR$3,1)&lt;&gt;""),1,0),0)</f>
        <v/>
      </c>
      <c r="CS33">
        <f>IF(CS$4=1,IF(OR(INDEX('×入力'!$A$1:$L$800,375+CS$3,2+CS$2)&lt;&gt;"",INDEX('×入力'!$A$1:$L$800,374,2+CS$2)&lt;&gt;"",INDEX('×入力'!$A$1:$L$800,375+CS$3,1)&lt;&gt;""),1,0),0)</f>
        <v/>
      </c>
      <c r="CT33">
        <f>IF(CT$4=1,IF(OR(INDEX('×入力'!$A$1:$L$800,375+CT$3,2+CT$2)&lt;&gt;"",INDEX('×入力'!$A$1:$L$800,374,2+CT$2)&lt;&gt;"",INDEX('×入力'!$A$1:$L$800,375+CT$3,1)&lt;&gt;""),1,0),0)</f>
        <v/>
      </c>
      <c r="CU33">
        <f>IF(CU$4=1,IF(OR(INDEX('×入力'!$A$1:$L$800,375+CU$3,2+CU$2)&lt;&gt;"",INDEX('×入力'!$A$1:$L$800,374,2+CU$2)&lt;&gt;"",INDEX('×入力'!$A$1:$L$800,375+CU$3,1)&lt;&gt;""),1,0),0)</f>
        <v/>
      </c>
      <c r="CV33">
        <f>IF(CV$4=1,IF(OR(INDEX('×入力'!$A$1:$L$800,375+CV$3,2+CV$2)&lt;&gt;"",INDEX('×入力'!$A$1:$L$800,374,2+CV$2)&lt;&gt;"",INDEX('×入力'!$A$1:$L$800,375+CV$3,1)&lt;&gt;""),1,0),0)</f>
        <v/>
      </c>
      <c r="CW33">
        <f>IF(CW$4=1,IF(OR(INDEX('×入力'!$A$1:$L$800,375+CW$3,2+CW$2)&lt;&gt;"",INDEX('×入力'!$A$1:$L$800,374,2+CW$2)&lt;&gt;"",INDEX('×入力'!$A$1:$L$800,375+CW$3,1)&lt;&gt;""),1,0),0)</f>
        <v/>
      </c>
      <c r="CX33">
        <f>IF(CX$4=1,IF(OR(INDEX('×入力'!$A$1:$L$800,375+CX$3,2+CX$2)&lt;&gt;"",INDEX('×入力'!$A$1:$L$800,374,2+CX$2)&lt;&gt;"",INDEX('×入力'!$A$1:$L$800,375+CX$3,1)&lt;&gt;""),1,0),0)</f>
        <v/>
      </c>
      <c r="CY33">
        <f>IF(CY$4=1,IF(OR(INDEX('×入力'!$A$1:$L$800,375+CY$3,2+CY$2)&lt;&gt;"",INDEX('×入力'!$A$1:$L$800,374,2+CY$2)&lt;&gt;"",INDEX('×入力'!$A$1:$L$800,375+CY$3,1)&lt;&gt;""),1,0),0)</f>
        <v/>
      </c>
      <c r="CZ33">
        <f>IF(CZ$4=1,IF(OR(INDEX('×入力'!$A$1:$L$800,375+CZ$3,2+CZ$2)&lt;&gt;"",INDEX('×入力'!$A$1:$L$800,374,2+CZ$2)&lt;&gt;"",INDEX('×入力'!$A$1:$L$800,375+CZ$3,1)&lt;&gt;""),1,0),0)</f>
        <v/>
      </c>
      <c r="DA33">
        <f>IF(DA$4=1,IF(OR(INDEX('×入力'!$A$1:$L$800,375+DA$3,2+DA$2)&lt;&gt;"",INDEX('×入力'!$A$1:$L$800,374,2+DA$2)&lt;&gt;"",INDEX('×入力'!$A$1:$L$800,375+DA$3,1)&lt;&gt;""),1,0),0)</f>
        <v/>
      </c>
      <c r="DB33">
        <f>IF(DB$4=1,IF(OR(INDEX('×入力'!$A$1:$L$800,375+DB$3,2+DB$2)&lt;&gt;"",INDEX('×入力'!$A$1:$L$800,374,2+DB$2)&lt;&gt;"",INDEX('×入力'!$A$1:$L$800,375+DB$3,1)&lt;&gt;""),1,0),0)</f>
        <v/>
      </c>
      <c r="DC33">
        <f>IF(DC$4=1,IF(OR(INDEX('×入力'!$A$1:$L$800,375+DC$3,2+DC$2)&lt;&gt;"",INDEX('×入力'!$A$1:$L$800,374,2+DC$2)&lt;&gt;"",INDEX('×入力'!$A$1:$L$800,375+DC$3,1)&lt;&gt;""),1,0),0)</f>
        <v/>
      </c>
      <c r="DD33">
        <f>IF(DD$4=1,IF(OR(INDEX('×入力'!$A$1:$L$800,375+DD$3,2+DD$2)&lt;&gt;"",INDEX('×入力'!$A$1:$L$800,374,2+DD$2)&lt;&gt;"",INDEX('×入力'!$A$1:$L$800,375+DD$3,1)&lt;&gt;""),1,0),0)</f>
        <v/>
      </c>
      <c r="DE33">
        <f>IF(DE$4=1,IF(OR(INDEX('×入力'!$A$1:$L$800,375+DE$3,2+DE$2)&lt;&gt;"",INDEX('×入力'!$A$1:$L$800,374,2+DE$2)&lt;&gt;"",INDEX('×入力'!$A$1:$L$800,375+DE$3,1)&lt;&gt;""),1,0),0)</f>
        <v/>
      </c>
      <c r="DF33">
        <f>IF(DF$4=1,IF(OR(INDEX('×入力'!$A$1:$L$800,375+DF$3,2+DF$2)&lt;&gt;"",INDEX('×入力'!$A$1:$L$800,374,2+DF$2)&lt;&gt;"",INDEX('×入力'!$A$1:$L$800,375+DF$3,1)&lt;&gt;""),1,0),0)</f>
        <v/>
      </c>
      <c r="DG33">
        <f>IF(DG$4=1,IF(OR(INDEX('×入力'!$A$1:$L$800,375+DG$3,2+DG$2)&lt;&gt;"",INDEX('×入力'!$A$1:$L$800,374,2+DG$2)&lt;&gt;"",INDEX('×入力'!$A$1:$L$800,375+DG$3,1)&lt;&gt;""),1,0),0)</f>
        <v/>
      </c>
      <c r="DH33">
        <f>IF(DH$4=1,IF(OR(INDEX('×入力'!$A$1:$L$800,375+DH$3,2+DH$2)&lt;&gt;"",INDEX('×入力'!$A$1:$L$800,374,2+DH$2)&lt;&gt;"",INDEX('×入力'!$A$1:$L$800,375+DH$3,1)&lt;&gt;""),1,0),0)</f>
        <v/>
      </c>
      <c r="DI33">
        <f>IF(DI$4=1,IF(OR(INDEX('×入力'!$A$1:$L$800,375+DI$3,2+DI$2)&lt;&gt;"",INDEX('×入力'!$A$1:$L$800,374,2+DI$2)&lt;&gt;"",INDEX('×入力'!$A$1:$L$800,375+DI$3,1)&lt;&gt;""),1,0),0)</f>
        <v/>
      </c>
      <c r="DJ33">
        <f>IF(DJ$4=1,IF(OR(INDEX('×入力'!$A$1:$L$800,375+DJ$3,2+DJ$2)&lt;&gt;"",INDEX('×入力'!$A$1:$L$800,374,2+DJ$2)&lt;&gt;"",INDEX('×入力'!$A$1:$L$800,375+DJ$3,1)&lt;&gt;""),1,0),0)</f>
        <v/>
      </c>
      <c r="DK33">
        <f>IF(DK$4=1,IF(OR(INDEX('×入力'!$A$1:$L$800,375+DK$3,2+DK$2)&lt;&gt;"",INDEX('×入力'!$A$1:$L$800,374,2+DK$2)&lt;&gt;"",INDEX('×入力'!$A$1:$L$800,375+DK$3,1)&lt;&gt;""),1,0),0)</f>
        <v/>
      </c>
      <c r="DL33">
        <f>IF(DL$4=1,IF(OR(INDEX('×入力'!$A$1:$L$800,375+DL$3,2+DL$2)&lt;&gt;"",INDEX('×入力'!$A$1:$L$800,374,2+DL$2)&lt;&gt;"",INDEX('×入力'!$A$1:$L$800,375+DL$3,1)&lt;&gt;""),1,0),0)</f>
        <v/>
      </c>
      <c r="DM33">
        <f>IF(DM$4=1,IF(OR(INDEX('×入力'!$A$1:$L$800,375+DM$3,2+DM$2)&lt;&gt;"",INDEX('×入力'!$A$1:$L$800,374,2+DM$2)&lt;&gt;"",INDEX('×入力'!$A$1:$L$800,375+DM$3,1)&lt;&gt;""),1,0),0)</f>
        <v/>
      </c>
      <c r="DN33">
        <f>IF(DN$4=1,IF(OR(INDEX('×入力'!$A$1:$L$800,375+DN$3,2+DN$2)&lt;&gt;"",INDEX('×入力'!$A$1:$L$800,374,2+DN$2)&lt;&gt;"",INDEX('×入力'!$A$1:$L$800,375+DN$3,1)&lt;&gt;""),1,0),0)</f>
        <v/>
      </c>
      <c r="DO33">
        <f>IF(DO$4=1,IF(OR(INDEX('×入力'!$A$1:$L$800,375+DO$3,2+DO$2)&lt;&gt;"",INDEX('×入力'!$A$1:$L$800,374,2+DO$2)&lt;&gt;"",INDEX('×入力'!$A$1:$L$800,375+DO$3,1)&lt;&gt;""),1,0),0)</f>
        <v/>
      </c>
      <c r="DP33">
        <f>IF(DP$4=1,IF(OR(INDEX('×入力'!$A$1:$L$800,375+DP$3,2+DP$2)&lt;&gt;"",INDEX('×入力'!$A$1:$L$800,374,2+DP$2)&lt;&gt;"",INDEX('×入力'!$A$1:$L$800,375+DP$3,1)&lt;&gt;""),1,0),0)</f>
        <v/>
      </c>
      <c r="DQ33">
        <f>IF(DQ$4=1,IF(OR(INDEX('×入力'!$A$1:$L$800,375+DQ$3,2+DQ$2)&lt;&gt;"",INDEX('×入力'!$A$1:$L$800,374,2+DQ$2)&lt;&gt;"",INDEX('×入力'!$A$1:$L$800,375+DQ$3,1)&lt;&gt;""),1,0),0)</f>
        <v/>
      </c>
      <c r="DR33">
        <f>IF(DR$4=1,IF(OR(INDEX('×入力'!$A$1:$L$800,375+DR$3,2+DR$2)&lt;&gt;"",INDEX('×入力'!$A$1:$L$800,374,2+DR$2)&lt;&gt;"",INDEX('×入力'!$A$1:$L$800,375+DR$3,1)&lt;&gt;""),1,0),0)</f>
        <v/>
      </c>
      <c r="DS33">
        <f>IF(DS$4=1,IF(OR(INDEX('×入力'!$A$1:$L$800,375+DS$3,2+DS$2)&lt;&gt;"",INDEX('×入力'!$A$1:$L$800,374,2+DS$2)&lt;&gt;"",INDEX('×入力'!$A$1:$L$800,375+DS$3,1)&lt;&gt;""),1,0),0)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IF(D$4=1,IF(OR(INDEX('×入力'!$A$1:$L$800,391+D$3,2+D$2)&lt;&gt;"",INDEX('×入力'!$A$1:$L$800,390,2+D$2)&lt;&gt;"",INDEX('×入力'!$A$1:$L$800,391+D$3,1)&lt;&gt;""),1,0),0)</f>
        <v/>
      </c>
      <c r="E34">
        <f>IF(E$4=1,IF(OR(INDEX('×入力'!$A$1:$L$800,391+E$3,2+E$2)&lt;&gt;"",INDEX('×入力'!$A$1:$L$800,390,2+E$2)&lt;&gt;"",INDEX('×入力'!$A$1:$L$800,391+E$3,1)&lt;&gt;""),1,0),0)</f>
        <v/>
      </c>
      <c r="F34">
        <f>IF(F$4=1,IF(OR(INDEX('×入力'!$A$1:$L$800,391+F$3,2+F$2)&lt;&gt;"",INDEX('×入力'!$A$1:$L$800,390,2+F$2)&lt;&gt;"",INDEX('×入力'!$A$1:$L$800,391+F$3,1)&lt;&gt;""),1,0),0)</f>
        <v/>
      </c>
      <c r="G34">
        <f>IF(G$4=1,IF(OR(INDEX('×入力'!$A$1:$L$800,391+G$3,2+G$2)&lt;&gt;"",INDEX('×入力'!$A$1:$L$800,390,2+G$2)&lt;&gt;"",INDEX('×入力'!$A$1:$L$800,391+G$3,1)&lt;&gt;""),1,0),0)</f>
        <v/>
      </c>
      <c r="H34">
        <f>IF(H$4=1,IF(OR(INDEX('×入力'!$A$1:$L$800,391+H$3,2+H$2)&lt;&gt;"",INDEX('×入力'!$A$1:$L$800,390,2+H$2)&lt;&gt;"",INDEX('×入力'!$A$1:$L$800,391+H$3,1)&lt;&gt;""),1,0),0)</f>
        <v/>
      </c>
      <c r="I34">
        <f>IF(I$4=1,IF(OR(INDEX('×入力'!$A$1:$L$800,391+I$3,2+I$2)&lt;&gt;"",INDEX('×入力'!$A$1:$L$800,390,2+I$2)&lt;&gt;"",INDEX('×入力'!$A$1:$L$800,391+I$3,1)&lt;&gt;""),1,0),0)</f>
        <v/>
      </c>
      <c r="J34">
        <f>IF(J$4=1,IF(OR(INDEX('×入力'!$A$1:$L$800,391+J$3,2+J$2)&lt;&gt;"",INDEX('×入力'!$A$1:$L$800,390,2+J$2)&lt;&gt;"",INDEX('×入力'!$A$1:$L$800,391+J$3,1)&lt;&gt;""),1,0),0)</f>
        <v/>
      </c>
      <c r="K34">
        <f>IF(K$4=1,IF(OR(INDEX('×入力'!$A$1:$L$800,391+K$3,2+K$2)&lt;&gt;"",INDEX('×入力'!$A$1:$L$800,390,2+K$2)&lt;&gt;"",INDEX('×入力'!$A$1:$L$800,391+K$3,1)&lt;&gt;""),1,0),0)</f>
        <v/>
      </c>
      <c r="L34">
        <f>IF(L$4=1,IF(OR(INDEX('×入力'!$A$1:$L$800,391+L$3,2+L$2)&lt;&gt;"",INDEX('×入力'!$A$1:$L$800,390,2+L$2)&lt;&gt;"",INDEX('×入力'!$A$1:$L$800,391+L$3,1)&lt;&gt;""),1,0),0)</f>
        <v/>
      </c>
      <c r="M34">
        <f>IF(M$4=1,IF(OR(INDEX('×入力'!$A$1:$L$800,391+M$3,2+M$2)&lt;&gt;"",INDEX('×入力'!$A$1:$L$800,390,2+M$2)&lt;&gt;"",INDEX('×入力'!$A$1:$L$800,391+M$3,1)&lt;&gt;""),1,0),0)</f>
        <v/>
      </c>
      <c r="N34">
        <f>IF(N$4=1,IF(OR(INDEX('×入力'!$A$1:$L$800,391+N$3,2+N$2)&lt;&gt;"",INDEX('×入力'!$A$1:$L$800,390,2+N$2)&lt;&gt;"",INDEX('×入力'!$A$1:$L$800,391+N$3,1)&lt;&gt;""),1,0),0)</f>
        <v/>
      </c>
      <c r="O34">
        <f>IF(O$4=1,IF(OR(INDEX('×入力'!$A$1:$L$800,391+O$3,2+O$2)&lt;&gt;"",INDEX('×入力'!$A$1:$L$800,390,2+O$2)&lt;&gt;"",INDEX('×入力'!$A$1:$L$800,391+O$3,1)&lt;&gt;""),1,0),0)</f>
        <v/>
      </c>
      <c r="P34">
        <f>IF(P$4=1,IF(OR(INDEX('×入力'!$A$1:$L$800,391+P$3,2+P$2)&lt;&gt;"",INDEX('×入力'!$A$1:$L$800,390,2+P$2)&lt;&gt;"",INDEX('×入力'!$A$1:$L$800,391+P$3,1)&lt;&gt;""),1,0),0)</f>
        <v/>
      </c>
      <c r="Q34">
        <f>IF(Q$4=1,IF(OR(INDEX('×入力'!$A$1:$L$800,391+Q$3,2+Q$2)&lt;&gt;"",INDEX('×入力'!$A$1:$L$800,390,2+Q$2)&lt;&gt;"",INDEX('×入力'!$A$1:$L$800,391+Q$3,1)&lt;&gt;""),1,0),0)</f>
        <v/>
      </c>
      <c r="R34">
        <f>IF(R$4=1,IF(OR(INDEX('×入力'!$A$1:$L$800,391+R$3,2+R$2)&lt;&gt;"",INDEX('×入力'!$A$1:$L$800,390,2+R$2)&lt;&gt;"",INDEX('×入力'!$A$1:$L$800,391+R$3,1)&lt;&gt;""),1,0),0)</f>
        <v/>
      </c>
      <c r="S34">
        <f>IF(S$4=1,IF(OR(INDEX('×入力'!$A$1:$L$800,391+S$3,2+S$2)&lt;&gt;"",INDEX('×入力'!$A$1:$L$800,390,2+S$2)&lt;&gt;"",INDEX('×入力'!$A$1:$L$800,391+S$3,1)&lt;&gt;""),1,0),0)</f>
        <v/>
      </c>
      <c r="T34">
        <f>IF(T$4=1,IF(OR(INDEX('×入力'!$A$1:$L$800,391+T$3,2+T$2)&lt;&gt;"",INDEX('×入力'!$A$1:$L$800,390,2+T$2)&lt;&gt;"",INDEX('×入力'!$A$1:$L$800,391+T$3,1)&lt;&gt;""),1,0),0)</f>
        <v/>
      </c>
      <c r="U34">
        <f>IF(U$4=1,IF(OR(INDEX('×入力'!$A$1:$L$800,391+U$3,2+U$2)&lt;&gt;"",INDEX('×入力'!$A$1:$L$800,390,2+U$2)&lt;&gt;"",INDEX('×入力'!$A$1:$L$800,391+U$3,1)&lt;&gt;""),1,0),0)</f>
        <v/>
      </c>
      <c r="V34">
        <f>IF(V$4=1,IF(OR(INDEX('×入力'!$A$1:$L$800,391+V$3,2+V$2)&lt;&gt;"",INDEX('×入力'!$A$1:$L$800,390,2+V$2)&lt;&gt;"",INDEX('×入力'!$A$1:$L$800,391+V$3,1)&lt;&gt;""),1,0),0)</f>
        <v/>
      </c>
      <c r="W34">
        <f>IF(W$4=1,IF(OR(INDEX('×入力'!$A$1:$L$800,391+W$3,2+W$2)&lt;&gt;"",INDEX('×入力'!$A$1:$L$800,390,2+W$2)&lt;&gt;"",INDEX('×入力'!$A$1:$L$800,391+W$3,1)&lt;&gt;""),1,0),0)</f>
        <v/>
      </c>
      <c r="X34">
        <f>IF(X$4=1,IF(OR(INDEX('×入力'!$A$1:$L$800,391+X$3,2+X$2)&lt;&gt;"",INDEX('×入力'!$A$1:$L$800,390,2+X$2)&lt;&gt;"",INDEX('×入力'!$A$1:$L$800,391+X$3,1)&lt;&gt;""),1,0),0)</f>
        <v/>
      </c>
      <c r="Y34">
        <f>IF(Y$4=1,IF(OR(INDEX('×入力'!$A$1:$L$800,391+Y$3,2+Y$2)&lt;&gt;"",INDEX('×入力'!$A$1:$L$800,390,2+Y$2)&lt;&gt;"",INDEX('×入力'!$A$1:$L$800,391+Y$3,1)&lt;&gt;""),1,0),0)</f>
        <v/>
      </c>
      <c r="Z34">
        <f>IF(Z$4=1,IF(OR(INDEX('×入力'!$A$1:$L$800,391+Z$3,2+Z$2)&lt;&gt;"",INDEX('×入力'!$A$1:$L$800,390,2+Z$2)&lt;&gt;"",INDEX('×入力'!$A$1:$L$800,391+Z$3,1)&lt;&gt;""),1,0),0)</f>
        <v/>
      </c>
      <c r="AA34">
        <f>IF(AA$4=1,IF(OR(INDEX('×入力'!$A$1:$L$800,391+AA$3,2+AA$2)&lt;&gt;"",INDEX('×入力'!$A$1:$L$800,390,2+AA$2)&lt;&gt;"",INDEX('×入力'!$A$1:$L$800,391+AA$3,1)&lt;&gt;""),1,0),0)</f>
        <v/>
      </c>
      <c r="AB34">
        <f>IF(AB$4=1,IF(OR(INDEX('×入力'!$A$1:$L$800,391+AB$3,2+AB$2)&lt;&gt;"",INDEX('×入力'!$A$1:$L$800,390,2+AB$2)&lt;&gt;"",INDEX('×入力'!$A$1:$L$800,391+AB$3,1)&lt;&gt;""),1,0),0)</f>
        <v/>
      </c>
      <c r="AC34">
        <f>IF(AC$4=1,IF(OR(INDEX('×入力'!$A$1:$L$800,391+AC$3,2+AC$2)&lt;&gt;"",INDEX('×入力'!$A$1:$L$800,390,2+AC$2)&lt;&gt;"",INDEX('×入力'!$A$1:$L$800,391+AC$3,1)&lt;&gt;""),1,0),0)</f>
        <v/>
      </c>
      <c r="AD34">
        <f>IF(AD$4=1,IF(OR(INDEX('×入力'!$A$1:$L$800,391+AD$3,2+AD$2)&lt;&gt;"",INDEX('×入力'!$A$1:$L$800,390,2+AD$2)&lt;&gt;"",INDEX('×入力'!$A$1:$L$800,391+AD$3,1)&lt;&gt;""),1,0),0)</f>
        <v/>
      </c>
      <c r="AE34">
        <f>IF(AE$4=1,IF(OR(INDEX('×入力'!$A$1:$L$800,391+AE$3,2+AE$2)&lt;&gt;"",INDEX('×入力'!$A$1:$L$800,390,2+AE$2)&lt;&gt;"",INDEX('×入力'!$A$1:$L$800,391+AE$3,1)&lt;&gt;""),1,0),0)</f>
        <v/>
      </c>
      <c r="AF34">
        <f>IF(AF$4=1,IF(OR(INDEX('×入力'!$A$1:$L$800,391+AF$3,2+AF$2)&lt;&gt;"",INDEX('×入力'!$A$1:$L$800,390,2+AF$2)&lt;&gt;"",INDEX('×入力'!$A$1:$L$800,391+AF$3,1)&lt;&gt;""),1,0),0)</f>
        <v/>
      </c>
      <c r="AG34">
        <f>IF(AG$4=1,IF(OR(INDEX('×入力'!$A$1:$L$800,391+AG$3,2+AG$2)&lt;&gt;"",INDEX('×入力'!$A$1:$L$800,390,2+AG$2)&lt;&gt;"",INDEX('×入力'!$A$1:$L$800,391+AG$3,1)&lt;&gt;""),1,0),0)</f>
        <v/>
      </c>
      <c r="AH34">
        <f>IF(AH$4=1,IF(OR(INDEX('×入力'!$A$1:$L$800,391+AH$3,2+AH$2)&lt;&gt;"",INDEX('×入力'!$A$1:$L$800,390,2+AH$2)&lt;&gt;"",INDEX('×入力'!$A$1:$L$800,391+AH$3,1)&lt;&gt;""),1,0),0)</f>
        <v/>
      </c>
      <c r="AI34">
        <f>IF(AI$4=1,IF(OR(INDEX('×入力'!$A$1:$L$800,391+AI$3,2+AI$2)&lt;&gt;"",INDEX('×入力'!$A$1:$L$800,390,2+AI$2)&lt;&gt;"",INDEX('×入力'!$A$1:$L$800,391+AI$3,1)&lt;&gt;""),1,0),0)</f>
        <v/>
      </c>
      <c r="AJ34">
        <f>IF(AJ$4=1,IF(OR(INDEX('×入力'!$A$1:$L$800,391+AJ$3,2+AJ$2)&lt;&gt;"",INDEX('×入力'!$A$1:$L$800,390,2+AJ$2)&lt;&gt;"",INDEX('×入力'!$A$1:$L$800,391+AJ$3,1)&lt;&gt;""),1,0),0)</f>
        <v/>
      </c>
      <c r="AK34">
        <f>IF(AK$4=1,IF(OR(INDEX('×入力'!$A$1:$L$800,391+AK$3,2+AK$2)&lt;&gt;"",INDEX('×入力'!$A$1:$L$800,390,2+AK$2)&lt;&gt;"",INDEX('×入力'!$A$1:$L$800,391+AK$3,1)&lt;&gt;""),1,0),0)</f>
        <v/>
      </c>
      <c r="AL34">
        <f>IF(AL$4=1,IF(OR(INDEX('×入力'!$A$1:$L$800,391+AL$3,2+AL$2)&lt;&gt;"",INDEX('×入力'!$A$1:$L$800,390,2+AL$2)&lt;&gt;"",INDEX('×入力'!$A$1:$L$800,391+AL$3,1)&lt;&gt;""),1,0),0)</f>
        <v/>
      </c>
      <c r="AM34">
        <f>IF(AM$4=1,IF(OR(INDEX('×入力'!$A$1:$L$800,391+AM$3,2+AM$2)&lt;&gt;"",INDEX('×入力'!$A$1:$L$800,390,2+AM$2)&lt;&gt;"",INDEX('×入力'!$A$1:$L$800,391+AM$3,1)&lt;&gt;""),1,0),0)</f>
        <v/>
      </c>
      <c r="AN34">
        <f>IF(AN$4=1,IF(OR(INDEX('×入力'!$A$1:$L$800,391+AN$3,2+AN$2)&lt;&gt;"",INDEX('×入力'!$A$1:$L$800,390,2+AN$2)&lt;&gt;"",INDEX('×入力'!$A$1:$L$800,391+AN$3,1)&lt;&gt;""),1,0),0)</f>
        <v/>
      </c>
      <c r="AO34">
        <f>IF(AO$4=1,IF(OR(INDEX('×入力'!$A$1:$L$800,391+AO$3,2+AO$2)&lt;&gt;"",INDEX('×入力'!$A$1:$L$800,390,2+AO$2)&lt;&gt;"",INDEX('×入力'!$A$1:$L$800,391+AO$3,1)&lt;&gt;""),1,0),0)</f>
        <v/>
      </c>
      <c r="AP34">
        <f>IF(AP$4=1,IF(OR(INDEX('×入力'!$A$1:$L$800,391+AP$3,2+AP$2)&lt;&gt;"",INDEX('×入力'!$A$1:$L$800,390,2+AP$2)&lt;&gt;"",INDEX('×入力'!$A$1:$L$800,391+AP$3,1)&lt;&gt;""),1,0),0)</f>
        <v/>
      </c>
      <c r="AQ34">
        <f>IF(AQ$4=1,IF(OR(INDEX('×入力'!$A$1:$L$800,391+AQ$3,2+AQ$2)&lt;&gt;"",INDEX('×入力'!$A$1:$L$800,390,2+AQ$2)&lt;&gt;"",INDEX('×入力'!$A$1:$L$800,391+AQ$3,1)&lt;&gt;""),1,0),0)</f>
        <v/>
      </c>
      <c r="AR34">
        <f>IF(AR$4=1,IF(OR(INDEX('×入力'!$A$1:$L$800,391+AR$3,2+AR$2)&lt;&gt;"",INDEX('×入力'!$A$1:$L$800,390,2+AR$2)&lt;&gt;"",INDEX('×入力'!$A$1:$L$800,391+AR$3,1)&lt;&gt;""),1,0),0)</f>
        <v/>
      </c>
      <c r="AS34">
        <f>IF(AS$4=1,IF(OR(INDEX('×入力'!$A$1:$L$800,391+AS$3,2+AS$2)&lt;&gt;"",INDEX('×入力'!$A$1:$L$800,390,2+AS$2)&lt;&gt;"",INDEX('×入力'!$A$1:$L$800,391+AS$3,1)&lt;&gt;""),1,0),0)</f>
        <v/>
      </c>
      <c r="AT34">
        <f>IF(AT$4=1,IF(OR(INDEX('×入力'!$A$1:$L$800,391+AT$3,2+AT$2)&lt;&gt;"",INDEX('×入力'!$A$1:$L$800,390,2+AT$2)&lt;&gt;"",INDEX('×入力'!$A$1:$L$800,391+AT$3,1)&lt;&gt;""),1,0),0)</f>
        <v/>
      </c>
      <c r="AU34">
        <f>IF(AU$4=1,IF(OR(INDEX('×入力'!$A$1:$L$800,391+AU$3,2+AU$2)&lt;&gt;"",INDEX('×入力'!$A$1:$L$800,390,2+AU$2)&lt;&gt;"",INDEX('×入力'!$A$1:$L$800,391+AU$3,1)&lt;&gt;""),1,0),0)</f>
        <v/>
      </c>
      <c r="AV34">
        <f>IF(AV$4=1,IF(OR(INDEX('×入力'!$A$1:$L$800,391+AV$3,2+AV$2)&lt;&gt;"",INDEX('×入力'!$A$1:$L$800,390,2+AV$2)&lt;&gt;"",INDEX('×入力'!$A$1:$L$800,391+AV$3,1)&lt;&gt;""),1,0),0)</f>
        <v/>
      </c>
      <c r="AW34">
        <f>IF(AW$4=1,IF(OR(INDEX('×入力'!$A$1:$L$800,391+AW$3,2+AW$2)&lt;&gt;"",INDEX('×入力'!$A$1:$L$800,390,2+AW$2)&lt;&gt;"",INDEX('×入力'!$A$1:$L$800,391+AW$3,1)&lt;&gt;""),1,0),0)</f>
        <v/>
      </c>
      <c r="AX34">
        <f>IF(AX$4=1,IF(OR(INDEX('×入力'!$A$1:$L$800,391+AX$3,2+AX$2)&lt;&gt;"",INDEX('×入力'!$A$1:$L$800,390,2+AX$2)&lt;&gt;"",INDEX('×入力'!$A$1:$L$800,391+AX$3,1)&lt;&gt;""),1,0),0)</f>
        <v/>
      </c>
      <c r="AY34">
        <f>IF(AY$4=1,IF(OR(INDEX('×入力'!$A$1:$L$800,391+AY$3,2+AY$2)&lt;&gt;"",INDEX('×入力'!$A$1:$L$800,390,2+AY$2)&lt;&gt;"",INDEX('×入力'!$A$1:$L$800,391+AY$3,1)&lt;&gt;""),1,0),0)</f>
        <v/>
      </c>
      <c r="AZ34">
        <f>IF(AZ$4=1,IF(OR(INDEX('×入力'!$A$1:$L$800,391+AZ$3,2+AZ$2)&lt;&gt;"",INDEX('×入力'!$A$1:$L$800,390,2+AZ$2)&lt;&gt;"",INDEX('×入力'!$A$1:$L$800,391+AZ$3,1)&lt;&gt;""),1,0),0)</f>
        <v/>
      </c>
      <c r="BA34">
        <f>IF(BA$4=1,IF(OR(INDEX('×入力'!$A$1:$L$800,391+BA$3,2+BA$2)&lt;&gt;"",INDEX('×入力'!$A$1:$L$800,390,2+BA$2)&lt;&gt;"",INDEX('×入力'!$A$1:$L$800,391+BA$3,1)&lt;&gt;""),1,0),0)</f>
        <v/>
      </c>
      <c r="BB34">
        <f>IF(BB$4=1,IF(OR(INDEX('×入力'!$A$1:$L$800,391+BB$3,2+BB$2)&lt;&gt;"",INDEX('×入力'!$A$1:$L$800,390,2+BB$2)&lt;&gt;"",INDEX('×入力'!$A$1:$L$800,391+BB$3,1)&lt;&gt;""),1,0),0)</f>
        <v/>
      </c>
      <c r="BC34">
        <f>IF(BC$4=1,IF(OR(INDEX('×入力'!$A$1:$L$800,391+BC$3,2+BC$2)&lt;&gt;"",INDEX('×入力'!$A$1:$L$800,390,2+BC$2)&lt;&gt;"",INDEX('×入力'!$A$1:$L$800,391+BC$3,1)&lt;&gt;""),1,0),0)</f>
        <v/>
      </c>
      <c r="BD34">
        <f>IF(BD$4=1,IF(OR(INDEX('×入力'!$A$1:$L$800,391+BD$3,2+BD$2)&lt;&gt;"",INDEX('×入力'!$A$1:$L$800,390,2+BD$2)&lt;&gt;"",INDEX('×入力'!$A$1:$L$800,391+BD$3,1)&lt;&gt;""),1,0),0)</f>
        <v/>
      </c>
      <c r="BE34">
        <f>IF(BE$4=1,IF(OR(INDEX('×入力'!$A$1:$L$800,391+BE$3,2+BE$2)&lt;&gt;"",INDEX('×入力'!$A$1:$L$800,390,2+BE$2)&lt;&gt;"",INDEX('×入力'!$A$1:$L$800,391+BE$3,1)&lt;&gt;""),1,0),0)</f>
        <v/>
      </c>
      <c r="BF34">
        <f>IF(BF$4=1,IF(OR(INDEX('×入力'!$A$1:$L$800,391+BF$3,2+BF$2)&lt;&gt;"",INDEX('×入力'!$A$1:$L$800,390,2+BF$2)&lt;&gt;"",INDEX('×入力'!$A$1:$L$800,391+BF$3,1)&lt;&gt;""),1,0),0)</f>
        <v/>
      </c>
      <c r="BG34">
        <f>IF(BG$4=1,IF(OR(INDEX('×入力'!$A$1:$L$800,391+BG$3,2+BG$2)&lt;&gt;"",INDEX('×入力'!$A$1:$L$800,390,2+BG$2)&lt;&gt;"",INDEX('×入力'!$A$1:$L$800,391+BG$3,1)&lt;&gt;""),1,0),0)</f>
        <v/>
      </c>
      <c r="BH34">
        <f>IF(BH$4=1,IF(OR(INDEX('×入力'!$A$1:$L$800,391+BH$3,2+BH$2)&lt;&gt;"",INDEX('×入力'!$A$1:$L$800,390,2+BH$2)&lt;&gt;"",INDEX('×入力'!$A$1:$L$800,391+BH$3,1)&lt;&gt;""),1,0),0)</f>
        <v/>
      </c>
      <c r="BI34">
        <f>IF(BI$4=1,IF(OR(INDEX('×入力'!$A$1:$L$800,391+BI$3,2+BI$2)&lt;&gt;"",INDEX('×入力'!$A$1:$L$800,390,2+BI$2)&lt;&gt;"",INDEX('×入力'!$A$1:$L$800,391+BI$3,1)&lt;&gt;""),1,0),0)</f>
        <v/>
      </c>
      <c r="BJ34">
        <f>IF(BJ$4=1,IF(OR(INDEX('×入力'!$A$1:$L$800,391+BJ$3,2+BJ$2)&lt;&gt;"",INDEX('×入力'!$A$1:$L$800,390,2+BJ$2)&lt;&gt;"",INDEX('×入力'!$A$1:$L$800,391+BJ$3,1)&lt;&gt;""),1,0),0)</f>
        <v/>
      </c>
      <c r="BK34">
        <f>IF(BK$4=1,IF(OR(INDEX('×入力'!$A$1:$L$800,391+BK$3,2+BK$2)&lt;&gt;"",INDEX('×入力'!$A$1:$L$800,390,2+BK$2)&lt;&gt;"",INDEX('×入力'!$A$1:$L$800,391+BK$3,1)&lt;&gt;""),1,0),0)</f>
        <v/>
      </c>
      <c r="BL34">
        <f>IF(BL$4=1,IF(OR(INDEX('×入力'!$A$1:$L$800,391+BL$3,2+BL$2)&lt;&gt;"",INDEX('×入力'!$A$1:$L$800,390,2+BL$2)&lt;&gt;"",INDEX('×入力'!$A$1:$L$800,391+BL$3,1)&lt;&gt;""),1,0),0)</f>
        <v/>
      </c>
      <c r="BM34">
        <f>IF(BM$4=1,IF(OR(INDEX('×入力'!$A$1:$L$800,391+BM$3,2+BM$2)&lt;&gt;"",INDEX('×入力'!$A$1:$L$800,390,2+BM$2)&lt;&gt;"",INDEX('×入力'!$A$1:$L$800,391+BM$3,1)&lt;&gt;""),1,0),0)</f>
        <v/>
      </c>
      <c r="BN34">
        <f>IF(BN$4=1,IF(OR(INDEX('×入力'!$A$1:$L$800,391+BN$3,2+BN$2)&lt;&gt;"",INDEX('×入力'!$A$1:$L$800,390,2+BN$2)&lt;&gt;"",INDEX('×入力'!$A$1:$L$800,391+BN$3,1)&lt;&gt;""),1,0),0)</f>
        <v/>
      </c>
      <c r="BO34">
        <f>IF(BO$4=1,IF(OR(INDEX('×入力'!$A$1:$L$800,391+BO$3,2+BO$2)&lt;&gt;"",INDEX('×入力'!$A$1:$L$800,390,2+BO$2)&lt;&gt;"",INDEX('×入力'!$A$1:$L$800,391+BO$3,1)&lt;&gt;""),1,0),0)</f>
        <v/>
      </c>
      <c r="BP34">
        <f>IF(BP$4=1,IF(OR(INDEX('×入力'!$A$1:$L$800,391+BP$3,2+BP$2)&lt;&gt;"",INDEX('×入力'!$A$1:$L$800,390,2+BP$2)&lt;&gt;"",INDEX('×入力'!$A$1:$L$800,391+BP$3,1)&lt;&gt;""),1,0),0)</f>
        <v/>
      </c>
      <c r="BQ34">
        <f>IF(BQ$4=1,IF(OR(INDEX('×入力'!$A$1:$L$800,391+BQ$3,2+BQ$2)&lt;&gt;"",INDEX('×入力'!$A$1:$L$800,390,2+BQ$2)&lt;&gt;"",INDEX('×入力'!$A$1:$L$800,391+BQ$3,1)&lt;&gt;""),1,0),0)</f>
        <v/>
      </c>
      <c r="BR34">
        <f>IF(BR$4=1,IF(OR(INDEX('×入力'!$A$1:$L$800,391+BR$3,2+BR$2)&lt;&gt;"",INDEX('×入力'!$A$1:$L$800,390,2+BR$2)&lt;&gt;"",INDEX('×入力'!$A$1:$L$800,391+BR$3,1)&lt;&gt;""),1,0),0)</f>
        <v/>
      </c>
      <c r="BS34">
        <f>IF(BS$4=1,IF(OR(INDEX('×入力'!$A$1:$L$800,391+BS$3,2+BS$2)&lt;&gt;"",INDEX('×入力'!$A$1:$L$800,390,2+BS$2)&lt;&gt;"",INDEX('×入力'!$A$1:$L$800,391+BS$3,1)&lt;&gt;""),1,0),0)</f>
        <v/>
      </c>
      <c r="BT34">
        <f>IF(BT$4=1,IF(OR(INDEX('×入力'!$A$1:$L$800,391+BT$3,2+BT$2)&lt;&gt;"",INDEX('×入力'!$A$1:$L$800,390,2+BT$2)&lt;&gt;"",INDEX('×入力'!$A$1:$L$800,391+BT$3,1)&lt;&gt;""),1,0),0)</f>
        <v/>
      </c>
      <c r="BU34">
        <f>IF(BU$4=1,IF(OR(INDEX('×入力'!$A$1:$L$800,391+BU$3,2+BU$2)&lt;&gt;"",INDEX('×入力'!$A$1:$L$800,390,2+BU$2)&lt;&gt;"",INDEX('×入力'!$A$1:$L$800,391+BU$3,1)&lt;&gt;""),1,0),0)</f>
        <v/>
      </c>
      <c r="BV34">
        <f>IF(BV$4=1,IF(OR(INDEX('×入力'!$A$1:$L$800,391+BV$3,2+BV$2)&lt;&gt;"",INDEX('×入力'!$A$1:$L$800,390,2+BV$2)&lt;&gt;"",INDEX('×入力'!$A$1:$L$800,391+BV$3,1)&lt;&gt;""),1,0),0)</f>
        <v/>
      </c>
      <c r="BW34">
        <f>IF(BW$4=1,IF(OR(INDEX('×入力'!$A$1:$L$800,391+BW$3,2+BW$2)&lt;&gt;"",INDEX('×入力'!$A$1:$L$800,390,2+BW$2)&lt;&gt;"",INDEX('×入力'!$A$1:$L$800,391+BW$3,1)&lt;&gt;""),1,0),0)</f>
        <v/>
      </c>
      <c r="BX34">
        <f>IF(BX$4=1,IF(OR(INDEX('×入力'!$A$1:$L$800,391+BX$3,2+BX$2)&lt;&gt;"",INDEX('×入力'!$A$1:$L$800,390,2+BX$2)&lt;&gt;"",INDEX('×入力'!$A$1:$L$800,391+BX$3,1)&lt;&gt;""),1,0),0)</f>
        <v/>
      </c>
      <c r="BY34">
        <f>IF(BY$4=1,IF(OR(INDEX('×入力'!$A$1:$L$800,391+BY$3,2+BY$2)&lt;&gt;"",INDEX('×入力'!$A$1:$L$800,390,2+BY$2)&lt;&gt;"",INDEX('×入力'!$A$1:$L$800,391+BY$3,1)&lt;&gt;""),1,0),0)</f>
        <v/>
      </c>
      <c r="BZ34">
        <f>IF(BZ$4=1,IF(OR(INDEX('×入力'!$A$1:$L$800,391+BZ$3,2+BZ$2)&lt;&gt;"",INDEX('×入力'!$A$1:$L$800,390,2+BZ$2)&lt;&gt;"",INDEX('×入力'!$A$1:$L$800,391+BZ$3,1)&lt;&gt;""),1,0),0)</f>
        <v/>
      </c>
      <c r="CA34">
        <f>IF(CA$4=1,IF(OR(INDEX('×入力'!$A$1:$L$800,391+CA$3,2+CA$2)&lt;&gt;"",INDEX('×入力'!$A$1:$L$800,390,2+CA$2)&lt;&gt;"",INDEX('×入力'!$A$1:$L$800,391+CA$3,1)&lt;&gt;""),1,0),0)</f>
        <v/>
      </c>
      <c r="CB34">
        <f>IF(CB$4=1,IF(OR(INDEX('×入力'!$A$1:$L$800,391+CB$3,2+CB$2)&lt;&gt;"",INDEX('×入力'!$A$1:$L$800,390,2+CB$2)&lt;&gt;"",INDEX('×入力'!$A$1:$L$800,391+CB$3,1)&lt;&gt;""),1,0),0)</f>
        <v/>
      </c>
      <c r="CC34">
        <f>IF(CC$4=1,IF(OR(INDEX('×入力'!$A$1:$L$800,391+CC$3,2+CC$2)&lt;&gt;"",INDEX('×入力'!$A$1:$L$800,390,2+CC$2)&lt;&gt;"",INDEX('×入力'!$A$1:$L$800,391+CC$3,1)&lt;&gt;""),1,0),0)</f>
        <v/>
      </c>
      <c r="CD34">
        <f>IF(CD$4=1,IF(OR(INDEX('×入力'!$A$1:$L$800,391+CD$3,2+CD$2)&lt;&gt;"",INDEX('×入力'!$A$1:$L$800,390,2+CD$2)&lt;&gt;"",INDEX('×入力'!$A$1:$L$800,391+CD$3,1)&lt;&gt;""),1,0),0)</f>
        <v/>
      </c>
      <c r="CE34">
        <f>IF(CE$4=1,IF(OR(INDEX('×入力'!$A$1:$L$800,391+CE$3,2+CE$2)&lt;&gt;"",INDEX('×入力'!$A$1:$L$800,390,2+CE$2)&lt;&gt;"",INDEX('×入力'!$A$1:$L$800,391+CE$3,1)&lt;&gt;""),1,0),0)</f>
        <v/>
      </c>
      <c r="CF34">
        <f>IF(CF$4=1,IF(OR(INDEX('×入力'!$A$1:$L$800,391+CF$3,2+CF$2)&lt;&gt;"",INDEX('×入力'!$A$1:$L$800,390,2+CF$2)&lt;&gt;"",INDEX('×入力'!$A$1:$L$800,391+CF$3,1)&lt;&gt;""),1,0),0)</f>
        <v/>
      </c>
      <c r="CG34">
        <f>IF(CG$4=1,IF(OR(INDEX('×入力'!$A$1:$L$800,391+CG$3,2+CG$2)&lt;&gt;"",INDEX('×入力'!$A$1:$L$800,390,2+CG$2)&lt;&gt;"",INDEX('×入力'!$A$1:$L$800,391+CG$3,1)&lt;&gt;""),1,0),0)</f>
        <v/>
      </c>
      <c r="CH34">
        <f>IF(CH$4=1,IF(OR(INDEX('×入力'!$A$1:$L$800,391+CH$3,2+CH$2)&lt;&gt;"",INDEX('×入力'!$A$1:$L$800,390,2+CH$2)&lt;&gt;"",INDEX('×入力'!$A$1:$L$800,391+CH$3,1)&lt;&gt;""),1,0),0)</f>
        <v/>
      </c>
      <c r="CI34">
        <f>IF(CI$4=1,IF(OR(INDEX('×入力'!$A$1:$L$800,391+CI$3,2+CI$2)&lt;&gt;"",INDEX('×入力'!$A$1:$L$800,390,2+CI$2)&lt;&gt;"",INDEX('×入力'!$A$1:$L$800,391+CI$3,1)&lt;&gt;""),1,0),0)</f>
        <v/>
      </c>
      <c r="CJ34">
        <f>IF(CJ$4=1,IF(OR(INDEX('×入力'!$A$1:$L$800,391+CJ$3,2+CJ$2)&lt;&gt;"",INDEX('×入力'!$A$1:$L$800,390,2+CJ$2)&lt;&gt;"",INDEX('×入力'!$A$1:$L$800,391+CJ$3,1)&lt;&gt;""),1,0),0)</f>
        <v/>
      </c>
      <c r="CK34">
        <f>IF(CK$4=1,IF(OR(INDEX('×入力'!$A$1:$L$800,391+CK$3,2+CK$2)&lt;&gt;"",INDEX('×入力'!$A$1:$L$800,390,2+CK$2)&lt;&gt;"",INDEX('×入力'!$A$1:$L$800,391+CK$3,1)&lt;&gt;""),1,0),0)</f>
        <v/>
      </c>
      <c r="CL34">
        <f>IF(CL$4=1,IF(OR(INDEX('×入力'!$A$1:$L$800,391+CL$3,2+CL$2)&lt;&gt;"",INDEX('×入力'!$A$1:$L$800,390,2+CL$2)&lt;&gt;"",INDEX('×入力'!$A$1:$L$800,391+CL$3,1)&lt;&gt;""),1,0),0)</f>
        <v/>
      </c>
      <c r="CM34">
        <f>IF(CM$4=1,IF(OR(INDEX('×入力'!$A$1:$L$800,391+CM$3,2+CM$2)&lt;&gt;"",INDEX('×入力'!$A$1:$L$800,390,2+CM$2)&lt;&gt;"",INDEX('×入力'!$A$1:$L$800,391+CM$3,1)&lt;&gt;""),1,0),0)</f>
        <v/>
      </c>
      <c r="CN34">
        <f>IF(CN$4=1,IF(OR(INDEX('×入力'!$A$1:$L$800,391+CN$3,2+CN$2)&lt;&gt;"",INDEX('×入力'!$A$1:$L$800,390,2+CN$2)&lt;&gt;"",INDEX('×入力'!$A$1:$L$800,391+CN$3,1)&lt;&gt;""),1,0),0)</f>
        <v/>
      </c>
      <c r="CO34">
        <f>IF(CO$4=1,IF(OR(INDEX('×入力'!$A$1:$L$800,391+CO$3,2+CO$2)&lt;&gt;"",INDEX('×入力'!$A$1:$L$800,390,2+CO$2)&lt;&gt;"",INDEX('×入力'!$A$1:$L$800,391+CO$3,1)&lt;&gt;""),1,0),0)</f>
        <v/>
      </c>
      <c r="CP34">
        <f>IF(CP$4=1,IF(OR(INDEX('×入力'!$A$1:$L$800,391+CP$3,2+CP$2)&lt;&gt;"",INDEX('×入力'!$A$1:$L$800,390,2+CP$2)&lt;&gt;"",INDEX('×入力'!$A$1:$L$800,391+CP$3,1)&lt;&gt;""),1,0),0)</f>
        <v/>
      </c>
      <c r="CQ34">
        <f>IF(CQ$4=1,IF(OR(INDEX('×入力'!$A$1:$L$800,391+CQ$3,2+CQ$2)&lt;&gt;"",INDEX('×入力'!$A$1:$L$800,390,2+CQ$2)&lt;&gt;"",INDEX('×入力'!$A$1:$L$800,391+CQ$3,1)&lt;&gt;""),1,0),0)</f>
        <v/>
      </c>
      <c r="CR34">
        <f>IF(CR$4=1,IF(OR(INDEX('×入力'!$A$1:$L$800,391+CR$3,2+CR$2)&lt;&gt;"",INDEX('×入力'!$A$1:$L$800,390,2+CR$2)&lt;&gt;"",INDEX('×入力'!$A$1:$L$800,391+CR$3,1)&lt;&gt;""),1,0),0)</f>
        <v/>
      </c>
      <c r="CS34">
        <f>IF(CS$4=1,IF(OR(INDEX('×入力'!$A$1:$L$800,391+CS$3,2+CS$2)&lt;&gt;"",INDEX('×入力'!$A$1:$L$800,390,2+CS$2)&lt;&gt;"",INDEX('×入力'!$A$1:$L$800,391+CS$3,1)&lt;&gt;""),1,0),0)</f>
        <v/>
      </c>
      <c r="CT34">
        <f>IF(CT$4=1,IF(OR(INDEX('×入力'!$A$1:$L$800,391+CT$3,2+CT$2)&lt;&gt;"",INDEX('×入力'!$A$1:$L$800,390,2+CT$2)&lt;&gt;"",INDEX('×入力'!$A$1:$L$800,391+CT$3,1)&lt;&gt;""),1,0),0)</f>
        <v/>
      </c>
      <c r="CU34">
        <f>IF(CU$4=1,IF(OR(INDEX('×入力'!$A$1:$L$800,391+CU$3,2+CU$2)&lt;&gt;"",INDEX('×入力'!$A$1:$L$800,390,2+CU$2)&lt;&gt;"",INDEX('×入力'!$A$1:$L$800,391+CU$3,1)&lt;&gt;""),1,0),0)</f>
        <v/>
      </c>
      <c r="CV34">
        <f>IF(CV$4=1,IF(OR(INDEX('×入力'!$A$1:$L$800,391+CV$3,2+CV$2)&lt;&gt;"",INDEX('×入力'!$A$1:$L$800,390,2+CV$2)&lt;&gt;"",INDEX('×入力'!$A$1:$L$800,391+CV$3,1)&lt;&gt;""),1,0),0)</f>
        <v/>
      </c>
      <c r="CW34">
        <f>IF(CW$4=1,IF(OR(INDEX('×入力'!$A$1:$L$800,391+CW$3,2+CW$2)&lt;&gt;"",INDEX('×入力'!$A$1:$L$800,390,2+CW$2)&lt;&gt;"",INDEX('×入力'!$A$1:$L$800,391+CW$3,1)&lt;&gt;""),1,0),0)</f>
        <v/>
      </c>
      <c r="CX34">
        <f>IF(CX$4=1,IF(OR(INDEX('×入力'!$A$1:$L$800,391+CX$3,2+CX$2)&lt;&gt;"",INDEX('×入力'!$A$1:$L$800,390,2+CX$2)&lt;&gt;"",INDEX('×入力'!$A$1:$L$800,391+CX$3,1)&lt;&gt;""),1,0),0)</f>
        <v/>
      </c>
      <c r="CY34">
        <f>IF(CY$4=1,IF(OR(INDEX('×入力'!$A$1:$L$800,391+CY$3,2+CY$2)&lt;&gt;"",INDEX('×入力'!$A$1:$L$800,390,2+CY$2)&lt;&gt;"",INDEX('×入力'!$A$1:$L$800,391+CY$3,1)&lt;&gt;""),1,0),0)</f>
        <v/>
      </c>
      <c r="CZ34">
        <f>IF(CZ$4=1,IF(OR(INDEX('×入力'!$A$1:$L$800,391+CZ$3,2+CZ$2)&lt;&gt;"",INDEX('×入力'!$A$1:$L$800,390,2+CZ$2)&lt;&gt;"",INDEX('×入力'!$A$1:$L$800,391+CZ$3,1)&lt;&gt;""),1,0),0)</f>
        <v/>
      </c>
      <c r="DA34">
        <f>IF(DA$4=1,IF(OR(INDEX('×入力'!$A$1:$L$800,391+DA$3,2+DA$2)&lt;&gt;"",INDEX('×入力'!$A$1:$L$800,390,2+DA$2)&lt;&gt;"",INDEX('×入力'!$A$1:$L$800,391+DA$3,1)&lt;&gt;""),1,0),0)</f>
        <v/>
      </c>
      <c r="DB34">
        <f>IF(DB$4=1,IF(OR(INDEX('×入力'!$A$1:$L$800,391+DB$3,2+DB$2)&lt;&gt;"",INDEX('×入力'!$A$1:$L$800,390,2+DB$2)&lt;&gt;"",INDEX('×入力'!$A$1:$L$800,391+DB$3,1)&lt;&gt;""),1,0),0)</f>
        <v/>
      </c>
      <c r="DC34">
        <f>IF(DC$4=1,IF(OR(INDEX('×入力'!$A$1:$L$800,391+DC$3,2+DC$2)&lt;&gt;"",INDEX('×入力'!$A$1:$L$800,390,2+DC$2)&lt;&gt;"",INDEX('×入力'!$A$1:$L$800,391+DC$3,1)&lt;&gt;""),1,0),0)</f>
        <v/>
      </c>
      <c r="DD34">
        <f>IF(DD$4=1,IF(OR(INDEX('×入力'!$A$1:$L$800,391+DD$3,2+DD$2)&lt;&gt;"",INDEX('×入力'!$A$1:$L$800,390,2+DD$2)&lt;&gt;"",INDEX('×入力'!$A$1:$L$800,391+DD$3,1)&lt;&gt;""),1,0),0)</f>
        <v/>
      </c>
      <c r="DE34">
        <f>IF(DE$4=1,IF(OR(INDEX('×入力'!$A$1:$L$800,391+DE$3,2+DE$2)&lt;&gt;"",INDEX('×入力'!$A$1:$L$800,390,2+DE$2)&lt;&gt;"",INDEX('×入力'!$A$1:$L$800,391+DE$3,1)&lt;&gt;""),1,0),0)</f>
        <v/>
      </c>
      <c r="DF34">
        <f>IF(DF$4=1,IF(OR(INDEX('×入力'!$A$1:$L$800,391+DF$3,2+DF$2)&lt;&gt;"",INDEX('×入力'!$A$1:$L$800,390,2+DF$2)&lt;&gt;"",INDEX('×入力'!$A$1:$L$800,391+DF$3,1)&lt;&gt;""),1,0),0)</f>
        <v/>
      </c>
      <c r="DG34">
        <f>IF(DG$4=1,IF(OR(INDEX('×入力'!$A$1:$L$800,391+DG$3,2+DG$2)&lt;&gt;"",INDEX('×入力'!$A$1:$L$800,390,2+DG$2)&lt;&gt;"",INDEX('×入力'!$A$1:$L$800,391+DG$3,1)&lt;&gt;""),1,0),0)</f>
        <v/>
      </c>
      <c r="DH34">
        <f>IF(DH$4=1,IF(OR(INDEX('×入力'!$A$1:$L$800,391+DH$3,2+DH$2)&lt;&gt;"",INDEX('×入力'!$A$1:$L$800,390,2+DH$2)&lt;&gt;"",INDEX('×入力'!$A$1:$L$800,391+DH$3,1)&lt;&gt;""),1,0),0)</f>
        <v/>
      </c>
      <c r="DI34">
        <f>IF(DI$4=1,IF(OR(INDEX('×入力'!$A$1:$L$800,391+DI$3,2+DI$2)&lt;&gt;"",INDEX('×入力'!$A$1:$L$800,390,2+DI$2)&lt;&gt;"",INDEX('×入力'!$A$1:$L$800,391+DI$3,1)&lt;&gt;""),1,0),0)</f>
        <v/>
      </c>
      <c r="DJ34">
        <f>IF(DJ$4=1,IF(OR(INDEX('×入力'!$A$1:$L$800,391+DJ$3,2+DJ$2)&lt;&gt;"",INDEX('×入力'!$A$1:$L$800,390,2+DJ$2)&lt;&gt;"",INDEX('×入力'!$A$1:$L$800,391+DJ$3,1)&lt;&gt;""),1,0),0)</f>
        <v/>
      </c>
      <c r="DK34">
        <f>IF(DK$4=1,IF(OR(INDEX('×入力'!$A$1:$L$800,391+DK$3,2+DK$2)&lt;&gt;"",INDEX('×入力'!$A$1:$L$800,390,2+DK$2)&lt;&gt;"",INDEX('×入力'!$A$1:$L$800,391+DK$3,1)&lt;&gt;""),1,0),0)</f>
        <v/>
      </c>
      <c r="DL34">
        <f>IF(DL$4=1,IF(OR(INDEX('×入力'!$A$1:$L$800,391+DL$3,2+DL$2)&lt;&gt;"",INDEX('×入力'!$A$1:$L$800,390,2+DL$2)&lt;&gt;"",INDEX('×入力'!$A$1:$L$800,391+DL$3,1)&lt;&gt;""),1,0),0)</f>
        <v/>
      </c>
      <c r="DM34">
        <f>IF(DM$4=1,IF(OR(INDEX('×入力'!$A$1:$L$800,391+DM$3,2+DM$2)&lt;&gt;"",INDEX('×入力'!$A$1:$L$800,390,2+DM$2)&lt;&gt;"",INDEX('×入力'!$A$1:$L$800,391+DM$3,1)&lt;&gt;""),1,0),0)</f>
        <v/>
      </c>
      <c r="DN34">
        <f>IF(DN$4=1,IF(OR(INDEX('×入力'!$A$1:$L$800,391+DN$3,2+DN$2)&lt;&gt;"",INDEX('×入力'!$A$1:$L$800,390,2+DN$2)&lt;&gt;"",INDEX('×入力'!$A$1:$L$800,391+DN$3,1)&lt;&gt;""),1,0),0)</f>
        <v/>
      </c>
      <c r="DO34">
        <f>IF(DO$4=1,IF(OR(INDEX('×入力'!$A$1:$L$800,391+DO$3,2+DO$2)&lt;&gt;"",INDEX('×入力'!$A$1:$L$800,390,2+DO$2)&lt;&gt;"",INDEX('×入力'!$A$1:$L$800,391+DO$3,1)&lt;&gt;""),1,0),0)</f>
        <v/>
      </c>
      <c r="DP34">
        <f>IF(DP$4=1,IF(OR(INDEX('×入力'!$A$1:$L$800,391+DP$3,2+DP$2)&lt;&gt;"",INDEX('×入力'!$A$1:$L$800,390,2+DP$2)&lt;&gt;"",INDEX('×入力'!$A$1:$L$800,391+DP$3,1)&lt;&gt;""),1,0),0)</f>
        <v/>
      </c>
      <c r="DQ34">
        <f>IF(DQ$4=1,IF(OR(INDEX('×入力'!$A$1:$L$800,391+DQ$3,2+DQ$2)&lt;&gt;"",INDEX('×入力'!$A$1:$L$800,390,2+DQ$2)&lt;&gt;"",INDEX('×入力'!$A$1:$L$800,391+DQ$3,1)&lt;&gt;""),1,0),0)</f>
        <v/>
      </c>
      <c r="DR34">
        <f>IF(DR$4=1,IF(OR(INDEX('×入力'!$A$1:$L$800,391+DR$3,2+DR$2)&lt;&gt;"",INDEX('×入力'!$A$1:$L$800,390,2+DR$2)&lt;&gt;"",INDEX('×入力'!$A$1:$L$800,391+DR$3,1)&lt;&gt;""),1,0),0)</f>
        <v/>
      </c>
      <c r="DS34">
        <f>IF(DS$4=1,IF(OR(INDEX('×入力'!$A$1:$L$800,391+DS$3,2+DS$2)&lt;&gt;"",INDEX('×入力'!$A$1:$L$800,390,2+DS$2)&lt;&gt;"",INDEX('×入力'!$A$1:$L$800,391+DS$3,1)&lt;&gt;""),1,0),0)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IF(D$4=1,IF(OR(INDEX('×入力'!$A$1:$L$800,407+D$3,2+D$2)&lt;&gt;"",INDEX('×入力'!$A$1:$L$800,406,2+D$2)&lt;&gt;"",INDEX('×入力'!$A$1:$L$800,407+D$3,1)&lt;&gt;""),1,0),0)</f>
        <v/>
      </c>
      <c r="E35">
        <f>IF(E$4=1,IF(OR(INDEX('×入力'!$A$1:$L$800,407+E$3,2+E$2)&lt;&gt;"",INDEX('×入力'!$A$1:$L$800,406,2+E$2)&lt;&gt;"",INDEX('×入力'!$A$1:$L$800,407+E$3,1)&lt;&gt;""),1,0),0)</f>
        <v/>
      </c>
      <c r="F35">
        <f>IF(F$4=1,IF(OR(INDEX('×入力'!$A$1:$L$800,407+F$3,2+F$2)&lt;&gt;"",INDEX('×入力'!$A$1:$L$800,406,2+F$2)&lt;&gt;"",INDEX('×入力'!$A$1:$L$800,407+F$3,1)&lt;&gt;""),1,0),0)</f>
        <v/>
      </c>
      <c r="G35">
        <f>IF(G$4=1,IF(OR(INDEX('×入力'!$A$1:$L$800,407+G$3,2+G$2)&lt;&gt;"",INDEX('×入力'!$A$1:$L$800,406,2+G$2)&lt;&gt;"",INDEX('×入力'!$A$1:$L$800,407+G$3,1)&lt;&gt;""),1,0),0)</f>
        <v/>
      </c>
      <c r="H35">
        <f>IF(H$4=1,IF(OR(INDEX('×入力'!$A$1:$L$800,407+H$3,2+H$2)&lt;&gt;"",INDEX('×入力'!$A$1:$L$800,406,2+H$2)&lt;&gt;"",INDEX('×入力'!$A$1:$L$800,407+H$3,1)&lt;&gt;""),1,0),0)</f>
        <v/>
      </c>
      <c r="I35">
        <f>IF(I$4=1,IF(OR(INDEX('×入力'!$A$1:$L$800,407+I$3,2+I$2)&lt;&gt;"",INDEX('×入力'!$A$1:$L$800,406,2+I$2)&lt;&gt;"",INDEX('×入力'!$A$1:$L$800,407+I$3,1)&lt;&gt;""),1,0),0)</f>
        <v/>
      </c>
      <c r="J35">
        <f>IF(J$4=1,IF(OR(INDEX('×入力'!$A$1:$L$800,407+J$3,2+J$2)&lt;&gt;"",INDEX('×入力'!$A$1:$L$800,406,2+J$2)&lt;&gt;"",INDEX('×入力'!$A$1:$L$800,407+J$3,1)&lt;&gt;""),1,0),0)</f>
        <v/>
      </c>
      <c r="K35">
        <f>IF(K$4=1,IF(OR(INDEX('×入力'!$A$1:$L$800,407+K$3,2+K$2)&lt;&gt;"",INDEX('×入力'!$A$1:$L$800,406,2+K$2)&lt;&gt;"",INDEX('×入力'!$A$1:$L$800,407+K$3,1)&lt;&gt;""),1,0),0)</f>
        <v/>
      </c>
      <c r="L35">
        <f>IF(L$4=1,IF(OR(INDEX('×入力'!$A$1:$L$800,407+L$3,2+L$2)&lt;&gt;"",INDEX('×入力'!$A$1:$L$800,406,2+L$2)&lt;&gt;"",INDEX('×入力'!$A$1:$L$800,407+L$3,1)&lt;&gt;""),1,0),0)</f>
        <v/>
      </c>
      <c r="M35">
        <f>IF(M$4=1,IF(OR(INDEX('×入力'!$A$1:$L$800,407+M$3,2+M$2)&lt;&gt;"",INDEX('×入力'!$A$1:$L$800,406,2+M$2)&lt;&gt;"",INDEX('×入力'!$A$1:$L$800,407+M$3,1)&lt;&gt;""),1,0),0)</f>
        <v/>
      </c>
      <c r="N35">
        <f>IF(N$4=1,IF(OR(INDEX('×入力'!$A$1:$L$800,407+N$3,2+N$2)&lt;&gt;"",INDEX('×入力'!$A$1:$L$800,406,2+N$2)&lt;&gt;"",INDEX('×入力'!$A$1:$L$800,407+N$3,1)&lt;&gt;""),1,0),0)</f>
        <v/>
      </c>
      <c r="O35">
        <f>IF(O$4=1,IF(OR(INDEX('×入力'!$A$1:$L$800,407+O$3,2+O$2)&lt;&gt;"",INDEX('×入力'!$A$1:$L$800,406,2+O$2)&lt;&gt;"",INDEX('×入力'!$A$1:$L$800,407+O$3,1)&lt;&gt;""),1,0),0)</f>
        <v/>
      </c>
      <c r="P35">
        <f>IF(P$4=1,IF(OR(INDEX('×入力'!$A$1:$L$800,407+P$3,2+P$2)&lt;&gt;"",INDEX('×入力'!$A$1:$L$800,406,2+P$2)&lt;&gt;"",INDEX('×入力'!$A$1:$L$800,407+P$3,1)&lt;&gt;""),1,0),0)</f>
        <v/>
      </c>
      <c r="Q35">
        <f>IF(Q$4=1,IF(OR(INDEX('×入力'!$A$1:$L$800,407+Q$3,2+Q$2)&lt;&gt;"",INDEX('×入力'!$A$1:$L$800,406,2+Q$2)&lt;&gt;"",INDEX('×入力'!$A$1:$L$800,407+Q$3,1)&lt;&gt;""),1,0),0)</f>
        <v/>
      </c>
      <c r="R35">
        <f>IF(R$4=1,IF(OR(INDEX('×入力'!$A$1:$L$800,407+R$3,2+R$2)&lt;&gt;"",INDEX('×入力'!$A$1:$L$800,406,2+R$2)&lt;&gt;"",INDEX('×入力'!$A$1:$L$800,407+R$3,1)&lt;&gt;""),1,0),0)</f>
        <v/>
      </c>
      <c r="S35">
        <f>IF(S$4=1,IF(OR(INDEX('×入力'!$A$1:$L$800,407+S$3,2+S$2)&lt;&gt;"",INDEX('×入力'!$A$1:$L$800,406,2+S$2)&lt;&gt;"",INDEX('×入力'!$A$1:$L$800,407+S$3,1)&lt;&gt;""),1,0),0)</f>
        <v/>
      </c>
      <c r="T35">
        <f>IF(T$4=1,IF(OR(INDEX('×入力'!$A$1:$L$800,407+T$3,2+T$2)&lt;&gt;"",INDEX('×入力'!$A$1:$L$800,406,2+T$2)&lt;&gt;"",INDEX('×入力'!$A$1:$L$800,407+T$3,1)&lt;&gt;""),1,0),0)</f>
        <v/>
      </c>
      <c r="U35">
        <f>IF(U$4=1,IF(OR(INDEX('×入力'!$A$1:$L$800,407+U$3,2+U$2)&lt;&gt;"",INDEX('×入力'!$A$1:$L$800,406,2+U$2)&lt;&gt;"",INDEX('×入力'!$A$1:$L$800,407+U$3,1)&lt;&gt;""),1,0),0)</f>
        <v/>
      </c>
      <c r="V35">
        <f>IF(V$4=1,IF(OR(INDEX('×入力'!$A$1:$L$800,407+V$3,2+V$2)&lt;&gt;"",INDEX('×入力'!$A$1:$L$800,406,2+V$2)&lt;&gt;"",INDEX('×入力'!$A$1:$L$800,407+V$3,1)&lt;&gt;""),1,0),0)</f>
        <v/>
      </c>
      <c r="W35">
        <f>IF(W$4=1,IF(OR(INDEX('×入力'!$A$1:$L$800,407+W$3,2+W$2)&lt;&gt;"",INDEX('×入力'!$A$1:$L$800,406,2+W$2)&lt;&gt;"",INDEX('×入力'!$A$1:$L$800,407+W$3,1)&lt;&gt;""),1,0),0)</f>
        <v/>
      </c>
      <c r="X35">
        <f>IF(X$4=1,IF(OR(INDEX('×入力'!$A$1:$L$800,407+X$3,2+X$2)&lt;&gt;"",INDEX('×入力'!$A$1:$L$800,406,2+X$2)&lt;&gt;"",INDEX('×入力'!$A$1:$L$800,407+X$3,1)&lt;&gt;""),1,0),0)</f>
        <v/>
      </c>
      <c r="Y35">
        <f>IF(Y$4=1,IF(OR(INDEX('×入力'!$A$1:$L$800,407+Y$3,2+Y$2)&lt;&gt;"",INDEX('×入力'!$A$1:$L$800,406,2+Y$2)&lt;&gt;"",INDEX('×入力'!$A$1:$L$800,407+Y$3,1)&lt;&gt;""),1,0),0)</f>
        <v/>
      </c>
      <c r="Z35">
        <f>IF(Z$4=1,IF(OR(INDEX('×入力'!$A$1:$L$800,407+Z$3,2+Z$2)&lt;&gt;"",INDEX('×入力'!$A$1:$L$800,406,2+Z$2)&lt;&gt;"",INDEX('×入力'!$A$1:$L$800,407+Z$3,1)&lt;&gt;""),1,0),0)</f>
        <v/>
      </c>
      <c r="AA35">
        <f>IF(AA$4=1,IF(OR(INDEX('×入力'!$A$1:$L$800,407+AA$3,2+AA$2)&lt;&gt;"",INDEX('×入力'!$A$1:$L$800,406,2+AA$2)&lt;&gt;"",INDEX('×入力'!$A$1:$L$800,407+AA$3,1)&lt;&gt;""),1,0),0)</f>
        <v/>
      </c>
      <c r="AB35">
        <f>IF(AB$4=1,IF(OR(INDEX('×入力'!$A$1:$L$800,407+AB$3,2+AB$2)&lt;&gt;"",INDEX('×入力'!$A$1:$L$800,406,2+AB$2)&lt;&gt;"",INDEX('×入力'!$A$1:$L$800,407+AB$3,1)&lt;&gt;""),1,0),0)</f>
        <v/>
      </c>
      <c r="AC35">
        <f>IF(AC$4=1,IF(OR(INDEX('×入力'!$A$1:$L$800,407+AC$3,2+AC$2)&lt;&gt;"",INDEX('×入力'!$A$1:$L$800,406,2+AC$2)&lt;&gt;"",INDEX('×入力'!$A$1:$L$800,407+AC$3,1)&lt;&gt;""),1,0),0)</f>
        <v/>
      </c>
      <c r="AD35">
        <f>IF(AD$4=1,IF(OR(INDEX('×入力'!$A$1:$L$800,407+AD$3,2+AD$2)&lt;&gt;"",INDEX('×入力'!$A$1:$L$800,406,2+AD$2)&lt;&gt;"",INDEX('×入力'!$A$1:$L$800,407+AD$3,1)&lt;&gt;""),1,0),0)</f>
        <v/>
      </c>
      <c r="AE35">
        <f>IF(AE$4=1,IF(OR(INDEX('×入力'!$A$1:$L$800,407+AE$3,2+AE$2)&lt;&gt;"",INDEX('×入力'!$A$1:$L$800,406,2+AE$2)&lt;&gt;"",INDEX('×入力'!$A$1:$L$800,407+AE$3,1)&lt;&gt;""),1,0),0)</f>
        <v/>
      </c>
      <c r="AF35">
        <f>IF(AF$4=1,IF(OR(INDEX('×入力'!$A$1:$L$800,407+AF$3,2+AF$2)&lt;&gt;"",INDEX('×入力'!$A$1:$L$800,406,2+AF$2)&lt;&gt;"",INDEX('×入力'!$A$1:$L$800,407+AF$3,1)&lt;&gt;""),1,0),0)</f>
        <v/>
      </c>
      <c r="AG35">
        <f>IF(AG$4=1,IF(OR(INDEX('×入力'!$A$1:$L$800,407+AG$3,2+AG$2)&lt;&gt;"",INDEX('×入力'!$A$1:$L$800,406,2+AG$2)&lt;&gt;"",INDEX('×入力'!$A$1:$L$800,407+AG$3,1)&lt;&gt;""),1,0),0)</f>
        <v/>
      </c>
      <c r="AH35">
        <f>IF(AH$4=1,IF(OR(INDEX('×入力'!$A$1:$L$800,407+AH$3,2+AH$2)&lt;&gt;"",INDEX('×入力'!$A$1:$L$800,406,2+AH$2)&lt;&gt;"",INDEX('×入力'!$A$1:$L$800,407+AH$3,1)&lt;&gt;""),1,0),0)</f>
        <v/>
      </c>
      <c r="AI35">
        <f>IF(AI$4=1,IF(OR(INDEX('×入力'!$A$1:$L$800,407+AI$3,2+AI$2)&lt;&gt;"",INDEX('×入力'!$A$1:$L$800,406,2+AI$2)&lt;&gt;"",INDEX('×入力'!$A$1:$L$800,407+AI$3,1)&lt;&gt;""),1,0),0)</f>
        <v/>
      </c>
      <c r="AJ35">
        <f>IF(AJ$4=1,IF(OR(INDEX('×入力'!$A$1:$L$800,407+AJ$3,2+AJ$2)&lt;&gt;"",INDEX('×入力'!$A$1:$L$800,406,2+AJ$2)&lt;&gt;"",INDEX('×入力'!$A$1:$L$800,407+AJ$3,1)&lt;&gt;""),1,0),0)</f>
        <v/>
      </c>
      <c r="AK35">
        <f>IF(AK$4=1,IF(OR(INDEX('×入力'!$A$1:$L$800,407+AK$3,2+AK$2)&lt;&gt;"",INDEX('×入力'!$A$1:$L$800,406,2+AK$2)&lt;&gt;"",INDEX('×入力'!$A$1:$L$800,407+AK$3,1)&lt;&gt;""),1,0),0)</f>
        <v/>
      </c>
      <c r="AL35">
        <f>IF(AL$4=1,IF(OR(INDEX('×入力'!$A$1:$L$800,407+AL$3,2+AL$2)&lt;&gt;"",INDEX('×入力'!$A$1:$L$800,406,2+AL$2)&lt;&gt;"",INDEX('×入力'!$A$1:$L$800,407+AL$3,1)&lt;&gt;""),1,0),0)</f>
        <v/>
      </c>
      <c r="AM35">
        <f>IF(AM$4=1,IF(OR(INDEX('×入力'!$A$1:$L$800,407+AM$3,2+AM$2)&lt;&gt;"",INDEX('×入力'!$A$1:$L$800,406,2+AM$2)&lt;&gt;"",INDEX('×入力'!$A$1:$L$800,407+AM$3,1)&lt;&gt;""),1,0),0)</f>
        <v/>
      </c>
      <c r="AN35">
        <f>IF(AN$4=1,IF(OR(INDEX('×入力'!$A$1:$L$800,407+AN$3,2+AN$2)&lt;&gt;"",INDEX('×入力'!$A$1:$L$800,406,2+AN$2)&lt;&gt;"",INDEX('×入力'!$A$1:$L$800,407+AN$3,1)&lt;&gt;""),1,0),0)</f>
        <v/>
      </c>
      <c r="AO35">
        <f>IF(AO$4=1,IF(OR(INDEX('×入力'!$A$1:$L$800,407+AO$3,2+AO$2)&lt;&gt;"",INDEX('×入力'!$A$1:$L$800,406,2+AO$2)&lt;&gt;"",INDEX('×入力'!$A$1:$L$800,407+AO$3,1)&lt;&gt;""),1,0),0)</f>
        <v/>
      </c>
      <c r="AP35">
        <f>IF(AP$4=1,IF(OR(INDEX('×入力'!$A$1:$L$800,407+AP$3,2+AP$2)&lt;&gt;"",INDEX('×入力'!$A$1:$L$800,406,2+AP$2)&lt;&gt;"",INDEX('×入力'!$A$1:$L$800,407+AP$3,1)&lt;&gt;""),1,0),0)</f>
        <v/>
      </c>
      <c r="AQ35">
        <f>IF(AQ$4=1,IF(OR(INDEX('×入力'!$A$1:$L$800,407+AQ$3,2+AQ$2)&lt;&gt;"",INDEX('×入力'!$A$1:$L$800,406,2+AQ$2)&lt;&gt;"",INDEX('×入力'!$A$1:$L$800,407+AQ$3,1)&lt;&gt;""),1,0),0)</f>
        <v/>
      </c>
      <c r="AR35">
        <f>IF(AR$4=1,IF(OR(INDEX('×入力'!$A$1:$L$800,407+AR$3,2+AR$2)&lt;&gt;"",INDEX('×入力'!$A$1:$L$800,406,2+AR$2)&lt;&gt;"",INDEX('×入力'!$A$1:$L$800,407+AR$3,1)&lt;&gt;""),1,0),0)</f>
        <v/>
      </c>
      <c r="AS35">
        <f>IF(AS$4=1,IF(OR(INDEX('×入力'!$A$1:$L$800,407+AS$3,2+AS$2)&lt;&gt;"",INDEX('×入力'!$A$1:$L$800,406,2+AS$2)&lt;&gt;"",INDEX('×入力'!$A$1:$L$800,407+AS$3,1)&lt;&gt;""),1,0),0)</f>
        <v/>
      </c>
      <c r="AT35">
        <f>IF(AT$4=1,IF(OR(INDEX('×入力'!$A$1:$L$800,407+AT$3,2+AT$2)&lt;&gt;"",INDEX('×入力'!$A$1:$L$800,406,2+AT$2)&lt;&gt;"",INDEX('×入力'!$A$1:$L$800,407+AT$3,1)&lt;&gt;""),1,0),0)</f>
        <v/>
      </c>
      <c r="AU35">
        <f>IF(AU$4=1,IF(OR(INDEX('×入力'!$A$1:$L$800,407+AU$3,2+AU$2)&lt;&gt;"",INDEX('×入力'!$A$1:$L$800,406,2+AU$2)&lt;&gt;"",INDEX('×入力'!$A$1:$L$800,407+AU$3,1)&lt;&gt;""),1,0),0)</f>
        <v/>
      </c>
      <c r="AV35">
        <f>IF(AV$4=1,IF(OR(INDEX('×入力'!$A$1:$L$800,407+AV$3,2+AV$2)&lt;&gt;"",INDEX('×入力'!$A$1:$L$800,406,2+AV$2)&lt;&gt;"",INDEX('×入力'!$A$1:$L$800,407+AV$3,1)&lt;&gt;""),1,0),0)</f>
        <v/>
      </c>
      <c r="AW35">
        <f>IF(AW$4=1,IF(OR(INDEX('×入力'!$A$1:$L$800,407+AW$3,2+AW$2)&lt;&gt;"",INDEX('×入力'!$A$1:$L$800,406,2+AW$2)&lt;&gt;"",INDEX('×入力'!$A$1:$L$800,407+AW$3,1)&lt;&gt;""),1,0),0)</f>
        <v/>
      </c>
      <c r="AX35">
        <f>IF(AX$4=1,IF(OR(INDEX('×入力'!$A$1:$L$800,407+AX$3,2+AX$2)&lt;&gt;"",INDEX('×入力'!$A$1:$L$800,406,2+AX$2)&lt;&gt;"",INDEX('×入力'!$A$1:$L$800,407+AX$3,1)&lt;&gt;""),1,0),0)</f>
        <v/>
      </c>
      <c r="AY35">
        <f>IF(AY$4=1,IF(OR(INDEX('×入力'!$A$1:$L$800,407+AY$3,2+AY$2)&lt;&gt;"",INDEX('×入力'!$A$1:$L$800,406,2+AY$2)&lt;&gt;"",INDEX('×入力'!$A$1:$L$800,407+AY$3,1)&lt;&gt;""),1,0),0)</f>
        <v/>
      </c>
      <c r="AZ35">
        <f>IF(AZ$4=1,IF(OR(INDEX('×入力'!$A$1:$L$800,407+AZ$3,2+AZ$2)&lt;&gt;"",INDEX('×入力'!$A$1:$L$800,406,2+AZ$2)&lt;&gt;"",INDEX('×入力'!$A$1:$L$800,407+AZ$3,1)&lt;&gt;""),1,0),0)</f>
        <v/>
      </c>
      <c r="BA35">
        <f>IF(BA$4=1,IF(OR(INDEX('×入力'!$A$1:$L$800,407+BA$3,2+BA$2)&lt;&gt;"",INDEX('×入力'!$A$1:$L$800,406,2+BA$2)&lt;&gt;"",INDEX('×入力'!$A$1:$L$800,407+BA$3,1)&lt;&gt;""),1,0),0)</f>
        <v/>
      </c>
      <c r="BB35">
        <f>IF(BB$4=1,IF(OR(INDEX('×入力'!$A$1:$L$800,407+BB$3,2+BB$2)&lt;&gt;"",INDEX('×入力'!$A$1:$L$800,406,2+BB$2)&lt;&gt;"",INDEX('×入力'!$A$1:$L$800,407+BB$3,1)&lt;&gt;""),1,0),0)</f>
        <v/>
      </c>
      <c r="BC35">
        <f>IF(BC$4=1,IF(OR(INDEX('×入力'!$A$1:$L$800,407+BC$3,2+BC$2)&lt;&gt;"",INDEX('×入力'!$A$1:$L$800,406,2+BC$2)&lt;&gt;"",INDEX('×入力'!$A$1:$L$800,407+BC$3,1)&lt;&gt;""),1,0),0)</f>
        <v/>
      </c>
      <c r="BD35">
        <f>IF(BD$4=1,IF(OR(INDEX('×入力'!$A$1:$L$800,407+BD$3,2+BD$2)&lt;&gt;"",INDEX('×入力'!$A$1:$L$800,406,2+BD$2)&lt;&gt;"",INDEX('×入力'!$A$1:$L$800,407+BD$3,1)&lt;&gt;""),1,0),0)</f>
        <v/>
      </c>
      <c r="BE35">
        <f>IF(BE$4=1,IF(OR(INDEX('×入力'!$A$1:$L$800,407+BE$3,2+BE$2)&lt;&gt;"",INDEX('×入力'!$A$1:$L$800,406,2+BE$2)&lt;&gt;"",INDEX('×入力'!$A$1:$L$800,407+BE$3,1)&lt;&gt;""),1,0),0)</f>
        <v/>
      </c>
      <c r="BF35">
        <f>IF(BF$4=1,IF(OR(INDEX('×入力'!$A$1:$L$800,407+BF$3,2+BF$2)&lt;&gt;"",INDEX('×入力'!$A$1:$L$800,406,2+BF$2)&lt;&gt;"",INDEX('×入力'!$A$1:$L$800,407+BF$3,1)&lt;&gt;""),1,0),0)</f>
        <v/>
      </c>
      <c r="BG35">
        <f>IF(BG$4=1,IF(OR(INDEX('×入力'!$A$1:$L$800,407+BG$3,2+BG$2)&lt;&gt;"",INDEX('×入力'!$A$1:$L$800,406,2+BG$2)&lt;&gt;"",INDEX('×入力'!$A$1:$L$800,407+BG$3,1)&lt;&gt;""),1,0),0)</f>
        <v/>
      </c>
      <c r="BH35">
        <f>IF(BH$4=1,IF(OR(INDEX('×入力'!$A$1:$L$800,407+BH$3,2+BH$2)&lt;&gt;"",INDEX('×入力'!$A$1:$L$800,406,2+BH$2)&lt;&gt;"",INDEX('×入力'!$A$1:$L$800,407+BH$3,1)&lt;&gt;""),1,0),0)</f>
        <v/>
      </c>
      <c r="BI35">
        <f>IF(BI$4=1,IF(OR(INDEX('×入力'!$A$1:$L$800,407+BI$3,2+BI$2)&lt;&gt;"",INDEX('×入力'!$A$1:$L$800,406,2+BI$2)&lt;&gt;"",INDEX('×入力'!$A$1:$L$800,407+BI$3,1)&lt;&gt;""),1,0),0)</f>
        <v/>
      </c>
      <c r="BJ35">
        <f>IF(BJ$4=1,IF(OR(INDEX('×入力'!$A$1:$L$800,407+BJ$3,2+BJ$2)&lt;&gt;"",INDEX('×入力'!$A$1:$L$800,406,2+BJ$2)&lt;&gt;"",INDEX('×入力'!$A$1:$L$800,407+BJ$3,1)&lt;&gt;""),1,0),0)</f>
        <v/>
      </c>
      <c r="BK35">
        <f>IF(BK$4=1,IF(OR(INDEX('×入力'!$A$1:$L$800,407+BK$3,2+BK$2)&lt;&gt;"",INDEX('×入力'!$A$1:$L$800,406,2+BK$2)&lt;&gt;"",INDEX('×入力'!$A$1:$L$800,407+BK$3,1)&lt;&gt;""),1,0),0)</f>
        <v/>
      </c>
      <c r="BL35">
        <f>IF(BL$4=1,IF(OR(INDEX('×入力'!$A$1:$L$800,407+BL$3,2+BL$2)&lt;&gt;"",INDEX('×入力'!$A$1:$L$800,406,2+BL$2)&lt;&gt;"",INDEX('×入力'!$A$1:$L$800,407+BL$3,1)&lt;&gt;""),1,0),0)</f>
        <v/>
      </c>
      <c r="BM35">
        <f>IF(BM$4=1,IF(OR(INDEX('×入力'!$A$1:$L$800,407+BM$3,2+BM$2)&lt;&gt;"",INDEX('×入力'!$A$1:$L$800,406,2+BM$2)&lt;&gt;"",INDEX('×入力'!$A$1:$L$800,407+BM$3,1)&lt;&gt;""),1,0),0)</f>
        <v/>
      </c>
      <c r="BN35">
        <f>IF(BN$4=1,IF(OR(INDEX('×入力'!$A$1:$L$800,407+BN$3,2+BN$2)&lt;&gt;"",INDEX('×入力'!$A$1:$L$800,406,2+BN$2)&lt;&gt;"",INDEX('×入力'!$A$1:$L$800,407+BN$3,1)&lt;&gt;""),1,0),0)</f>
        <v/>
      </c>
      <c r="BO35">
        <f>IF(BO$4=1,IF(OR(INDEX('×入力'!$A$1:$L$800,407+BO$3,2+BO$2)&lt;&gt;"",INDEX('×入力'!$A$1:$L$800,406,2+BO$2)&lt;&gt;"",INDEX('×入力'!$A$1:$L$800,407+BO$3,1)&lt;&gt;""),1,0),0)</f>
        <v/>
      </c>
      <c r="BP35">
        <f>IF(BP$4=1,IF(OR(INDEX('×入力'!$A$1:$L$800,407+BP$3,2+BP$2)&lt;&gt;"",INDEX('×入力'!$A$1:$L$800,406,2+BP$2)&lt;&gt;"",INDEX('×入力'!$A$1:$L$800,407+BP$3,1)&lt;&gt;""),1,0),0)</f>
        <v/>
      </c>
      <c r="BQ35">
        <f>IF(BQ$4=1,IF(OR(INDEX('×入力'!$A$1:$L$800,407+BQ$3,2+BQ$2)&lt;&gt;"",INDEX('×入力'!$A$1:$L$800,406,2+BQ$2)&lt;&gt;"",INDEX('×入力'!$A$1:$L$800,407+BQ$3,1)&lt;&gt;""),1,0),0)</f>
        <v/>
      </c>
      <c r="BR35">
        <f>IF(BR$4=1,IF(OR(INDEX('×入力'!$A$1:$L$800,407+BR$3,2+BR$2)&lt;&gt;"",INDEX('×入力'!$A$1:$L$800,406,2+BR$2)&lt;&gt;"",INDEX('×入力'!$A$1:$L$800,407+BR$3,1)&lt;&gt;""),1,0),0)</f>
        <v/>
      </c>
      <c r="BS35">
        <f>IF(BS$4=1,IF(OR(INDEX('×入力'!$A$1:$L$800,407+BS$3,2+BS$2)&lt;&gt;"",INDEX('×入力'!$A$1:$L$800,406,2+BS$2)&lt;&gt;"",INDEX('×入力'!$A$1:$L$800,407+BS$3,1)&lt;&gt;""),1,0),0)</f>
        <v/>
      </c>
      <c r="BT35">
        <f>IF(BT$4=1,IF(OR(INDEX('×入力'!$A$1:$L$800,407+BT$3,2+BT$2)&lt;&gt;"",INDEX('×入力'!$A$1:$L$800,406,2+BT$2)&lt;&gt;"",INDEX('×入力'!$A$1:$L$800,407+BT$3,1)&lt;&gt;""),1,0),0)</f>
        <v/>
      </c>
      <c r="BU35">
        <f>IF(BU$4=1,IF(OR(INDEX('×入力'!$A$1:$L$800,407+BU$3,2+BU$2)&lt;&gt;"",INDEX('×入力'!$A$1:$L$800,406,2+BU$2)&lt;&gt;"",INDEX('×入力'!$A$1:$L$800,407+BU$3,1)&lt;&gt;""),1,0),0)</f>
        <v/>
      </c>
      <c r="BV35">
        <f>IF(BV$4=1,IF(OR(INDEX('×入力'!$A$1:$L$800,407+BV$3,2+BV$2)&lt;&gt;"",INDEX('×入力'!$A$1:$L$800,406,2+BV$2)&lt;&gt;"",INDEX('×入力'!$A$1:$L$800,407+BV$3,1)&lt;&gt;""),1,0),0)</f>
        <v/>
      </c>
      <c r="BW35">
        <f>IF(BW$4=1,IF(OR(INDEX('×入力'!$A$1:$L$800,407+BW$3,2+BW$2)&lt;&gt;"",INDEX('×入力'!$A$1:$L$800,406,2+BW$2)&lt;&gt;"",INDEX('×入力'!$A$1:$L$800,407+BW$3,1)&lt;&gt;""),1,0),0)</f>
        <v/>
      </c>
      <c r="BX35">
        <f>IF(BX$4=1,IF(OR(INDEX('×入力'!$A$1:$L$800,407+BX$3,2+BX$2)&lt;&gt;"",INDEX('×入力'!$A$1:$L$800,406,2+BX$2)&lt;&gt;"",INDEX('×入力'!$A$1:$L$800,407+BX$3,1)&lt;&gt;""),1,0),0)</f>
        <v/>
      </c>
      <c r="BY35">
        <f>IF(BY$4=1,IF(OR(INDEX('×入力'!$A$1:$L$800,407+BY$3,2+BY$2)&lt;&gt;"",INDEX('×入力'!$A$1:$L$800,406,2+BY$2)&lt;&gt;"",INDEX('×入力'!$A$1:$L$800,407+BY$3,1)&lt;&gt;""),1,0),0)</f>
        <v/>
      </c>
      <c r="BZ35">
        <f>IF(BZ$4=1,IF(OR(INDEX('×入力'!$A$1:$L$800,407+BZ$3,2+BZ$2)&lt;&gt;"",INDEX('×入力'!$A$1:$L$800,406,2+BZ$2)&lt;&gt;"",INDEX('×入力'!$A$1:$L$800,407+BZ$3,1)&lt;&gt;""),1,0),0)</f>
        <v/>
      </c>
      <c r="CA35">
        <f>IF(CA$4=1,IF(OR(INDEX('×入力'!$A$1:$L$800,407+CA$3,2+CA$2)&lt;&gt;"",INDEX('×入力'!$A$1:$L$800,406,2+CA$2)&lt;&gt;"",INDEX('×入力'!$A$1:$L$800,407+CA$3,1)&lt;&gt;""),1,0),0)</f>
        <v/>
      </c>
      <c r="CB35">
        <f>IF(CB$4=1,IF(OR(INDEX('×入力'!$A$1:$L$800,407+CB$3,2+CB$2)&lt;&gt;"",INDEX('×入力'!$A$1:$L$800,406,2+CB$2)&lt;&gt;"",INDEX('×入力'!$A$1:$L$800,407+CB$3,1)&lt;&gt;""),1,0),0)</f>
        <v/>
      </c>
      <c r="CC35">
        <f>IF(CC$4=1,IF(OR(INDEX('×入力'!$A$1:$L$800,407+CC$3,2+CC$2)&lt;&gt;"",INDEX('×入力'!$A$1:$L$800,406,2+CC$2)&lt;&gt;"",INDEX('×入力'!$A$1:$L$800,407+CC$3,1)&lt;&gt;""),1,0),0)</f>
        <v/>
      </c>
      <c r="CD35">
        <f>IF(CD$4=1,IF(OR(INDEX('×入力'!$A$1:$L$800,407+CD$3,2+CD$2)&lt;&gt;"",INDEX('×入力'!$A$1:$L$800,406,2+CD$2)&lt;&gt;"",INDEX('×入力'!$A$1:$L$800,407+CD$3,1)&lt;&gt;""),1,0),0)</f>
        <v/>
      </c>
      <c r="CE35">
        <f>IF(CE$4=1,IF(OR(INDEX('×入力'!$A$1:$L$800,407+CE$3,2+CE$2)&lt;&gt;"",INDEX('×入力'!$A$1:$L$800,406,2+CE$2)&lt;&gt;"",INDEX('×入力'!$A$1:$L$800,407+CE$3,1)&lt;&gt;""),1,0),0)</f>
        <v/>
      </c>
      <c r="CF35">
        <f>IF(CF$4=1,IF(OR(INDEX('×入力'!$A$1:$L$800,407+CF$3,2+CF$2)&lt;&gt;"",INDEX('×入力'!$A$1:$L$800,406,2+CF$2)&lt;&gt;"",INDEX('×入力'!$A$1:$L$800,407+CF$3,1)&lt;&gt;""),1,0),0)</f>
        <v/>
      </c>
      <c r="CG35">
        <f>IF(CG$4=1,IF(OR(INDEX('×入力'!$A$1:$L$800,407+CG$3,2+CG$2)&lt;&gt;"",INDEX('×入力'!$A$1:$L$800,406,2+CG$2)&lt;&gt;"",INDEX('×入力'!$A$1:$L$800,407+CG$3,1)&lt;&gt;""),1,0),0)</f>
        <v/>
      </c>
      <c r="CH35">
        <f>IF(CH$4=1,IF(OR(INDEX('×入力'!$A$1:$L$800,407+CH$3,2+CH$2)&lt;&gt;"",INDEX('×入力'!$A$1:$L$800,406,2+CH$2)&lt;&gt;"",INDEX('×入力'!$A$1:$L$800,407+CH$3,1)&lt;&gt;""),1,0),0)</f>
        <v/>
      </c>
      <c r="CI35">
        <f>IF(CI$4=1,IF(OR(INDEX('×入力'!$A$1:$L$800,407+CI$3,2+CI$2)&lt;&gt;"",INDEX('×入力'!$A$1:$L$800,406,2+CI$2)&lt;&gt;"",INDEX('×入力'!$A$1:$L$800,407+CI$3,1)&lt;&gt;""),1,0),0)</f>
        <v/>
      </c>
      <c r="CJ35">
        <f>IF(CJ$4=1,IF(OR(INDEX('×入力'!$A$1:$L$800,407+CJ$3,2+CJ$2)&lt;&gt;"",INDEX('×入力'!$A$1:$L$800,406,2+CJ$2)&lt;&gt;"",INDEX('×入力'!$A$1:$L$800,407+CJ$3,1)&lt;&gt;""),1,0),0)</f>
        <v/>
      </c>
      <c r="CK35">
        <f>IF(CK$4=1,IF(OR(INDEX('×入力'!$A$1:$L$800,407+CK$3,2+CK$2)&lt;&gt;"",INDEX('×入力'!$A$1:$L$800,406,2+CK$2)&lt;&gt;"",INDEX('×入力'!$A$1:$L$800,407+CK$3,1)&lt;&gt;""),1,0),0)</f>
        <v/>
      </c>
      <c r="CL35">
        <f>IF(CL$4=1,IF(OR(INDEX('×入力'!$A$1:$L$800,407+CL$3,2+CL$2)&lt;&gt;"",INDEX('×入力'!$A$1:$L$800,406,2+CL$2)&lt;&gt;"",INDEX('×入力'!$A$1:$L$800,407+CL$3,1)&lt;&gt;""),1,0),0)</f>
        <v/>
      </c>
      <c r="CM35">
        <f>IF(CM$4=1,IF(OR(INDEX('×入力'!$A$1:$L$800,407+CM$3,2+CM$2)&lt;&gt;"",INDEX('×入力'!$A$1:$L$800,406,2+CM$2)&lt;&gt;"",INDEX('×入力'!$A$1:$L$800,407+CM$3,1)&lt;&gt;""),1,0),0)</f>
        <v/>
      </c>
      <c r="CN35">
        <f>IF(CN$4=1,IF(OR(INDEX('×入力'!$A$1:$L$800,407+CN$3,2+CN$2)&lt;&gt;"",INDEX('×入力'!$A$1:$L$800,406,2+CN$2)&lt;&gt;"",INDEX('×入力'!$A$1:$L$800,407+CN$3,1)&lt;&gt;""),1,0),0)</f>
        <v/>
      </c>
      <c r="CO35">
        <f>IF(CO$4=1,IF(OR(INDEX('×入力'!$A$1:$L$800,407+CO$3,2+CO$2)&lt;&gt;"",INDEX('×入力'!$A$1:$L$800,406,2+CO$2)&lt;&gt;"",INDEX('×入力'!$A$1:$L$800,407+CO$3,1)&lt;&gt;""),1,0),0)</f>
        <v/>
      </c>
      <c r="CP35">
        <f>IF(CP$4=1,IF(OR(INDEX('×入力'!$A$1:$L$800,407+CP$3,2+CP$2)&lt;&gt;"",INDEX('×入力'!$A$1:$L$800,406,2+CP$2)&lt;&gt;"",INDEX('×入力'!$A$1:$L$800,407+CP$3,1)&lt;&gt;""),1,0),0)</f>
        <v/>
      </c>
      <c r="CQ35">
        <f>IF(CQ$4=1,IF(OR(INDEX('×入力'!$A$1:$L$800,407+CQ$3,2+CQ$2)&lt;&gt;"",INDEX('×入力'!$A$1:$L$800,406,2+CQ$2)&lt;&gt;"",INDEX('×入力'!$A$1:$L$800,407+CQ$3,1)&lt;&gt;""),1,0),0)</f>
        <v/>
      </c>
      <c r="CR35">
        <f>IF(CR$4=1,IF(OR(INDEX('×入力'!$A$1:$L$800,407+CR$3,2+CR$2)&lt;&gt;"",INDEX('×入力'!$A$1:$L$800,406,2+CR$2)&lt;&gt;"",INDEX('×入力'!$A$1:$L$800,407+CR$3,1)&lt;&gt;""),1,0),0)</f>
        <v/>
      </c>
      <c r="CS35">
        <f>IF(CS$4=1,IF(OR(INDEX('×入力'!$A$1:$L$800,407+CS$3,2+CS$2)&lt;&gt;"",INDEX('×入力'!$A$1:$L$800,406,2+CS$2)&lt;&gt;"",INDEX('×入力'!$A$1:$L$800,407+CS$3,1)&lt;&gt;""),1,0),0)</f>
        <v/>
      </c>
      <c r="CT35">
        <f>IF(CT$4=1,IF(OR(INDEX('×入力'!$A$1:$L$800,407+CT$3,2+CT$2)&lt;&gt;"",INDEX('×入力'!$A$1:$L$800,406,2+CT$2)&lt;&gt;"",INDEX('×入力'!$A$1:$L$800,407+CT$3,1)&lt;&gt;""),1,0),0)</f>
        <v/>
      </c>
      <c r="CU35">
        <f>IF(CU$4=1,IF(OR(INDEX('×入力'!$A$1:$L$800,407+CU$3,2+CU$2)&lt;&gt;"",INDEX('×入力'!$A$1:$L$800,406,2+CU$2)&lt;&gt;"",INDEX('×入力'!$A$1:$L$800,407+CU$3,1)&lt;&gt;""),1,0),0)</f>
        <v/>
      </c>
      <c r="CV35">
        <f>IF(CV$4=1,IF(OR(INDEX('×入力'!$A$1:$L$800,407+CV$3,2+CV$2)&lt;&gt;"",INDEX('×入力'!$A$1:$L$800,406,2+CV$2)&lt;&gt;"",INDEX('×入力'!$A$1:$L$800,407+CV$3,1)&lt;&gt;""),1,0),0)</f>
        <v/>
      </c>
      <c r="CW35">
        <f>IF(CW$4=1,IF(OR(INDEX('×入力'!$A$1:$L$800,407+CW$3,2+CW$2)&lt;&gt;"",INDEX('×入力'!$A$1:$L$800,406,2+CW$2)&lt;&gt;"",INDEX('×入力'!$A$1:$L$800,407+CW$3,1)&lt;&gt;""),1,0),0)</f>
        <v/>
      </c>
      <c r="CX35">
        <f>IF(CX$4=1,IF(OR(INDEX('×入力'!$A$1:$L$800,407+CX$3,2+CX$2)&lt;&gt;"",INDEX('×入力'!$A$1:$L$800,406,2+CX$2)&lt;&gt;"",INDEX('×入力'!$A$1:$L$800,407+CX$3,1)&lt;&gt;""),1,0),0)</f>
        <v/>
      </c>
      <c r="CY35">
        <f>IF(CY$4=1,IF(OR(INDEX('×入力'!$A$1:$L$800,407+CY$3,2+CY$2)&lt;&gt;"",INDEX('×入力'!$A$1:$L$800,406,2+CY$2)&lt;&gt;"",INDEX('×入力'!$A$1:$L$800,407+CY$3,1)&lt;&gt;""),1,0),0)</f>
        <v/>
      </c>
      <c r="CZ35">
        <f>IF(CZ$4=1,IF(OR(INDEX('×入力'!$A$1:$L$800,407+CZ$3,2+CZ$2)&lt;&gt;"",INDEX('×入力'!$A$1:$L$800,406,2+CZ$2)&lt;&gt;"",INDEX('×入力'!$A$1:$L$800,407+CZ$3,1)&lt;&gt;""),1,0),0)</f>
        <v/>
      </c>
      <c r="DA35">
        <f>IF(DA$4=1,IF(OR(INDEX('×入力'!$A$1:$L$800,407+DA$3,2+DA$2)&lt;&gt;"",INDEX('×入力'!$A$1:$L$800,406,2+DA$2)&lt;&gt;"",INDEX('×入力'!$A$1:$L$800,407+DA$3,1)&lt;&gt;""),1,0),0)</f>
        <v/>
      </c>
      <c r="DB35">
        <f>IF(DB$4=1,IF(OR(INDEX('×入力'!$A$1:$L$800,407+DB$3,2+DB$2)&lt;&gt;"",INDEX('×入力'!$A$1:$L$800,406,2+DB$2)&lt;&gt;"",INDEX('×入力'!$A$1:$L$800,407+DB$3,1)&lt;&gt;""),1,0),0)</f>
        <v/>
      </c>
      <c r="DC35">
        <f>IF(DC$4=1,IF(OR(INDEX('×入力'!$A$1:$L$800,407+DC$3,2+DC$2)&lt;&gt;"",INDEX('×入力'!$A$1:$L$800,406,2+DC$2)&lt;&gt;"",INDEX('×入力'!$A$1:$L$800,407+DC$3,1)&lt;&gt;""),1,0),0)</f>
        <v/>
      </c>
      <c r="DD35">
        <f>IF(DD$4=1,IF(OR(INDEX('×入力'!$A$1:$L$800,407+DD$3,2+DD$2)&lt;&gt;"",INDEX('×入力'!$A$1:$L$800,406,2+DD$2)&lt;&gt;"",INDEX('×入力'!$A$1:$L$800,407+DD$3,1)&lt;&gt;""),1,0),0)</f>
        <v/>
      </c>
      <c r="DE35">
        <f>IF(DE$4=1,IF(OR(INDEX('×入力'!$A$1:$L$800,407+DE$3,2+DE$2)&lt;&gt;"",INDEX('×入力'!$A$1:$L$800,406,2+DE$2)&lt;&gt;"",INDEX('×入力'!$A$1:$L$800,407+DE$3,1)&lt;&gt;""),1,0),0)</f>
        <v/>
      </c>
      <c r="DF35">
        <f>IF(DF$4=1,IF(OR(INDEX('×入力'!$A$1:$L$800,407+DF$3,2+DF$2)&lt;&gt;"",INDEX('×入力'!$A$1:$L$800,406,2+DF$2)&lt;&gt;"",INDEX('×入力'!$A$1:$L$800,407+DF$3,1)&lt;&gt;""),1,0),0)</f>
        <v/>
      </c>
      <c r="DG35">
        <f>IF(DG$4=1,IF(OR(INDEX('×入力'!$A$1:$L$800,407+DG$3,2+DG$2)&lt;&gt;"",INDEX('×入力'!$A$1:$L$800,406,2+DG$2)&lt;&gt;"",INDEX('×入力'!$A$1:$L$800,407+DG$3,1)&lt;&gt;""),1,0),0)</f>
        <v/>
      </c>
      <c r="DH35">
        <f>IF(DH$4=1,IF(OR(INDEX('×入力'!$A$1:$L$800,407+DH$3,2+DH$2)&lt;&gt;"",INDEX('×入力'!$A$1:$L$800,406,2+DH$2)&lt;&gt;"",INDEX('×入力'!$A$1:$L$800,407+DH$3,1)&lt;&gt;""),1,0),0)</f>
        <v/>
      </c>
      <c r="DI35">
        <f>IF(DI$4=1,IF(OR(INDEX('×入力'!$A$1:$L$800,407+DI$3,2+DI$2)&lt;&gt;"",INDEX('×入力'!$A$1:$L$800,406,2+DI$2)&lt;&gt;"",INDEX('×入力'!$A$1:$L$800,407+DI$3,1)&lt;&gt;""),1,0),0)</f>
        <v/>
      </c>
      <c r="DJ35">
        <f>IF(DJ$4=1,IF(OR(INDEX('×入力'!$A$1:$L$800,407+DJ$3,2+DJ$2)&lt;&gt;"",INDEX('×入力'!$A$1:$L$800,406,2+DJ$2)&lt;&gt;"",INDEX('×入力'!$A$1:$L$800,407+DJ$3,1)&lt;&gt;""),1,0),0)</f>
        <v/>
      </c>
      <c r="DK35">
        <f>IF(DK$4=1,IF(OR(INDEX('×入力'!$A$1:$L$800,407+DK$3,2+DK$2)&lt;&gt;"",INDEX('×入力'!$A$1:$L$800,406,2+DK$2)&lt;&gt;"",INDEX('×入力'!$A$1:$L$800,407+DK$3,1)&lt;&gt;""),1,0),0)</f>
        <v/>
      </c>
      <c r="DL35">
        <f>IF(DL$4=1,IF(OR(INDEX('×入力'!$A$1:$L$800,407+DL$3,2+DL$2)&lt;&gt;"",INDEX('×入力'!$A$1:$L$800,406,2+DL$2)&lt;&gt;"",INDEX('×入力'!$A$1:$L$800,407+DL$3,1)&lt;&gt;""),1,0),0)</f>
        <v/>
      </c>
      <c r="DM35">
        <f>IF(DM$4=1,IF(OR(INDEX('×入力'!$A$1:$L$800,407+DM$3,2+DM$2)&lt;&gt;"",INDEX('×入力'!$A$1:$L$800,406,2+DM$2)&lt;&gt;"",INDEX('×入力'!$A$1:$L$800,407+DM$3,1)&lt;&gt;""),1,0),0)</f>
        <v/>
      </c>
      <c r="DN35">
        <f>IF(DN$4=1,IF(OR(INDEX('×入力'!$A$1:$L$800,407+DN$3,2+DN$2)&lt;&gt;"",INDEX('×入力'!$A$1:$L$800,406,2+DN$2)&lt;&gt;"",INDEX('×入力'!$A$1:$L$800,407+DN$3,1)&lt;&gt;""),1,0),0)</f>
        <v/>
      </c>
      <c r="DO35">
        <f>IF(DO$4=1,IF(OR(INDEX('×入力'!$A$1:$L$800,407+DO$3,2+DO$2)&lt;&gt;"",INDEX('×入力'!$A$1:$L$800,406,2+DO$2)&lt;&gt;"",INDEX('×入力'!$A$1:$L$800,407+DO$3,1)&lt;&gt;""),1,0),0)</f>
        <v/>
      </c>
      <c r="DP35">
        <f>IF(DP$4=1,IF(OR(INDEX('×入力'!$A$1:$L$800,407+DP$3,2+DP$2)&lt;&gt;"",INDEX('×入力'!$A$1:$L$800,406,2+DP$2)&lt;&gt;"",INDEX('×入力'!$A$1:$L$800,407+DP$3,1)&lt;&gt;""),1,0),0)</f>
        <v/>
      </c>
      <c r="DQ35">
        <f>IF(DQ$4=1,IF(OR(INDEX('×入力'!$A$1:$L$800,407+DQ$3,2+DQ$2)&lt;&gt;"",INDEX('×入力'!$A$1:$L$800,406,2+DQ$2)&lt;&gt;"",INDEX('×入力'!$A$1:$L$800,407+DQ$3,1)&lt;&gt;""),1,0),0)</f>
        <v/>
      </c>
      <c r="DR35">
        <f>IF(DR$4=1,IF(OR(INDEX('×入力'!$A$1:$L$800,407+DR$3,2+DR$2)&lt;&gt;"",INDEX('×入力'!$A$1:$L$800,406,2+DR$2)&lt;&gt;"",INDEX('×入力'!$A$1:$L$800,407+DR$3,1)&lt;&gt;""),1,0),0)</f>
        <v/>
      </c>
      <c r="DS35">
        <f>IF(DS$4=1,IF(OR(INDEX('×入力'!$A$1:$L$800,407+DS$3,2+DS$2)&lt;&gt;"",INDEX('×入力'!$A$1:$L$800,406,2+DS$2)&lt;&gt;"",INDEX('×入力'!$A$1:$L$800,407+DS$3,1)&lt;&gt;""),1,0),0)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IF(D$4=1,IF(OR(INDEX('×入力'!$A$1:$L$800,423+D$3,2+D$2)&lt;&gt;"",INDEX('×入力'!$A$1:$L$800,422,2+D$2)&lt;&gt;"",INDEX('×入力'!$A$1:$L$800,423+D$3,1)&lt;&gt;""),1,0),0)</f>
        <v/>
      </c>
      <c r="E36">
        <f>IF(E$4=1,IF(OR(INDEX('×入力'!$A$1:$L$800,423+E$3,2+E$2)&lt;&gt;"",INDEX('×入力'!$A$1:$L$800,422,2+E$2)&lt;&gt;"",INDEX('×入力'!$A$1:$L$800,423+E$3,1)&lt;&gt;""),1,0),0)</f>
        <v/>
      </c>
      <c r="F36">
        <f>IF(F$4=1,IF(OR(INDEX('×入力'!$A$1:$L$800,423+F$3,2+F$2)&lt;&gt;"",INDEX('×入力'!$A$1:$L$800,422,2+F$2)&lt;&gt;"",INDEX('×入力'!$A$1:$L$800,423+F$3,1)&lt;&gt;""),1,0),0)</f>
        <v/>
      </c>
      <c r="G36">
        <f>IF(G$4=1,IF(OR(INDEX('×入力'!$A$1:$L$800,423+G$3,2+G$2)&lt;&gt;"",INDEX('×入力'!$A$1:$L$800,422,2+G$2)&lt;&gt;"",INDEX('×入力'!$A$1:$L$800,423+G$3,1)&lt;&gt;""),1,0),0)</f>
        <v/>
      </c>
      <c r="H36">
        <f>IF(H$4=1,IF(OR(INDEX('×入力'!$A$1:$L$800,423+H$3,2+H$2)&lt;&gt;"",INDEX('×入力'!$A$1:$L$800,422,2+H$2)&lt;&gt;"",INDEX('×入力'!$A$1:$L$800,423+H$3,1)&lt;&gt;""),1,0),0)</f>
        <v/>
      </c>
      <c r="I36">
        <f>IF(I$4=1,IF(OR(INDEX('×入力'!$A$1:$L$800,423+I$3,2+I$2)&lt;&gt;"",INDEX('×入力'!$A$1:$L$800,422,2+I$2)&lt;&gt;"",INDEX('×入力'!$A$1:$L$800,423+I$3,1)&lt;&gt;""),1,0),0)</f>
        <v/>
      </c>
      <c r="J36">
        <f>IF(J$4=1,IF(OR(INDEX('×入力'!$A$1:$L$800,423+J$3,2+J$2)&lt;&gt;"",INDEX('×入力'!$A$1:$L$800,422,2+J$2)&lt;&gt;"",INDEX('×入力'!$A$1:$L$800,423+J$3,1)&lt;&gt;""),1,0),0)</f>
        <v/>
      </c>
      <c r="K36">
        <f>IF(K$4=1,IF(OR(INDEX('×入力'!$A$1:$L$800,423+K$3,2+K$2)&lt;&gt;"",INDEX('×入力'!$A$1:$L$800,422,2+K$2)&lt;&gt;"",INDEX('×入力'!$A$1:$L$800,423+K$3,1)&lt;&gt;""),1,0),0)</f>
        <v/>
      </c>
      <c r="L36">
        <f>IF(L$4=1,IF(OR(INDEX('×入力'!$A$1:$L$800,423+L$3,2+L$2)&lt;&gt;"",INDEX('×入力'!$A$1:$L$800,422,2+L$2)&lt;&gt;"",INDEX('×入力'!$A$1:$L$800,423+L$3,1)&lt;&gt;""),1,0),0)</f>
        <v/>
      </c>
      <c r="M36">
        <f>IF(M$4=1,IF(OR(INDEX('×入力'!$A$1:$L$800,423+M$3,2+M$2)&lt;&gt;"",INDEX('×入力'!$A$1:$L$800,422,2+M$2)&lt;&gt;"",INDEX('×入力'!$A$1:$L$800,423+M$3,1)&lt;&gt;""),1,0),0)</f>
        <v/>
      </c>
      <c r="N36">
        <f>IF(N$4=1,IF(OR(INDEX('×入力'!$A$1:$L$800,423+N$3,2+N$2)&lt;&gt;"",INDEX('×入力'!$A$1:$L$800,422,2+N$2)&lt;&gt;"",INDEX('×入力'!$A$1:$L$800,423+N$3,1)&lt;&gt;""),1,0),0)</f>
        <v/>
      </c>
      <c r="O36">
        <f>IF(O$4=1,IF(OR(INDEX('×入力'!$A$1:$L$800,423+O$3,2+O$2)&lt;&gt;"",INDEX('×入力'!$A$1:$L$800,422,2+O$2)&lt;&gt;"",INDEX('×入力'!$A$1:$L$800,423+O$3,1)&lt;&gt;""),1,0),0)</f>
        <v/>
      </c>
      <c r="P36">
        <f>IF(P$4=1,IF(OR(INDEX('×入力'!$A$1:$L$800,423+P$3,2+P$2)&lt;&gt;"",INDEX('×入力'!$A$1:$L$800,422,2+P$2)&lt;&gt;"",INDEX('×入力'!$A$1:$L$800,423+P$3,1)&lt;&gt;""),1,0),0)</f>
        <v/>
      </c>
      <c r="Q36">
        <f>IF(Q$4=1,IF(OR(INDEX('×入力'!$A$1:$L$800,423+Q$3,2+Q$2)&lt;&gt;"",INDEX('×入力'!$A$1:$L$800,422,2+Q$2)&lt;&gt;"",INDEX('×入力'!$A$1:$L$800,423+Q$3,1)&lt;&gt;""),1,0),0)</f>
        <v/>
      </c>
      <c r="R36">
        <f>IF(R$4=1,IF(OR(INDEX('×入力'!$A$1:$L$800,423+R$3,2+R$2)&lt;&gt;"",INDEX('×入力'!$A$1:$L$800,422,2+R$2)&lt;&gt;"",INDEX('×入力'!$A$1:$L$800,423+R$3,1)&lt;&gt;""),1,0),0)</f>
        <v/>
      </c>
      <c r="S36">
        <f>IF(S$4=1,IF(OR(INDEX('×入力'!$A$1:$L$800,423+S$3,2+S$2)&lt;&gt;"",INDEX('×入力'!$A$1:$L$800,422,2+S$2)&lt;&gt;"",INDEX('×入力'!$A$1:$L$800,423+S$3,1)&lt;&gt;""),1,0),0)</f>
        <v/>
      </c>
      <c r="T36">
        <f>IF(T$4=1,IF(OR(INDEX('×入力'!$A$1:$L$800,423+T$3,2+T$2)&lt;&gt;"",INDEX('×入力'!$A$1:$L$800,422,2+T$2)&lt;&gt;"",INDEX('×入力'!$A$1:$L$800,423+T$3,1)&lt;&gt;""),1,0),0)</f>
        <v/>
      </c>
      <c r="U36">
        <f>IF(U$4=1,IF(OR(INDEX('×入力'!$A$1:$L$800,423+U$3,2+U$2)&lt;&gt;"",INDEX('×入力'!$A$1:$L$800,422,2+U$2)&lt;&gt;"",INDEX('×入力'!$A$1:$L$800,423+U$3,1)&lt;&gt;""),1,0),0)</f>
        <v/>
      </c>
      <c r="V36">
        <f>IF(V$4=1,IF(OR(INDEX('×入力'!$A$1:$L$800,423+V$3,2+V$2)&lt;&gt;"",INDEX('×入力'!$A$1:$L$800,422,2+V$2)&lt;&gt;"",INDEX('×入力'!$A$1:$L$800,423+V$3,1)&lt;&gt;""),1,0),0)</f>
        <v/>
      </c>
      <c r="W36">
        <f>IF(W$4=1,IF(OR(INDEX('×入力'!$A$1:$L$800,423+W$3,2+W$2)&lt;&gt;"",INDEX('×入力'!$A$1:$L$800,422,2+W$2)&lt;&gt;"",INDEX('×入力'!$A$1:$L$800,423+W$3,1)&lt;&gt;""),1,0),0)</f>
        <v/>
      </c>
      <c r="X36">
        <f>IF(X$4=1,IF(OR(INDEX('×入力'!$A$1:$L$800,423+X$3,2+X$2)&lt;&gt;"",INDEX('×入力'!$A$1:$L$800,422,2+X$2)&lt;&gt;"",INDEX('×入力'!$A$1:$L$800,423+X$3,1)&lt;&gt;""),1,0),0)</f>
        <v/>
      </c>
      <c r="Y36">
        <f>IF(Y$4=1,IF(OR(INDEX('×入力'!$A$1:$L$800,423+Y$3,2+Y$2)&lt;&gt;"",INDEX('×入力'!$A$1:$L$800,422,2+Y$2)&lt;&gt;"",INDEX('×入力'!$A$1:$L$800,423+Y$3,1)&lt;&gt;""),1,0),0)</f>
        <v/>
      </c>
      <c r="Z36">
        <f>IF(Z$4=1,IF(OR(INDEX('×入力'!$A$1:$L$800,423+Z$3,2+Z$2)&lt;&gt;"",INDEX('×入力'!$A$1:$L$800,422,2+Z$2)&lt;&gt;"",INDEX('×入力'!$A$1:$L$800,423+Z$3,1)&lt;&gt;""),1,0),0)</f>
        <v/>
      </c>
      <c r="AA36">
        <f>IF(AA$4=1,IF(OR(INDEX('×入力'!$A$1:$L$800,423+AA$3,2+AA$2)&lt;&gt;"",INDEX('×入力'!$A$1:$L$800,422,2+AA$2)&lt;&gt;"",INDEX('×入力'!$A$1:$L$800,423+AA$3,1)&lt;&gt;""),1,0),0)</f>
        <v/>
      </c>
      <c r="AB36">
        <f>IF(AB$4=1,IF(OR(INDEX('×入力'!$A$1:$L$800,423+AB$3,2+AB$2)&lt;&gt;"",INDEX('×入力'!$A$1:$L$800,422,2+AB$2)&lt;&gt;"",INDEX('×入力'!$A$1:$L$800,423+AB$3,1)&lt;&gt;""),1,0),0)</f>
        <v/>
      </c>
      <c r="AC36">
        <f>IF(AC$4=1,IF(OR(INDEX('×入力'!$A$1:$L$800,423+AC$3,2+AC$2)&lt;&gt;"",INDEX('×入力'!$A$1:$L$800,422,2+AC$2)&lt;&gt;"",INDEX('×入力'!$A$1:$L$800,423+AC$3,1)&lt;&gt;""),1,0),0)</f>
        <v/>
      </c>
      <c r="AD36">
        <f>IF(AD$4=1,IF(OR(INDEX('×入力'!$A$1:$L$800,423+AD$3,2+AD$2)&lt;&gt;"",INDEX('×入力'!$A$1:$L$800,422,2+AD$2)&lt;&gt;"",INDEX('×入力'!$A$1:$L$800,423+AD$3,1)&lt;&gt;""),1,0),0)</f>
        <v/>
      </c>
      <c r="AE36">
        <f>IF(AE$4=1,IF(OR(INDEX('×入力'!$A$1:$L$800,423+AE$3,2+AE$2)&lt;&gt;"",INDEX('×入力'!$A$1:$L$800,422,2+AE$2)&lt;&gt;"",INDEX('×入力'!$A$1:$L$800,423+AE$3,1)&lt;&gt;""),1,0),0)</f>
        <v/>
      </c>
      <c r="AF36">
        <f>IF(AF$4=1,IF(OR(INDEX('×入力'!$A$1:$L$800,423+AF$3,2+AF$2)&lt;&gt;"",INDEX('×入力'!$A$1:$L$800,422,2+AF$2)&lt;&gt;"",INDEX('×入力'!$A$1:$L$800,423+AF$3,1)&lt;&gt;""),1,0),0)</f>
        <v/>
      </c>
      <c r="AG36">
        <f>IF(AG$4=1,IF(OR(INDEX('×入力'!$A$1:$L$800,423+AG$3,2+AG$2)&lt;&gt;"",INDEX('×入力'!$A$1:$L$800,422,2+AG$2)&lt;&gt;"",INDEX('×入力'!$A$1:$L$800,423+AG$3,1)&lt;&gt;""),1,0),0)</f>
        <v/>
      </c>
      <c r="AH36">
        <f>IF(AH$4=1,IF(OR(INDEX('×入力'!$A$1:$L$800,423+AH$3,2+AH$2)&lt;&gt;"",INDEX('×入力'!$A$1:$L$800,422,2+AH$2)&lt;&gt;"",INDEX('×入力'!$A$1:$L$800,423+AH$3,1)&lt;&gt;""),1,0),0)</f>
        <v/>
      </c>
      <c r="AI36">
        <f>IF(AI$4=1,IF(OR(INDEX('×入力'!$A$1:$L$800,423+AI$3,2+AI$2)&lt;&gt;"",INDEX('×入力'!$A$1:$L$800,422,2+AI$2)&lt;&gt;"",INDEX('×入力'!$A$1:$L$800,423+AI$3,1)&lt;&gt;""),1,0),0)</f>
        <v/>
      </c>
      <c r="AJ36">
        <f>IF(AJ$4=1,IF(OR(INDEX('×入力'!$A$1:$L$800,423+AJ$3,2+AJ$2)&lt;&gt;"",INDEX('×入力'!$A$1:$L$800,422,2+AJ$2)&lt;&gt;"",INDEX('×入力'!$A$1:$L$800,423+AJ$3,1)&lt;&gt;""),1,0),0)</f>
        <v/>
      </c>
      <c r="AK36">
        <f>IF(AK$4=1,IF(OR(INDEX('×入力'!$A$1:$L$800,423+AK$3,2+AK$2)&lt;&gt;"",INDEX('×入力'!$A$1:$L$800,422,2+AK$2)&lt;&gt;"",INDEX('×入力'!$A$1:$L$800,423+AK$3,1)&lt;&gt;""),1,0),0)</f>
        <v/>
      </c>
      <c r="AL36">
        <f>IF(AL$4=1,IF(OR(INDEX('×入力'!$A$1:$L$800,423+AL$3,2+AL$2)&lt;&gt;"",INDEX('×入力'!$A$1:$L$800,422,2+AL$2)&lt;&gt;"",INDEX('×入力'!$A$1:$L$800,423+AL$3,1)&lt;&gt;""),1,0),0)</f>
        <v/>
      </c>
      <c r="AM36">
        <f>IF(AM$4=1,IF(OR(INDEX('×入力'!$A$1:$L$800,423+AM$3,2+AM$2)&lt;&gt;"",INDEX('×入力'!$A$1:$L$800,422,2+AM$2)&lt;&gt;"",INDEX('×入力'!$A$1:$L$800,423+AM$3,1)&lt;&gt;""),1,0),0)</f>
        <v/>
      </c>
      <c r="AN36">
        <f>IF(AN$4=1,IF(OR(INDEX('×入力'!$A$1:$L$800,423+AN$3,2+AN$2)&lt;&gt;"",INDEX('×入力'!$A$1:$L$800,422,2+AN$2)&lt;&gt;"",INDEX('×入力'!$A$1:$L$800,423+AN$3,1)&lt;&gt;""),1,0),0)</f>
        <v/>
      </c>
      <c r="AO36">
        <f>IF(AO$4=1,IF(OR(INDEX('×入力'!$A$1:$L$800,423+AO$3,2+AO$2)&lt;&gt;"",INDEX('×入力'!$A$1:$L$800,422,2+AO$2)&lt;&gt;"",INDEX('×入力'!$A$1:$L$800,423+AO$3,1)&lt;&gt;""),1,0),0)</f>
        <v/>
      </c>
      <c r="AP36">
        <f>IF(AP$4=1,IF(OR(INDEX('×入力'!$A$1:$L$800,423+AP$3,2+AP$2)&lt;&gt;"",INDEX('×入力'!$A$1:$L$800,422,2+AP$2)&lt;&gt;"",INDEX('×入力'!$A$1:$L$800,423+AP$3,1)&lt;&gt;""),1,0),0)</f>
        <v/>
      </c>
      <c r="AQ36">
        <f>IF(AQ$4=1,IF(OR(INDEX('×入力'!$A$1:$L$800,423+AQ$3,2+AQ$2)&lt;&gt;"",INDEX('×入力'!$A$1:$L$800,422,2+AQ$2)&lt;&gt;"",INDEX('×入力'!$A$1:$L$800,423+AQ$3,1)&lt;&gt;""),1,0),0)</f>
        <v/>
      </c>
      <c r="AR36">
        <f>IF(AR$4=1,IF(OR(INDEX('×入力'!$A$1:$L$800,423+AR$3,2+AR$2)&lt;&gt;"",INDEX('×入力'!$A$1:$L$800,422,2+AR$2)&lt;&gt;"",INDEX('×入力'!$A$1:$L$800,423+AR$3,1)&lt;&gt;""),1,0),0)</f>
        <v/>
      </c>
      <c r="AS36">
        <f>IF(AS$4=1,IF(OR(INDEX('×入力'!$A$1:$L$800,423+AS$3,2+AS$2)&lt;&gt;"",INDEX('×入力'!$A$1:$L$800,422,2+AS$2)&lt;&gt;"",INDEX('×入力'!$A$1:$L$800,423+AS$3,1)&lt;&gt;""),1,0),0)</f>
        <v/>
      </c>
      <c r="AT36">
        <f>IF(AT$4=1,IF(OR(INDEX('×入力'!$A$1:$L$800,423+AT$3,2+AT$2)&lt;&gt;"",INDEX('×入力'!$A$1:$L$800,422,2+AT$2)&lt;&gt;"",INDEX('×入力'!$A$1:$L$800,423+AT$3,1)&lt;&gt;""),1,0),0)</f>
        <v/>
      </c>
      <c r="AU36">
        <f>IF(AU$4=1,IF(OR(INDEX('×入力'!$A$1:$L$800,423+AU$3,2+AU$2)&lt;&gt;"",INDEX('×入力'!$A$1:$L$800,422,2+AU$2)&lt;&gt;"",INDEX('×入力'!$A$1:$L$800,423+AU$3,1)&lt;&gt;""),1,0),0)</f>
        <v/>
      </c>
      <c r="AV36">
        <f>IF(AV$4=1,IF(OR(INDEX('×入力'!$A$1:$L$800,423+AV$3,2+AV$2)&lt;&gt;"",INDEX('×入力'!$A$1:$L$800,422,2+AV$2)&lt;&gt;"",INDEX('×入力'!$A$1:$L$800,423+AV$3,1)&lt;&gt;""),1,0),0)</f>
        <v/>
      </c>
      <c r="AW36">
        <f>IF(AW$4=1,IF(OR(INDEX('×入力'!$A$1:$L$800,423+AW$3,2+AW$2)&lt;&gt;"",INDEX('×入力'!$A$1:$L$800,422,2+AW$2)&lt;&gt;"",INDEX('×入力'!$A$1:$L$800,423+AW$3,1)&lt;&gt;""),1,0),0)</f>
        <v/>
      </c>
      <c r="AX36">
        <f>IF(AX$4=1,IF(OR(INDEX('×入力'!$A$1:$L$800,423+AX$3,2+AX$2)&lt;&gt;"",INDEX('×入力'!$A$1:$L$800,422,2+AX$2)&lt;&gt;"",INDEX('×入力'!$A$1:$L$800,423+AX$3,1)&lt;&gt;""),1,0),0)</f>
        <v/>
      </c>
      <c r="AY36">
        <f>IF(AY$4=1,IF(OR(INDEX('×入力'!$A$1:$L$800,423+AY$3,2+AY$2)&lt;&gt;"",INDEX('×入力'!$A$1:$L$800,422,2+AY$2)&lt;&gt;"",INDEX('×入力'!$A$1:$L$800,423+AY$3,1)&lt;&gt;""),1,0),0)</f>
        <v/>
      </c>
      <c r="AZ36">
        <f>IF(AZ$4=1,IF(OR(INDEX('×入力'!$A$1:$L$800,423+AZ$3,2+AZ$2)&lt;&gt;"",INDEX('×入力'!$A$1:$L$800,422,2+AZ$2)&lt;&gt;"",INDEX('×入力'!$A$1:$L$800,423+AZ$3,1)&lt;&gt;""),1,0),0)</f>
        <v/>
      </c>
      <c r="BA36">
        <f>IF(BA$4=1,IF(OR(INDEX('×入力'!$A$1:$L$800,423+BA$3,2+BA$2)&lt;&gt;"",INDEX('×入力'!$A$1:$L$800,422,2+BA$2)&lt;&gt;"",INDEX('×入力'!$A$1:$L$800,423+BA$3,1)&lt;&gt;""),1,0),0)</f>
        <v/>
      </c>
      <c r="BB36">
        <f>IF(BB$4=1,IF(OR(INDEX('×入力'!$A$1:$L$800,423+BB$3,2+BB$2)&lt;&gt;"",INDEX('×入力'!$A$1:$L$800,422,2+BB$2)&lt;&gt;"",INDEX('×入力'!$A$1:$L$800,423+BB$3,1)&lt;&gt;""),1,0),0)</f>
        <v/>
      </c>
      <c r="BC36">
        <f>IF(BC$4=1,IF(OR(INDEX('×入力'!$A$1:$L$800,423+BC$3,2+BC$2)&lt;&gt;"",INDEX('×入力'!$A$1:$L$800,422,2+BC$2)&lt;&gt;"",INDEX('×入力'!$A$1:$L$800,423+BC$3,1)&lt;&gt;""),1,0),0)</f>
        <v/>
      </c>
      <c r="BD36">
        <f>IF(BD$4=1,IF(OR(INDEX('×入力'!$A$1:$L$800,423+BD$3,2+BD$2)&lt;&gt;"",INDEX('×入力'!$A$1:$L$800,422,2+BD$2)&lt;&gt;"",INDEX('×入力'!$A$1:$L$800,423+BD$3,1)&lt;&gt;""),1,0),0)</f>
        <v/>
      </c>
      <c r="BE36">
        <f>IF(BE$4=1,IF(OR(INDEX('×入力'!$A$1:$L$800,423+BE$3,2+BE$2)&lt;&gt;"",INDEX('×入力'!$A$1:$L$800,422,2+BE$2)&lt;&gt;"",INDEX('×入力'!$A$1:$L$800,423+BE$3,1)&lt;&gt;""),1,0),0)</f>
        <v/>
      </c>
      <c r="BF36">
        <f>IF(BF$4=1,IF(OR(INDEX('×入力'!$A$1:$L$800,423+BF$3,2+BF$2)&lt;&gt;"",INDEX('×入力'!$A$1:$L$800,422,2+BF$2)&lt;&gt;"",INDEX('×入力'!$A$1:$L$800,423+BF$3,1)&lt;&gt;""),1,0),0)</f>
        <v/>
      </c>
      <c r="BG36">
        <f>IF(BG$4=1,IF(OR(INDEX('×入力'!$A$1:$L$800,423+BG$3,2+BG$2)&lt;&gt;"",INDEX('×入力'!$A$1:$L$800,422,2+BG$2)&lt;&gt;"",INDEX('×入力'!$A$1:$L$800,423+BG$3,1)&lt;&gt;""),1,0),0)</f>
        <v/>
      </c>
      <c r="BH36">
        <f>IF(BH$4=1,IF(OR(INDEX('×入力'!$A$1:$L$800,423+BH$3,2+BH$2)&lt;&gt;"",INDEX('×入力'!$A$1:$L$800,422,2+BH$2)&lt;&gt;"",INDEX('×入力'!$A$1:$L$800,423+BH$3,1)&lt;&gt;""),1,0),0)</f>
        <v/>
      </c>
      <c r="BI36">
        <f>IF(BI$4=1,IF(OR(INDEX('×入力'!$A$1:$L$800,423+BI$3,2+BI$2)&lt;&gt;"",INDEX('×入力'!$A$1:$L$800,422,2+BI$2)&lt;&gt;"",INDEX('×入力'!$A$1:$L$800,423+BI$3,1)&lt;&gt;""),1,0),0)</f>
        <v/>
      </c>
      <c r="BJ36">
        <f>IF(BJ$4=1,IF(OR(INDEX('×入力'!$A$1:$L$800,423+BJ$3,2+BJ$2)&lt;&gt;"",INDEX('×入力'!$A$1:$L$800,422,2+BJ$2)&lt;&gt;"",INDEX('×入力'!$A$1:$L$800,423+BJ$3,1)&lt;&gt;""),1,0),0)</f>
        <v/>
      </c>
      <c r="BK36">
        <f>IF(BK$4=1,IF(OR(INDEX('×入力'!$A$1:$L$800,423+BK$3,2+BK$2)&lt;&gt;"",INDEX('×入力'!$A$1:$L$800,422,2+BK$2)&lt;&gt;"",INDEX('×入力'!$A$1:$L$800,423+BK$3,1)&lt;&gt;""),1,0),0)</f>
        <v/>
      </c>
      <c r="BL36">
        <f>IF(BL$4=1,IF(OR(INDEX('×入力'!$A$1:$L$800,423+BL$3,2+BL$2)&lt;&gt;"",INDEX('×入力'!$A$1:$L$800,422,2+BL$2)&lt;&gt;"",INDEX('×入力'!$A$1:$L$800,423+BL$3,1)&lt;&gt;""),1,0),0)</f>
        <v/>
      </c>
      <c r="BM36">
        <f>IF(BM$4=1,IF(OR(INDEX('×入力'!$A$1:$L$800,423+BM$3,2+BM$2)&lt;&gt;"",INDEX('×入力'!$A$1:$L$800,422,2+BM$2)&lt;&gt;"",INDEX('×入力'!$A$1:$L$800,423+BM$3,1)&lt;&gt;""),1,0),0)</f>
        <v/>
      </c>
      <c r="BN36">
        <f>IF(BN$4=1,IF(OR(INDEX('×入力'!$A$1:$L$800,423+BN$3,2+BN$2)&lt;&gt;"",INDEX('×入力'!$A$1:$L$800,422,2+BN$2)&lt;&gt;"",INDEX('×入力'!$A$1:$L$800,423+BN$3,1)&lt;&gt;""),1,0),0)</f>
        <v/>
      </c>
      <c r="BO36">
        <f>IF(BO$4=1,IF(OR(INDEX('×入力'!$A$1:$L$800,423+BO$3,2+BO$2)&lt;&gt;"",INDEX('×入力'!$A$1:$L$800,422,2+BO$2)&lt;&gt;"",INDEX('×入力'!$A$1:$L$800,423+BO$3,1)&lt;&gt;""),1,0),0)</f>
        <v/>
      </c>
      <c r="BP36">
        <f>IF(BP$4=1,IF(OR(INDEX('×入力'!$A$1:$L$800,423+BP$3,2+BP$2)&lt;&gt;"",INDEX('×入力'!$A$1:$L$800,422,2+BP$2)&lt;&gt;"",INDEX('×入力'!$A$1:$L$800,423+BP$3,1)&lt;&gt;""),1,0),0)</f>
        <v/>
      </c>
      <c r="BQ36">
        <f>IF(BQ$4=1,IF(OR(INDEX('×入力'!$A$1:$L$800,423+BQ$3,2+BQ$2)&lt;&gt;"",INDEX('×入力'!$A$1:$L$800,422,2+BQ$2)&lt;&gt;"",INDEX('×入力'!$A$1:$L$800,423+BQ$3,1)&lt;&gt;""),1,0),0)</f>
        <v/>
      </c>
      <c r="BR36">
        <f>IF(BR$4=1,IF(OR(INDEX('×入力'!$A$1:$L$800,423+BR$3,2+BR$2)&lt;&gt;"",INDEX('×入力'!$A$1:$L$800,422,2+BR$2)&lt;&gt;"",INDEX('×入力'!$A$1:$L$800,423+BR$3,1)&lt;&gt;""),1,0),0)</f>
        <v/>
      </c>
      <c r="BS36">
        <f>IF(BS$4=1,IF(OR(INDEX('×入力'!$A$1:$L$800,423+BS$3,2+BS$2)&lt;&gt;"",INDEX('×入力'!$A$1:$L$800,422,2+BS$2)&lt;&gt;"",INDEX('×入力'!$A$1:$L$800,423+BS$3,1)&lt;&gt;""),1,0),0)</f>
        <v/>
      </c>
      <c r="BT36">
        <f>IF(BT$4=1,IF(OR(INDEX('×入力'!$A$1:$L$800,423+BT$3,2+BT$2)&lt;&gt;"",INDEX('×入力'!$A$1:$L$800,422,2+BT$2)&lt;&gt;"",INDEX('×入力'!$A$1:$L$800,423+BT$3,1)&lt;&gt;""),1,0),0)</f>
        <v/>
      </c>
      <c r="BU36">
        <f>IF(BU$4=1,IF(OR(INDEX('×入力'!$A$1:$L$800,423+BU$3,2+BU$2)&lt;&gt;"",INDEX('×入力'!$A$1:$L$800,422,2+BU$2)&lt;&gt;"",INDEX('×入力'!$A$1:$L$800,423+BU$3,1)&lt;&gt;""),1,0),0)</f>
        <v/>
      </c>
      <c r="BV36">
        <f>IF(BV$4=1,IF(OR(INDEX('×入力'!$A$1:$L$800,423+BV$3,2+BV$2)&lt;&gt;"",INDEX('×入力'!$A$1:$L$800,422,2+BV$2)&lt;&gt;"",INDEX('×入力'!$A$1:$L$800,423+BV$3,1)&lt;&gt;""),1,0),0)</f>
        <v/>
      </c>
      <c r="BW36">
        <f>IF(BW$4=1,IF(OR(INDEX('×入力'!$A$1:$L$800,423+BW$3,2+BW$2)&lt;&gt;"",INDEX('×入力'!$A$1:$L$800,422,2+BW$2)&lt;&gt;"",INDEX('×入力'!$A$1:$L$800,423+BW$3,1)&lt;&gt;""),1,0),0)</f>
        <v/>
      </c>
      <c r="BX36">
        <f>IF(BX$4=1,IF(OR(INDEX('×入力'!$A$1:$L$800,423+BX$3,2+BX$2)&lt;&gt;"",INDEX('×入力'!$A$1:$L$800,422,2+BX$2)&lt;&gt;"",INDEX('×入力'!$A$1:$L$800,423+BX$3,1)&lt;&gt;""),1,0),0)</f>
        <v/>
      </c>
      <c r="BY36">
        <f>IF(BY$4=1,IF(OR(INDEX('×入力'!$A$1:$L$800,423+BY$3,2+BY$2)&lt;&gt;"",INDEX('×入力'!$A$1:$L$800,422,2+BY$2)&lt;&gt;"",INDEX('×入力'!$A$1:$L$800,423+BY$3,1)&lt;&gt;""),1,0),0)</f>
        <v/>
      </c>
      <c r="BZ36">
        <f>IF(BZ$4=1,IF(OR(INDEX('×入力'!$A$1:$L$800,423+BZ$3,2+BZ$2)&lt;&gt;"",INDEX('×入力'!$A$1:$L$800,422,2+BZ$2)&lt;&gt;"",INDEX('×入力'!$A$1:$L$800,423+BZ$3,1)&lt;&gt;""),1,0),0)</f>
        <v/>
      </c>
      <c r="CA36">
        <f>IF(CA$4=1,IF(OR(INDEX('×入力'!$A$1:$L$800,423+CA$3,2+CA$2)&lt;&gt;"",INDEX('×入力'!$A$1:$L$800,422,2+CA$2)&lt;&gt;"",INDEX('×入力'!$A$1:$L$800,423+CA$3,1)&lt;&gt;""),1,0),0)</f>
        <v/>
      </c>
      <c r="CB36">
        <f>IF(CB$4=1,IF(OR(INDEX('×入力'!$A$1:$L$800,423+CB$3,2+CB$2)&lt;&gt;"",INDEX('×入力'!$A$1:$L$800,422,2+CB$2)&lt;&gt;"",INDEX('×入力'!$A$1:$L$800,423+CB$3,1)&lt;&gt;""),1,0),0)</f>
        <v/>
      </c>
      <c r="CC36">
        <f>IF(CC$4=1,IF(OR(INDEX('×入力'!$A$1:$L$800,423+CC$3,2+CC$2)&lt;&gt;"",INDEX('×入力'!$A$1:$L$800,422,2+CC$2)&lt;&gt;"",INDEX('×入力'!$A$1:$L$800,423+CC$3,1)&lt;&gt;""),1,0),0)</f>
        <v/>
      </c>
      <c r="CD36">
        <f>IF(CD$4=1,IF(OR(INDEX('×入力'!$A$1:$L$800,423+CD$3,2+CD$2)&lt;&gt;"",INDEX('×入力'!$A$1:$L$800,422,2+CD$2)&lt;&gt;"",INDEX('×入力'!$A$1:$L$800,423+CD$3,1)&lt;&gt;""),1,0),0)</f>
        <v/>
      </c>
      <c r="CE36">
        <f>IF(CE$4=1,IF(OR(INDEX('×入力'!$A$1:$L$800,423+CE$3,2+CE$2)&lt;&gt;"",INDEX('×入力'!$A$1:$L$800,422,2+CE$2)&lt;&gt;"",INDEX('×入力'!$A$1:$L$800,423+CE$3,1)&lt;&gt;""),1,0),0)</f>
        <v/>
      </c>
      <c r="CF36">
        <f>IF(CF$4=1,IF(OR(INDEX('×入力'!$A$1:$L$800,423+CF$3,2+CF$2)&lt;&gt;"",INDEX('×入力'!$A$1:$L$800,422,2+CF$2)&lt;&gt;"",INDEX('×入力'!$A$1:$L$800,423+CF$3,1)&lt;&gt;""),1,0),0)</f>
        <v/>
      </c>
      <c r="CG36">
        <f>IF(CG$4=1,IF(OR(INDEX('×入力'!$A$1:$L$800,423+CG$3,2+CG$2)&lt;&gt;"",INDEX('×入力'!$A$1:$L$800,422,2+CG$2)&lt;&gt;"",INDEX('×入力'!$A$1:$L$800,423+CG$3,1)&lt;&gt;""),1,0),0)</f>
        <v/>
      </c>
      <c r="CH36">
        <f>IF(CH$4=1,IF(OR(INDEX('×入力'!$A$1:$L$800,423+CH$3,2+CH$2)&lt;&gt;"",INDEX('×入力'!$A$1:$L$800,422,2+CH$2)&lt;&gt;"",INDEX('×入力'!$A$1:$L$800,423+CH$3,1)&lt;&gt;""),1,0),0)</f>
        <v/>
      </c>
      <c r="CI36">
        <f>IF(CI$4=1,IF(OR(INDEX('×入力'!$A$1:$L$800,423+CI$3,2+CI$2)&lt;&gt;"",INDEX('×入力'!$A$1:$L$800,422,2+CI$2)&lt;&gt;"",INDEX('×入力'!$A$1:$L$800,423+CI$3,1)&lt;&gt;""),1,0),0)</f>
        <v/>
      </c>
      <c r="CJ36">
        <f>IF(CJ$4=1,IF(OR(INDEX('×入力'!$A$1:$L$800,423+CJ$3,2+CJ$2)&lt;&gt;"",INDEX('×入力'!$A$1:$L$800,422,2+CJ$2)&lt;&gt;"",INDEX('×入力'!$A$1:$L$800,423+CJ$3,1)&lt;&gt;""),1,0),0)</f>
        <v/>
      </c>
      <c r="CK36">
        <f>IF(CK$4=1,IF(OR(INDEX('×入力'!$A$1:$L$800,423+CK$3,2+CK$2)&lt;&gt;"",INDEX('×入力'!$A$1:$L$800,422,2+CK$2)&lt;&gt;"",INDEX('×入力'!$A$1:$L$800,423+CK$3,1)&lt;&gt;""),1,0),0)</f>
        <v/>
      </c>
      <c r="CL36">
        <f>IF(CL$4=1,IF(OR(INDEX('×入力'!$A$1:$L$800,423+CL$3,2+CL$2)&lt;&gt;"",INDEX('×入力'!$A$1:$L$800,422,2+CL$2)&lt;&gt;"",INDEX('×入力'!$A$1:$L$800,423+CL$3,1)&lt;&gt;""),1,0),0)</f>
        <v/>
      </c>
      <c r="CM36">
        <f>IF(CM$4=1,IF(OR(INDEX('×入力'!$A$1:$L$800,423+CM$3,2+CM$2)&lt;&gt;"",INDEX('×入力'!$A$1:$L$800,422,2+CM$2)&lt;&gt;"",INDEX('×入力'!$A$1:$L$800,423+CM$3,1)&lt;&gt;""),1,0),0)</f>
        <v/>
      </c>
      <c r="CN36">
        <f>IF(CN$4=1,IF(OR(INDEX('×入力'!$A$1:$L$800,423+CN$3,2+CN$2)&lt;&gt;"",INDEX('×入力'!$A$1:$L$800,422,2+CN$2)&lt;&gt;"",INDEX('×入力'!$A$1:$L$800,423+CN$3,1)&lt;&gt;""),1,0),0)</f>
        <v/>
      </c>
      <c r="CO36">
        <f>IF(CO$4=1,IF(OR(INDEX('×入力'!$A$1:$L$800,423+CO$3,2+CO$2)&lt;&gt;"",INDEX('×入力'!$A$1:$L$800,422,2+CO$2)&lt;&gt;"",INDEX('×入力'!$A$1:$L$800,423+CO$3,1)&lt;&gt;""),1,0),0)</f>
        <v/>
      </c>
      <c r="CP36">
        <f>IF(CP$4=1,IF(OR(INDEX('×入力'!$A$1:$L$800,423+CP$3,2+CP$2)&lt;&gt;"",INDEX('×入力'!$A$1:$L$800,422,2+CP$2)&lt;&gt;"",INDEX('×入力'!$A$1:$L$800,423+CP$3,1)&lt;&gt;""),1,0),0)</f>
        <v/>
      </c>
      <c r="CQ36">
        <f>IF(CQ$4=1,IF(OR(INDEX('×入力'!$A$1:$L$800,423+CQ$3,2+CQ$2)&lt;&gt;"",INDEX('×入力'!$A$1:$L$800,422,2+CQ$2)&lt;&gt;"",INDEX('×入力'!$A$1:$L$800,423+CQ$3,1)&lt;&gt;""),1,0),0)</f>
        <v/>
      </c>
      <c r="CR36">
        <f>IF(CR$4=1,IF(OR(INDEX('×入力'!$A$1:$L$800,423+CR$3,2+CR$2)&lt;&gt;"",INDEX('×入力'!$A$1:$L$800,422,2+CR$2)&lt;&gt;"",INDEX('×入力'!$A$1:$L$800,423+CR$3,1)&lt;&gt;""),1,0),0)</f>
        <v/>
      </c>
      <c r="CS36">
        <f>IF(CS$4=1,IF(OR(INDEX('×入力'!$A$1:$L$800,423+CS$3,2+CS$2)&lt;&gt;"",INDEX('×入力'!$A$1:$L$800,422,2+CS$2)&lt;&gt;"",INDEX('×入力'!$A$1:$L$800,423+CS$3,1)&lt;&gt;""),1,0),0)</f>
        <v/>
      </c>
      <c r="CT36">
        <f>IF(CT$4=1,IF(OR(INDEX('×入力'!$A$1:$L$800,423+CT$3,2+CT$2)&lt;&gt;"",INDEX('×入力'!$A$1:$L$800,422,2+CT$2)&lt;&gt;"",INDEX('×入力'!$A$1:$L$800,423+CT$3,1)&lt;&gt;""),1,0),0)</f>
        <v/>
      </c>
      <c r="CU36">
        <f>IF(CU$4=1,IF(OR(INDEX('×入力'!$A$1:$L$800,423+CU$3,2+CU$2)&lt;&gt;"",INDEX('×入力'!$A$1:$L$800,422,2+CU$2)&lt;&gt;"",INDEX('×入力'!$A$1:$L$800,423+CU$3,1)&lt;&gt;""),1,0),0)</f>
        <v/>
      </c>
      <c r="CV36">
        <f>IF(CV$4=1,IF(OR(INDEX('×入力'!$A$1:$L$800,423+CV$3,2+CV$2)&lt;&gt;"",INDEX('×入力'!$A$1:$L$800,422,2+CV$2)&lt;&gt;"",INDEX('×入力'!$A$1:$L$800,423+CV$3,1)&lt;&gt;""),1,0),0)</f>
        <v/>
      </c>
      <c r="CW36">
        <f>IF(CW$4=1,IF(OR(INDEX('×入力'!$A$1:$L$800,423+CW$3,2+CW$2)&lt;&gt;"",INDEX('×入力'!$A$1:$L$800,422,2+CW$2)&lt;&gt;"",INDEX('×入力'!$A$1:$L$800,423+CW$3,1)&lt;&gt;""),1,0),0)</f>
        <v/>
      </c>
      <c r="CX36">
        <f>IF(CX$4=1,IF(OR(INDEX('×入力'!$A$1:$L$800,423+CX$3,2+CX$2)&lt;&gt;"",INDEX('×入力'!$A$1:$L$800,422,2+CX$2)&lt;&gt;"",INDEX('×入力'!$A$1:$L$800,423+CX$3,1)&lt;&gt;""),1,0),0)</f>
        <v/>
      </c>
      <c r="CY36">
        <f>IF(CY$4=1,IF(OR(INDEX('×入力'!$A$1:$L$800,423+CY$3,2+CY$2)&lt;&gt;"",INDEX('×入力'!$A$1:$L$800,422,2+CY$2)&lt;&gt;"",INDEX('×入力'!$A$1:$L$800,423+CY$3,1)&lt;&gt;""),1,0),0)</f>
        <v/>
      </c>
      <c r="CZ36">
        <f>IF(CZ$4=1,IF(OR(INDEX('×入力'!$A$1:$L$800,423+CZ$3,2+CZ$2)&lt;&gt;"",INDEX('×入力'!$A$1:$L$800,422,2+CZ$2)&lt;&gt;"",INDEX('×入力'!$A$1:$L$800,423+CZ$3,1)&lt;&gt;""),1,0),0)</f>
        <v/>
      </c>
      <c r="DA36">
        <f>IF(DA$4=1,IF(OR(INDEX('×入力'!$A$1:$L$800,423+DA$3,2+DA$2)&lt;&gt;"",INDEX('×入力'!$A$1:$L$800,422,2+DA$2)&lt;&gt;"",INDEX('×入力'!$A$1:$L$800,423+DA$3,1)&lt;&gt;""),1,0),0)</f>
        <v/>
      </c>
      <c r="DB36">
        <f>IF(DB$4=1,IF(OR(INDEX('×入力'!$A$1:$L$800,423+DB$3,2+DB$2)&lt;&gt;"",INDEX('×入力'!$A$1:$L$800,422,2+DB$2)&lt;&gt;"",INDEX('×入力'!$A$1:$L$800,423+DB$3,1)&lt;&gt;""),1,0),0)</f>
        <v/>
      </c>
      <c r="DC36">
        <f>IF(DC$4=1,IF(OR(INDEX('×入力'!$A$1:$L$800,423+DC$3,2+DC$2)&lt;&gt;"",INDEX('×入力'!$A$1:$L$800,422,2+DC$2)&lt;&gt;"",INDEX('×入力'!$A$1:$L$800,423+DC$3,1)&lt;&gt;""),1,0),0)</f>
        <v/>
      </c>
      <c r="DD36">
        <f>IF(DD$4=1,IF(OR(INDEX('×入力'!$A$1:$L$800,423+DD$3,2+DD$2)&lt;&gt;"",INDEX('×入力'!$A$1:$L$800,422,2+DD$2)&lt;&gt;"",INDEX('×入力'!$A$1:$L$800,423+DD$3,1)&lt;&gt;""),1,0),0)</f>
        <v/>
      </c>
      <c r="DE36">
        <f>IF(DE$4=1,IF(OR(INDEX('×入力'!$A$1:$L$800,423+DE$3,2+DE$2)&lt;&gt;"",INDEX('×入力'!$A$1:$L$800,422,2+DE$2)&lt;&gt;"",INDEX('×入力'!$A$1:$L$800,423+DE$3,1)&lt;&gt;""),1,0),0)</f>
        <v/>
      </c>
      <c r="DF36">
        <f>IF(DF$4=1,IF(OR(INDEX('×入力'!$A$1:$L$800,423+DF$3,2+DF$2)&lt;&gt;"",INDEX('×入力'!$A$1:$L$800,422,2+DF$2)&lt;&gt;"",INDEX('×入力'!$A$1:$L$800,423+DF$3,1)&lt;&gt;""),1,0),0)</f>
        <v/>
      </c>
      <c r="DG36">
        <f>IF(DG$4=1,IF(OR(INDEX('×入力'!$A$1:$L$800,423+DG$3,2+DG$2)&lt;&gt;"",INDEX('×入力'!$A$1:$L$800,422,2+DG$2)&lt;&gt;"",INDEX('×入力'!$A$1:$L$800,423+DG$3,1)&lt;&gt;""),1,0),0)</f>
        <v/>
      </c>
      <c r="DH36">
        <f>IF(DH$4=1,IF(OR(INDEX('×入力'!$A$1:$L$800,423+DH$3,2+DH$2)&lt;&gt;"",INDEX('×入力'!$A$1:$L$800,422,2+DH$2)&lt;&gt;"",INDEX('×入力'!$A$1:$L$800,423+DH$3,1)&lt;&gt;""),1,0),0)</f>
        <v/>
      </c>
      <c r="DI36">
        <f>IF(DI$4=1,IF(OR(INDEX('×入力'!$A$1:$L$800,423+DI$3,2+DI$2)&lt;&gt;"",INDEX('×入力'!$A$1:$L$800,422,2+DI$2)&lt;&gt;"",INDEX('×入力'!$A$1:$L$800,423+DI$3,1)&lt;&gt;""),1,0),0)</f>
        <v/>
      </c>
      <c r="DJ36">
        <f>IF(DJ$4=1,IF(OR(INDEX('×入力'!$A$1:$L$800,423+DJ$3,2+DJ$2)&lt;&gt;"",INDEX('×入力'!$A$1:$L$800,422,2+DJ$2)&lt;&gt;"",INDEX('×入力'!$A$1:$L$800,423+DJ$3,1)&lt;&gt;""),1,0),0)</f>
        <v/>
      </c>
      <c r="DK36">
        <f>IF(DK$4=1,IF(OR(INDEX('×入力'!$A$1:$L$800,423+DK$3,2+DK$2)&lt;&gt;"",INDEX('×入力'!$A$1:$L$800,422,2+DK$2)&lt;&gt;"",INDEX('×入力'!$A$1:$L$800,423+DK$3,1)&lt;&gt;""),1,0),0)</f>
        <v/>
      </c>
      <c r="DL36">
        <f>IF(DL$4=1,IF(OR(INDEX('×入力'!$A$1:$L$800,423+DL$3,2+DL$2)&lt;&gt;"",INDEX('×入力'!$A$1:$L$800,422,2+DL$2)&lt;&gt;"",INDEX('×入力'!$A$1:$L$800,423+DL$3,1)&lt;&gt;""),1,0),0)</f>
        <v/>
      </c>
      <c r="DM36">
        <f>IF(DM$4=1,IF(OR(INDEX('×入力'!$A$1:$L$800,423+DM$3,2+DM$2)&lt;&gt;"",INDEX('×入力'!$A$1:$L$800,422,2+DM$2)&lt;&gt;"",INDEX('×入力'!$A$1:$L$800,423+DM$3,1)&lt;&gt;""),1,0),0)</f>
        <v/>
      </c>
      <c r="DN36">
        <f>IF(DN$4=1,IF(OR(INDEX('×入力'!$A$1:$L$800,423+DN$3,2+DN$2)&lt;&gt;"",INDEX('×入力'!$A$1:$L$800,422,2+DN$2)&lt;&gt;"",INDEX('×入力'!$A$1:$L$800,423+DN$3,1)&lt;&gt;""),1,0),0)</f>
        <v/>
      </c>
      <c r="DO36">
        <f>IF(DO$4=1,IF(OR(INDEX('×入力'!$A$1:$L$800,423+DO$3,2+DO$2)&lt;&gt;"",INDEX('×入力'!$A$1:$L$800,422,2+DO$2)&lt;&gt;"",INDEX('×入力'!$A$1:$L$800,423+DO$3,1)&lt;&gt;""),1,0),0)</f>
        <v/>
      </c>
      <c r="DP36">
        <f>IF(DP$4=1,IF(OR(INDEX('×入力'!$A$1:$L$800,423+DP$3,2+DP$2)&lt;&gt;"",INDEX('×入力'!$A$1:$L$800,422,2+DP$2)&lt;&gt;"",INDEX('×入力'!$A$1:$L$800,423+DP$3,1)&lt;&gt;""),1,0),0)</f>
        <v/>
      </c>
      <c r="DQ36">
        <f>IF(DQ$4=1,IF(OR(INDEX('×入力'!$A$1:$L$800,423+DQ$3,2+DQ$2)&lt;&gt;"",INDEX('×入力'!$A$1:$L$800,422,2+DQ$2)&lt;&gt;"",INDEX('×入力'!$A$1:$L$800,423+DQ$3,1)&lt;&gt;""),1,0),0)</f>
        <v/>
      </c>
      <c r="DR36">
        <f>IF(DR$4=1,IF(OR(INDEX('×入力'!$A$1:$L$800,423+DR$3,2+DR$2)&lt;&gt;"",INDEX('×入力'!$A$1:$L$800,422,2+DR$2)&lt;&gt;"",INDEX('×入力'!$A$1:$L$800,423+DR$3,1)&lt;&gt;""),1,0),0)</f>
        <v/>
      </c>
      <c r="DS36">
        <f>IF(DS$4=1,IF(OR(INDEX('×入力'!$A$1:$L$800,423+DS$3,2+DS$2)&lt;&gt;"",INDEX('×入力'!$A$1:$L$800,422,2+DS$2)&lt;&gt;"",INDEX('×入力'!$A$1:$L$800,423+DS$3,1)&lt;&gt;""),1,0),0)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IF(D$4=1,IF(OR(INDEX('×入力'!$A$1:$L$800,439+D$3,2+D$2)&lt;&gt;"",INDEX('×入力'!$A$1:$L$800,438,2+D$2)&lt;&gt;"",INDEX('×入力'!$A$1:$L$800,439+D$3,1)&lt;&gt;""),1,0),0)</f>
        <v/>
      </c>
      <c r="E37">
        <f>IF(E$4=1,IF(OR(INDEX('×入力'!$A$1:$L$800,439+E$3,2+E$2)&lt;&gt;"",INDEX('×入力'!$A$1:$L$800,438,2+E$2)&lt;&gt;"",INDEX('×入力'!$A$1:$L$800,439+E$3,1)&lt;&gt;""),1,0),0)</f>
        <v/>
      </c>
      <c r="F37">
        <f>IF(F$4=1,IF(OR(INDEX('×入力'!$A$1:$L$800,439+F$3,2+F$2)&lt;&gt;"",INDEX('×入力'!$A$1:$L$800,438,2+F$2)&lt;&gt;"",INDEX('×入力'!$A$1:$L$800,439+F$3,1)&lt;&gt;""),1,0),0)</f>
        <v/>
      </c>
      <c r="G37">
        <f>IF(G$4=1,IF(OR(INDEX('×入力'!$A$1:$L$800,439+G$3,2+G$2)&lt;&gt;"",INDEX('×入力'!$A$1:$L$800,438,2+G$2)&lt;&gt;"",INDEX('×入力'!$A$1:$L$800,439+G$3,1)&lt;&gt;""),1,0),0)</f>
        <v/>
      </c>
      <c r="H37">
        <f>IF(H$4=1,IF(OR(INDEX('×入力'!$A$1:$L$800,439+H$3,2+H$2)&lt;&gt;"",INDEX('×入力'!$A$1:$L$800,438,2+H$2)&lt;&gt;"",INDEX('×入力'!$A$1:$L$800,439+H$3,1)&lt;&gt;""),1,0),0)</f>
        <v/>
      </c>
      <c r="I37">
        <f>IF(I$4=1,IF(OR(INDEX('×入力'!$A$1:$L$800,439+I$3,2+I$2)&lt;&gt;"",INDEX('×入力'!$A$1:$L$800,438,2+I$2)&lt;&gt;"",INDEX('×入力'!$A$1:$L$800,439+I$3,1)&lt;&gt;""),1,0),0)</f>
        <v/>
      </c>
      <c r="J37">
        <f>IF(J$4=1,IF(OR(INDEX('×入力'!$A$1:$L$800,439+J$3,2+J$2)&lt;&gt;"",INDEX('×入力'!$A$1:$L$800,438,2+J$2)&lt;&gt;"",INDEX('×入力'!$A$1:$L$800,439+J$3,1)&lt;&gt;""),1,0),0)</f>
        <v/>
      </c>
      <c r="K37">
        <f>IF(K$4=1,IF(OR(INDEX('×入力'!$A$1:$L$800,439+K$3,2+K$2)&lt;&gt;"",INDEX('×入力'!$A$1:$L$800,438,2+K$2)&lt;&gt;"",INDEX('×入力'!$A$1:$L$800,439+K$3,1)&lt;&gt;""),1,0),0)</f>
        <v/>
      </c>
      <c r="L37">
        <f>IF(L$4=1,IF(OR(INDEX('×入力'!$A$1:$L$800,439+L$3,2+L$2)&lt;&gt;"",INDEX('×入力'!$A$1:$L$800,438,2+L$2)&lt;&gt;"",INDEX('×入力'!$A$1:$L$800,439+L$3,1)&lt;&gt;""),1,0),0)</f>
        <v/>
      </c>
      <c r="M37">
        <f>IF(M$4=1,IF(OR(INDEX('×入力'!$A$1:$L$800,439+M$3,2+M$2)&lt;&gt;"",INDEX('×入力'!$A$1:$L$800,438,2+M$2)&lt;&gt;"",INDEX('×入力'!$A$1:$L$800,439+M$3,1)&lt;&gt;""),1,0),0)</f>
        <v/>
      </c>
      <c r="N37">
        <f>IF(N$4=1,IF(OR(INDEX('×入力'!$A$1:$L$800,439+N$3,2+N$2)&lt;&gt;"",INDEX('×入力'!$A$1:$L$800,438,2+N$2)&lt;&gt;"",INDEX('×入力'!$A$1:$L$800,439+N$3,1)&lt;&gt;""),1,0),0)</f>
        <v/>
      </c>
      <c r="O37">
        <f>IF(O$4=1,IF(OR(INDEX('×入力'!$A$1:$L$800,439+O$3,2+O$2)&lt;&gt;"",INDEX('×入力'!$A$1:$L$800,438,2+O$2)&lt;&gt;"",INDEX('×入力'!$A$1:$L$800,439+O$3,1)&lt;&gt;""),1,0),0)</f>
        <v/>
      </c>
      <c r="P37">
        <f>IF(P$4=1,IF(OR(INDEX('×入力'!$A$1:$L$800,439+P$3,2+P$2)&lt;&gt;"",INDEX('×入力'!$A$1:$L$800,438,2+P$2)&lt;&gt;"",INDEX('×入力'!$A$1:$L$800,439+P$3,1)&lt;&gt;""),1,0),0)</f>
        <v/>
      </c>
      <c r="Q37">
        <f>IF(Q$4=1,IF(OR(INDEX('×入力'!$A$1:$L$800,439+Q$3,2+Q$2)&lt;&gt;"",INDEX('×入力'!$A$1:$L$800,438,2+Q$2)&lt;&gt;"",INDEX('×入力'!$A$1:$L$800,439+Q$3,1)&lt;&gt;""),1,0),0)</f>
        <v/>
      </c>
      <c r="R37">
        <f>IF(R$4=1,IF(OR(INDEX('×入力'!$A$1:$L$800,439+R$3,2+R$2)&lt;&gt;"",INDEX('×入力'!$A$1:$L$800,438,2+R$2)&lt;&gt;"",INDEX('×入力'!$A$1:$L$800,439+R$3,1)&lt;&gt;""),1,0),0)</f>
        <v/>
      </c>
      <c r="S37">
        <f>IF(S$4=1,IF(OR(INDEX('×入力'!$A$1:$L$800,439+S$3,2+S$2)&lt;&gt;"",INDEX('×入力'!$A$1:$L$800,438,2+S$2)&lt;&gt;"",INDEX('×入力'!$A$1:$L$800,439+S$3,1)&lt;&gt;""),1,0),0)</f>
        <v/>
      </c>
      <c r="T37">
        <f>IF(T$4=1,IF(OR(INDEX('×入力'!$A$1:$L$800,439+T$3,2+T$2)&lt;&gt;"",INDEX('×入力'!$A$1:$L$800,438,2+T$2)&lt;&gt;"",INDEX('×入力'!$A$1:$L$800,439+T$3,1)&lt;&gt;""),1,0),0)</f>
        <v/>
      </c>
      <c r="U37">
        <f>IF(U$4=1,IF(OR(INDEX('×入力'!$A$1:$L$800,439+U$3,2+U$2)&lt;&gt;"",INDEX('×入力'!$A$1:$L$800,438,2+U$2)&lt;&gt;"",INDEX('×入力'!$A$1:$L$800,439+U$3,1)&lt;&gt;""),1,0),0)</f>
        <v/>
      </c>
      <c r="V37">
        <f>IF(V$4=1,IF(OR(INDEX('×入力'!$A$1:$L$800,439+V$3,2+V$2)&lt;&gt;"",INDEX('×入力'!$A$1:$L$800,438,2+V$2)&lt;&gt;"",INDEX('×入力'!$A$1:$L$800,439+V$3,1)&lt;&gt;""),1,0),0)</f>
        <v/>
      </c>
      <c r="W37">
        <f>IF(W$4=1,IF(OR(INDEX('×入力'!$A$1:$L$800,439+W$3,2+W$2)&lt;&gt;"",INDEX('×入力'!$A$1:$L$800,438,2+W$2)&lt;&gt;"",INDEX('×入力'!$A$1:$L$800,439+W$3,1)&lt;&gt;""),1,0),0)</f>
        <v/>
      </c>
      <c r="X37">
        <f>IF(X$4=1,IF(OR(INDEX('×入力'!$A$1:$L$800,439+X$3,2+X$2)&lt;&gt;"",INDEX('×入力'!$A$1:$L$800,438,2+X$2)&lt;&gt;"",INDEX('×入力'!$A$1:$L$800,439+X$3,1)&lt;&gt;""),1,0),0)</f>
        <v/>
      </c>
      <c r="Y37">
        <f>IF(Y$4=1,IF(OR(INDEX('×入力'!$A$1:$L$800,439+Y$3,2+Y$2)&lt;&gt;"",INDEX('×入力'!$A$1:$L$800,438,2+Y$2)&lt;&gt;"",INDEX('×入力'!$A$1:$L$800,439+Y$3,1)&lt;&gt;""),1,0),0)</f>
        <v/>
      </c>
      <c r="Z37">
        <f>IF(Z$4=1,IF(OR(INDEX('×入力'!$A$1:$L$800,439+Z$3,2+Z$2)&lt;&gt;"",INDEX('×入力'!$A$1:$L$800,438,2+Z$2)&lt;&gt;"",INDEX('×入力'!$A$1:$L$800,439+Z$3,1)&lt;&gt;""),1,0),0)</f>
        <v/>
      </c>
      <c r="AA37">
        <f>IF(AA$4=1,IF(OR(INDEX('×入力'!$A$1:$L$800,439+AA$3,2+AA$2)&lt;&gt;"",INDEX('×入力'!$A$1:$L$800,438,2+AA$2)&lt;&gt;"",INDEX('×入力'!$A$1:$L$800,439+AA$3,1)&lt;&gt;""),1,0),0)</f>
        <v/>
      </c>
      <c r="AB37">
        <f>IF(AB$4=1,IF(OR(INDEX('×入力'!$A$1:$L$800,439+AB$3,2+AB$2)&lt;&gt;"",INDEX('×入力'!$A$1:$L$800,438,2+AB$2)&lt;&gt;"",INDEX('×入力'!$A$1:$L$800,439+AB$3,1)&lt;&gt;""),1,0),0)</f>
        <v/>
      </c>
      <c r="AC37">
        <f>IF(AC$4=1,IF(OR(INDEX('×入力'!$A$1:$L$800,439+AC$3,2+AC$2)&lt;&gt;"",INDEX('×入力'!$A$1:$L$800,438,2+AC$2)&lt;&gt;"",INDEX('×入力'!$A$1:$L$800,439+AC$3,1)&lt;&gt;""),1,0),0)</f>
        <v/>
      </c>
      <c r="AD37">
        <f>IF(AD$4=1,IF(OR(INDEX('×入力'!$A$1:$L$800,439+AD$3,2+AD$2)&lt;&gt;"",INDEX('×入力'!$A$1:$L$800,438,2+AD$2)&lt;&gt;"",INDEX('×入力'!$A$1:$L$800,439+AD$3,1)&lt;&gt;""),1,0),0)</f>
        <v/>
      </c>
      <c r="AE37">
        <f>IF(AE$4=1,IF(OR(INDEX('×入力'!$A$1:$L$800,439+AE$3,2+AE$2)&lt;&gt;"",INDEX('×入力'!$A$1:$L$800,438,2+AE$2)&lt;&gt;"",INDEX('×入力'!$A$1:$L$800,439+AE$3,1)&lt;&gt;""),1,0),0)</f>
        <v/>
      </c>
      <c r="AF37">
        <f>IF(AF$4=1,IF(OR(INDEX('×入力'!$A$1:$L$800,439+AF$3,2+AF$2)&lt;&gt;"",INDEX('×入力'!$A$1:$L$800,438,2+AF$2)&lt;&gt;"",INDEX('×入力'!$A$1:$L$800,439+AF$3,1)&lt;&gt;""),1,0),0)</f>
        <v/>
      </c>
      <c r="AG37">
        <f>IF(AG$4=1,IF(OR(INDEX('×入力'!$A$1:$L$800,439+AG$3,2+AG$2)&lt;&gt;"",INDEX('×入力'!$A$1:$L$800,438,2+AG$2)&lt;&gt;"",INDEX('×入力'!$A$1:$L$800,439+AG$3,1)&lt;&gt;""),1,0),0)</f>
        <v/>
      </c>
      <c r="AH37">
        <f>IF(AH$4=1,IF(OR(INDEX('×入力'!$A$1:$L$800,439+AH$3,2+AH$2)&lt;&gt;"",INDEX('×入力'!$A$1:$L$800,438,2+AH$2)&lt;&gt;"",INDEX('×入力'!$A$1:$L$800,439+AH$3,1)&lt;&gt;""),1,0),0)</f>
        <v/>
      </c>
      <c r="AI37">
        <f>IF(AI$4=1,IF(OR(INDEX('×入力'!$A$1:$L$800,439+AI$3,2+AI$2)&lt;&gt;"",INDEX('×入力'!$A$1:$L$800,438,2+AI$2)&lt;&gt;"",INDEX('×入力'!$A$1:$L$800,439+AI$3,1)&lt;&gt;""),1,0),0)</f>
        <v/>
      </c>
      <c r="AJ37">
        <f>IF(AJ$4=1,IF(OR(INDEX('×入力'!$A$1:$L$800,439+AJ$3,2+AJ$2)&lt;&gt;"",INDEX('×入力'!$A$1:$L$800,438,2+AJ$2)&lt;&gt;"",INDEX('×入力'!$A$1:$L$800,439+AJ$3,1)&lt;&gt;""),1,0),0)</f>
        <v/>
      </c>
      <c r="AK37">
        <f>IF(AK$4=1,IF(OR(INDEX('×入力'!$A$1:$L$800,439+AK$3,2+AK$2)&lt;&gt;"",INDEX('×入力'!$A$1:$L$800,438,2+AK$2)&lt;&gt;"",INDEX('×入力'!$A$1:$L$800,439+AK$3,1)&lt;&gt;""),1,0),0)</f>
        <v/>
      </c>
      <c r="AL37">
        <f>IF(AL$4=1,IF(OR(INDEX('×入力'!$A$1:$L$800,439+AL$3,2+AL$2)&lt;&gt;"",INDEX('×入力'!$A$1:$L$800,438,2+AL$2)&lt;&gt;"",INDEX('×入力'!$A$1:$L$800,439+AL$3,1)&lt;&gt;""),1,0),0)</f>
        <v/>
      </c>
      <c r="AM37">
        <f>IF(AM$4=1,IF(OR(INDEX('×入力'!$A$1:$L$800,439+AM$3,2+AM$2)&lt;&gt;"",INDEX('×入力'!$A$1:$L$800,438,2+AM$2)&lt;&gt;"",INDEX('×入力'!$A$1:$L$800,439+AM$3,1)&lt;&gt;""),1,0),0)</f>
        <v/>
      </c>
      <c r="AN37">
        <f>IF(AN$4=1,IF(OR(INDEX('×入力'!$A$1:$L$800,439+AN$3,2+AN$2)&lt;&gt;"",INDEX('×入力'!$A$1:$L$800,438,2+AN$2)&lt;&gt;"",INDEX('×入力'!$A$1:$L$800,439+AN$3,1)&lt;&gt;""),1,0),0)</f>
        <v/>
      </c>
      <c r="AO37">
        <f>IF(AO$4=1,IF(OR(INDEX('×入力'!$A$1:$L$800,439+AO$3,2+AO$2)&lt;&gt;"",INDEX('×入力'!$A$1:$L$800,438,2+AO$2)&lt;&gt;"",INDEX('×入力'!$A$1:$L$800,439+AO$3,1)&lt;&gt;""),1,0),0)</f>
        <v/>
      </c>
      <c r="AP37">
        <f>IF(AP$4=1,IF(OR(INDEX('×入力'!$A$1:$L$800,439+AP$3,2+AP$2)&lt;&gt;"",INDEX('×入力'!$A$1:$L$800,438,2+AP$2)&lt;&gt;"",INDEX('×入力'!$A$1:$L$800,439+AP$3,1)&lt;&gt;""),1,0),0)</f>
        <v/>
      </c>
      <c r="AQ37">
        <f>IF(AQ$4=1,IF(OR(INDEX('×入力'!$A$1:$L$800,439+AQ$3,2+AQ$2)&lt;&gt;"",INDEX('×入力'!$A$1:$L$800,438,2+AQ$2)&lt;&gt;"",INDEX('×入力'!$A$1:$L$800,439+AQ$3,1)&lt;&gt;""),1,0),0)</f>
        <v/>
      </c>
      <c r="AR37">
        <f>IF(AR$4=1,IF(OR(INDEX('×入力'!$A$1:$L$800,439+AR$3,2+AR$2)&lt;&gt;"",INDEX('×入力'!$A$1:$L$800,438,2+AR$2)&lt;&gt;"",INDEX('×入力'!$A$1:$L$800,439+AR$3,1)&lt;&gt;""),1,0),0)</f>
        <v/>
      </c>
      <c r="AS37">
        <f>IF(AS$4=1,IF(OR(INDEX('×入力'!$A$1:$L$800,439+AS$3,2+AS$2)&lt;&gt;"",INDEX('×入力'!$A$1:$L$800,438,2+AS$2)&lt;&gt;"",INDEX('×入力'!$A$1:$L$800,439+AS$3,1)&lt;&gt;""),1,0),0)</f>
        <v/>
      </c>
      <c r="AT37">
        <f>IF(AT$4=1,IF(OR(INDEX('×入力'!$A$1:$L$800,439+AT$3,2+AT$2)&lt;&gt;"",INDEX('×入力'!$A$1:$L$800,438,2+AT$2)&lt;&gt;"",INDEX('×入力'!$A$1:$L$800,439+AT$3,1)&lt;&gt;""),1,0),0)</f>
        <v/>
      </c>
      <c r="AU37">
        <f>IF(AU$4=1,IF(OR(INDEX('×入力'!$A$1:$L$800,439+AU$3,2+AU$2)&lt;&gt;"",INDEX('×入力'!$A$1:$L$800,438,2+AU$2)&lt;&gt;"",INDEX('×入力'!$A$1:$L$800,439+AU$3,1)&lt;&gt;""),1,0),0)</f>
        <v/>
      </c>
      <c r="AV37">
        <f>IF(AV$4=1,IF(OR(INDEX('×入力'!$A$1:$L$800,439+AV$3,2+AV$2)&lt;&gt;"",INDEX('×入力'!$A$1:$L$800,438,2+AV$2)&lt;&gt;"",INDEX('×入力'!$A$1:$L$800,439+AV$3,1)&lt;&gt;""),1,0),0)</f>
        <v/>
      </c>
      <c r="AW37">
        <f>IF(AW$4=1,IF(OR(INDEX('×入力'!$A$1:$L$800,439+AW$3,2+AW$2)&lt;&gt;"",INDEX('×入力'!$A$1:$L$800,438,2+AW$2)&lt;&gt;"",INDEX('×入力'!$A$1:$L$800,439+AW$3,1)&lt;&gt;""),1,0),0)</f>
        <v/>
      </c>
      <c r="AX37">
        <f>IF(AX$4=1,IF(OR(INDEX('×入力'!$A$1:$L$800,439+AX$3,2+AX$2)&lt;&gt;"",INDEX('×入力'!$A$1:$L$800,438,2+AX$2)&lt;&gt;"",INDEX('×入力'!$A$1:$L$800,439+AX$3,1)&lt;&gt;""),1,0),0)</f>
        <v/>
      </c>
      <c r="AY37">
        <f>IF(AY$4=1,IF(OR(INDEX('×入力'!$A$1:$L$800,439+AY$3,2+AY$2)&lt;&gt;"",INDEX('×入力'!$A$1:$L$800,438,2+AY$2)&lt;&gt;"",INDEX('×入力'!$A$1:$L$800,439+AY$3,1)&lt;&gt;""),1,0),0)</f>
        <v/>
      </c>
      <c r="AZ37">
        <f>IF(AZ$4=1,IF(OR(INDEX('×入力'!$A$1:$L$800,439+AZ$3,2+AZ$2)&lt;&gt;"",INDEX('×入力'!$A$1:$L$800,438,2+AZ$2)&lt;&gt;"",INDEX('×入力'!$A$1:$L$800,439+AZ$3,1)&lt;&gt;""),1,0),0)</f>
        <v/>
      </c>
      <c r="BA37">
        <f>IF(BA$4=1,IF(OR(INDEX('×入力'!$A$1:$L$800,439+BA$3,2+BA$2)&lt;&gt;"",INDEX('×入力'!$A$1:$L$800,438,2+BA$2)&lt;&gt;"",INDEX('×入力'!$A$1:$L$800,439+BA$3,1)&lt;&gt;""),1,0),0)</f>
        <v/>
      </c>
      <c r="BB37">
        <f>IF(BB$4=1,IF(OR(INDEX('×入力'!$A$1:$L$800,439+BB$3,2+BB$2)&lt;&gt;"",INDEX('×入力'!$A$1:$L$800,438,2+BB$2)&lt;&gt;"",INDEX('×入力'!$A$1:$L$800,439+BB$3,1)&lt;&gt;""),1,0),0)</f>
        <v/>
      </c>
      <c r="BC37">
        <f>IF(BC$4=1,IF(OR(INDEX('×入力'!$A$1:$L$800,439+BC$3,2+BC$2)&lt;&gt;"",INDEX('×入力'!$A$1:$L$800,438,2+BC$2)&lt;&gt;"",INDEX('×入力'!$A$1:$L$800,439+BC$3,1)&lt;&gt;""),1,0),0)</f>
        <v/>
      </c>
      <c r="BD37">
        <f>IF(BD$4=1,IF(OR(INDEX('×入力'!$A$1:$L$800,439+BD$3,2+BD$2)&lt;&gt;"",INDEX('×入力'!$A$1:$L$800,438,2+BD$2)&lt;&gt;"",INDEX('×入力'!$A$1:$L$800,439+BD$3,1)&lt;&gt;""),1,0),0)</f>
        <v/>
      </c>
      <c r="BE37">
        <f>IF(BE$4=1,IF(OR(INDEX('×入力'!$A$1:$L$800,439+BE$3,2+BE$2)&lt;&gt;"",INDEX('×入力'!$A$1:$L$800,438,2+BE$2)&lt;&gt;"",INDEX('×入力'!$A$1:$L$800,439+BE$3,1)&lt;&gt;""),1,0),0)</f>
        <v/>
      </c>
      <c r="BF37">
        <f>IF(BF$4=1,IF(OR(INDEX('×入力'!$A$1:$L$800,439+BF$3,2+BF$2)&lt;&gt;"",INDEX('×入力'!$A$1:$L$800,438,2+BF$2)&lt;&gt;"",INDEX('×入力'!$A$1:$L$800,439+BF$3,1)&lt;&gt;""),1,0),0)</f>
        <v/>
      </c>
      <c r="BG37">
        <f>IF(BG$4=1,IF(OR(INDEX('×入力'!$A$1:$L$800,439+BG$3,2+BG$2)&lt;&gt;"",INDEX('×入力'!$A$1:$L$800,438,2+BG$2)&lt;&gt;"",INDEX('×入力'!$A$1:$L$800,439+BG$3,1)&lt;&gt;""),1,0),0)</f>
        <v/>
      </c>
      <c r="BH37">
        <f>IF(BH$4=1,IF(OR(INDEX('×入力'!$A$1:$L$800,439+BH$3,2+BH$2)&lt;&gt;"",INDEX('×入力'!$A$1:$L$800,438,2+BH$2)&lt;&gt;"",INDEX('×入力'!$A$1:$L$800,439+BH$3,1)&lt;&gt;""),1,0),0)</f>
        <v/>
      </c>
      <c r="BI37">
        <f>IF(BI$4=1,IF(OR(INDEX('×入力'!$A$1:$L$800,439+BI$3,2+BI$2)&lt;&gt;"",INDEX('×入力'!$A$1:$L$800,438,2+BI$2)&lt;&gt;"",INDEX('×入力'!$A$1:$L$800,439+BI$3,1)&lt;&gt;""),1,0),0)</f>
        <v/>
      </c>
      <c r="BJ37">
        <f>IF(BJ$4=1,IF(OR(INDEX('×入力'!$A$1:$L$800,439+BJ$3,2+BJ$2)&lt;&gt;"",INDEX('×入力'!$A$1:$L$800,438,2+BJ$2)&lt;&gt;"",INDEX('×入力'!$A$1:$L$800,439+BJ$3,1)&lt;&gt;""),1,0),0)</f>
        <v/>
      </c>
      <c r="BK37">
        <f>IF(BK$4=1,IF(OR(INDEX('×入力'!$A$1:$L$800,439+BK$3,2+BK$2)&lt;&gt;"",INDEX('×入力'!$A$1:$L$800,438,2+BK$2)&lt;&gt;"",INDEX('×入力'!$A$1:$L$800,439+BK$3,1)&lt;&gt;""),1,0),0)</f>
        <v/>
      </c>
      <c r="BL37">
        <f>IF(BL$4=1,IF(OR(INDEX('×入力'!$A$1:$L$800,439+BL$3,2+BL$2)&lt;&gt;"",INDEX('×入力'!$A$1:$L$800,438,2+BL$2)&lt;&gt;"",INDEX('×入力'!$A$1:$L$800,439+BL$3,1)&lt;&gt;""),1,0),0)</f>
        <v/>
      </c>
      <c r="BM37">
        <f>IF(BM$4=1,IF(OR(INDEX('×入力'!$A$1:$L$800,439+BM$3,2+BM$2)&lt;&gt;"",INDEX('×入力'!$A$1:$L$800,438,2+BM$2)&lt;&gt;"",INDEX('×入力'!$A$1:$L$800,439+BM$3,1)&lt;&gt;""),1,0),0)</f>
        <v/>
      </c>
      <c r="BN37">
        <f>IF(BN$4=1,IF(OR(INDEX('×入力'!$A$1:$L$800,439+BN$3,2+BN$2)&lt;&gt;"",INDEX('×入力'!$A$1:$L$800,438,2+BN$2)&lt;&gt;"",INDEX('×入力'!$A$1:$L$800,439+BN$3,1)&lt;&gt;""),1,0),0)</f>
        <v/>
      </c>
      <c r="BO37">
        <f>IF(BO$4=1,IF(OR(INDEX('×入力'!$A$1:$L$800,439+BO$3,2+BO$2)&lt;&gt;"",INDEX('×入力'!$A$1:$L$800,438,2+BO$2)&lt;&gt;"",INDEX('×入力'!$A$1:$L$800,439+BO$3,1)&lt;&gt;""),1,0),0)</f>
        <v/>
      </c>
      <c r="BP37">
        <f>IF(BP$4=1,IF(OR(INDEX('×入力'!$A$1:$L$800,439+BP$3,2+BP$2)&lt;&gt;"",INDEX('×入力'!$A$1:$L$800,438,2+BP$2)&lt;&gt;"",INDEX('×入力'!$A$1:$L$800,439+BP$3,1)&lt;&gt;""),1,0),0)</f>
        <v/>
      </c>
      <c r="BQ37">
        <f>IF(BQ$4=1,IF(OR(INDEX('×入力'!$A$1:$L$800,439+BQ$3,2+BQ$2)&lt;&gt;"",INDEX('×入力'!$A$1:$L$800,438,2+BQ$2)&lt;&gt;"",INDEX('×入力'!$A$1:$L$800,439+BQ$3,1)&lt;&gt;""),1,0),0)</f>
        <v/>
      </c>
      <c r="BR37">
        <f>IF(BR$4=1,IF(OR(INDEX('×入力'!$A$1:$L$800,439+BR$3,2+BR$2)&lt;&gt;"",INDEX('×入力'!$A$1:$L$800,438,2+BR$2)&lt;&gt;"",INDEX('×入力'!$A$1:$L$800,439+BR$3,1)&lt;&gt;""),1,0),0)</f>
        <v/>
      </c>
      <c r="BS37">
        <f>IF(BS$4=1,IF(OR(INDEX('×入力'!$A$1:$L$800,439+BS$3,2+BS$2)&lt;&gt;"",INDEX('×入力'!$A$1:$L$800,438,2+BS$2)&lt;&gt;"",INDEX('×入力'!$A$1:$L$800,439+BS$3,1)&lt;&gt;""),1,0),0)</f>
        <v/>
      </c>
      <c r="BT37">
        <f>IF(BT$4=1,IF(OR(INDEX('×入力'!$A$1:$L$800,439+BT$3,2+BT$2)&lt;&gt;"",INDEX('×入力'!$A$1:$L$800,438,2+BT$2)&lt;&gt;"",INDEX('×入力'!$A$1:$L$800,439+BT$3,1)&lt;&gt;""),1,0),0)</f>
        <v/>
      </c>
      <c r="BU37">
        <f>IF(BU$4=1,IF(OR(INDEX('×入力'!$A$1:$L$800,439+BU$3,2+BU$2)&lt;&gt;"",INDEX('×入力'!$A$1:$L$800,438,2+BU$2)&lt;&gt;"",INDEX('×入力'!$A$1:$L$800,439+BU$3,1)&lt;&gt;""),1,0),0)</f>
        <v/>
      </c>
      <c r="BV37">
        <f>IF(BV$4=1,IF(OR(INDEX('×入力'!$A$1:$L$800,439+BV$3,2+BV$2)&lt;&gt;"",INDEX('×入力'!$A$1:$L$800,438,2+BV$2)&lt;&gt;"",INDEX('×入力'!$A$1:$L$800,439+BV$3,1)&lt;&gt;""),1,0),0)</f>
        <v/>
      </c>
      <c r="BW37">
        <f>IF(BW$4=1,IF(OR(INDEX('×入力'!$A$1:$L$800,439+BW$3,2+BW$2)&lt;&gt;"",INDEX('×入力'!$A$1:$L$800,438,2+BW$2)&lt;&gt;"",INDEX('×入力'!$A$1:$L$800,439+BW$3,1)&lt;&gt;""),1,0),0)</f>
        <v/>
      </c>
      <c r="BX37">
        <f>IF(BX$4=1,IF(OR(INDEX('×入力'!$A$1:$L$800,439+BX$3,2+BX$2)&lt;&gt;"",INDEX('×入力'!$A$1:$L$800,438,2+BX$2)&lt;&gt;"",INDEX('×入力'!$A$1:$L$800,439+BX$3,1)&lt;&gt;""),1,0),0)</f>
        <v/>
      </c>
      <c r="BY37">
        <f>IF(BY$4=1,IF(OR(INDEX('×入力'!$A$1:$L$800,439+BY$3,2+BY$2)&lt;&gt;"",INDEX('×入力'!$A$1:$L$800,438,2+BY$2)&lt;&gt;"",INDEX('×入力'!$A$1:$L$800,439+BY$3,1)&lt;&gt;""),1,0),0)</f>
        <v/>
      </c>
      <c r="BZ37">
        <f>IF(BZ$4=1,IF(OR(INDEX('×入力'!$A$1:$L$800,439+BZ$3,2+BZ$2)&lt;&gt;"",INDEX('×入力'!$A$1:$L$800,438,2+BZ$2)&lt;&gt;"",INDEX('×入力'!$A$1:$L$800,439+BZ$3,1)&lt;&gt;""),1,0),0)</f>
        <v/>
      </c>
      <c r="CA37">
        <f>IF(CA$4=1,IF(OR(INDEX('×入力'!$A$1:$L$800,439+CA$3,2+CA$2)&lt;&gt;"",INDEX('×入力'!$A$1:$L$800,438,2+CA$2)&lt;&gt;"",INDEX('×入力'!$A$1:$L$800,439+CA$3,1)&lt;&gt;""),1,0),0)</f>
        <v/>
      </c>
      <c r="CB37">
        <f>IF(CB$4=1,IF(OR(INDEX('×入力'!$A$1:$L$800,439+CB$3,2+CB$2)&lt;&gt;"",INDEX('×入力'!$A$1:$L$800,438,2+CB$2)&lt;&gt;"",INDEX('×入力'!$A$1:$L$800,439+CB$3,1)&lt;&gt;""),1,0),0)</f>
        <v/>
      </c>
      <c r="CC37">
        <f>IF(CC$4=1,IF(OR(INDEX('×入力'!$A$1:$L$800,439+CC$3,2+CC$2)&lt;&gt;"",INDEX('×入力'!$A$1:$L$800,438,2+CC$2)&lt;&gt;"",INDEX('×入力'!$A$1:$L$800,439+CC$3,1)&lt;&gt;""),1,0),0)</f>
        <v/>
      </c>
      <c r="CD37">
        <f>IF(CD$4=1,IF(OR(INDEX('×入力'!$A$1:$L$800,439+CD$3,2+CD$2)&lt;&gt;"",INDEX('×入力'!$A$1:$L$800,438,2+CD$2)&lt;&gt;"",INDEX('×入力'!$A$1:$L$800,439+CD$3,1)&lt;&gt;""),1,0),0)</f>
        <v/>
      </c>
      <c r="CE37">
        <f>IF(CE$4=1,IF(OR(INDEX('×入力'!$A$1:$L$800,439+CE$3,2+CE$2)&lt;&gt;"",INDEX('×入力'!$A$1:$L$800,438,2+CE$2)&lt;&gt;"",INDEX('×入力'!$A$1:$L$800,439+CE$3,1)&lt;&gt;""),1,0),0)</f>
        <v/>
      </c>
      <c r="CF37">
        <f>IF(CF$4=1,IF(OR(INDEX('×入力'!$A$1:$L$800,439+CF$3,2+CF$2)&lt;&gt;"",INDEX('×入力'!$A$1:$L$800,438,2+CF$2)&lt;&gt;"",INDEX('×入力'!$A$1:$L$800,439+CF$3,1)&lt;&gt;""),1,0),0)</f>
        <v/>
      </c>
      <c r="CG37">
        <f>IF(CG$4=1,IF(OR(INDEX('×入力'!$A$1:$L$800,439+CG$3,2+CG$2)&lt;&gt;"",INDEX('×入力'!$A$1:$L$800,438,2+CG$2)&lt;&gt;"",INDEX('×入力'!$A$1:$L$800,439+CG$3,1)&lt;&gt;""),1,0),0)</f>
        <v/>
      </c>
      <c r="CH37">
        <f>IF(CH$4=1,IF(OR(INDEX('×入力'!$A$1:$L$800,439+CH$3,2+CH$2)&lt;&gt;"",INDEX('×入力'!$A$1:$L$800,438,2+CH$2)&lt;&gt;"",INDEX('×入力'!$A$1:$L$800,439+CH$3,1)&lt;&gt;""),1,0),0)</f>
        <v/>
      </c>
      <c r="CI37">
        <f>IF(CI$4=1,IF(OR(INDEX('×入力'!$A$1:$L$800,439+CI$3,2+CI$2)&lt;&gt;"",INDEX('×入力'!$A$1:$L$800,438,2+CI$2)&lt;&gt;"",INDEX('×入力'!$A$1:$L$800,439+CI$3,1)&lt;&gt;""),1,0),0)</f>
        <v/>
      </c>
      <c r="CJ37">
        <f>IF(CJ$4=1,IF(OR(INDEX('×入力'!$A$1:$L$800,439+CJ$3,2+CJ$2)&lt;&gt;"",INDEX('×入力'!$A$1:$L$800,438,2+CJ$2)&lt;&gt;"",INDEX('×入力'!$A$1:$L$800,439+CJ$3,1)&lt;&gt;""),1,0),0)</f>
        <v/>
      </c>
      <c r="CK37">
        <f>IF(CK$4=1,IF(OR(INDEX('×入力'!$A$1:$L$800,439+CK$3,2+CK$2)&lt;&gt;"",INDEX('×入力'!$A$1:$L$800,438,2+CK$2)&lt;&gt;"",INDEX('×入力'!$A$1:$L$800,439+CK$3,1)&lt;&gt;""),1,0),0)</f>
        <v/>
      </c>
      <c r="CL37">
        <f>IF(CL$4=1,IF(OR(INDEX('×入力'!$A$1:$L$800,439+CL$3,2+CL$2)&lt;&gt;"",INDEX('×入力'!$A$1:$L$800,438,2+CL$2)&lt;&gt;"",INDEX('×入力'!$A$1:$L$800,439+CL$3,1)&lt;&gt;""),1,0),0)</f>
        <v/>
      </c>
      <c r="CM37">
        <f>IF(CM$4=1,IF(OR(INDEX('×入力'!$A$1:$L$800,439+CM$3,2+CM$2)&lt;&gt;"",INDEX('×入力'!$A$1:$L$800,438,2+CM$2)&lt;&gt;"",INDEX('×入力'!$A$1:$L$800,439+CM$3,1)&lt;&gt;""),1,0),0)</f>
        <v/>
      </c>
      <c r="CN37">
        <f>IF(CN$4=1,IF(OR(INDEX('×入力'!$A$1:$L$800,439+CN$3,2+CN$2)&lt;&gt;"",INDEX('×入力'!$A$1:$L$800,438,2+CN$2)&lt;&gt;"",INDEX('×入力'!$A$1:$L$800,439+CN$3,1)&lt;&gt;""),1,0),0)</f>
        <v/>
      </c>
      <c r="CO37">
        <f>IF(CO$4=1,IF(OR(INDEX('×入力'!$A$1:$L$800,439+CO$3,2+CO$2)&lt;&gt;"",INDEX('×入力'!$A$1:$L$800,438,2+CO$2)&lt;&gt;"",INDEX('×入力'!$A$1:$L$800,439+CO$3,1)&lt;&gt;""),1,0),0)</f>
        <v/>
      </c>
      <c r="CP37">
        <f>IF(CP$4=1,IF(OR(INDEX('×入力'!$A$1:$L$800,439+CP$3,2+CP$2)&lt;&gt;"",INDEX('×入力'!$A$1:$L$800,438,2+CP$2)&lt;&gt;"",INDEX('×入力'!$A$1:$L$800,439+CP$3,1)&lt;&gt;""),1,0),0)</f>
        <v/>
      </c>
      <c r="CQ37">
        <f>IF(CQ$4=1,IF(OR(INDEX('×入力'!$A$1:$L$800,439+CQ$3,2+CQ$2)&lt;&gt;"",INDEX('×入力'!$A$1:$L$800,438,2+CQ$2)&lt;&gt;"",INDEX('×入力'!$A$1:$L$800,439+CQ$3,1)&lt;&gt;""),1,0),0)</f>
        <v/>
      </c>
      <c r="CR37">
        <f>IF(CR$4=1,IF(OR(INDEX('×入力'!$A$1:$L$800,439+CR$3,2+CR$2)&lt;&gt;"",INDEX('×入力'!$A$1:$L$800,438,2+CR$2)&lt;&gt;"",INDEX('×入力'!$A$1:$L$800,439+CR$3,1)&lt;&gt;""),1,0),0)</f>
        <v/>
      </c>
      <c r="CS37">
        <f>IF(CS$4=1,IF(OR(INDEX('×入力'!$A$1:$L$800,439+CS$3,2+CS$2)&lt;&gt;"",INDEX('×入力'!$A$1:$L$800,438,2+CS$2)&lt;&gt;"",INDEX('×入力'!$A$1:$L$800,439+CS$3,1)&lt;&gt;""),1,0),0)</f>
        <v/>
      </c>
      <c r="CT37">
        <f>IF(CT$4=1,IF(OR(INDEX('×入力'!$A$1:$L$800,439+CT$3,2+CT$2)&lt;&gt;"",INDEX('×入力'!$A$1:$L$800,438,2+CT$2)&lt;&gt;"",INDEX('×入力'!$A$1:$L$800,439+CT$3,1)&lt;&gt;""),1,0),0)</f>
        <v/>
      </c>
      <c r="CU37">
        <f>IF(CU$4=1,IF(OR(INDEX('×入力'!$A$1:$L$800,439+CU$3,2+CU$2)&lt;&gt;"",INDEX('×入力'!$A$1:$L$800,438,2+CU$2)&lt;&gt;"",INDEX('×入力'!$A$1:$L$800,439+CU$3,1)&lt;&gt;""),1,0),0)</f>
        <v/>
      </c>
      <c r="CV37">
        <f>IF(CV$4=1,IF(OR(INDEX('×入力'!$A$1:$L$800,439+CV$3,2+CV$2)&lt;&gt;"",INDEX('×入力'!$A$1:$L$800,438,2+CV$2)&lt;&gt;"",INDEX('×入力'!$A$1:$L$800,439+CV$3,1)&lt;&gt;""),1,0),0)</f>
        <v/>
      </c>
      <c r="CW37">
        <f>IF(CW$4=1,IF(OR(INDEX('×入力'!$A$1:$L$800,439+CW$3,2+CW$2)&lt;&gt;"",INDEX('×入力'!$A$1:$L$800,438,2+CW$2)&lt;&gt;"",INDEX('×入力'!$A$1:$L$800,439+CW$3,1)&lt;&gt;""),1,0),0)</f>
        <v/>
      </c>
      <c r="CX37">
        <f>IF(CX$4=1,IF(OR(INDEX('×入力'!$A$1:$L$800,439+CX$3,2+CX$2)&lt;&gt;"",INDEX('×入力'!$A$1:$L$800,438,2+CX$2)&lt;&gt;"",INDEX('×入力'!$A$1:$L$800,439+CX$3,1)&lt;&gt;""),1,0),0)</f>
        <v/>
      </c>
      <c r="CY37">
        <f>IF(CY$4=1,IF(OR(INDEX('×入力'!$A$1:$L$800,439+CY$3,2+CY$2)&lt;&gt;"",INDEX('×入力'!$A$1:$L$800,438,2+CY$2)&lt;&gt;"",INDEX('×入力'!$A$1:$L$800,439+CY$3,1)&lt;&gt;""),1,0),0)</f>
        <v/>
      </c>
      <c r="CZ37">
        <f>IF(CZ$4=1,IF(OR(INDEX('×入力'!$A$1:$L$800,439+CZ$3,2+CZ$2)&lt;&gt;"",INDEX('×入力'!$A$1:$L$800,438,2+CZ$2)&lt;&gt;"",INDEX('×入力'!$A$1:$L$800,439+CZ$3,1)&lt;&gt;""),1,0),0)</f>
        <v/>
      </c>
      <c r="DA37">
        <f>IF(DA$4=1,IF(OR(INDEX('×入力'!$A$1:$L$800,439+DA$3,2+DA$2)&lt;&gt;"",INDEX('×入力'!$A$1:$L$800,438,2+DA$2)&lt;&gt;"",INDEX('×入力'!$A$1:$L$800,439+DA$3,1)&lt;&gt;""),1,0),0)</f>
        <v/>
      </c>
      <c r="DB37">
        <f>IF(DB$4=1,IF(OR(INDEX('×入力'!$A$1:$L$800,439+DB$3,2+DB$2)&lt;&gt;"",INDEX('×入力'!$A$1:$L$800,438,2+DB$2)&lt;&gt;"",INDEX('×入力'!$A$1:$L$800,439+DB$3,1)&lt;&gt;""),1,0),0)</f>
        <v/>
      </c>
      <c r="DC37">
        <f>IF(DC$4=1,IF(OR(INDEX('×入力'!$A$1:$L$800,439+DC$3,2+DC$2)&lt;&gt;"",INDEX('×入力'!$A$1:$L$800,438,2+DC$2)&lt;&gt;"",INDEX('×入力'!$A$1:$L$800,439+DC$3,1)&lt;&gt;""),1,0),0)</f>
        <v/>
      </c>
      <c r="DD37">
        <f>IF(DD$4=1,IF(OR(INDEX('×入力'!$A$1:$L$800,439+DD$3,2+DD$2)&lt;&gt;"",INDEX('×入力'!$A$1:$L$800,438,2+DD$2)&lt;&gt;"",INDEX('×入力'!$A$1:$L$800,439+DD$3,1)&lt;&gt;""),1,0),0)</f>
        <v/>
      </c>
      <c r="DE37">
        <f>IF(DE$4=1,IF(OR(INDEX('×入力'!$A$1:$L$800,439+DE$3,2+DE$2)&lt;&gt;"",INDEX('×入力'!$A$1:$L$800,438,2+DE$2)&lt;&gt;"",INDEX('×入力'!$A$1:$L$800,439+DE$3,1)&lt;&gt;""),1,0),0)</f>
        <v/>
      </c>
      <c r="DF37">
        <f>IF(DF$4=1,IF(OR(INDEX('×入力'!$A$1:$L$800,439+DF$3,2+DF$2)&lt;&gt;"",INDEX('×入力'!$A$1:$L$800,438,2+DF$2)&lt;&gt;"",INDEX('×入力'!$A$1:$L$800,439+DF$3,1)&lt;&gt;""),1,0),0)</f>
        <v/>
      </c>
      <c r="DG37">
        <f>IF(DG$4=1,IF(OR(INDEX('×入力'!$A$1:$L$800,439+DG$3,2+DG$2)&lt;&gt;"",INDEX('×入力'!$A$1:$L$800,438,2+DG$2)&lt;&gt;"",INDEX('×入力'!$A$1:$L$800,439+DG$3,1)&lt;&gt;""),1,0),0)</f>
        <v/>
      </c>
      <c r="DH37">
        <f>IF(DH$4=1,IF(OR(INDEX('×入力'!$A$1:$L$800,439+DH$3,2+DH$2)&lt;&gt;"",INDEX('×入力'!$A$1:$L$800,438,2+DH$2)&lt;&gt;"",INDEX('×入力'!$A$1:$L$800,439+DH$3,1)&lt;&gt;""),1,0),0)</f>
        <v/>
      </c>
      <c r="DI37">
        <f>IF(DI$4=1,IF(OR(INDEX('×入力'!$A$1:$L$800,439+DI$3,2+DI$2)&lt;&gt;"",INDEX('×入力'!$A$1:$L$800,438,2+DI$2)&lt;&gt;"",INDEX('×入力'!$A$1:$L$800,439+DI$3,1)&lt;&gt;""),1,0),0)</f>
        <v/>
      </c>
      <c r="DJ37">
        <f>IF(DJ$4=1,IF(OR(INDEX('×入力'!$A$1:$L$800,439+DJ$3,2+DJ$2)&lt;&gt;"",INDEX('×入力'!$A$1:$L$800,438,2+DJ$2)&lt;&gt;"",INDEX('×入力'!$A$1:$L$800,439+DJ$3,1)&lt;&gt;""),1,0),0)</f>
        <v/>
      </c>
      <c r="DK37">
        <f>IF(DK$4=1,IF(OR(INDEX('×入力'!$A$1:$L$800,439+DK$3,2+DK$2)&lt;&gt;"",INDEX('×入力'!$A$1:$L$800,438,2+DK$2)&lt;&gt;"",INDEX('×入力'!$A$1:$L$800,439+DK$3,1)&lt;&gt;""),1,0),0)</f>
        <v/>
      </c>
      <c r="DL37">
        <f>IF(DL$4=1,IF(OR(INDEX('×入力'!$A$1:$L$800,439+DL$3,2+DL$2)&lt;&gt;"",INDEX('×入力'!$A$1:$L$800,438,2+DL$2)&lt;&gt;"",INDEX('×入力'!$A$1:$L$800,439+DL$3,1)&lt;&gt;""),1,0),0)</f>
        <v/>
      </c>
      <c r="DM37">
        <f>IF(DM$4=1,IF(OR(INDEX('×入力'!$A$1:$L$800,439+DM$3,2+DM$2)&lt;&gt;"",INDEX('×入力'!$A$1:$L$800,438,2+DM$2)&lt;&gt;"",INDEX('×入力'!$A$1:$L$800,439+DM$3,1)&lt;&gt;""),1,0),0)</f>
        <v/>
      </c>
      <c r="DN37">
        <f>IF(DN$4=1,IF(OR(INDEX('×入力'!$A$1:$L$800,439+DN$3,2+DN$2)&lt;&gt;"",INDEX('×入力'!$A$1:$L$800,438,2+DN$2)&lt;&gt;"",INDEX('×入力'!$A$1:$L$800,439+DN$3,1)&lt;&gt;""),1,0),0)</f>
        <v/>
      </c>
      <c r="DO37">
        <f>IF(DO$4=1,IF(OR(INDEX('×入力'!$A$1:$L$800,439+DO$3,2+DO$2)&lt;&gt;"",INDEX('×入力'!$A$1:$L$800,438,2+DO$2)&lt;&gt;"",INDEX('×入力'!$A$1:$L$800,439+DO$3,1)&lt;&gt;""),1,0),0)</f>
        <v/>
      </c>
      <c r="DP37">
        <f>IF(DP$4=1,IF(OR(INDEX('×入力'!$A$1:$L$800,439+DP$3,2+DP$2)&lt;&gt;"",INDEX('×入力'!$A$1:$L$800,438,2+DP$2)&lt;&gt;"",INDEX('×入力'!$A$1:$L$800,439+DP$3,1)&lt;&gt;""),1,0),0)</f>
        <v/>
      </c>
      <c r="DQ37">
        <f>IF(DQ$4=1,IF(OR(INDEX('×入力'!$A$1:$L$800,439+DQ$3,2+DQ$2)&lt;&gt;"",INDEX('×入力'!$A$1:$L$800,438,2+DQ$2)&lt;&gt;"",INDEX('×入力'!$A$1:$L$800,439+DQ$3,1)&lt;&gt;""),1,0),0)</f>
        <v/>
      </c>
      <c r="DR37">
        <f>IF(DR$4=1,IF(OR(INDEX('×入力'!$A$1:$L$800,439+DR$3,2+DR$2)&lt;&gt;"",INDEX('×入力'!$A$1:$L$800,438,2+DR$2)&lt;&gt;"",INDEX('×入力'!$A$1:$L$800,439+DR$3,1)&lt;&gt;""),1,0),0)</f>
        <v/>
      </c>
      <c r="DS37">
        <f>IF(DS$4=1,IF(OR(INDEX('×入力'!$A$1:$L$800,439+DS$3,2+DS$2)&lt;&gt;"",INDEX('×入力'!$A$1:$L$800,438,2+DS$2)&lt;&gt;"",INDEX('×入力'!$A$1:$L$800,439+DS$3,1)&lt;&gt;""),1,0),0)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IF(D$4=1,IF(OR(INDEX('×入力'!$A$1:$L$800,455+D$3,2+D$2)&lt;&gt;"",INDEX('×入力'!$A$1:$L$800,454,2+D$2)&lt;&gt;"",INDEX('×入力'!$A$1:$L$800,455+D$3,1)&lt;&gt;""),1,0),0)</f>
        <v/>
      </c>
      <c r="E38">
        <f>IF(E$4=1,IF(OR(INDEX('×入力'!$A$1:$L$800,455+E$3,2+E$2)&lt;&gt;"",INDEX('×入力'!$A$1:$L$800,454,2+E$2)&lt;&gt;"",INDEX('×入力'!$A$1:$L$800,455+E$3,1)&lt;&gt;""),1,0),0)</f>
        <v/>
      </c>
      <c r="F38">
        <f>IF(F$4=1,IF(OR(INDEX('×入力'!$A$1:$L$800,455+F$3,2+F$2)&lt;&gt;"",INDEX('×入力'!$A$1:$L$800,454,2+F$2)&lt;&gt;"",INDEX('×入力'!$A$1:$L$800,455+F$3,1)&lt;&gt;""),1,0),0)</f>
        <v/>
      </c>
      <c r="G38">
        <f>IF(G$4=1,IF(OR(INDEX('×入力'!$A$1:$L$800,455+G$3,2+G$2)&lt;&gt;"",INDEX('×入力'!$A$1:$L$800,454,2+G$2)&lt;&gt;"",INDEX('×入力'!$A$1:$L$800,455+G$3,1)&lt;&gt;""),1,0),0)</f>
        <v/>
      </c>
      <c r="H38">
        <f>IF(H$4=1,IF(OR(INDEX('×入力'!$A$1:$L$800,455+H$3,2+H$2)&lt;&gt;"",INDEX('×入力'!$A$1:$L$800,454,2+H$2)&lt;&gt;"",INDEX('×入力'!$A$1:$L$800,455+H$3,1)&lt;&gt;""),1,0),0)</f>
        <v/>
      </c>
      <c r="I38">
        <f>IF(I$4=1,IF(OR(INDEX('×入力'!$A$1:$L$800,455+I$3,2+I$2)&lt;&gt;"",INDEX('×入力'!$A$1:$L$800,454,2+I$2)&lt;&gt;"",INDEX('×入力'!$A$1:$L$800,455+I$3,1)&lt;&gt;""),1,0),0)</f>
        <v/>
      </c>
      <c r="J38">
        <f>IF(J$4=1,IF(OR(INDEX('×入力'!$A$1:$L$800,455+J$3,2+J$2)&lt;&gt;"",INDEX('×入力'!$A$1:$L$800,454,2+J$2)&lt;&gt;"",INDEX('×入力'!$A$1:$L$800,455+J$3,1)&lt;&gt;""),1,0),0)</f>
        <v/>
      </c>
      <c r="K38">
        <f>IF(K$4=1,IF(OR(INDEX('×入力'!$A$1:$L$800,455+K$3,2+K$2)&lt;&gt;"",INDEX('×入力'!$A$1:$L$800,454,2+K$2)&lt;&gt;"",INDEX('×入力'!$A$1:$L$800,455+K$3,1)&lt;&gt;""),1,0),0)</f>
        <v/>
      </c>
      <c r="L38">
        <f>IF(L$4=1,IF(OR(INDEX('×入力'!$A$1:$L$800,455+L$3,2+L$2)&lt;&gt;"",INDEX('×入力'!$A$1:$L$800,454,2+L$2)&lt;&gt;"",INDEX('×入力'!$A$1:$L$800,455+L$3,1)&lt;&gt;""),1,0),0)</f>
        <v/>
      </c>
      <c r="M38">
        <f>IF(M$4=1,IF(OR(INDEX('×入力'!$A$1:$L$800,455+M$3,2+M$2)&lt;&gt;"",INDEX('×入力'!$A$1:$L$800,454,2+M$2)&lt;&gt;"",INDEX('×入力'!$A$1:$L$800,455+M$3,1)&lt;&gt;""),1,0),0)</f>
        <v/>
      </c>
      <c r="N38">
        <f>IF(N$4=1,IF(OR(INDEX('×入力'!$A$1:$L$800,455+N$3,2+N$2)&lt;&gt;"",INDEX('×入力'!$A$1:$L$800,454,2+N$2)&lt;&gt;"",INDEX('×入力'!$A$1:$L$800,455+N$3,1)&lt;&gt;""),1,0),0)</f>
        <v/>
      </c>
      <c r="O38">
        <f>IF(O$4=1,IF(OR(INDEX('×入力'!$A$1:$L$800,455+O$3,2+O$2)&lt;&gt;"",INDEX('×入力'!$A$1:$L$800,454,2+O$2)&lt;&gt;"",INDEX('×入力'!$A$1:$L$800,455+O$3,1)&lt;&gt;""),1,0),0)</f>
        <v/>
      </c>
      <c r="P38">
        <f>IF(P$4=1,IF(OR(INDEX('×入力'!$A$1:$L$800,455+P$3,2+P$2)&lt;&gt;"",INDEX('×入力'!$A$1:$L$800,454,2+P$2)&lt;&gt;"",INDEX('×入力'!$A$1:$L$800,455+P$3,1)&lt;&gt;""),1,0),0)</f>
        <v/>
      </c>
      <c r="Q38">
        <f>IF(Q$4=1,IF(OR(INDEX('×入力'!$A$1:$L$800,455+Q$3,2+Q$2)&lt;&gt;"",INDEX('×入力'!$A$1:$L$800,454,2+Q$2)&lt;&gt;"",INDEX('×入力'!$A$1:$L$800,455+Q$3,1)&lt;&gt;""),1,0),0)</f>
        <v/>
      </c>
      <c r="R38">
        <f>IF(R$4=1,IF(OR(INDEX('×入力'!$A$1:$L$800,455+R$3,2+R$2)&lt;&gt;"",INDEX('×入力'!$A$1:$L$800,454,2+R$2)&lt;&gt;"",INDEX('×入力'!$A$1:$L$800,455+R$3,1)&lt;&gt;""),1,0),0)</f>
        <v/>
      </c>
      <c r="S38">
        <f>IF(S$4=1,IF(OR(INDEX('×入力'!$A$1:$L$800,455+S$3,2+S$2)&lt;&gt;"",INDEX('×入力'!$A$1:$L$800,454,2+S$2)&lt;&gt;"",INDEX('×入力'!$A$1:$L$800,455+S$3,1)&lt;&gt;""),1,0),0)</f>
        <v/>
      </c>
      <c r="T38">
        <f>IF(T$4=1,IF(OR(INDEX('×入力'!$A$1:$L$800,455+T$3,2+T$2)&lt;&gt;"",INDEX('×入力'!$A$1:$L$800,454,2+T$2)&lt;&gt;"",INDEX('×入力'!$A$1:$L$800,455+T$3,1)&lt;&gt;""),1,0),0)</f>
        <v/>
      </c>
      <c r="U38">
        <f>IF(U$4=1,IF(OR(INDEX('×入力'!$A$1:$L$800,455+U$3,2+U$2)&lt;&gt;"",INDEX('×入力'!$A$1:$L$800,454,2+U$2)&lt;&gt;"",INDEX('×入力'!$A$1:$L$800,455+U$3,1)&lt;&gt;""),1,0),0)</f>
        <v/>
      </c>
      <c r="V38">
        <f>IF(V$4=1,IF(OR(INDEX('×入力'!$A$1:$L$800,455+V$3,2+V$2)&lt;&gt;"",INDEX('×入力'!$A$1:$L$800,454,2+V$2)&lt;&gt;"",INDEX('×入力'!$A$1:$L$800,455+V$3,1)&lt;&gt;""),1,0),0)</f>
        <v/>
      </c>
      <c r="W38">
        <f>IF(W$4=1,IF(OR(INDEX('×入力'!$A$1:$L$800,455+W$3,2+W$2)&lt;&gt;"",INDEX('×入力'!$A$1:$L$800,454,2+W$2)&lt;&gt;"",INDEX('×入力'!$A$1:$L$800,455+W$3,1)&lt;&gt;""),1,0),0)</f>
        <v/>
      </c>
      <c r="X38">
        <f>IF(X$4=1,IF(OR(INDEX('×入力'!$A$1:$L$800,455+X$3,2+X$2)&lt;&gt;"",INDEX('×入力'!$A$1:$L$800,454,2+X$2)&lt;&gt;"",INDEX('×入力'!$A$1:$L$800,455+X$3,1)&lt;&gt;""),1,0),0)</f>
        <v/>
      </c>
      <c r="Y38">
        <f>IF(Y$4=1,IF(OR(INDEX('×入力'!$A$1:$L$800,455+Y$3,2+Y$2)&lt;&gt;"",INDEX('×入力'!$A$1:$L$800,454,2+Y$2)&lt;&gt;"",INDEX('×入力'!$A$1:$L$800,455+Y$3,1)&lt;&gt;""),1,0),0)</f>
        <v/>
      </c>
      <c r="Z38">
        <f>IF(Z$4=1,IF(OR(INDEX('×入力'!$A$1:$L$800,455+Z$3,2+Z$2)&lt;&gt;"",INDEX('×入力'!$A$1:$L$800,454,2+Z$2)&lt;&gt;"",INDEX('×入力'!$A$1:$L$800,455+Z$3,1)&lt;&gt;""),1,0),0)</f>
        <v/>
      </c>
      <c r="AA38">
        <f>IF(AA$4=1,IF(OR(INDEX('×入力'!$A$1:$L$800,455+AA$3,2+AA$2)&lt;&gt;"",INDEX('×入力'!$A$1:$L$800,454,2+AA$2)&lt;&gt;"",INDEX('×入力'!$A$1:$L$800,455+AA$3,1)&lt;&gt;""),1,0),0)</f>
        <v/>
      </c>
      <c r="AB38">
        <f>IF(AB$4=1,IF(OR(INDEX('×入力'!$A$1:$L$800,455+AB$3,2+AB$2)&lt;&gt;"",INDEX('×入力'!$A$1:$L$800,454,2+AB$2)&lt;&gt;"",INDEX('×入力'!$A$1:$L$800,455+AB$3,1)&lt;&gt;""),1,0),0)</f>
        <v/>
      </c>
      <c r="AC38">
        <f>IF(AC$4=1,IF(OR(INDEX('×入力'!$A$1:$L$800,455+AC$3,2+AC$2)&lt;&gt;"",INDEX('×入力'!$A$1:$L$800,454,2+AC$2)&lt;&gt;"",INDEX('×入力'!$A$1:$L$800,455+AC$3,1)&lt;&gt;""),1,0),0)</f>
        <v/>
      </c>
      <c r="AD38">
        <f>IF(AD$4=1,IF(OR(INDEX('×入力'!$A$1:$L$800,455+AD$3,2+AD$2)&lt;&gt;"",INDEX('×入力'!$A$1:$L$800,454,2+AD$2)&lt;&gt;"",INDEX('×入力'!$A$1:$L$800,455+AD$3,1)&lt;&gt;""),1,0),0)</f>
        <v/>
      </c>
      <c r="AE38">
        <f>IF(AE$4=1,IF(OR(INDEX('×入力'!$A$1:$L$800,455+AE$3,2+AE$2)&lt;&gt;"",INDEX('×入力'!$A$1:$L$800,454,2+AE$2)&lt;&gt;"",INDEX('×入力'!$A$1:$L$800,455+AE$3,1)&lt;&gt;""),1,0),0)</f>
        <v/>
      </c>
      <c r="AF38">
        <f>IF(AF$4=1,IF(OR(INDEX('×入力'!$A$1:$L$800,455+AF$3,2+AF$2)&lt;&gt;"",INDEX('×入力'!$A$1:$L$800,454,2+AF$2)&lt;&gt;"",INDEX('×入力'!$A$1:$L$800,455+AF$3,1)&lt;&gt;""),1,0),0)</f>
        <v/>
      </c>
      <c r="AG38">
        <f>IF(AG$4=1,IF(OR(INDEX('×入力'!$A$1:$L$800,455+AG$3,2+AG$2)&lt;&gt;"",INDEX('×入力'!$A$1:$L$800,454,2+AG$2)&lt;&gt;"",INDEX('×入力'!$A$1:$L$800,455+AG$3,1)&lt;&gt;""),1,0),0)</f>
        <v/>
      </c>
      <c r="AH38">
        <f>IF(AH$4=1,IF(OR(INDEX('×入力'!$A$1:$L$800,455+AH$3,2+AH$2)&lt;&gt;"",INDEX('×入力'!$A$1:$L$800,454,2+AH$2)&lt;&gt;"",INDEX('×入力'!$A$1:$L$800,455+AH$3,1)&lt;&gt;""),1,0),0)</f>
        <v/>
      </c>
      <c r="AI38">
        <f>IF(AI$4=1,IF(OR(INDEX('×入力'!$A$1:$L$800,455+AI$3,2+AI$2)&lt;&gt;"",INDEX('×入力'!$A$1:$L$800,454,2+AI$2)&lt;&gt;"",INDEX('×入力'!$A$1:$L$800,455+AI$3,1)&lt;&gt;""),1,0),0)</f>
        <v/>
      </c>
      <c r="AJ38">
        <f>IF(AJ$4=1,IF(OR(INDEX('×入力'!$A$1:$L$800,455+AJ$3,2+AJ$2)&lt;&gt;"",INDEX('×入力'!$A$1:$L$800,454,2+AJ$2)&lt;&gt;"",INDEX('×入力'!$A$1:$L$800,455+AJ$3,1)&lt;&gt;""),1,0),0)</f>
        <v/>
      </c>
      <c r="AK38">
        <f>IF(AK$4=1,IF(OR(INDEX('×入力'!$A$1:$L$800,455+AK$3,2+AK$2)&lt;&gt;"",INDEX('×入力'!$A$1:$L$800,454,2+AK$2)&lt;&gt;"",INDEX('×入力'!$A$1:$L$800,455+AK$3,1)&lt;&gt;""),1,0),0)</f>
        <v/>
      </c>
      <c r="AL38">
        <f>IF(AL$4=1,IF(OR(INDEX('×入力'!$A$1:$L$800,455+AL$3,2+AL$2)&lt;&gt;"",INDEX('×入力'!$A$1:$L$800,454,2+AL$2)&lt;&gt;"",INDEX('×入力'!$A$1:$L$800,455+AL$3,1)&lt;&gt;""),1,0),0)</f>
        <v/>
      </c>
      <c r="AM38">
        <f>IF(AM$4=1,IF(OR(INDEX('×入力'!$A$1:$L$800,455+AM$3,2+AM$2)&lt;&gt;"",INDEX('×入力'!$A$1:$L$800,454,2+AM$2)&lt;&gt;"",INDEX('×入力'!$A$1:$L$800,455+AM$3,1)&lt;&gt;""),1,0),0)</f>
        <v/>
      </c>
      <c r="AN38">
        <f>IF(AN$4=1,IF(OR(INDEX('×入力'!$A$1:$L$800,455+AN$3,2+AN$2)&lt;&gt;"",INDEX('×入力'!$A$1:$L$800,454,2+AN$2)&lt;&gt;"",INDEX('×入力'!$A$1:$L$800,455+AN$3,1)&lt;&gt;""),1,0),0)</f>
        <v/>
      </c>
      <c r="AO38">
        <f>IF(AO$4=1,IF(OR(INDEX('×入力'!$A$1:$L$800,455+AO$3,2+AO$2)&lt;&gt;"",INDEX('×入力'!$A$1:$L$800,454,2+AO$2)&lt;&gt;"",INDEX('×入力'!$A$1:$L$800,455+AO$3,1)&lt;&gt;""),1,0),0)</f>
        <v/>
      </c>
      <c r="AP38">
        <f>IF(AP$4=1,IF(OR(INDEX('×入力'!$A$1:$L$800,455+AP$3,2+AP$2)&lt;&gt;"",INDEX('×入力'!$A$1:$L$800,454,2+AP$2)&lt;&gt;"",INDEX('×入力'!$A$1:$L$800,455+AP$3,1)&lt;&gt;""),1,0),0)</f>
        <v/>
      </c>
      <c r="AQ38">
        <f>IF(AQ$4=1,IF(OR(INDEX('×入力'!$A$1:$L$800,455+AQ$3,2+AQ$2)&lt;&gt;"",INDEX('×入力'!$A$1:$L$800,454,2+AQ$2)&lt;&gt;"",INDEX('×入力'!$A$1:$L$800,455+AQ$3,1)&lt;&gt;""),1,0),0)</f>
        <v/>
      </c>
      <c r="AR38">
        <f>IF(AR$4=1,IF(OR(INDEX('×入力'!$A$1:$L$800,455+AR$3,2+AR$2)&lt;&gt;"",INDEX('×入力'!$A$1:$L$800,454,2+AR$2)&lt;&gt;"",INDEX('×入力'!$A$1:$L$800,455+AR$3,1)&lt;&gt;""),1,0),0)</f>
        <v/>
      </c>
      <c r="AS38">
        <f>IF(AS$4=1,IF(OR(INDEX('×入力'!$A$1:$L$800,455+AS$3,2+AS$2)&lt;&gt;"",INDEX('×入力'!$A$1:$L$800,454,2+AS$2)&lt;&gt;"",INDEX('×入力'!$A$1:$L$800,455+AS$3,1)&lt;&gt;""),1,0),0)</f>
        <v/>
      </c>
      <c r="AT38">
        <f>IF(AT$4=1,IF(OR(INDEX('×入力'!$A$1:$L$800,455+AT$3,2+AT$2)&lt;&gt;"",INDEX('×入力'!$A$1:$L$800,454,2+AT$2)&lt;&gt;"",INDEX('×入力'!$A$1:$L$800,455+AT$3,1)&lt;&gt;""),1,0),0)</f>
        <v/>
      </c>
      <c r="AU38">
        <f>IF(AU$4=1,IF(OR(INDEX('×入力'!$A$1:$L$800,455+AU$3,2+AU$2)&lt;&gt;"",INDEX('×入力'!$A$1:$L$800,454,2+AU$2)&lt;&gt;"",INDEX('×入力'!$A$1:$L$800,455+AU$3,1)&lt;&gt;""),1,0),0)</f>
        <v/>
      </c>
      <c r="AV38">
        <f>IF(AV$4=1,IF(OR(INDEX('×入力'!$A$1:$L$800,455+AV$3,2+AV$2)&lt;&gt;"",INDEX('×入力'!$A$1:$L$800,454,2+AV$2)&lt;&gt;"",INDEX('×入力'!$A$1:$L$800,455+AV$3,1)&lt;&gt;""),1,0),0)</f>
        <v/>
      </c>
      <c r="AW38">
        <f>IF(AW$4=1,IF(OR(INDEX('×入力'!$A$1:$L$800,455+AW$3,2+AW$2)&lt;&gt;"",INDEX('×入力'!$A$1:$L$800,454,2+AW$2)&lt;&gt;"",INDEX('×入力'!$A$1:$L$800,455+AW$3,1)&lt;&gt;""),1,0),0)</f>
        <v/>
      </c>
      <c r="AX38">
        <f>IF(AX$4=1,IF(OR(INDEX('×入力'!$A$1:$L$800,455+AX$3,2+AX$2)&lt;&gt;"",INDEX('×入力'!$A$1:$L$800,454,2+AX$2)&lt;&gt;"",INDEX('×入力'!$A$1:$L$800,455+AX$3,1)&lt;&gt;""),1,0),0)</f>
        <v/>
      </c>
      <c r="AY38">
        <f>IF(AY$4=1,IF(OR(INDEX('×入力'!$A$1:$L$800,455+AY$3,2+AY$2)&lt;&gt;"",INDEX('×入力'!$A$1:$L$800,454,2+AY$2)&lt;&gt;"",INDEX('×入力'!$A$1:$L$800,455+AY$3,1)&lt;&gt;""),1,0),0)</f>
        <v/>
      </c>
      <c r="AZ38">
        <f>IF(AZ$4=1,IF(OR(INDEX('×入力'!$A$1:$L$800,455+AZ$3,2+AZ$2)&lt;&gt;"",INDEX('×入力'!$A$1:$L$800,454,2+AZ$2)&lt;&gt;"",INDEX('×入力'!$A$1:$L$800,455+AZ$3,1)&lt;&gt;""),1,0),0)</f>
        <v/>
      </c>
      <c r="BA38">
        <f>IF(BA$4=1,IF(OR(INDEX('×入力'!$A$1:$L$800,455+BA$3,2+BA$2)&lt;&gt;"",INDEX('×入力'!$A$1:$L$800,454,2+BA$2)&lt;&gt;"",INDEX('×入力'!$A$1:$L$800,455+BA$3,1)&lt;&gt;""),1,0),0)</f>
        <v/>
      </c>
      <c r="BB38">
        <f>IF(BB$4=1,IF(OR(INDEX('×入力'!$A$1:$L$800,455+BB$3,2+BB$2)&lt;&gt;"",INDEX('×入力'!$A$1:$L$800,454,2+BB$2)&lt;&gt;"",INDEX('×入力'!$A$1:$L$800,455+BB$3,1)&lt;&gt;""),1,0),0)</f>
        <v/>
      </c>
      <c r="BC38">
        <f>IF(BC$4=1,IF(OR(INDEX('×入力'!$A$1:$L$800,455+BC$3,2+BC$2)&lt;&gt;"",INDEX('×入力'!$A$1:$L$800,454,2+BC$2)&lt;&gt;"",INDEX('×入力'!$A$1:$L$800,455+BC$3,1)&lt;&gt;""),1,0),0)</f>
        <v/>
      </c>
      <c r="BD38">
        <f>IF(BD$4=1,IF(OR(INDEX('×入力'!$A$1:$L$800,455+BD$3,2+BD$2)&lt;&gt;"",INDEX('×入力'!$A$1:$L$800,454,2+BD$2)&lt;&gt;"",INDEX('×入力'!$A$1:$L$800,455+BD$3,1)&lt;&gt;""),1,0),0)</f>
        <v/>
      </c>
      <c r="BE38">
        <f>IF(BE$4=1,IF(OR(INDEX('×入力'!$A$1:$L$800,455+BE$3,2+BE$2)&lt;&gt;"",INDEX('×入力'!$A$1:$L$800,454,2+BE$2)&lt;&gt;"",INDEX('×入力'!$A$1:$L$800,455+BE$3,1)&lt;&gt;""),1,0),0)</f>
        <v/>
      </c>
      <c r="BF38">
        <f>IF(BF$4=1,IF(OR(INDEX('×入力'!$A$1:$L$800,455+BF$3,2+BF$2)&lt;&gt;"",INDEX('×入力'!$A$1:$L$800,454,2+BF$2)&lt;&gt;"",INDEX('×入力'!$A$1:$L$800,455+BF$3,1)&lt;&gt;""),1,0),0)</f>
        <v/>
      </c>
      <c r="BG38">
        <f>IF(BG$4=1,IF(OR(INDEX('×入力'!$A$1:$L$800,455+BG$3,2+BG$2)&lt;&gt;"",INDEX('×入力'!$A$1:$L$800,454,2+BG$2)&lt;&gt;"",INDEX('×入力'!$A$1:$L$800,455+BG$3,1)&lt;&gt;""),1,0),0)</f>
        <v/>
      </c>
      <c r="BH38">
        <f>IF(BH$4=1,IF(OR(INDEX('×入力'!$A$1:$L$800,455+BH$3,2+BH$2)&lt;&gt;"",INDEX('×入力'!$A$1:$L$800,454,2+BH$2)&lt;&gt;"",INDEX('×入力'!$A$1:$L$800,455+BH$3,1)&lt;&gt;""),1,0),0)</f>
        <v/>
      </c>
      <c r="BI38">
        <f>IF(BI$4=1,IF(OR(INDEX('×入力'!$A$1:$L$800,455+BI$3,2+BI$2)&lt;&gt;"",INDEX('×入力'!$A$1:$L$800,454,2+BI$2)&lt;&gt;"",INDEX('×入力'!$A$1:$L$800,455+BI$3,1)&lt;&gt;""),1,0),0)</f>
        <v/>
      </c>
      <c r="BJ38">
        <f>IF(BJ$4=1,IF(OR(INDEX('×入力'!$A$1:$L$800,455+BJ$3,2+BJ$2)&lt;&gt;"",INDEX('×入力'!$A$1:$L$800,454,2+BJ$2)&lt;&gt;"",INDEX('×入力'!$A$1:$L$800,455+BJ$3,1)&lt;&gt;""),1,0),0)</f>
        <v/>
      </c>
      <c r="BK38">
        <f>IF(BK$4=1,IF(OR(INDEX('×入力'!$A$1:$L$800,455+BK$3,2+BK$2)&lt;&gt;"",INDEX('×入力'!$A$1:$L$800,454,2+BK$2)&lt;&gt;"",INDEX('×入力'!$A$1:$L$800,455+BK$3,1)&lt;&gt;""),1,0),0)</f>
        <v/>
      </c>
      <c r="BL38">
        <f>IF(BL$4=1,IF(OR(INDEX('×入力'!$A$1:$L$800,455+BL$3,2+BL$2)&lt;&gt;"",INDEX('×入力'!$A$1:$L$800,454,2+BL$2)&lt;&gt;"",INDEX('×入力'!$A$1:$L$800,455+BL$3,1)&lt;&gt;""),1,0),0)</f>
        <v/>
      </c>
      <c r="BM38">
        <f>IF(BM$4=1,IF(OR(INDEX('×入力'!$A$1:$L$800,455+BM$3,2+BM$2)&lt;&gt;"",INDEX('×入力'!$A$1:$L$800,454,2+BM$2)&lt;&gt;"",INDEX('×入力'!$A$1:$L$800,455+BM$3,1)&lt;&gt;""),1,0),0)</f>
        <v/>
      </c>
      <c r="BN38">
        <f>IF(BN$4=1,IF(OR(INDEX('×入力'!$A$1:$L$800,455+BN$3,2+BN$2)&lt;&gt;"",INDEX('×入力'!$A$1:$L$800,454,2+BN$2)&lt;&gt;"",INDEX('×入力'!$A$1:$L$800,455+BN$3,1)&lt;&gt;""),1,0),0)</f>
        <v/>
      </c>
      <c r="BO38">
        <f>IF(BO$4=1,IF(OR(INDEX('×入力'!$A$1:$L$800,455+BO$3,2+BO$2)&lt;&gt;"",INDEX('×入力'!$A$1:$L$800,454,2+BO$2)&lt;&gt;"",INDEX('×入力'!$A$1:$L$800,455+BO$3,1)&lt;&gt;""),1,0),0)</f>
        <v/>
      </c>
      <c r="BP38">
        <f>IF(BP$4=1,IF(OR(INDEX('×入力'!$A$1:$L$800,455+BP$3,2+BP$2)&lt;&gt;"",INDEX('×入力'!$A$1:$L$800,454,2+BP$2)&lt;&gt;"",INDEX('×入力'!$A$1:$L$800,455+BP$3,1)&lt;&gt;""),1,0),0)</f>
        <v/>
      </c>
      <c r="BQ38">
        <f>IF(BQ$4=1,IF(OR(INDEX('×入力'!$A$1:$L$800,455+BQ$3,2+BQ$2)&lt;&gt;"",INDEX('×入力'!$A$1:$L$800,454,2+BQ$2)&lt;&gt;"",INDEX('×入力'!$A$1:$L$800,455+BQ$3,1)&lt;&gt;""),1,0),0)</f>
        <v/>
      </c>
      <c r="BR38">
        <f>IF(BR$4=1,IF(OR(INDEX('×入力'!$A$1:$L$800,455+BR$3,2+BR$2)&lt;&gt;"",INDEX('×入力'!$A$1:$L$800,454,2+BR$2)&lt;&gt;"",INDEX('×入力'!$A$1:$L$800,455+BR$3,1)&lt;&gt;""),1,0),0)</f>
        <v/>
      </c>
      <c r="BS38">
        <f>IF(BS$4=1,IF(OR(INDEX('×入力'!$A$1:$L$800,455+BS$3,2+BS$2)&lt;&gt;"",INDEX('×入力'!$A$1:$L$800,454,2+BS$2)&lt;&gt;"",INDEX('×入力'!$A$1:$L$800,455+BS$3,1)&lt;&gt;""),1,0),0)</f>
        <v/>
      </c>
      <c r="BT38">
        <f>IF(BT$4=1,IF(OR(INDEX('×入力'!$A$1:$L$800,455+BT$3,2+BT$2)&lt;&gt;"",INDEX('×入力'!$A$1:$L$800,454,2+BT$2)&lt;&gt;"",INDEX('×入力'!$A$1:$L$800,455+BT$3,1)&lt;&gt;""),1,0),0)</f>
        <v/>
      </c>
      <c r="BU38">
        <f>IF(BU$4=1,IF(OR(INDEX('×入力'!$A$1:$L$800,455+BU$3,2+BU$2)&lt;&gt;"",INDEX('×入力'!$A$1:$L$800,454,2+BU$2)&lt;&gt;"",INDEX('×入力'!$A$1:$L$800,455+BU$3,1)&lt;&gt;""),1,0),0)</f>
        <v/>
      </c>
      <c r="BV38">
        <f>IF(BV$4=1,IF(OR(INDEX('×入力'!$A$1:$L$800,455+BV$3,2+BV$2)&lt;&gt;"",INDEX('×入力'!$A$1:$L$800,454,2+BV$2)&lt;&gt;"",INDEX('×入力'!$A$1:$L$800,455+BV$3,1)&lt;&gt;""),1,0),0)</f>
        <v/>
      </c>
      <c r="BW38">
        <f>IF(BW$4=1,IF(OR(INDEX('×入力'!$A$1:$L$800,455+BW$3,2+BW$2)&lt;&gt;"",INDEX('×入力'!$A$1:$L$800,454,2+BW$2)&lt;&gt;"",INDEX('×入力'!$A$1:$L$800,455+BW$3,1)&lt;&gt;""),1,0),0)</f>
        <v/>
      </c>
      <c r="BX38">
        <f>IF(BX$4=1,IF(OR(INDEX('×入力'!$A$1:$L$800,455+BX$3,2+BX$2)&lt;&gt;"",INDEX('×入力'!$A$1:$L$800,454,2+BX$2)&lt;&gt;"",INDEX('×入力'!$A$1:$L$800,455+BX$3,1)&lt;&gt;""),1,0),0)</f>
        <v/>
      </c>
      <c r="BY38">
        <f>IF(BY$4=1,IF(OR(INDEX('×入力'!$A$1:$L$800,455+BY$3,2+BY$2)&lt;&gt;"",INDEX('×入力'!$A$1:$L$800,454,2+BY$2)&lt;&gt;"",INDEX('×入力'!$A$1:$L$800,455+BY$3,1)&lt;&gt;""),1,0),0)</f>
        <v/>
      </c>
      <c r="BZ38">
        <f>IF(BZ$4=1,IF(OR(INDEX('×入力'!$A$1:$L$800,455+BZ$3,2+BZ$2)&lt;&gt;"",INDEX('×入力'!$A$1:$L$800,454,2+BZ$2)&lt;&gt;"",INDEX('×入力'!$A$1:$L$800,455+BZ$3,1)&lt;&gt;""),1,0),0)</f>
        <v/>
      </c>
      <c r="CA38">
        <f>IF(CA$4=1,IF(OR(INDEX('×入力'!$A$1:$L$800,455+CA$3,2+CA$2)&lt;&gt;"",INDEX('×入力'!$A$1:$L$800,454,2+CA$2)&lt;&gt;"",INDEX('×入力'!$A$1:$L$800,455+CA$3,1)&lt;&gt;""),1,0),0)</f>
        <v/>
      </c>
      <c r="CB38">
        <f>IF(CB$4=1,IF(OR(INDEX('×入力'!$A$1:$L$800,455+CB$3,2+CB$2)&lt;&gt;"",INDEX('×入力'!$A$1:$L$800,454,2+CB$2)&lt;&gt;"",INDEX('×入力'!$A$1:$L$800,455+CB$3,1)&lt;&gt;""),1,0),0)</f>
        <v/>
      </c>
      <c r="CC38">
        <f>IF(CC$4=1,IF(OR(INDEX('×入力'!$A$1:$L$800,455+CC$3,2+CC$2)&lt;&gt;"",INDEX('×入力'!$A$1:$L$800,454,2+CC$2)&lt;&gt;"",INDEX('×入力'!$A$1:$L$800,455+CC$3,1)&lt;&gt;""),1,0),0)</f>
        <v/>
      </c>
      <c r="CD38">
        <f>IF(CD$4=1,IF(OR(INDEX('×入力'!$A$1:$L$800,455+CD$3,2+CD$2)&lt;&gt;"",INDEX('×入力'!$A$1:$L$800,454,2+CD$2)&lt;&gt;"",INDEX('×入力'!$A$1:$L$800,455+CD$3,1)&lt;&gt;""),1,0),0)</f>
        <v/>
      </c>
      <c r="CE38">
        <f>IF(CE$4=1,IF(OR(INDEX('×入力'!$A$1:$L$800,455+CE$3,2+CE$2)&lt;&gt;"",INDEX('×入力'!$A$1:$L$800,454,2+CE$2)&lt;&gt;"",INDEX('×入力'!$A$1:$L$800,455+CE$3,1)&lt;&gt;""),1,0),0)</f>
        <v/>
      </c>
      <c r="CF38">
        <f>IF(CF$4=1,IF(OR(INDEX('×入力'!$A$1:$L$800,455+CF$3,2+CF$2)&lt;&gt;"",INDEX('×入力'!$A$1:$L$800,454,2+CF$2)&lt;&gt;"",INDEX('×入力'!$A$1:$L$800,455+CF$3,1)&lt;&gt;""),1,0),0)</f>
        <v/>
      </c>
      <c r="CG38">
        <f>IF(CG$4=1,IF(OR(INDEX('×入力'!$A$1:$L$800,455+CG$3,2+CG$2)&lt;&gt;"",INDEX('×入力'!$A$1:$L$800,454,2+CG$2)&lt;&gt;"",INDEX('×入力'!$A$1:$L$800,455+CG$3,1)&lt;&gt;""),1,0),0)</f>
        <v/>
      </c>
      <c r="CH38">
        <f>IF(CH$4=1,IF(OR(INDEX('×入力'!$A$1:$L$800,455+CH$3,2+CH$2)&lt;&gt;"",INDEX('×入力'!$A$1:$L$800,454,2+CH$2)&lt;&gt;"",INDEX('×入力'!$A$1:$L$800,455+CH$3,1)&lt;&gt;""),1,0),0)</f>
        <v/>
      </c>
      <c r="CI38">
        <f>IF(CI$4=1,IF(OR(INDEX('×入力'!$A$1:$L$800,455+CI$3,2+CI$2)&lt;&gt;"",INDEX('×入力'!$A$1:$L$800,454,2+CI$2)&lt;&gt;"",INDEX('×入力'!$A$1:$L$800,455+CI$3,1)&lt;&gt;""),1,0),0)</f>
        <v/>
      </c>
      <c r="CJ38">
        <f>IF(CJ$4=1,IF(OR(INDEX('×入力'!$A$1:$L$800,455+CJ$3,2+CJ$2)&lt;&gt;"",INDEX('×入力'!$A$1:$L$800,454,2+CJ$2)&lt;&gt;"",INDEX('×入力'!$A$1:$L$800,455+CJ$3,1)&lt;&gt;""),1,0),0)</f>
        <v/>
      </c>
      <c r="CK38">
        <f>IF(CK$4=1,IF(OR(INDEX('×入力'!$A$1:$L$800,455+CK$3,2+CK$2)&lt;&gt;"",INDEX('×入力'!$A$1:$L$800,454,2+CK$2)&lt;&gt;"",INDEX('×入力'!$A$1:$L$800,455+CK$3,1)&lt;&gt;""),1,0),0)</f>
        <v/>
      </c>
      <c r="CL38">
        <f>IF(CL$4=1,IF(OR(INDEX('×入力'!$A$1:$L$800,455+CL$3,2+CL$2)&lt;&gt;"",INDEX('×入力'!$A$1:$L$800,454,2+CL$2)&lt;&gt;"",INDEX('×入力'!$A$1:$L$800,455+CL$3,1)&lt;&gt;""),1,0),0)</f>
        <v/>
      </c>
      <c r="CM38">
        <f>IF(CM$4=1,IF(OR(INDEX('×入力'!$A$1:$L$800,455+CM$3,2+CM$2)&lt;&gt;"",INDEX('×入力'!$A$1:$L$800,454,2+CM$2)&lt;&gt;"",INDEX('×入力'!$A$1:$L$800,455+CM$3,1)&lt;&gt;""),1,0),0)</f>
        <v/>
      </c>
      <c r="CN38">
        <f>IF(CN$4=1,IF(OR(INDEX('×入力'!$A$1:$L$800,455+CN$3,2+CN$2)&lt;&gt;"",INDEX('×入力'!$A$1:$L$800,454,2+CN$2)&lt;&gt;"",INDEX('×入力'!$A$1:$L$800,455+CN$3,1)&lt;&gt;""),1,0),0)</f>
        <v/>
      </c>
      <c r="CO38">
        <f>IF(CO$4=1,IF(OR(INDEX('×入力'!$A$1:$L$800,455+CO$3,2+CO$2)&lt;&gt;"",INDEX('×入力'!$A$1:$L$800,454,2+CO$2)&lt;&gt;"",INDEX('×入力'!$A$1:$L$800,455+CO$3,1)&lt;&gt;""),1,0),0)</f>
        <v/>
      </c>
      <c r="CP38">
        <f>IF(CP$4=1,IF(OR(INDEX('×入力'!$A$1:$L$800,455+CP$3,2+CP$2)&lt;&gt;"",INDEX('×入力'!$A$1:$L$800,454,2+CP$2)&lt;&gt;"",INDEX('×入力'!$A$1:$L$800,455+CP$3,1)&lt;&gt;""),1,0),0)</f>
        <v/>
      </c>
      <c r="CQ38">
        <f>IF(CQ$4=1,IF(OR(INDEX('×入力'!$A$1:$L$800,455+CQ$3,2+CQ$2)&lt;&gt;"",INDEX('×入力'!$A$1:$L$800,454,2+CQ$2)&lt;&gt;"",INDEX('×入力'!$A$1:$L$800,455+CQ$3,1)&lt;&gt;""),1,0),0)</f>
        <v/>
      </c>
      <c r="CR38">
        <f>IF(CR$4=1,IF(OR(INDEX('×入力'!$A$1:$L$800,455+CR$3,2+CR$2)&lt;&gt;"",INDEX('×入力'!$A$1:$L$800,454,2+CR$2)&lt;&gt;"",INDEX('×入力'!$A$1:$L$800,455+CR$3,1)&lt;&gt;""),1,0),0)</f>
        <v/>
      </c>
      <c r="CS38">
        <f>IF(CS$4=1,IF(OR(INDEX('×入力'!$A$1:$L$800,455+CS$3,2+CS$2)&lt;&gt;"",INDEX('×入力'!$A$1:$L$800,454,2+CS$2)&lt;&gt;"",INDEX('×入力'!$A$1:$L$800,455+CS$3,1)&lt;&gt;""),1,0),0)</f>
        <v/>
      </c>
      <c r="CT38">
        <f>IF(CT$4=1,IF(OR(INDEX('×入力'!$A$1:$L$800,455+CT$3,2+CT$2)&lt;&gt;"",INDEX('×入力'!$A$1:$L$800,454,2+CT$2)&lt;&gt;"",INDEX('×入力'!$A$1:$L$800,455+CT$3,1)&lt;&gt;""),1,0),0)</f>
        <v/>
      </c>
      <c r="CU38">
        <f>IF(CU$4=1,IF(OR(INDEX('×入力'!$A$1:$L$800,455+CU$3,2+CU$2)&lt;&gt;"",INDEX('×入力'!$A$1:$L$800,454,2+CU$2)&lt;&gt;"",INDEX('×入力'!$A$1:$L$800,455+CU$3,1)&lt;&gt;""),1,0),0)</f>
        <v/>
      </c>
      <c r="CV38">
        <f>IF(CV$4=1,IF(OR(INDEX('×入力'!$A$1:$L$800,455+CV$3,2+CV$2)&lt;&gt;"",INDEX('×入力'!$A$1:$L$800,454,2+CV$2)&lt;&gt;"",INDEX('×入力'!$A$1:$L$800,455+CV$3,1)&lt;&gt;""),1,0),0)</f>
        <v/>
      </c>
      <c r="CW38">
        <f>IF(CW$4=1,IF(OR(INDEX('×入力'!$A$1:$L$800,455+CW$3,2+CW$2)&lt;&gt;"",INDEX('×入力'!$A$1:$L$800,454,2+CW$2)&lt;&gt;"",INDEX('×入力'!$A$1:$L$800,455+CW$3,1)&lt;&gt;""),1,0),0)</f>
        <v/>
      </c>
      <c r="CX38">
        <f>IF(CX$4=1,IF(OR(INDEX('×入力'!$A$1:$L$800,455+CX$3,2+CX$2)&lt;&gt;"",INDEX('×入力'!$A$1:$L$800,454,2+CX$2)&lt;&gt;"",INDEX('×入力'!$A$1:$L$800,455+CX$3,1)&lt;&gt;""),1,0),0)</f>
        <v/>
      </c>
      <c r="CY38">
        <f>IF(CY$4=1,IF(OR(INDEX('×入力'!$A$1:$L$800,455+CY$3,2+CY$2)&lt;&gt;"",INDEX('×入力'!$A$1:$L$800,454,2+CY$2)&lt;&gt;"",INDEX('×入力'!$A$1:$L$800,455+CY$3,1)&lt;&gt;""),1,0),0)</f>
        <v/>
      </c>
      <c r="CZ38">
        <f>IF(CZ$4=1,IF(OR(INDEX('×入力'!$A$1:$L$800,455+CZ$3,2+CZ$2)&lt;&gt;"",INDEX('×入力'!$A$1:$L$800,454,2+CZ$2)&lt;&gt;"",INDEX('×入力'!$A$1:$L$800,455+CZ$3,1)&lt;&gt;""),1,0),0)</f>
        <v/>
      </c>
      <c r="DA38">
        <f>IF(DA$4=1,IF(OR(INDEX('×入力'!$A$1:$L$800,455+DA$3,2+DA$2)&lt;&gt;"",INDEX('×入力'!$A$1:$L$800,454,2+DA$2)&lt;&gt;"",INDEX('×入力'!$A$1:$L$800,455+DA$3,1)&lt;&gt;""),1,0),0)</f>
        <v/>
      </c>
      <c r="DB38">
        <f>IF(DB$4=1,IF(OR(INDEX('×入力'!$A$1:$L$800,455+DB$3,2+DB$2)&lt;&gt;"",INDEX('×入力'!$A$1:$L$800,454,2+DB$2)&lt;&gt;"",INDEX('×入力'!$A$1:$L$800,455+DB$3,1)&lt;&gt;""),1,0),0)</f>
        <v/>
      </c>
      <c r="DC38">
        <f>IF(DC$4=1,IF(OR(INDEX('×入力'!$A$1:$L$800,455+DC$3,2+DC$2)&lt;&gt;"",INDEX('×入力'!$A$1:$L$800,454,2+DC$2)&lt;&gt;"",INDEX('×入力'!$A$1:$L$800,455+DC$3,1)&lt;&gt;""),1,0),0)</f>
        <v/>
      </c>
      <c r="DD38">
        <f>IF(DD$4=1,IF(OR(INDEX('×入力'!$A$1:$L$800,455+DD$3,2+DD$2)&lt;&gt;"",INDEX('×入力'!$A$1:$L$800,454,2+DD$2)&lt;&gt;"",INDEX('×入力'!$A$1:$L$800,455+DD$3,1)&lt;&gt;""),1,0),0)</f>
        <v/>
      </c>
      <c r="DE38">
        <f>IF(DE$4=1,IF(OR(INDEX('×入力'!$A$1:$L$800,455+DE$3,2+DE$2)&lt;&gt;"",INDEX('×入力'!$A$1:$L$800,454,2+DE$2)&lt;&gt;"",INDEX('×入力'!$A$1:$L$800,455+DE$3,1)&lt;&gt;""),1,0),0)</f>
        <v/>
      </c>
      <c r="DF38">
        <f>IF(DF$4=1,IF(OR(INDEX('×入力'!$A$1:$L$800,455+DF$3,2+DF$2)&lt;&gt;"",INDEX('×入力'!$A$1:$L$800,454,2+DF$2)&lt;&gt;"",INDEX('×入力'!$A$1:$L$800,455+DF$3,1)&lt;&gt;""),1,0),0)</f>
        <v/>
      </c>
      <c r="DG38">
        <f>IF(DG$4=1,IF(OR(INDEX('×入力'!$A$1:$L$800,455+DG$3,2+DG$2)&lt;&gt;"",INDEX('×入力'!$A$1:$L$800,454,2+DG$2)&lt;&gt;"",INDEX('×入力'!$A$1:$L$800,455+DG$3,1)&lt;&gt;""),1,0),0)</f>
        <v/>
      </c>
      <c r="DH38">
        <f>IF(DH$4=1,IF(OR(INDEX('×入力'!$A$1:$L$800,455+DH$3,2+DH$2)&lt;&gt;"",INDEX('×入力'!$A$1:$L$800,454,2+DH$2)&lt;&gt;"",INDEX('×入力'!$A$1:$L$800,455+DH$3,1)&lt;&gt;""),1,0),0)</f>
        <v/>
      </c>
      <c r="DI38">
        <f>IF(DI$4=1,IF(OR(INDEX('×入力'!$A$1:$L$800,455+DI$3,2+DI$2)&lt;&gt;"",INDEX('×入力'!$A$1:$L$800,454,2+DI$2)&lt;&gt;"",INDEX('×入力'!$A$1:$L$800,455+DI$3,1)&lt;&gt;""),1,0),0)</f>
        <v/>
      </c>
      <c r="DJ38">
        <f>IF(DJ$4=1,IF(OR(INDEX('×入力'!$A$1:$L$800,455+DJ$3,2+DJ$2)&lt;&gt;"",INDEX('×入力'!$A$1:$L$800,454,2+DJ$2)&lt;&gt;"",INDEX('×入力'!$A$1:$L$800,455+DJ$3,1)&lt;&gt;""),1,0),0)</f>
        <v/>
      </c>
      <c r="DK38">
        <f>IF(DK$4=1,IF(OR(INDEX('×入力'!$A$1:$L$800,455+DK$3,2+DK$2)&lt;&gt;"",INDEX('×入力'!$A$1:$L$800,454,2+DK$2)&lt;&gt;"",INDEX('×入力'!$A$1:$L$800,455+DK$3,1)&lt;&gt;""),1,0),0)</f>
        <v/>
      </c>
      <c r="DL38">
        <f>IF(DL$4=1,IF(OR(INDEX('×入力'!$A$1:$L$800,455+DL$3,2+DL$2)&lt;&gt;"",INDEX('×入力'!$A$1:$L$800,454,2+DL$2)&lt;&gt;"",INDEX('×入力'!$A$1:$L$800,455+DL$3,1)&lt;&gt;""),1,0),0)</f>
        <v/>
      </c>
      <c r="DM38">
        <f>IF(DM$4=1,IF(OR(INDEX('×入力'!$A$1:$L$800,455+DM$3,2+DM$2)&lt;&gt;"",INDEX('×入力'!$A$1:$L$800,454,2+DM$2)&lt;&gt;"",INDEX('×入力'!$A$1:$L$800,455+DM$3,1)&lt;&gt;""),1,0),0)</f>
        <v/>
      </c>
      <c r="DN38">
        <f>IF(DN$4=1,IF(OR(INDEX('×入力'!$A$1:$L$800,455+DN$3,2+DN$2)&lt;&gt;"",INDEX('×入力'!$A$1:$L$800,454,2+DN$2)&lt;&gt;"",INDEX('×入力'!$A$1:$L$800,455+DN$3,1)&lt;&gt;""),1,0),0)</f>
        <v/>
      </c>
      <c r="DO38">
        <f>IF(DO$4=1,IF(OR(INDEX('×入力'!$A$1:$L$800,455+DO$3,2+DO$2)&lt;&gt;"",INDEX('×入力'!$A$1:$L$800,454,2+DO$2)&lt;&gt;"",INDEX('×入力'!$A$1:$L$800,455+DO$3,1)&lt;&gt;""),1,0),0)</f>
        <v/>
      </c>
      <c r="DP38">
        <f>IF(DP$4=1,IF(OR(INDEX('×入力'!$A$1:$L$800,455+DP$3,2+DP$2)&lt;&gt;"",INDEX('×入力'!$A$1:$L$800,454,2+DP$2)&lt;&gt;"",INDEX('×入力'!$A$1:$L$800,455+DP$3,1)&lt;&gt;""),1,0),0)</f>
        <v/>
      </c>
      <c r="DQ38">
        <f>IF(DQ$4=1,IF(OR(INDEX('×入力'!$A$1:$L$800,455+DQ$3,2+DQ$2)&lt;&gt;"",INDEX('×入力'!$A$1:$L$800,454,2+DQ$2)&lt;&gt;"",INDEX('×入力'!$A$1:$L$800,455+DQ$3,1)&lt;&gt;""),1,0),0)</f>
        <v/>
      </c>
      <c r="DR38">
        <f>IF(DR$4=1,IF(OR(INDEX('×入力'!$A$1:$L$800,455+DR$3,2+DR$2)&lt;&gt;"",INDEX('×入力'!$A$1:$L$800,454,2+DR$2)&lt;&gt;"",INDEX('×入力'!$A$1:$L$800,455+DR$3,1)&lt;&gt;""),1,0),0)</f>
        <v/>
      </c>
      <c r="DS38">
        <f>IF(DS$4=1,IF(OR(INDEX('×入力'!$A$1:$L$800,455+DS$3,2+DS$2)&lt;&gt;"",INDEX('×入力'!$A$1:$L$800,454,2+DS$2)&lt;&gt;"",INDEX('×入力'!$A$1:$L$800,455+DS$3,1)&lt;&gt;""),1,0),0)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IF(D$4=1,IF(OR(INDEX('×入力'!$A$1:$L$800,471+D$3,2+D$2)&lt;&gt;"",INDEX('×入力'!$A$1:$L$800,470,2+D$2)&lt;&gt;"",INDEX('×入力'!$A$1:$L$800,471+D$3,1)&lt;&gt;""),1,0),0)</f>
        <v/>
      </c>
      <c r="E39">
        <f>IF(E$4=1,IF(OR(INDEX('×入力'!$A$1:$L$800,471+E$3,2+E$2)&lt;&gt;"",INDEX('×入力'!$A$1:$L$800,470,2+E$2)&lt;&gt;"",INDEX('×入力'!$A$1:$L$800,471+E$3,1)&lt;&gt;""),1,0),0)</f>
        <v/>
      </c>
      <c r="F39">
        <f>IF(F$4=1,IF(OR(INDEX('×入力'!$A$1:$L$800,471+F$3,2+F$2)&lt;&gt;"",INDEX('×入力'!$A$1:$L$800,470,2+F$2)&lt;&gt;"",INDEX('×入力'!$A$1:$L$800,471+F$3,1)&lt;&gt;""),1,0),0)</f>
        <v/>
      </c>
      <c r="G39">
        <f>IF(G$4=1,IF(OR(INDEX('×入力'!$A$1:$L$800,471+G$3,2+G$2)&lt;&gt;"",INDEX('×入力'!$A$1:$L$800,470,2+G$2)&lt;&gt;"",INDEX('×入力'!$A$1:$L$800,471+G$3,1)&lt;&gt;""),1,0),0)</f>
        <v/>
      </c>
      <c r="H39">
        <f>IF(H$4=1,IF(OR(INDEX('×入力'!$A$1:$L$800,471+H$3,2+H$2)&lt;&gt;"",INDEX('×入力'!$A$1:$L$800,470,2+H$2)&lt;&gt;"",INDEX('×入力'!$A$1:$L$800,471+H$3,1)&lt;&gt;""),1,0),0)</f>
        <v/>
      </c>
      <c r="I39">
        <f>IF(I$4=1,IF(OR(INDEX('×入力'!$A$1:$L$800,471+I$3,2+I$2)&lt;&gt;"",INDEX('×入力'!$A$1:$L$800,470,2+I$2)&lt;&gt;"",INDEX('×入力'!$A$1:$L$800,471+I$3,1)&lt;&gt;""),1,0),0)</f>
        <v/>
      </c>
      <c r="J39">
        <f>IF(J$4=1,IF(OR(INDEX('×入力'!$A$1:$L$800,471+J$3,2+J$2)&lt;&gt;"",INDEX('×入力'!$A$1:$L$800,470,2+J$2)&lt;&gt;"",INDEX('×入力'!$A$1:$L$800,471+J$3,1)&lt;&gt;""),1,0),0)</f>
        <v/>
      </c>
      <c r="K39">
        <f>IF(K$4=1,IF(OR(INDEX('×入力'!$A$1:$L$800,471+K$3,2+K$2)&lt;&gt;"",INDEX('×入力'!$A$1:$L$800,470,2+K$2)&lt;&gt;"",INDEX('×入力'!$A$1:$L$800,471+K$3,1)&lt;&gt;""),1,0),0)</f>
        <v/>
      </c>
      <c r="L39">
        <f>IF(L$4=1,IF(OR(INDEX('×入力'!$A$1:$L$800,471+L$3,2+L$2)&lt;&gt;"",INDEX('×入力'!$A$1:$L$800,470,2+L$2)&lt;&gt;"",INDEX('×入力'!$A$1:$L$800,471+L$3,1)&lt;&gt;""),1,0),0)</f>
        <v/>
      </c>
      <c r="M39">
        <f>IF(M$4=1,IF(OR(INDEX('×入力'!$A$1:$L$800,471+M$3,2+M$2)&lt;&gt;"",INDEX('×入力'!$A$1:$L$800,470,2+M$2)&lt;&gt;"",INDEX('×入力'!$A$1:$L$800,471+M$3,1)&lt;&gt;""),1,0),0)</f>
        <v/>
      </c>
      <c r="N39">
        <f>IF(N$4=1,IF(OR(INDEX('×入力'!$A$1:$L$800,471+N$3,2+N$2)&lt;&gt;"",INDEX('×入力'!$A$1:$L$800,470,2+N$2)&lt;&gt;"",INDEX('×入力'!$A$1:$L$800,471+N$3,1)&lt;&gt;""),1,0),0)</f>
        <v/>
      </c>
      <c r="O39">
        <f>IF(O$4=1,IF(OR(INDEX('×入力'!$A$1:$L$800,471+O$3,2+O$2)&lt;&gt;"",INDEX('×入力'!$A$1:$L$800,470,2+O$2)&lt;&gt;"",INDEX('×入力'!$A$1:$L$800,471+O$3,1)&lt;&gt;""),1,0),0)</f>
        <v/>
      </c>
      <c r="P39">
        <f>IF(P$4=1,IF(OR(INDEX('×入力'!$A$1:$L$800,471+P$3,2+P$2)&lt;&gt;"",INDEX('×入力'!$A$1:$L$800,470,2+P$2)&lt;&gt;"",INDEX('×入力'!$A$1:$L$800,471+P$3,1)&lt;&gt;""),1,0),0)</f>
        <v/>
      </c>
      <c r="Q39">
        <f>IF(Q$4=1,IF(OR(INDEX('×入力'!$A$1:$L$800,471+Q$3,2+Q$2)&lt;&gt;"",INDEX('×入力'!$A$1:$L$800,470,2+Q$2)&lt;&gt;"",INDEX('×入力'!$A$1:$L$800,471+Q$3,1)&lt;&gt;""),1,0),0)</f>
        <v/>
      </c>
      <c r="R39">
        <f>IF(R$4=1,IF(OR(INDEX('×入力'!$A$1:$L$800,471+R$3,2+R$2)&lt;&gt;"",INDEX('×入力'!$A$1:$L$800,470,2+R$2)&lt;&gt;"",INDEX('×入力'!$A$1:$L$800,471+R$3,1)&lt;&gt;""),1,0),0)</f>
        <v/>
      </c>
      <c r="S39">
        <f>IF(S$4=1,IF(OR(INDEX('×入力'!$A$1:$L$800,471+S$3,2+S$2)&lt;&gt;"",INDEX('×入力'!$A$1:$L$800,470,2+S$2)&lt;&gt;"",INDEX('×入力'!$A$1:$L$800,471+S$3,1)&lt;&gt;""),1,0),0)</f>
        <v/>
      </c>
      <c r="T39">
        <f>IF(T$4=1,IF(OR(INDEX('×入力'!$A$1:$L$800,471+T$3,2+T$2)&lt;&gt;"",INDEX('×入力'!$A$1:$L$800,470,2+T$2)&lt;&gt;"",INDEX('×入力'!$A$1:$L$800,471+T$3,1)&lt;&gt;""),1,0),0)</f>
        <v/>
      </c>
      <c r="U39">
        <f>IF(U$4=1,IF(OR(INDEX('×入力'!$A$1:$L$800,471+U$3,2+U$2)&lt;&gt;"",INDEX('×入力'!$A$1:$L$800,470,2+U$2)&lt;&gt;"",INDEX('×入力'!$A$1:$L$800,471+U$3,1)&lt;&gt;""),1,0),0)</f>
        <v/>
      </c>
      <c r="V39">
        <f>IF(V$4=1,IF(OR(INDEX('×入力'!$A$1:$L$800,471+V$3,2+V$2)&lt;&gt;"",INDEX('×入力'!$A$1:$L$800,470,2+V$2)&lt;&gt;"",INDEX('×入力'!$A$1:$L$800,471+V$3,1)&lt;&gt;""),1,0),0)</f>
        <v/>
      </c>
      <c r="W39">
        <f>IF(W$4=1,IF(OR(INDEX('×入力'!$A$1:$L$800,471+W$3,2+W$2)&lt;&gt;"",INDEX('×入力'!$A$1:$L$800,470,2+W$2)&lt;&gt;"",INDEX('×入力'!$A$1:$L$800,471+W$3,1)&lt;&gt;""),1,0),0)</f>
        <v/>
      </c>
      <c r="X39">
        <f>IF(X$4=1,IF(OR(INDEX('×入力'!$A$1:$L$800,471+X$3,2+X$2)&lt;&gt;"",INDEX('×入力'!$A$1:$L$800,470,2+X$2)&lt;&gt;"",INDEX('×入力'!$A$1:$L$800,471+X$3,1)&lt;&gt;""),1,0),0)</f>
        <v/>
      </c>
      <c r="Y39">
        <f>IF(Y$4=1,IF(OR(INDEX('×入力'!$A$1:$L$800,471+Y$3,2+Y$2)&lt;&gt;"",INDEX('×入力'!$A$1:$L$800,470,2+Y$2)&lt;&gt;"",INDEX('×入力'!$A$1:$L$800,471+Y$3,1)&lt;&gt;""),1,0),0)</f>
        <v/>
      </c>
      <c r="Z39">
        <f>IF(Z$4=1,IF(OR(INDEX('×入力'!$A$1:$L$800,471+Z$3,2+Z$2)&lt;&gt;"",INDEX('×入力'!$A$1:$L$800,470,2+Z$2)&lt;&gt;"",INDEX('×入力'!$A$1:$L$800,471+Z$3,1)&lt;&gt;""),1,0),0)</f>
        <v/>
      </c>
      <c r="AA39">
        <f>IF(AA$4=1,IF(OR(INDEX('×入力'!$A$1:$L$800,471+AA$3,2+AA$2)&lt;&gt;"",INDEX('×入力'!$A$1:$L$800,470,2+AA$2)&lt;&gt;"",INDEX('×入力'!$A$1:$L$800,471+AA$3,1)&lt;&gt;""),1,0),0)</f>
        <v/>
      </c>
      <c r="AB39">
        <f>IF(AB$4=1,IF(OR(INDEX('×入力'!$A$1:$L$800,471+AB$3,2+AB$2)&lt;&gt;"",INDEX('×入力'!$A$1:$L$800,470,2+AB$2)&lt;&gt;"",INDEX('×入力'!$A$1:$L$800,471+AB$3,1)&lt;&gt;""),1,0),0)</f>
        <v/>
      </c>
      <c r="AC39">
        <f>IF(AC$4=1,IF(OR(INDEX('×入力'!$A$1:$L$800,471+AC$3,2+AC$2)&lt;&gt;"",INDEX('×入力'!$A$1:$L$800,470,2+AC$2)&lt;&gt;"",INDEX('×入力'!$A$1:$L$800,471+AC$3,1)&lt;&gt;""),1,0),0)</f>
        <v/>
      </c>
      <c r="AD39">
        <f>IF(AD$4=1,IF(OR(INDEX('×入力'!$A$1:$L$800,471+AD$3,2+AD$2)&lt;&gt;"",INDEX('×入力'!$A$1:$L$800,470,2+AD$2)&lt;&gt;"",INDEX('×入力'!$A$1:$L$800,471+AD$3,1)&lt;&gt;""),1,0),0)</f>
        <v/>
      </c>
      <c r="AE39">
        <f>IF(AE$4=1,IF(OR(INDEX('×入力'!$A$1:$L$800,471+AE$3,2+AE$2)&lt;&gt;"",INDEX('×入力'!$A$1:$L$800,470,2+AE$2)&lt;&gt;"",INDEX('×入力'!$A$1:$L$800,471+AE$3,1)&lt;&gt;""),1,0),0)</f>
        <v/>
      </c>
      <c r="AF39">
        <f>IF(AF$4=1,IF(OR(INDEX('×入力'!$A$1:$L$800,471+AF$3,2+AF$2)&lt;&gt;"",INDEX('×入力'!$A$1:$L$800,470,2+AF$2)&lt;&gt;"",INDEX('×入力'!$A$1:$L$800,471+AF$3,1)&lt;&gt;""),1,0),0)</f>
        <v/>
      </c>
      <c r="AG39">
        <f>IF(AG$4=1,IF(OR(INDEX('×入力'!$A$1:$L$800,471+AG$3,2+AG$2)&lt;&gt;"",INDEX('×入力'!$A$1:$L$800,470,2+AG$2)&lt;&gt;"",INDEX('×入力'!$A$1:$L$800,471+AG$3,1)&lt;&gt;""),1,0),0)</f>
        <v/>
      </c>
      <c r="AH39">
        <f>IF(AH$4=1,IF(OR(INDEX('×入力'!$A$1:$L$800,471+AH$3,2+AH$2)&lt;&gt;"",INDEX('×入力'!$A$1:$L$800,470,2+AH$2)&lt;&gt;"",INDEX('×入力'!$A$1:$L$800,471+AH$3,1)&lt;&gt;""),1,0),0)</f>
        <v/>
      </c>
      <c r="AI39">
        <f>IF(AI$4=1,IF(OR(INDEX('×入力'!$A$1:$L$800,471+AI$3,2+AI$2)&lt;&gt;"",INDEX('×入力'!$A$1:$L$800,470,2+AI$2)&lt;&gt;"",INDEX('×入力'!$A$1:$L$800,471+AI$3,1)&lt;&gt;""),1,0),0)</f>
        <v/>
      </c>
      <c r="AJ39">
        <f>IF(AJ$4=1,IF(OR(INDEX('×入力'!$A$1:$L$800,471+AJ$3,2+AJ$2)&lt;&gt;"",INDEX('×入力'!$A$1:$L$800,470,2+AJ$2)&lt;&gt;"",INDEX('×入力'!$A$1:$L$800,471+AJ$3,1)&lt;&gt;""),1,0),0)</f>
        <v/>
      </c>
      <c r="AK39">
        <f>IF(AK$4=1,IF(OR(INDEX('×入力'!$A$1:$L$800,471+AK$3,2+AK$2)&lt;&gt;"",INDEX('×入力'!$A$1:$L$800,470,2+AK$2)&lt;&gt;"",INDEX('×入力'!$A$1:$L$800,471+AK$3,1)&lt;&gt;""),1,0),0)</f>
        <v/>
      </c>
      <c r="AL39">
        <f>IF(AL$4=1,IF(OR(INDEX('×入力'!$A$1:$L$800,471+AL$3,2+AL$2)&lt;&gt;"",INDEX('×入力'!$A$1:$L$800,470,2+AL$2)&lt;&gt;"",INDEX('×入力'!$A$1:$L$800,471+AL$3,1)&lt;&gt;""),1,0),0)</f>
        <v/>
      </c>
      <c r="AM39">
        <f>IF(AM$4=1,IF(OR(INDEX('×入力'!$A$1:$L$800,471+AM$3,2+AM$2)&lt;&gt;"",INDEX('×入力'!$A$1:$L$800,470,2+AM$2)&lt;&gt;"",INDEX('×入力'!$A$1:$L$800,471+AM$3,1)&lt;&gt;""),1,0),0)</f>
        <v/>
      </c>
      <c r="AN39">
        <f>IF(AN$4=1,IF(OR(INDEX('×入力'!$A$1:$L$800,471+AN$3,2+AN$2)&lt;&gt;"",INDEX('×入力'!$A$1:$L$800,470,2+AN$2)&lt;&gt;"",INDEX('×入力'!$A$1:$L$800,471+AN$3,1)&lt;&gt;""),1,0),0)</f>
        <v/>
      </c>
      <c r="AO39">
        <f>IF(AO$4=1,IF(OR(INDEX('×入力'!$A$1:$L$800,471+AO$3,2+AO$2)&lt;&gt;"",INDEX('×入力'!$A$1:$L$800,470,2+AO$2)&lt;&gt;"",INDEX('×入力'!$A$1:$L$800,471+AO$3,1)&lt;&gt;""),1,0),0)</f>
        <v/>
      </c>
      <c r="AP39">
        <f>IF(AP$4=1,IF(OR(INDEX('×入力'!$A$1:$L$800,471+AP$3,2+AP$2)&lt;&gt;"",INDEX('×入力'!$A$1:$L$800,470,2+AP$2)&lt;&gt;"",INDEX('×入力'!$A$1:$L$800,471+AP$3,1)&lt;&gt;""),1,0),0)</f>
        <v/>
      </c>
      <c r="AQ39">
        <f>IF(AQ$4=1,IF(OR(INDEX('×入力'!$A$1:$L$800,471+AQ$3,2+AQ$2)&lt;&gt;"",INDEX('×入力'!$A$1:$L$800,470,2+AQ$2)&lt;&gt;"",INDEX('×入力'!$A$1:$L$800,471+AQ$3,1)&lt;&gt;""),1,0),0)</f>
        <v/>
      </c>
      <c r="AR39">
        <f>IF(AR$4=1,IF(OR(INDEX('×入力'!$A$1:$L$800,471+AR$3,2+AR$2)&lt;&gt;"",INDEX('×入力'!$A$1:$L$800,470,2+AR$2)&lt;&gt;"",INDEX('×入力'!$A$1:$L$800,471+AR$3,1)&lt;&gt;""),1,0),0)</f>
        <v/>
      </c>
      <c r="AS39">
        <f>IF(AS$4=1,IF(OR(INDEX('×入力'!$A$1:$L$800,471+AS$3,2+AS$2)&lt;&gt;"",INDEX('×入力'!$A$1:$L$800,470,2+AS$2)&lt;&gt;"",INDEX('×入力'!$A$1:$L$800,471+AS$3,1)&lt;&gt;""),1,0),0)</f>
        <v/>
      </c>
      <c r="AT39">
        <f>IF(AT$4=1,IF(OR(INDEX('×入力'!$A$1:$L$800,471+AT$3,2+AT$2)&lt;&gt;"",INDEX('×入力'!$A$1:$L$800,470,2+AT$2)&lt;&gt;"",INDEX('×入力'!$A$1:$L$800,471+AT$3,1)&lt;&gt;""),1,0),0)</f>
        <v/>
      </c>
      <c r="AU39">
        <f>IF(AU$4=1,IF(OR(INDEX('×入力'!$A$1:$L$800,471+AU$3,2+AU$2)&lt;&gt;"",INDEX('×入力'!$A$1:$L$800,470,2+AU$2)&lt;&gt;"",INDEX('×入力'!$A$1:$L$800,471+AU$3,1)&lt;&gt;""),1,0),0)</f>
        <v/>
      </c>
      <c r="AV39">
        <f>IF(AV$4=1,IF(OR(INDEX('×入力'!$A$1:$L$800,471+AV$3,2+AV$2)&lt;&gt;"",INDEX('×入力'!$A$1:$L$800,470,2+AV$2)&lt;&gt;"",INDEX('×入力'!$A$1:$L$800,471+AV$3,1)&lt;&gt;""),1,0),0)</f>
        <v/>
      </c>
      <c r="AW39">
        <f>IF(AW$4=1,IF(OR(INDEX('×入力'!$A$1:$L$800,471+AW$3,2+AW$2)&lt;&gt;"",INDEX('×入力'!$A$1:$L$800,470,2+AW$2)&lt;&gt;"",INDEX('×入力'!$A$1:$L$800,471+AW$3,1)&lt;&gt;""),1,0),0)</f>
        <v/>
      </c>
      <c r="AX39">
        <f>IF(AX$4=1,IF(OR(INDEX('×入力'!$A$1:$L$800,471+AX$3,2+AX$2)&lt;&gt;"",INDEX('×入力'!$A$1:$L$800,470,2+AX$2)&lt;&gt;"",INDEX('×入力'!$A$1:$L$800,471+AX$3,1)&lt;&gt;""),1,0),0)</f>
        <v/>
      </c>
      <c r="AY39">
        <f>IF(AY$4=1,IF(OR(INDEX('×入力'!$A$1:$L$800,471+AY$3,2+AY$2)&lt;&gt;"",INDEX('×入力'!$A$1:$L$800,470,2+AY$2)&lt;&gt;"",INDEX('×入力'!$A$1:$L$800,471+AY$3,1)&lt;&gt;""),1,0),0)</f>
        <v/>
      </c>
      <c r="AZ39">
        <f>IF(AZ$4=1,IF(OR(INDEX('×入力'!$A$1:$L$800,471+AZ$3,2+AZ$2)&lt;&gt;"",INDEX('×入力'!$A$1:$L$800,470,2+AZ$2)&lt;&gt;"",INDEX('×入力'!$A$1:$L$800,471+AZ$3,1)&lt;&gt;""),1,0),0)</f>
        <v/>
      </c>
      <c r="BA39">
        <f>IF(BA$4=1,IF(OR(INDEX('×入力'!$A$1:$L$800,471+BA$3,2+BA$2)&lt;&gt;"",INDEX('×入力'!$A$1:$L$800,470,2+BA$2)&lt;&gt;"",INDEX('×入力'!$A$1:$L$800,471+BA$3,1)&lt;&gt;""),1,0),0)</f>
        <v/>
      </c>
      <c r="BB39">
        <f>IF(BB$4=1,IF(OR(INDEX('×入力'!$A$1:$L$800,471+BB$3,2+BB$2)&lt;&gt;"",INDEX('×入力'!$A$1:$L$800,470,2+BB$2)&lt;&gt;"",INDEX('×入力'!$A$1:$L$800,471+BB$3,1)&lt;&gt;""),1,0),0)</f>
        <v/>
      </c>
      <c r="BC39">
        <f>IF(BC$4=1,IF(OR(INDEX('×入力'!$A$1:$L$800,471+BC$3,2+BC$2)&lt;&gt;"",INDEX('×入力'!$A$1:$L$800,470,2+BC$2)&lt;&gt;"",INDEX('×入力'!$A$1:$L$800,471+BC$3,1)&lt;&gt;""),1,0),0)</f>
        <v/>
      </c>
      <c r="BD39">
        <f>IF(BD$4=1,IF(OR(INDEX('×入力'!$A$1:$L$800,471+BD$3,2+BD$2)&lt;&gt;"",INDEX('×入力'!$A$1:$L$800,470,2+BD$2)&lt;&gt;"",INDEX('×入力'!$A$1:$L$800,471+BD$3,1)&lt;&gt;""),1,0),0)</f>
        <v/>
      </c>
      <c r="BE39">
        <f>IF(BE$4=1,IF(OR(INDEX('×入力'!$A$1:$L$800,471+BE$3,2+BE$2)&lt;&gt;"",INDEX('×入力'!$A$1:$L$800,470,2+BE$2)&lt;&gt;"",INDEX('×入力'!$A$1:$L$800,471+BE$3,1)&lt;&gt;""),1,0),0)</f>
        <v/>
      </c>
      <c r="BF39">
        <f>IF(BF$4=1,IF(OR(INDEX('×入力'!$A$1:$L$800,471+BF$3,2+BF$2)&lt;&gt;"",INDEX('×入力'!$A$1:$L$800,470,2+BF$2)&lt;&gt;"",INDEX('×入力'!$A$1:$L$800,471+BF$3,1)&lt;&gt;""),1,0),0)</f>
        <v/>
      </c>
      <c r="BG39">
        <f>IF(BG$4=1,IF(OR(INDEX('×入力'!$A$1:$L$800,471+BG$3,2+BG$2)&lt;&gt;"",INDEX('×入力'!$A$1:$L$800,470,2+BG$2)&lt;&gt;"",INDEX('×入力'!$A$1:$L$800,471+BG$3,1)&lt;&gt;""),1,0),0)</f>
        <v/>
      </c>
      <c r="BH39">
        <f>IF(BH$4=1,IF(OR(INDEX('×入力'!$A$1:$L$800,471+BH$3,2+BH$2)&lt;&gt;"",INDEX('×入力'!$A$1:$L$800,470,2+BH$2)&lt;&gt;"",INDEX('×入力'!$A$1:$L$800,471+BH$3,1)&lt;&gt;""),1,0),0)</f>
        <v/>
      </c>
      <c r="BI39">
        <f>IF(BI$4=1,IF(OR(INDEX('×入力'!$A$1:$L$800,471+BI$3,2+BI$2)&lt;&gt;"",INDEX('×入力'!$A$1:$L$800,470,2+BI$2)&lt;&gt;"",INDEX('×入力'!$A$1:$L$800,471+BI$3,1)&lt;&gt;""),1,0),0)</f>
        <v/>
      </c>
      <c r="BJ39">
        <f>IF(BJ$4=1,IF(OR(INDEX('×入力'!$A$1:$L$800,471+BJ$3,2+BJ$2)&lt;&gt;"",INDEX('×入力'!$A$1:$L$800,470,2+BJ$2)&lt;&gt;"",INDEX('×入力'!$A$1:$L$800,471+BJ$3,1)&lt;&gt;""),1,0),0)</f>
        <v/>
      </c>
      <c r="BK39">
        <f>IF(BK$4=1,IF(OR(INDEX('×入力'!$A$1:$L$800,471+BK$3,2+BK$2)&lt;&gt;"",INDEX('×入力'!$A$1:$L$800,470,2+BK$2)&lt;&gt;"",INDEX('×入力'!$A$1:$L$800,471+BK$3,1)&lt;&gt;""),1,0),0)</f>
        <v/>
      </c>
      <c r="BL39">
        <f>IF(BL$4=1,IF(OR(INDEX('×入力'!$A$1:$L$800,471+BL$3,2+BL$2)&lt;&gt;"",INDEX('×入力'!$A$1:$L$800,470,2+BL$2)&lt;&gt;"",INDEX('×入力'!$A$1:$L$800,471+BL$3,1)&lt;&gt;""),1,0),0)</f>
        <v/>
      </c>
      <c r="BM39">
        <f>IF(BM$4=1,IF(OR(INDEX('×入力'!$A$1:$L$800,471+BM$3,2+BM$2)&lt;&gt;"",INDEX('×入力'!$A$1:$L$800,470,2+BM$2)&lt;&gt;"",INDEX('×入力'!$A$1:$L$800,471+BM$3,1)&lt;&gt;""),1,0),0)</f>
        <v/>
      </c>
      <c r="BN39">
        <f>IF(BN$4=1,IF(OR(INDEX('×入力'!$A$1:$L$800,471+BN$3,2+BN$2)&lt;&gt;"",INDEX('×入力'!$A$1:$L$800,470,2+BN$2)&lt;&gt;"",INDEX('×入力'!$A$1:$L$800,471+BN$3,1)&lt;&gt;""),1,0),0)</f>
        <v/>
      </c>
      <c r="BO39">
        <f>IF(BO$4=1,IF(OR(INDEX('×入力'!$A$1:$L$800,471+BO$3,2+BO$2)&lt;&gt;"",INDEX('×入力'!$A$1:$L$800,470,2+BO$2)&lt;&gt;"",INDEX('×入力'!$A$1:$L$800,471+BO$3,1)&lt;&gt;""),1,0),0)</f>
        <v/>
      </c>
      <c r="BP39">
        <f>IF(BP$4=1,IF(OR(INDEX('×入力'!$A$1:$L$800,471+BP$3,2+BP$2)&lt;&gt;"",INDEX('×入力'!$A$1:$L$800,470,2+BP$2)&lt;&gt;"",INDEX('×入力'!$A$1:$L$800,471+BP$3,1)&lt;&gt;""),1,0),0)</f>
        <v/>
      </c>
      <c r="BQ39">
        <f>IF(BQ$4=1,IF(OR(INDEX('×入力'!$A$1:$L$800,471+BQ$3,2+BQ$2)&lt;&gt;"",INDEX('×入力'!$A$1:$L$800,470,2+BQ$2)&lt;&gt;"",INDEX('×入力'!$A$1:$L$800,471+BQ$3,1)&lt;&gt;""),1,0),0)</f>
        <v/>
      </c>
      <c r="BR39">
        <f>IF(BR$4=1,IF(OR(INDEX('×入力'!$A$1:$L$800,471+BR$3,2+BR$2)&lt;&gt;"",INDEX('×入力'!$A$1:$L$800,470,2+BR$2)&lt;&gt;"",INDEX('×入力'!$A$1:$L$800,471+BR$3,1)&lt;&gt;""),1,0),0)</f>
        <v/>
      </c>
      <c r="BS39">
        <f>IF(BS$4=1,IF(OR(INDEX('×入力'!$A$1:$L$800,471+BS$3,2+BS$2)&lt;&gt;"",INDEX('×入力'!$A$1:$L$800,470,2+BS$2)&lt;&gt;"",INDEX('×入力'!$A$1:$L$800,471+BS$3,1)&lt;&gt;""),1,0),0)</f>
        <v/>
      </c>
      <c r="BT39">
        <f>IF(BT$4=1,IF(OR(INDEX('×入力'!$A$1:$L$800,471+BT$3,2+BT$2)&lt;&gt;"",INDEX('×入力'!$A$1:$L$800,470,2+BT$2)&lt;&gt;"",INDEX('×入力'!$A$1:$L$800,471+BT$3,1)&lt;&gt;""),1,0),0)</f>
        <v/>
      </c>
      <c r="BU39">
        <f>IF(BU$4=1,IF(OR(INDEX('×入力'!$A$1:$L$800,471+BU$3,2+BU$2)&lt;&gt;"",INDEX('×入力'!$A$1:$L$800,470,2+BU$2)&lt;&gt;"",INDEX('×入力'!$A$1:$L$800,471+BU$3,1)&lt;&gt;""),1,0),0)</f>
        <v/>
      </c>
      <c r="BV39">
        <f>IF(BV$4=1,IF(OR(INDEX('×入力'!$A$1:$L$800,471+BV$3,2+BV$2)&lt;&gt;"",INDEX('×入力'!$A$1:$L$800,470,2+BV$2)&lt;&gt;"",INDEX('×入力'!$A$1:$L$800,471+BV$3,1)&lt;&gt;""),1,0),0)</f>
        <v/>
      </c>
      <c r="BW39">
        <f>IF(BW$4=1,IF(OR(INDEX('×入力'!$A$1:$L$800,471+BW$3,2+BW$2)&lt;&gt;"",INDEX('×入力'!$A$1:$L$800,470,2+BW$2)&lt;&gt;"",INDEX('×入力'!$A$1:$L$800,471+BW$3,1)&lt;&gt;""),1,0),0)</f>
        <v/>
      </c>
      <c r="BX39">
        <f>IF(BX$4=1,IF(OR(INDEX('×入力'!$A$1:$L$800,471+BX$3,2+BX$2)&lt;&gt;"",INDEX('×入力'!$A$1:$L$800,470,2+BX$2)&lt;&gt;"",INDEX('×入力'!$A$1:$L$800,471+BX$3,1)&lt;&gt;""),1,0),0)</f>
        <v/>
      </c>
      <c r="BY39">
        <f>IF(BY$4=1,IF(OR(INDEX('×入力'!$A$1:$L$800,471+BY$3,2+BY$2)&lt;&gt;"",INDEX('×入力'!$A$1:$L$800,470,2+BY$2)&lt;&gt;"",INDEX('×入力'!$A$1:$L$800,471+BY$3,1)&lt;&gt;""),1,0),0)</f>
        <v/>
      </c>
      <c r="BZ39">
        <f>IF(BZ$4=1,IF(OR(INDEX('×入力'!$A$1:$L$800,471+BZ$3,2+BZ$2)&lt;&gt;"",INDEX('×入力'!$A$1:$L$800,470,2+BZ$2)&lt;&gt;"",INDEX('×入力'!$A$1:$L$800,471+BZ$3,1)&lt;&gt;""),1,0),0)</f>
        <v/>
      </c>
      <c r="CA39">
        <f>IF(CA$4=1,IF(OR(INDEX('×入力'!$A$1:$L$800,471+CA$3,2+CA$2)&lt;&gt;"",INDEX('×入力'!$A$1:$L$800,470,2+CA$2)&lt;&gt;"",INDEX('×入力'!$A$1:$L$800,471+CA$3,1)&lt;&gt;""),1,0),0)</f>
        <v/>
      </c>
      <c r="CB39">
        <f>IF(CB$4=1,IF(OR(INDEX('×入力'!$A$1:$L$800,471+CB$3,2+CB$2)&lt;&gt;"",INDEX('×入力'!$A$1:$L$800,470,2+CB$2)&lt;&gt;"",INDEX('×入力'!$A$1:$L$800,471+CB$3,1)&lt;&gt;""),1,0),0)</f>
        <v/>
      </c>
      <c r="CC39">
        <f>IF(CC$4=1,IF(OR(INDEX('×入力'!$A$1:$L$800,471+CC$3,2+CC$2)&lt;&gt;"",INDEX('×入力'!$A$1:$L$800,470,2+CC$2)&lt;&gt;"",INDEX('×入力'!$A$1:$L$800,471+CC$3,1)&lt;&gt;""),1,0),0)</f>
        <v/>
      </c>
      <c r="CD39">
        <f>IF(CD$4=1,IF(OR(INDEX('×入力'!$A$1:$L$800,471+CD$3,2+CD$2)&lt;&gt;"",INDEX('×入力'!$A$1:$L$800,470,2+CD$2)&lt;&gt;"",INDEX('×入力'!$A$1:$L$800,471+CD$3,1)&lt;&gt;""),1,0),0)</f>
        <v/>
      </c>
      <c r="CE39">
        <f>IF(CE$4=1,IF(OR(INDEX('×入力'!$A$1:$L$800,471+CE$3,2+CE$2)&lt;&gt;"",INDEX('×入力'!$A$1:$L$800,470,2+CE$2)&lt;&gt;"",INDEX('×入力'!$A$1:$L$800,471+CE$3,1)&lt;&gt;""),1,0),0)</f>
        <v/>
      </c>
      <c r="CF39">
        <f>IF(CF$4=1,IF(OR(INDEX('×入力'!$A$1:$L$800,471+CF$3,2+CF$2)&lt;&gt;"",INDEX('×入力'!$A$1:$L$800,470,2+CF$2)&lt;&gt;"",INDEX('×入力'!$A$1:$L$800,471+CF$3,1)&lt;&gt;""),1,0),0)</f>
        <v/>
      </c>
      <c r="CG39">
        <f>IF(CG$4=1,IF(OR(INDEX('×入力'!$A$1:$L$800,471+CG$3,2+CG$2)&lt;&gt;"",INDEX('×入力'!$A$1:$L$800,470,2+CG$2)&lt;&gt;"",INDEX('×入力'!$A$1:$L$800,471+CG$3,1)&lt;&gt;""),1,0),0)</f>
        <v/>
      </c>
      <c r="CH39">
        <f>IF(CH$4=1,IF(OR(INDEX('×入力'!$A$1:$L$800,471+CH$3,2+CH$2)&lt;&gt;"",INDEX('×入力'!$A$1:$L$800,470,2+CH$2)&lt;&gt;"",INDEX('×入力'!$A$1:$L$800,471+CH$3,1)&lt;&gt;""),1,0),0)</f>
        <v/>
      </c>
      <c r="CI39">
        <f>IF(CI$4=1,IF(OR(INDEX('×入力'!$A$1:$L$800,471+CI$3,2+CI$2)&lt;&gt;"",INDEX('×入力'!$A$1:$L$800,470,2+CI$2)&lt;&gt;"",INDEX('×入力'!$A$1:$L$800,471+CI$3,1)&lt;&gt;""),1,0),0)</f>
        <v/>
      </c>
      <c r="CJ39">
        <f>IF(CJ$4=1,IF(OR(INDEX('×入力'!$A$1:$L$800,471+CJ$3,2+CJ$2)&lt;&gt;"",INDEX('×入力'!$A$1:$L$800,470,2+CJ$2)&lt;&gt;"",INDEX('×入力'!$A$1:$L$800,471+CJ$3,1)&lt;&gt;""),1,0),0)</f>
        <v/>
      </c>
      <c r="CK39">
        <f>IF(CK$4=1,IF(OR(INDEX('×入力'!$A$1:$L$800,471+CK$3,2+CK$2)&lt;&gt;"",INDEX('×入力'!$A$1:$L$800,470,2+CK$2)&lt;&gt;"",INDEX('×入力'!$A$1:$L$800,471+CK$3,1)&lt;&gt;""),1,0),0)</f>
        <v/>
      </c>
      <c r="CL39">
        <f>IF(CL$4=1,IF(OR(INDEX('×入力'!$A$1:$L$800,471+CL$3,2+CL$2)&lt;&gt;"",INDEX('×入力'!$A$1:$L$800,470,2+CL$2)&lt;&gt;"",INDEX('×入力'!$A$1:$L$800,471+CL$3,1)&lt;&gt;""),1,0),0)</f>
        <v/>
      </c>
      <c r="CM39">
        <f>IF(CM$4=1,IF(OR(INDEX('×入力'!$A$1:$L$800,471+CM$3,2+CM$2)&lt;&gt;"",INDEX('×入力'!$A$1:$L$800,470,2+CM$2)&lt;&gt;"",INDEX('×入力'!$A$1:$L$800,471+CM$3,1)&lt;&gt;""),1,0),0)</f>
        <v/>
      </c>
      <c r="CN39">
        <f>IF(CN$4=1,IF(OR(INDEX('×入力'!$A$1:$L$800,471+CN$3,2+CN$2)&lt;&gt;"",INDEX('×入力'!$A$1:$L$800,470,2+CN$2)&lt;&gt;"",INDEX('×入力'!$A$1:$L$800,471+CN$3,1)&lt;&gt;""),1,0),0)</f>
        <v/>
      </c>
      <c r="CO39">
        <f>IF(CO$4=1,IF(OR(INDEX('×入力'!$A$1:$L$800,471+CO$3,2+CO$2)&lt;&gt;"",INDEX('×入力'!$A$1:$L$800,470,2+CO$2)&lt;&gt;"",INDEX('×入力'!$A$1:$L$800,471+CO$3,1)&lt;&gt;""),1,0),0)</f>
        <v/>
      </c>
      <c r="CP39">
        <f>IF(CP$4=1,IF(OR(INDEX('×入力'!$A$1:$L$800,471+CP$3,2+CP$2)&lt;&gt;"",INDEX('×入力'!$A$1:$L$800,470,2+CP$2)&lt;&gt;"",INDEX('×入力'!$A$1:$L$800,471+CP$3,1)&lt;&gt;""),1,0),0)</f>
        <v/>
      </c>
      <c r="CQ39">
        <f>IF(CQ$4=1,IF(OR(INDEX('×入力'!$A$1:$L$800,471+CQ$3,2+CQ$2)&lt;&gt;"",INDEX('×入力'!$A$1:$L$800,470,2+CQ$2)&lt;&gt;"",INDEX('×入力'!$A$1:$L$800,471+CQ$3,1)&lt;&gt;""),1,0),0)</f>
        <v/>
      </c>
      <c r="CR39">
        <f>IF(CR$4=1,IF(OR(INDEX('×入力'!$A$1:$L$800,471+CR$3,2+CR$2)&lt;&gt;"",INDEX('×入力'!$A$1:$L$800,470,2+CR$2)&lt;&gt;"",INDEX('×入力'!$A$1:$L$800,471+CR$3,1)&lt;&gt;""),1,0),0)</f>
        <v/>
      </c>
      <c r="CS39">
        <f>IF(CS$4=1,IF(OR(INDEX('×入力'!$A$1:$L$800,471+CS$3,2+CS$2)&lt;&gt;"",INDEX('×入力'!$A$1:$L$800,470,2+CS$2)&lt;&gt;"",INDEX('×入力'!$A$1:$L$800,471+CS$3,1)&lt;&gt;""),1,0),0)</f>
        <v/>
      </c>
      <c r="CT39">
        <f>IF(CT$4=1,IF(OR(INDEX('×入力'!$A$1:$L$800,471+CT$3,2+CT$2)&lt;&gt;"",INDEX('×入力'!$A$1:$L$800,470,2+CT$2)&lt;&gt;"",INDEX('×入力'!$A$1:$L$800,471+CT$3,1)&lt;&gt;""),1,0),0)</f>
        <v/>
      </c>
      <c r="CU39">
        <f>IF(CU$4=1,IF(OR(INDEX('×入力'!$A$1:$L$800,471+CU$3,2+CU$2)&lt;&gt;"",INDEX('×入力'!$A$1:$L$800,470,2+CU$2)&lt;&gt;"",INDEX('×入力'!$A$1:$L$800,471+CU$3,1)&lt;&gt;""),1,0),0)</f>
        <v/>
      </c>
      <c r="CV39">
        <f>IF(CV$4=1,IF(OR(INDEX('×入力'!$A$1:$L$800,471+CV$3,2+CV$2)&lt;&gt;"",INDEX('×入力'!$A$1:$L$800,470,2+CV$2)&lt;&gt;"",INDEX('×入力'!$A$1:$L$800,471+CV$3,1)&lt;&gt;""),1,0),0)</f>
        <v/>
      </c>
      <c r="CW39">
        <f>IF(CW$4=1,IF(OR(INDEX('×入力'!$A$1:$L$800,471+CW$3,2+CW$2)&lt;&gt;"",INDEX('×入力'!$A$1:$L$800,470,2+CW$2)&lt;&gt;"",INDEX('×入力'!$A$1:$L$800,471+CW$3,1)&lt;&gt;""),1,0),0)</f>
        <v/>
      </c>
      <c r="CX39">
        <f>IF(CX$4=1,IF(OR(INDEX('×入力'!$A$1:$L$800,471+CX$3,2+CX$2)&lt;&gt;"",INDEX('×入力'!$A$1:$L$800,470,2+CX$2)&lt;&gt;"",INDEX('×入力'!$A$1:$L$800,471+CX$3,1)&lt;&gt;""),1,0),0)</f>
        <v/>
      </c>
      <c r="CY39">
        <f>IF(CY$4=1,IF(OR(INDEX('×入力'!$A$1:$L$800,471+CY$3,2+CY$2)&lt;&gt;"",INDEX('×入力'!$A$1:$L$800,470,2+CY$2)&lt;&gt;"",INDEX('×入力'!$A$1:$L$800,471+CY$3,1)&lt;&gt;""),1,0),0)</f>
        <v/>
      </c>
      <c r="CZ39">
        <f>IF(CZ$4=1,IF(OR(INDEX('×入力'!$A$1:$L$800,471+CZ$3,2+CZ$2)&lt;&gt;"",INDEX('×入力'!$A$1:$L$800,470,2+CZ$2)&lt;&gt;"",INDEX('×入力'!$A$1:$L$800,471+CZ$3,1)&lt;&gt;""),1,0),0)</f>
        <v/>
      </c>
      <c r="DA39">
        <f>IF(DA$4=1,IF(OR(INDEX('×入力'!$A$1:$L$800,471+DA$3,2+DA$2)&lt;&gt;"",INDEX('×入力'!$A$1:$L$800,470,2+DA$2)&lt;&gt;"",INDEX('×入力'!$A$1:$L$800,471+DA$3,1)&lt;&gt;""),1,0),0)</f>
        <v/>
      </c>
      <c r="DB39">
        <f>IF(DB$4=1,IF(OR(INDEX('×入力'!$A$1:$L$800,471+DB$3,2+DB$2)&lt;&gt;"",INDEX('×入力'!$A$1:$L$800,470,2+DB$2)&lt;&gt;"",INDEX('×入力'!$A$1:$L$800,471+DB$3,1)&lt;&gt;""),1,0),0)</f>
        <v/>
      </c>
      <c r="DC39">
        <f>IF(DC$4=1,IF(OR(INDEX('×入力'!$A$1:$L$800,471+DC$3,2+DC$2)&lt;&gt;"",INDEX('×入力'!$A$1:$L$800,470,2+DC$2)&lt;&gt;"",INDEX('×入力'!$A$1:$L$800,471+DC$3,1)&lt;&gt;""),1,0),0)</f>
        <v/>
      </c>
      <c r="DD39">
        <f>IF(DD$4=1,IF(OR(INDEX('×入力'!$A$1:$L$800,471+DD$3,2+DD$2)&lt;&gt;"",INDEX('×入力'!$A$1:$L$800,470,2+DD$2)&lt;&gt;"",INDEX('×入力'!$A$1:$L$800,471+DD$3,1)&lt;&gt;""),1,0),0)</f>
        <v/>
      </c>
      <c r="DE39">
        <f>IF(DE$4=1,IF(OR(INDEX('×入力'!$A$1:$L$800,471+DE$3,2+DE$2)&lt;&gt;"",INDEX('×入力'!$A$1:$L$800,470,2+DE$2)&lt;&gt;"",INDEX('×入力'!$A$1:$L$800,471+DE$3,1)&lt;&gt;""),1,0),0)</f>
        <v/>
      </c>
      <c r="DF39">
        <f>IF(DF$4=1,IF(OR(INDEX('×入力'!$A$1:$L$800,471+DF$3,2+DF$2)&lt;&gt;"",INDEX('×入力'!$A$1:$L$800,470,2+DF$2)&lt;&gt;"",INDEX('×入力'!$A$1:$L$800,471+DF$3,1)&lt;&gt;""),1,0),0)</f>
        <v/>
      </c>
      <c r="DG39">
        <f>IF(DG$4=1,IF(OR(INDEX('×入力'!$A$1:$L$800,471+DG$3,2+DG$2)&lt;&gt;"",INDEX('×入力'!$A$1:$L$800,470,2+DG$2)&lt;&gt;"",INDEX('×入力'!$A$1:$L$800,471+DG$3,1)&lt;&gt;""),1,0),0)</f>
        <v/>
      </c>
      <c r="DH39">
        <f>IF(DH$4=1,IF(OR(INDEX('×入力'!$A$1:$L$800,471+DH$3,2+DH$2)&lt;&gt;"",INDEX('×入力'!$A$1:$L$800,470,2+DH$2)&lt;&gt;"",INDEX('×入力'!$A$1:$L$800,471+DH$3,1)&lt;&gt;""),1,0),0)</f>
        <v/>
      </c>
      <c r="DI39">
        <f>IF(DI$4=1,IF(OR(INDEX('×入力'!$A$1:$L$800,471+DI$3,2+DI$2)&lt;&gt;"",INDEX('×入力'!$A$1:$L$800,470,2+DI$2)&lt;&gt;"",INDEX('×入力'!$A$1:$L$800,471+DI$3,1)&lt;&gt;""),1,0),0)</f>
        <v/>
      </c>
      <c r="DJ39">
        <f>IF(DJ$4=1,IF(OR(INDEX('×入力'!$A$1:$L$800,471+DJ$3,2+DJ$2)&lt;&gt;"",INDEX('×入力'!$A$1:$L$800,470,2+DJ$2)&lt;&gt;"",INDEX('×入力'!$A$1:$L$800,471+DJ$3,1)&lt;&gt;""),1,0),0)</f>
        <v/>
      </c>
      <c r="DK39">
        <f>IF(DK$4=1,IF(OR(INDEX('×入力'!$A$1:$L$800,471+DK$3,2+DK$2)&lt;&gt;"",INDEX('×入力'!$A$1:$L$800,470,2+DK$2)&lt;&gt;"",INDEX('×入力'!$A$1:$L$800,471+DK$3,1)&lt;&gt;""),1,0),0)</f>
        <v/>
      </c>
      <c r="DL39">
        <f>IF(DL$4=1,IF(OR(INDEX('×入力'!$A$1:$L$800,471+DL$3,2+DL$2)&lt;&gt;"",INDEX('×入力'!$A$1:$L$800,470,2+DL$2)&lt;&gt;"",INDEX('×入力'!$A$1:$L$800,471+DL$3,1)&lt;&gt;""),1,0),0)</f>
        <v/>
      </c>
      <c r="DM39">
        <f>IF(DM$4=1,IF(OR(INDEX('×入力'!$A$1:$L$800,471+DM$3,2+DM$2)&lt;&gt;"",INDEX('×入力'!$A$1:$L$800,470,2+DM$2)&lt;&gt;"",INDEX('×入力'!$A$1:$L$800,471+DM$3,1)&lt;&gt;""),1,0),0)</f>
        <v/>
      </c>
      <c r="DN39">
        <f>IF(DN$4=1,IF(OR(INDEX('×入力'!$A$1:$L$800,471+DN$3,2+DN$2)&lt;&gt;"",INDEX('×入力'!$A$1:$L$800,470,2+DN$2)&lt;&gt;"",INDEX('×入力'!$A$1:$L$800,471+DN$3,1)&lt;&gt;""),1,0),0)</f>
        <v/>
      </c>
      <c r="DO39">
        <f>IF(DO$4=1,IF(OR(INDEX('×入力'!$A$1:$L$800,471+DO$3,2+DO$2)&lt;&gt;"",INDEX('×入力'!$A$1:$L$800,470,2+DO$2)&lt;&gt;"",INDEX('×入力'!$A$1:$L$800,471+DO$3,1)&lt;&gt;""),1,0),0)</f>
        <v/>
      </c>
      <c r="DP39">
        <f>IF(DP$4=1,IF(OR(INDEX('×入力'!$A$1:$L$800,471+DP$3,2+DP$2)&lt;&gt;"",INDEX('×入力'!$A$1:$L$800,470,2+DP$2)&lt;&gt;"",INDEX('×入力'!$A$1:$L$800,471+DP$3,1)&lt;&gt;""),1,0),0)</f>
        <v/>
      </c>
      <c r="DQ39">
        <f>IF(DQ$4=1,IF(OR(INDEX('×入力'!$A$1:$L$800,471+DQ$3,2+DQ$2)&lt;&gt;"",INDEX('×入力'!$A$1:$L$800,470,2+DQ$2)&lt;&gt;"",INDEX('×入力'!$A$1:$L$800,471+DQ$3,1)&lt;&gt;""),1,0),0)</f>
        <v/>
      </c>
      <c r="DR39">
        <f>IF(DR$4=1,IF(OR(INDEX('×入力'!$A$1:$L$800,471+DR$3,2+DR$2)&lt;&gt;"",INDEX('×入力'!$A$1:$L$800,470,2+DR$2)&lt;&gt;"",INDEX('×入力'!$A$1:$L$800,471+DR$3,1)&lt;&gt;""),1,0),0)</f>
        <v/>
      </c>
      <c r="DS39">
        <f>IF(DS$4=1,IF(OR(INDEX('×入力'!$A$1:$L$800,471+DS$3,2+DS$2)&lt;&gt;"",INDEX('×入力'!$A$1:$L$800,470,2+DS$2)&lt;&gt;"",INDEX('×入力'!$A$1:$L$800,471+DS$3,1)&lt;&gt;""),1,0),0)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IF(D$4=1,IF(OR(INDEX('×入力'!$A$1:$L$800,487+D$3,2+D$2)&lt;&gt;"",INDEX('×入力'!$A$1:$L$800,486,2+D$2)&lt;&gt;"",INDEX('×入力'!$A$1:$L$800,487+D$3,1)&lt;&gt;""),1,0),0)</f>
        <v/>
      </c>
      <c r="E40">
        <f>IF(E$4=1,IF(OR(INDEX('×入力'!$A$1:$L$800,487+E$3,2+E$2)&lt;&gt;"",INDEX('×入力'!$A$1:$L$800,486,2+E$2)&lt;&gt;"",INDEX('×入力'!$A$1:$L$800,487+E$3,1)&lt;&gt;""),1,0),0)</f>
        <v/>
      </c>
      <c r="F40">
        <f>IF(F$4=1,IF(OR(INDEX('×入力'!$A$1:$L$800,487+F$3,2+F$2)&lt;&gt;"",INDEX('×入力'!$A$1:$L$800,486,2+F$2)&lt;&gt;"",INDEX('×入力'!$A$1:$L$800,487+F$3,1)&lt;&gt;""),1,0),0)</f>
        <v/>
      </c>
      <c r="G40">
        <f>IF(G$4=1,IF(OR(INDEX('×入力'!$A$1:$L$800,487+G$3,2+G$2)&lt;&gt;"",INDEX('×入力'!$A$1:$L$800,486,2+G$2)&lt;&gt;"",INDEX('×入力'!$A$1:$L$800,487+G$3,1)&lt;&gt;""),1,0),0)</f>
        <v/>
      </c>
      <c r="H40">
        <f>IF(H$4=1,IF(OR(INDEX('×入力'!$A$1:$L$800,487+H$3,2+H$2)&lt;&gt;"",INDEX('×入力'!$A$1:$L$800,486,2+H$2)&lt;&gt;"",INDEX('×入力'!$A$1:$L$800,487+H$3,1)&lt;&gt;""),1,0),0)</f>
        <v/>
      </c>
      <c r="I40">
        <f>IF(I$4=1,IF(OR(INDEX('×入力'!$A$1:$L$800,487+I$3,2+I$2)&lt;&gt;"",INDEX('×入力'!$A$1:$L$800,486,2+I$2)&lt;&gt;"",INDEX('×入力'!$A$1:$L$800,487+I$3,1)&lt;&gt;""),1,0),0)</f>
        <v/>
      </c>
      <c r="J40">
        <f>IF(J$4=1,IF(OR(INDEX('×入力'!$A$1:$L$800,487+J$3,2+J$2)&lt;&gt;"",INDEX('×入力'!$A$1:$L$800,486,2+J$2)&lt;&gt;"",INDEX('×入力'!$A$1:$L$800,487+J$3,1)&lt;&gt;""),1,0),0)</f>
        <v/>
      </c>
      <c r="K40">
        <f>IF(K$4=1,IF(OR(INDEX('×入力'!$A$1:$L$800,487+K$3,2+K$2)&lt;&gt;"",INDEX('×入力'!$A$1:$L$800,486,2+K$2)&lt;&gt;"",INDEX('×入力'!$A$1:$L$800,487+K$3,1)&lt;&gt;""),1,0),0)</f>
        <v/>
      </c>
      <c r="L40">
        <f>IF(L$4=1,IF(OR(INDEX('×入力'!$A$1:$L$800,487+L$3,2+L$2)&lt;&gt;"",INDEX('×入力'!$A$1:$L$800,486,2+L$2)&lt;&gt;"",INDEX('×入力'!$A$1:$L$800,487+L$3,1)&lt;&gt;""),1,0),0)</f>
        <v/>
      </c>
      <c r="M40">
        <f>IF(M$4=1,IF(OR(INDEX('×入力'!$A$1:$L$800,487+M$3,2+M$2)&lt;&gt;"",INDEX('×入力'!$A$1:$L$800,486,2+M$2)&lt;&gt;"",INDEX('×入力'!$A$1:$L$800,487+M$3,1)&lt;&gt;""),1,0),0)</f>
        <v/>
      </c>
      <c r="N40">
        <f>IF(N$4=1,IF(OR(INDEX('×入力'!$A$1:$L$800,487+N$3,2+N$2)&lt;&gt;"",INDEX('×入力'!$A$1:$L$800,486,2+N$2)&lt;&gt;"",INDEX('×入力'!$A$1:$L$800,487+N$3,1)&lt;&gt;""),1,0),0)</f>
        <v/>
      </c>
      <c r="O40">
        <f>IF(O$4=1,IF(OR(INDEX('×入力'!$A$1:$L$800,487+O$3,2+O$2)&lt;&gt;"",INDEX('×入力'!$A$1:$L$800,486,2+O$2)&lt;&gt;"",INDEX('×入力'!$A$1:$L$800,487+O$3,1)&lt;&gt;""),1,0),0)</f>
        <v/>
      </c>
      <c r="P40">
        <f>IF(P$4=1,IF(OR(INDEX('×入力'!$A$1:$L$800,487+P$3,2+P$2)&lt;&gt;"",INDEX('×入力'!$A$1:$L$800,486,2+P$2)&lt;&gt;"",INDEX('×入力'!$A$1:$L$800,487+P$3,1)&lt;&gt;""),1,0),0)</f>
        <v/>
      </c>
      <c r="Q40">
        <f>IF(Q$4=1,IF(OR(INDEX('×入力'!$A$1:$L$800,487+Q$3,2+Q$2)&lt;&gt;"",INDEX('×入力'!$A$1:$L$800,486,2+Q$2)&lt;&gt;"",INDEX('×入力'!$A$1:$L$800,487+Q$3,1)&lt;&gt;""),1,0),0)</f>
        <v/>
      </c>
      <c r="R40">
        <f>IF(R$4=1,IF(OR(INDEX('×入力'!$A$1:$L$800,487+R$3,2+R$2)&lt;&gt;"",INDEX('×入力'!$A$1:$L$800,486,2+R$2)&lt;&gt;"",INDEX('×入力'!$A$1:$L$800,487+R$3,1)&lt;&gt;""),1,0),0)</f>
        <v/>
      </c>
      <c r="S40">
        <f>IF(S$4=1,IF(OR(INDEX('×入力'!$A$1:$L$800,487+S$3,2+S$2)&lt;&gt;"",INDEX('×入力'!$A$1:$L$800,486,2+S$2)&lt;&gt;"",INDEX('×入力'!$A$1:$L$800,487+S$3,1)&lt;&gt;""),1,0),0)</f>
        <v/>
      </c>
      <c r="T40">
        <f>IF(T$4=1,IF(OR(INDEX('×入力'!$A$1:$L$800,487+T$3,2+T$2)&lt;&gt;"",INDEX('×入力'!$A$1:$L$800,486,2+T$2)&lt;&gt;"",INDEX('×入力'!$A$1:$L$800,487+T$3,1)&lt;&gt;""),1,0),0)</f>
        <v/>
      </c>
      <c r="U40">
        <f>IF(U$4=1,IF(OR(INDEX('×入力'!$A$1:$L$800,487+U$3,2+U$2)&lt;&gt;"",INDEX('×入力'!$A$1:$L$800,486,2+U$2)&lt;&gt;"",INDEX('×入力'!$A$1:$L$800,487+U$3,1)&lt;&gt;""),1,0),0)</f>
        <v/>
      </c>
      <c r="V40">
        <f>IF(V$4=1,IF(OR(INDEX('×入力'!$A$1:$L$800,487+V$3,2+V$2)&lt;&gt;"",INDEX('×入力'!$A$1:$L$800,486,2+V$2)&lt;&gt;"",INDEX('×入力'!$A$1:$L$800,487+V$3,1)&lt;&gt;""),1,0),0)</f>
        <v/>
      </c>
      <c r="W40">
        <f>IF(W$4=1,IF(OR(INDEX('×入力'!$A$1:$L$800,487+W$3,2+W$2)&lt;&gt;"",INDEX('×入力'!$A$1:$L$800,486,2+W$2)&lt;&gt;"",INDEX('×入力'!$A$1:$L$800,487+W$3,1)&lt;&gt;""),1,0),0)</f>
        <v/>
      </c>
      <c r="X40">
        <f>IF(X$4=1,IF(OR(INDEX('×入力'!$A$1:$L$800,487+X$3,2+X$2)&lt;&gt;"",INDEX('×入力'!$A$1:$L$800,486,2+X$2)&lt;&gt;"",INDEX('×入力'!$A$1:$L$800,487+X$3,1)&lt;&gt;""),1,0),0)</f>
        <v/>
      </c>
      <c r="Y40">
        <f>IF(Y$4=1,IF(OR(INDEX('×入力'!$A$1:$L$800,487+Y$3,2+Y$2)&lt;&gt;"",INDEX('×入力'!$A$1:$L$800,486,2+Y$2)&lt;&gt;"",INDEX('×入力'!$A$1:$L$800,487+Y$3,1)&lt;&gt;""),1,0),0)</f>
        <v/>
      </c>
      <c r="Z40">
        <f>IF(Z$4=1,IF(OR(INDEX('×入力'!$A$1:$L$800,487+Z$3,2+Z$2)&lt;&gt;"",INDEX('×入力'!$A$1:$L$800,486,2+Z$2)&lt;&gt;"",INDEX('×入力'!$A$1:$L$800,487+Z$3,1)&lt;&gt;""),1,0),0)</f>
        <v/>
      </c>
      <c r="AA40">
        <f>IF(AA$4=1,IF(OR(INDEX('×入力'!$A$1:$L$800,487+AA$3,2+AA$2)&lt;&gt;"",INDEX('×入力'!$A$1:$L$800,486,2+AA$2)&lt;&gt;"",INDEX('×入力'!$A$1:$L$800,487+AA$3,1)&lt;&gt;""),1,0),0)</f>
        <v/>
      </c>
      <c r="AB40">
        <f>IF(AB$4=1,IF(OR(INDEX('×入力'!$A$1:$L$800,487+AB$3,2+AB$2)&lt;&gt;"",INDEX('×入力'!$A$1:$L$800,486,2+AB$2)&lt;&gt;"",INDEX('×入力'!$A$1:$L$800,487+AB$3,1)&lt;&gt;""),1,0),0)</f>
        <v/>
      </c>
      <c r="AC40">
        <f>IF(AC$4=1,IF(OR(INDEX('×入力'!$A$1:$L$800,487+AC$3,2+AC$2)&lt;&gt;"",INDEX('×入力'!$A$1:$L$800,486,2+AC$2)&lt;&gt;"",INDEX('×入力'!$A$1:$L$800,487+AC$3,1)&lt;&gt;""),1,0),0)</f>
        <v/>
      </c>
      <c r="AD40">
        <f>IF(AD$4=1,IF(OR(INDEX('×入力'!$A$1:$L$800,487+AD$3,2+AD$2)&lt;&gt;"",INDEX('×入力'!$A$1:$L$800,486,2+AD$2)&lt;&gt;"",INDEX('×入力'!$A$1:$L$800,487+AD$3,1)&lt;&gt;""),1,0),0)</f>
        <v/>
      </c>
      <c r="AE40">
        <f>IF(AE$4=1,IF(OR(INDEX('×入力'!$A$1:$L$800,487+AE$3,2+AE$2)&lt;&gt;"",INDEX('×入力'!$A$1:$L$800,486,2+AE$2)&lt;&gt;"",INDEX('×入力'!$A$1:$L$800,487+AE$3,1)&lt;&gt;""),1,0),0)</f>
        <v/>
      </c>
      <c r="AF40">
        <f>IF(AF$4=1,IF(OR(INDEX('×入力'!$A$1:$L$800,487+AF$3,2+AF$2)&lt;&gt;"",INDEX('×入力'!$A$1:$L$800,486,2+AF$2)&lt;&gt;"",INDEX('×入力'!$A$1:$L$800,487+AF$3,1)&lt;&gt;""),1,0),0)</f>
        <v/>
      </c>
      <c r="AG40">
        <f>IF(AG$4=1,IF(OR(INDEX('×入力'!$A$1:$L$800,487+AG$3,2+AG$2)&lt;&gt;"",INDEX('×入力'!$A$1:$L$800,486,2+AG$2)&lt;&gt;"",INDEX('×入力'!$A$1:$L$800,487+AG$3,1)&lt;&gt;""),1,0),0)</f>
        <v/>
      </c>
      <c r="AH40">
        <f>IF(AH$4=1,IF(OR(INDEX('×入力'!$A$1:$L$800,487+AH$3,2+AH$2)&lt;&gt;"",INDEX('×入力'!$A$1:$L$800,486,2+AH$2)&lt;&gt;"",INDEX('×入力'!$A$1:$L$800,487+AH$3,1)&lt;&gt;""),1,0),0)</f>
        <v/>
      </c>
      <c r="AI40">
        <f>IF(AI$4=1,IF(OR(INDEX('×入力'!$A$1:$L$800,487+AI$3,2+AI$2)&lt;&gt;"",INDEX('×入力'!$A$1:$L$800,486,2+AI$2)&lt;&gt;"",INDEX('×入力'!$A$1:$L$800,487+AI$3,1)&lt;&gt;""),1,0),0)</f>
        <v/>
      </c>
      <c r="AJ40">
        <f>IF(AJ$4=1,IF(OR(INDEX('×入力'!$A$1:$L$800,487+AJ$3,2+AJ$2)&lt;&gt;"",INDEX('×入力'!$A$1:$L$800,486,2+AJ$2)&lt;&gt;"",INDEX('×入力'!$A$1:$L$800,487+AJ$3,1)&lt;&gt;""),1,0),0)</f>
        <v/>
      </c>
      <c r="AK40">
        <f>IF(AK$4=1,IF(OR(INDEX('×入力'!$A$1:$L$800,487+AK$3,2+AK$2)&lt;&gt;"",INDEX('×入力'!$A$1:$L$800,486,2+AK$2)&lt;&gt;"",INDEX('×入力'!$A$1:$L$800,487+AK$3,1)&lt;&gt;""),1,0),0)</f>
        <v/>
      </c>
      <c r="AL40">
        <f>IF(AL$4=1,IF(OR(INDEX('×入力'!$A$1:$L$800,487+AL$3,2+AL$2)&lt;&gt;"",INDEX('×入力'!$A$1:$L$800,486,2+AL$2)&lt;&gt;"",INDEX('×入力'!$A$1:$L$800,487+AL$3,1)&lt;&gt;""),1,0),0)</f>
        <v/>
      </c>
      <c r="AM40">
        <f>IF(AM$4=1,IF(OR(INDEX('×入力'!$A$1:$L$800,487+AM$3,2+AM$2)&lt;&gt;"",INDEX('×入力'!$A$1:$L$800,486,2+AM$2)&lt;&gt;"",INDEX('×入力'!$A$1:$L$800,487+AM$3,1)&lt;&gt;""),1,0),0)</f>
        <v/>
      </c>
      <c r="AN40">
        <f>IF(AN$4=1,IF(OR(INDEX('×入力'!$A$1:$L$800,487+AN$3,2+AN$2)&lt;&gt;"",INDEX('×入力'!$A$1:$L$800,486,2+AN$2)&lt;&gt;"",INDEX('×入力'!$A$1:$L$800,487+AN$3,1)&lt;&gt;""),1,0),0)</f>
        <v/>
      </c>
      <c r="AO40">
        <f>IF(AO$4=1,IF(OR(INDEX('×入力'!$A$1:$L$800,487+AO$3,2+AO$2)&lt;&gt;"",INDEX('×入力'!$A$1:$L$800,486,2+AO$2)&lt;&gt;"",INDEX('×入力'!$A$1:$L$800,487+AO$3,1)&lt;&gt;""),1,0),0)</f>
        <v/>
      </c>
      <c r="AP40">
        <f>IF(AP$4=1,IF(OR(INDEX('×入力'!$A$1:$L$800,487+AP$3,2+AP$2)&lt;&gt;"",INDEX('×入力'!$A$1:$L$800,486,2+AP$2)&lt;&gt;"",INDEX('×入力'!$A$1:$L$800,487+AP$3,1)&lt;&gt;""),1,0),0)</f>
        <v/>
      </c>
      <c r="AQ40">
        <f>IF(AQ$4=1,IF(OR(INDEX('×入力'!$A$1:$L$800,487+AQ$3,2+AQ$2)&lt;&gt;"",INDEX('×入力'!$A$1:$L$800,486,2+AQ$2)&lt;&gt;"",INDEX('×入力'!$A$1:$L$800,487+AQ$3,1)&lt;&gt;""),1,0),0)</f>
        <v/>
      </c>
      <c r="AR40">
        <f>IF(AR$4=1,IF(OR(INDEX('×入力'!$A$1:$L$800,487+AR$3,2+AR$2)&lt;&gt;"",INDEX('×入力'!$A$1:$L$800,486,2+AR$2)&lt;&gt;"",INDEX('×入力'!$A$1:$L$800,487+AR$3,1)&lt;&gt;""),1,0),0)</f>
        <v/>
      </c>
      <c r="AS40">
        <f>IF(AS$4=1,IF(OR(INDEX('×入力'!$A$1:$L$800,487+AS$3,2+AS$2)&lt;&gt;"",INDEX('×入力'!$A$1:$L$800,486,2+AS$2)&lt;&gt;"",INDEX('×入力'!$A$1:$L$800,487+AS$3,1)&lt;&gt;""),1,0),0)</f>
        <v/>
      </c>
      <c r="AT40">
        <f>IF(AT$4=1,IF(OR(INDEX('×入力'!$A$1:$L$800,487+AT$3,2+AT$2)&lt;&gt;"",INDEX('×入力'!$A$1:$L$800,486,2+AT$2)&lt;&gt;"",INDEX('×入力'!$A$1:$L$800,487+AT$3,1)&lt;&gt;""),1,0),0)</f>
        <v/>
      </c>
      <c r="AU40">
        <f>IF(AU$4=1,IF(OR(INDEX('×入力'!$A$1:$L$800,487+AU$3,2+AU$2)&lt;&gt;"",INDEX('×入力'!$A$1:$L$800,486,2+AU$2)&lt;&gt;"",INDEX('×入力'!$A$1:$L$800,487+AU$3,1)&lt;&gt;""),1,0),0)</f>
        <v/>
      </c>
      <c r="AV40">
        <f>IF(AV$4=1,IF(OR(INDEX('×入力'!$A$1:$L$800,487+AV$3,2+AV$2)&lt;&gt;"",INDEX('×入力'!$A$1:$L$800,486,2+AV$2)&lt;&gt;"",INDEX('×入力'!$A$1:$L$800,487+AV$3,1)&lt;&gt;""),1,0),0)</f>
        <v/>
      </c>
      <c r="AW40">
        <f>IF(AW$4=1,IF(OR(INDEX('×入力'!$A$1:$L$800,487+AW$3,2+AW$2)&lt;&gt;"",INDEX('×入力'!$A$1:$L$800,486,2+AW$2)&lt;&gt;"",INDEX('×入力'!$A$1:$L$800,487+AW$3,1)&lt;&gt;""),1,0),0)</f>
        <v/>
      </c>
      <c r="AX40">
        <f>IF(AX$4=1,IF(OR(INDEX('×入力'!$A$1:$L$800,487+AX$3,2+AX$2)&lt;&gt;"",INDEX('×入力'!$A$1:$L$800,486,2+AX$2)&lt;&gt;"",INDEX('×入力'!$A$1:$L$800,487+AX$3,1)&lt;&gt;""),1,0),0)</f>
        <v/>
      </c>
      <c r="AY40">
        <f>IF(AY$4=1,IF(OR(INDEX('×入力'!$A$1:$L$800,487+AY$3,2+AY$2)&lt;&gt;"",INDEX('×入力'!$A$1:$L$800,486,2+AY$2)&lt;&gt;"",INDEX('×入力'!$A$1:$L$800,487+AY$3,1)&lt;&gt;""),1,0),0)</f>
        <v/>
      </c>
      <c r="AZ40">
        <f>IF(AZ$4=1,IF(OR(INDEX('×入力'!$A$1:$L$800,487+AZ$3,2+AZ$2)&lt;&gt;"",INDEX('×入力'!$A$1:$L$800,486,2+AZ$2)&lt;&gt;"",INDEX('×入力'!$A$1:$L$800,487+AZ$3,1)&lt;&gt;""),1,0),0)</f>
        <v/>
      </c>
      <c r="BA40">
        <f>IF(BA$4=1,IF(OR(INDEX('×入力'!$A$1:$L$800,487+BA$3,2+BA$2)&lt;&gt;"",INDEX('×入力'!$A$1:$L$800,486,2+BA$2)&lt;&gt;"",INDEX('×入力'!$A$1:$L$800,487+BA$3,1)&lt;&gt;""),1,0),0)</f>
        <v/>
      </c>
      <c r="BB40">
        <f>IF(BB$4=1,IF(OR(INDEX('×入力'!$A$1:$L$800,487+BB$3,2+BB$2)&lt;&gt;"",INDEX('×入力'!$A$1:$L$800,486,2+BB$2)&lt;&gt;"",INDEX('×入力'!$A$1:$L$800,487+BB$3,1)&lt;&gt;""),1,0),0)</f>
        <v/>
      </c>
      <c r="BC40">
        <f>IF(BC$4=1,IF(OR(INDEX('×入力'!$A$1:$L$800,487+BC$3,2+BC$2)&lt;&gt;"",INDEX('×入力'!$A$1:$L$800,486,2+BC$2)&lt;&gt;"",INDEX('×入力'!$A$1:$L$800,487+BC$3,1)&lt;&gt;""),1,0),0)</f>
        <v/>
      </c>
      <c r="BD40">
        <f>IF(BD$4=1,IF(OR(INDEX('×入力'!$A$1:$L$800,487+BD$3,2+BD$2)&lt;&gt;"",INDEX('×入力'!$A$1:$L$800,486,2+BD$2)&lt;&gt;"",INDEX('×入力'!$A$1:$L$800,487+BD$3,1)&lt;&gt;""),1,0),0)</f>
        <v/>
      </c>
      <c r="BE40">
        <f>IF(BE$4=1,IF(OR(INDEX('×入力'!$A$1:$L$800,487+BE$3,2+BE$2)&lt;&gt;"",INDEX('×入力'!$A$1:$L$800,486,2+BE$2)&lt;&gt;"",INDEX('×入力'!$A$1:$L$800,487+BE$3,1)&lt;&gt;""),1,0),0)</f>
        <v/>
      </c>
      <c r="BF40">
        <f>IF(BF$4=1,IF(OR(INDEX('×入力'!$A$1:$L$800,487+BF$3,2+BF$2)&lt;&gt;"",INDEX('×入力'!$A$1:$L$800,486,2+BF$2)&lt;&gt;"",INDEX('×入力'!$A$1:$L$800,487+BF$3,1)&lt;&gt;""),1,0),0)</f>
        <v/>
      </c>
      <c r="BG40">
        <f>IF(BG$4=1,IF(OR(INDEX('×入力'!$A$1:$L$800,487+BG$3,2+BG$2)&lt;&gt;"",INDEX('×入力'!$A$1:$L$800,486,2+BG$2)&lt;&gt;"",INDEX('×入力'!$A$1:$L$800,487+BG$3,1)&lt;&gt;""),1,0),0)</f>
        <v/>
      </c>
      <c r="BH40">
        <f>IF(BH$4=1,IF(OR(INDEX('×入力'!$A$1:$L$800,487+BH$3,2+BH$2)&lt;&gt;"",INDEX('×入力'!$A$1:$L$800,486,2+BH$2)&lt;&gt;"",INDEX('×入力'!$A$1:$L$800,487+BH$3,1)&lt;&gt;""),1,0),0)</f>
        <v/>
      </c>
      <c r="BI40">
        <f>IF(BI$4=1,IF(OR(INDEX('×入力'!$A$1:$L$800,487+BI$3,2+BI$2)&lt;&gt;"",INDEX('×入力'!$A$1:$L$800,486,2+BI$2)&lt;&gt;"",INDEX('×入力'!$A$1:$L$800,487+BI$3,1)&lt;&gt;""),1,0),0)</f>
        <v/>
      </c>
      <c r="BJ40">
        <f>IF(BJ$4=1,IF(OR(INDEX('×入力'!$A$1:$L$800,487+BJ$3,2+BJ$2)&lt;&gt;"",INDEX('×入力'!$A$1:$L$800,486,2+BJ$2)&lt;&gt;"",INDEX('×入力'!$A$1:$L$800,487+BJ$3,1)&lt;&gt;""),1,0),0)</f>
        <v/>
      </c>
      <c r="BK40">
        <f>IF(BK$4=1,IF(OR(INDEX('×入力'!$A$1:$L$800,487+BK$3,2+BK$2)&lt;&gt;"",INDEX('×入力'!$A$1:$L$800,486,2+BK$2)&lt;&gt;"",INDEX('×入力'!$A$1:$L$800,487+BK$3,1)&lt;&gt;""),1,0),0)</f>
        <v/>
      </c>
      <c r="BL40">
        <f>IF(BL$4=1,IF(OR(INDEX('×入力'!$A$1:$L$800,487+BL$3,2+BL$2)&lt;&gt;"",INDEX('×入力'!$A$1:$L$800,486,2+BL$2)&lt;&gt;"",INDEX('×入力'!$A$1:$L$800,487+BL$3,1)&lt;&gt;""),1,0),0)</f>
        <v/>
      </c>
      <c r="BM40">
        <f>IF(BM$4=1,IF(OR(INDEX('×入力'!$A$1:$L$800,487+BM$3,2+BM$2)&lt;&gt;"",INDEX('×入力'!$A$1:$L$800,486,2+BM$2)&lt;&gt;"",INDEX('×入力'!$A$1:$L$800,487+BM$3,1)&lt;&gt;""),1,0),0)</f>
        <v/>
      </c>
      <c r="BN40">
        <f>IF(BN$4=1,IF(OR(INDEX('×入力'!$A$1:$L$800,487+BN$3,2+BN$2)&lt;&gt;"",INDEX('×入力'!$A$1:$L$800,486,2+BN$2)&lt;&gt;"",INDEX('×入力'!$A$1:$L$800,487+BN$3,1)&lt;&gt;""),1,0),0)</f>
        <v/>
      </c>
      <c r="BO40">
        <f>IF(BO$4=1,IF(OR(INDEX('×入力'!$A$1:$L$800,487+BO$3,2+BO$2)&lt;&gt;"",INDEX('×入力'!$A$1:$L$800,486,2+BO$2)&lt;&gt;"",INDEX('×入力'!$A$1:$L$800,487+BO$3,1)&lt;&gt;""),1,0),0)</f>
        <v/>
      </c>
      <c r="BP40">
        <f>IF(BP$4=1,IF(OR(INDEX('×入力'!$A$1:$L$800,487+BP$3,2+BP$2)&lt;&gt;"",INDEX('×入力'!$A$1:$L$800,486,2+BP$2)&lt;&gt;"",INDEX('×入力'!$A$1:$L$800,487+BP$3,1)&lt;&gt;""),1,0),0)</f>
        <v/>
      </c>
      <c r="BQ40">
        <f>IF(BQ$4=1,IF(OR(INDEX('×入力'!$A$1:$L$800,487+BQ$3,2+BQ$2)&lt;&gt;"",INDEX('×入力'!$A$1:$L$800,486,2+BQ$2)&lt;&gt;"",INDEX('×入力'!$A$1:$L$800,487+BQ$3,1)&lt;&gt;""),1,0),0)</f>
        <v/>
      </c>
      <c r="BR40">
        <f>IF(BR$4=1,IF(OR(INDEX('×入力'!$A$1:$L$800,487+BR$3,2+BR$2)&lt;&gt;"",INDEX('×入力'!$A$1:$L$800,486,2+BR$2)&lt;&gt;"",INDEX('×入力'!$A$1:$L$800,487+BR$3,1)&lt;&gt;""),1,0),0)</f>
        <v/>
      </c>
      <c r="BS40">
        <f>IF(BS$4=1,IF(OR(INDEX('×入力'!$A$1:$L$800,487+BS$3,2+BS$2)&lt;&gt;"",INDEX('×入力'!$A$1:$L$800,486,2+BS$2)&lt;&gt;"",INDEX('×入力'!$A$1:$L$800,487+BS$3,1)&lt;&gt;""),1,0),0)</f>
        <v/>
      </c>
      <c r="BT40">
        <f>IF(BT$4=1,IF(OR(INDEX('×入力'!$A$1:$L$800,487+BT$3,2+BT$2)&lt;&gt;"",INDEX('×入力'!$A$1:$L$800,486,2+BT$2)&lt;&gt;"",INDEX('×入力'!$A$1:$L$800,487+BT$3,1)&lt;&gt;""),1,0),0)</f>
        <v/>
      </c>
      <c r="BU40">
        <f>IF(BU$4=1,IF(OR(INDEX('×入力'!$A$1:$L$800,487+BU$3,2+BU$2)&lt;&gt;"",INDEX('×入力'!$A$1:$L$800,486,2+BU$2)&lt;&gt;"",INDEX('×入力'!$A$1:$L$800,487+BU$3,1)&lt;&gt;""),1,0),0)</f>
        <v/>
      </c>
      <c r="BV40">
        <f>IF(BV$4=1,IF(OR(INDEX('×入力'!$A$1:$L$800,487+BV$3,2+BV$2)&lt;&gt;"",INDEX('×入力'!$A$1:$L$800,486,2+BV$2)&lt;&gt;"",INDEX('×入力'!$A$1:$L$800,487+BV$3,1)&lt;&gt;""),1,0),0)</f>
        <v/>
      </c>
      <c r="BW40">
        <f>IF(BW$4=1,IF(OR(INDEX('×入力'!$A$1:$L$800,487+BW$3,2+BW$2)&lt;&gt;"",INDEX('×入力'!$A$1:$L$800,486,2+BW$2)&lt;&gt;"",INDEX('×入力'!$A$1:$L$800,487+BW$3,1)&lt;&gt;""),1,0),0)</f>
        <v/>
      </c>
      <c r="BX40">
        <f>IF(BX$4=1,IF(OR(INDEX('×入力'!$A$1:$L$800,487+BX$3,2+BX$2)&lt;&gt;"",INDEX('×入力'!$A$1:$L$800,486,2+BX$2)&lt;&gt;"",INDEX('×入力'!$A$1:$L$800,487+BX$3,1)&lt;&gt;""),1,0),0)</f>
        <v/>
      </c>
      <c r="BY40">
        <f>IF(BY$4=1,IF(OR(INDEX('×入力'!$A$1:$L$800,487+BY$3,2+BY$2)&lt;&gt;"",INDEX('×入力'!$A$1:$L$800,486,2+BY$2)&lt;&gt;"",INDEX('×入力'!$A$1:$L$800,487+BY$3,1)&lt;&gt;""),1,0),0)</f>
        <v/>
      </c>
      <c r="BZ40">
        <f>IF(BZ$4=1,IF(OR(INDEX('×入力'!$A$1:$L$800,487+BZ$3,2+BZ$2)&lt;&gt;"",INDEX('×入力'!$A$1:$L$800,486,2+BZ$2)&lt;&gt;"",INDEX('×入力'!$A$1:$L$800,487+BZ$3,1)&lt;&gt;""),1,0),0)</f>
        <v/>
      </c>
      <c r="CA40">
        <f>IF(CA$4=1,IF(OR(INDEX('×入力'!$A$1:$L$800,487+CA$3,2+CA$2)&lt;&gt;"",INDEX('×入力'!$A$1:$L$800,486,2+CA$2)&lt;&gt;"",INDEX('×入力'!$A$1:$L$800,487+CA$3,1)&lt;&gt;""),1,0),0)</f>
        <v/>
      </c>
      <c r="CB40">
        <f>IF(CB$4=1,IF(OR(INDEX('×入力'!$A$1:$L$800,487+CB$3,2+CB$2)&lt;&gt;"",INDEX('×入力'!$A$1:$L$800,486,2+CB$2)&lt;&gt;"",INDEX('×入力'!$A$1:$L$800,487+CB$3,1)&lt;&gt;""),1,0),0)</f>
        <v/>
      </c>
      <c r="CC40">
        <f>IF(CC$4=1,IF(OR(INDEX('×入力'!$A$1:$L$800,487+CC$3,2+CC$2)&lt;&gt;"",INDEX('×入力'!$A$1:$L$800,486,2+CC$2)&lt;&gt;"",INDEX('×入力'!$A$1:$L$800,487+CC$3,1)&lt;&gt;""),1,0),0)</f>
        <v/>
      </c>
      <c r="CD40">
        <f>IF(CD$4=1,IF(OR(INDEX('×入力'!$A$1:$L$800,487+CD$3,2+CD$2)&lt;&gt;"",INDEX('×入力'!$A$1:$L$800,486,2+CD$2)&lt;&gt;"",INDEX('×入力'!$A$1:$L$800,487+CD$3,1)&lt;&gt;""),1,0),0)</f>
        <v/>
      </c>
      <c r="CE40">
        <f>IF(CE$4=1,IF(OR(INDEX('×入力'!$A$1:$L$800,487+CE$3,2+CE$2)&lt;&gt;"",INDEX('×入力'!$A$1:$L$800,486,2+CE$2)&lt;&gt;"",INDEX('×入力'!$A$1:$L$800,487+CE$3,1)&lt;&gt;""),1,0),0)</f>
        <v/>
      </c>
      <c r="CF40">
        <f>IF(CF$4=1,IF(OR(INDEX('×入力'!$A$1:$L$800,487+CF$3,2+CF$2)&lt;&gt;"",INDEX('×入力'!$A$1:$L$800,486,2+CF$2)&lt;&gt;"",INDEX('×入力'!$A$1:$L$800,487+CF$3,1)&lt;&gt;""),1,0),0)</f>
        <v/>
      </c>
      <c r="CG40">
        <f>IF(CG$4=1,IF(OR(INDEX('×入力'!$A$1:$L$800,487+CG$3,2+CG$2)&lt;&gt;"",INDEX('×入力'!$A$1:$L$800,486,2+CG$2)&lt;&gt;"",INDEX('×入力'!$A$1:$L$800,487+CG$3,1)&lt;&gt;""),1,0),0)</f>
        <v/>
      </c>
      <c r="CH40">
        <f>IF(CH$4=1,IF(OR(INDEX('×入力'!$A$1:$L$800,487+CH$3,2+CH$2)&lt;&gt;"",INDEX('×入力'!$A$1:$L$800,486,2+CH$2)&lt;&gt;"",INDEX('×入力'!$A$1:$L$800,487+CH$3,1)&lt;&gt;""),1,0),0)</f>
        <v/>
      </c>
      <c r="CI40">
        <f>IF(CI$4=1,IF(OR(INDEX('×入力'!$A$1:$L$800,487+CI$3,2+CI$2)&lt;&gt;"",INDEX('×入力'!$A$1:$L$800,486,2+CI$2)&lt;&gt;"",INDEX('×入力'!$A$1:$L$800,487+CI$3,1)&lt;&gt;""),1,0),0)</f>
        <v/>
      </c>
      <c r="CJ40">
        <f>IF(CJ$4=1,IF(OR(INDEX('×入力'!$A$1:$L$800,487+CJ$3,2+CJ$2)&lt;&gt;"",INDEX('×入力'!$A$1:$L$800,486,2+CJ$2)&lt;&gt;"",INDEX('×入力'!$A$1:$L$800,487+CJ$3,1)&lt;&gt;""),1,0),0)</f>
        <v/>
      </c>
      <c r="CK40">
        <f>IF(CK$4=1,IF(OR(INDEX('×入力'!$A$1:$L$800,487+CK$3,2+CK$2)&lt;&gt;"",INDEX('×入力'!$A$1:$L$800,486,2+CK$2)&lt;&gt;"",INDEX('×入力'!$A$1:$L$800,487+CK$3,1)&lt;&gt;""),1,0),0)</f>
        <v/>
      </c>
      <c r="CL40">
        <f>IF(CL$4=1,IF(OR(INDEX('×入力'!$A$1:$L$800,487+CL$3,2+CL$2)&lt;&gt;"",INDEX('×入力'!$A$1:$L$800,486,2+CL$2)&lt;&gt;"",INDEX('×入力'!$A$1:$L$800,487+CL$3,1)&lt;&gt;""),1,0),0)</f>
        <v/>
      </c>
      <c r="CM40">
        <f>IF(CM$4=1,IF(OR(INDEX('×入力'!$A$1:$L$800,487+CM$3,2+CM$2)&lt;&gt;"",INDEX('×入力'!$A$1:$L$800,486,2+CM$2)&lt;&gt;"",INDEX('×入力'!$A$1:$L$800,487+CM$3,1)&lt;&gt;""),1,0),0)</f>
        <v/>
      </c>
      <c r="CN40">
        <f>IF(CN$4=1,IF(OR(INDEX('×入力'!$A$1:$L$800,487+CN$3,2+CN$2)&lt;&gt;"",INDEX('×入力'!$A$1:$L$800,486,2+CN$2)&lt;&gt;"",INDEX('×入力'!$A$1:$L$800,487+CN$3,1)&lt;&gt;""),1,0),0)</f>
        <v/>
      </c>
      <c r="CO40">
        <f>IF(CO$4=1,IF(OR(INDEX('×入力'!$A$1:$L$800,487+CO$3,2+CO$2)&lt;&gt;"",INDEX('×入力'!$A$1:$L$800,486,2+CO$2)&lt;&gt;"",INDEX('×入力'!$A$1:$L$800,487+CO$3,1)&lt;&gt;""),1,0),0)</f>
        <v/>
      </c>
      <c r="CP40">
        <f>IF(CP$4=1,IF(OR(INDEX('×入力'!$A$1:$L$800,487+CP$3,2+CP$2)&lt;&gt;"",INDEX('×入力'!$A$1:$L$800,486,2+CP$2)&lt;&gt;"",INDEX('×入力'!$A$1:$L$800,487+CP$3,1)&lt;&gt;""),1,0),0)</f>
        <v/>
      </c>
      <c r="CQ40">
        <f>IF(CQ$4=1,IF(OR(INDEX('×入力'!$A$1:$L$800,487+CQ$3,2+CQ$2)&lt;&gt;"",INDEX('×入力'!$A$1:$L$800,486,2+CQ$2)&lt;&gt;"",INDEX('×入力'!$A$1:$L$800,487+CQ$3,1)&lt;&gt;""),1,0),0)</f>
        <v/>
      </c>
      <c r="CR40">
        <f>IF(CR$4=1,IF(OR(INDEX('×入力'!$A$1:$L$800,487+CR$3,2+CR$2)&lt;&gt;"",INDEX('×入力'!$A$1:$L$800,486,2+CR$2)&lt;&gt;"",INDEX('×入力'!$A$1:$L$800,487+CR$3,1)&lt;&gt;""),1,0),0)</f>
        <v/>
      </c>
      <c r="CS40">
        <f>IF(CS$4=1,IF(OR(INDEX('×入力'!$A$1:$L$800,487+CS$3,2+CS$2)&lt;&gt;"",INDEX('×入力'!$A$1:$L$800,486,2+CS$2)&lt;&gt;"",INDEX('×入力'!$A$1:$L$800,487+CS$3,1)&lt;&gt;""),1,0),0)</f>
        <v/>
      </c>
      <c r="CT40">
        <f>IF(CT$4=1,IF(OR(INDEX('×入力'!$A$1:$L$800,487+CT$3,2+CT$2)&lt;&gt;"",INDEX('×入力'!$A$1:$L$800,486,2+CT$2)&lt;&gt;"",INDEX('×入力'!$A$1:$L$800,487+CT$3,1)&lt;&gt;""),1,0),0)</f>
        <v/>
      </c>
      <c r="CU40">
        <f>IF(CU$4=1,IF(OR(INDEX('×入力'!$A$1:$L$800,487+CU$3,2+CU$2)&lt;&gt;"",INDEX('×入力'!$A$1:$L$800,486,2+CU$2)&lt;&gt;"",INDEX('×入力'!$A$1:$L$800,487+CU$3,1)&lt;&gt;""),1,0),0)</f>
        <v/>
      </c>
      <c r="CV40">
        <f>IF(CV$4=1,IF(OR(INDEX('×入力'!$A$1:$L$800,487+CV$3,2+CV$2)&lt;&gt;"",INDEX('×入力'!$A$1:$L$800,486,2+CV$2)&lt;&gt;"",INDEX('×入力'!$A$1:$L$800,487+CV$3,1)&lt;&gt;""),1,0),0)</f>
        <v/>
      </c>
      <c r="CW40">
        <f>IF(CW$4=1,IF(OR(INDEX('×入力'!$A$1:$L$800,487+CW$3,2+CW$2)&lt;&gt;"",INDEX('×入力'!$A$1:$L$800,486,2+CW$2)&lt;&gt;"",INDEX('×入力'!$A$1:$L$800,487+CW$3,1)&lt;&gt;""),1,0),0)</f>
        <v/>
      </c>
      <c r="CX40">
        <f>IF(CX$4=1,IF(OR(INDEX('×入力'!$A$1:$L$800,487+CX$3,2+CX$2)&lt;&gt;"",INDEX('×入力'!$A$1:$L$800,486,2+CX$2)&lt;&gt;"",INDEX('×入力'!$A$1:$L$800,487+CX$3,1)&lt;&gt;""),1,0),0)</f>
        <v/>
      </c>
      <c r="CY40">
        <f>IF(CY$4=1,IF(OR(INDEX('×入力'!$A$1:$L$800,487+CY$3,2+CY$2)&lt;&gt;"",INDEX('×入力'!$A$1:$L$800,486,2+CY$2)&lt;&gt;"",INDEX('×入力'!$A$1:$L$800,487+CY$3,1)&lt;&gt;""),1,0),0)</f>
        <v/>
      </c>
      <c r="CZ40">
        <f>IF(CZ$4=1,IF(OR(INDEX('×入力'!$A$1:$L$800,487+CZ$3,2+CZ$2)&lt;&gt;"",INDEX('×入力'!$A$1:$L$800,486,2+CZ$2)&lt;&gt;"",INDEX('×入力'!$A$1:$L$800,487+CZ$3,1)&lt;&gt;""),1,0),0)</f>
        <v/>
      </c>
      <c r="DA40">
        <f>IF(DA$4=1,IF(OR(INDEX('×入力'!$A$1:$L$800,487+DA$3,2+DA$2)&lt;&gt;"",INDEX('×入力'!$A$1:$L$800,486,2+DA$2)&lt;&gt;"",INDEX('×入力'!$A$1:$L$800,487+DA$3,1)&lt;&gt;""),1,0),0)</f>
        <v/>
      </c>
      <c r="DB40">
        <f>IF(DB$4=1,IF(OR(INDEX('×入力'!$A$1:$L$800,487+DB$3,2+DB$2)&lt;&gt;"",INDEX('×入力'!$A$1:$L$800,486,2+DB$2)&lt;&gt;"",INDEX('×入力'!$A$1:$L$800,487+DB$3,1)&lt;&gt;""),1,0),0)</f>
        <v/>
      </c>
      <c r="DC40">
        <f>IF(DC$4=1,IF(OR(INDEX('×入力'!$A$1:$L$800,487+DC$3,2+DC$2)&lt;&gt;"",INDEX('×入力'!$A$1:$L$800,486,2+DC$2)&lt;&gt;"",INDEX('×入力'!$A$1:$L$800,487+DC$3,1)&lt;&gt;""),1,0),0)</f>
        <v/>
      </c>
      <c r="DD40">
        <f>IF(DD$4=1,IF(OR(INDEX('×入力'!$A$1:$L$800,487+DD$3,2+DD$2)&lt;&gt;"",INDEX('×入力'!$A$1:$L$800,486,2+DD$2)&lt;&gt;"",INDEX('×入力'!$A$1:$L$800,487+DD$3,1)&lt;&gt;""),1,0),0)</f>
        <v/>
      </c>
      <c r="DE40">
        <f>IF(DE$4=1,IF(OR(INDEX('×入力'!$A$1:$L$800,487+DE$3,2+DE$2)&lt;&gt;"",INDEX('×入力'!$A$1:$L$800,486,2+DE$2)&lt;&gt;"",INDEX('×入力'!$A$1:$L$800,487+DE$3,1)&lt;&gt;""),1,0),0)</f>
        <v/>
      </c>
      <c r="DF40">
        <f>IF(DF$4=1,IF(OR(INDEX('×入力'!$A$1:$L$800,487+DF$3,2+DF$2)&lt;&gt;"",INDEX('×入力'!$A$1:$L$800,486,2+DF$2)&lt;&gt;"",INDEX('×入力'!$A$1:$L$800,487+DF$3,1)&lt;&gt;""),1,0),0)</f>
        <v/>
      </c>
      <c r="DG40">
        <f>IF(DG$4=1,IF(OR(INDEX('×入力'!$A$1:$L$800,487+DG$3,2+DG$2)&lt;&gt;"",INDEX('×入力'!$A$1:$L$800,486,2+DG$2)&lt;&gt;"",INDEX('×入力'!$A$1:$L$800,487+DG$3,1)&lt;&gt;""),1,0),0)</f>
        <v/>
      </c>
      <c r="DH40">
        <f>IF(DH$4=1,IF(OR(INDEX('×入力'!$A$1:$L$800,487+DH$3,2+DH$2)&lt;&gt;"",INDEX('×入力'!$A$1:$L$800,486,2+DH$2)&lt;&gt;"",INDEX('×入力'!$A$1:$L$800,487+DH$3,1)&lt;&gt;""),1,0),0)</f>
        <v/>
      </c>
      <c r="DI40">
        <f>IF(DI$4=1,IF(OR(INDEX('×入力'!$A$1:$L$800,487+DI$3,2+DI$2)&lt;&gt;"",INDEX('×入力'!$A$1:$L$800,486,2+DI$2)&lt;&gt;"",INDEX('×入力'!$A$1:$L$800,487+DI$3,1)&lt;&gt;""),1,0),0)</f>
        <v/>
      </c>
      <c r="DJ40">
        <f>IF(DJ$4=1,IF(OR(INDEX('×入力'!$A$1:$L$800,487+DJ$3,2+DJ$2)&lt;&gt;"",INDEX('×入力'!$A$1:$L$800,486,2+DJ$2)&lt;&gt;"",INDEX('×入力'!$A$1:$L$800,487+DJ$3,1)&lt;&gt;""),1,0),0)</f>
        <v/>
      </c>
      <c r="DK40">
        <f>IF(DK$4=1,IF(OR(INDEX('×入力'!$A$1:$L$800,487+DK$3,2+DK$2)&lt;&gt;"",INDEX('×入力'!$A$1:$L$800,486,2+DK$2)&lt;&gt;"",INDEX('×入力'!$A$1:$L$800,487+DK$3,1)&lt;&gt;""),1,0),0)</f>
        <v/>
      </c>
      <c r="DL40">
        <f>IF(DL$4=1,IF(OR(INDEX('×入力'!$A$1:$L$800,487+DL$3,2+DL$2)&lt;&gt;"",INDEX('×入力'!$A$1:$L$800,486,2+DL$2)&lt;&gt;"",INDEX('×入力'!$A$1:$L$800,487+DL$3,1)&lt;&gt;""),1,0),0)</f>
        <v/>
      </c>
      <c r="DM40">
        <f>IF(DM$4=1,IF(OR(INDEX('×入力'!$A$1:$L$800,487+DM$3,2+DM$2)&lt;&gt;"",INDEX('×入力'!$A$1:$L$800,486,2+DM$2)&lt;&gt;"",INDEX('×入力'!$A$1:$L$800,487+DM$3,1)&lt;&gt;""),1,0),0)</f>
        <v/>
      </c>
      <c r="DN40">
        <f>IF(DN$4=1,IF(OR(INDEX('×入力'!$A$1:$L$800,487+DN$3,2+DN$2)&lt;&gt;"",INDEX('×入力'!$A$1:$L$800,486,2+DN$2)&lt;&gt;"",INDEX('×入力'!$A$1:$L$800,487+DN$3,1)&lt;&gt;""),1,0),0)</f>
        <v/>
      </c>
      <c r="DO40">
        <f>IF(DO$4=1,IF(OR(INDEX('×入力'!$A$1:$L$800,487+DO$3,2+DO$2)&lt;&gt;"",INDEX('×入力'!$A$1:$L$800,486,2+DO$2)&lt;&gt;"",INDEX('×入力'!$A$1:$L$800,487+DO$3,1)&lt;&gt;""),1,0),0)</f>
        <v/>
      </c>
      <c r="DP40">
        <f>IF(DP$4=1,IF(OR(INDEX('×入力'!$A$1:$L$800,487+DP$3,2+DP$2)&lt;&gt;"",INDEX('×入力'!$A$1:$L$800,486,2+DP$2)&lt;&gt;"",INDEX('×入力'!$A$1:$L$800,487+DP$3,1)&lt;&gt;""),1,0),0)</f>
        <v/>
      </c>
      <c r="DQ40">
        <f>IF(DQ$4=1,IF(OR(INDEX('×入力'!$A$1:$L$800,487+DQ$3,2+DQ$2)&lt;&gt;"",INDEX('×入力'!$A$1:$L$800,486,2+DQ$2)&lt;&gt;"",INDEX('×入力'!$A$1:$L$800,487+DQ$3,1)&lt;&gt;""),1,0),0)</f>
        <v/>
      </c>
      <c r="DR40">
        <f>IF(DR$4=1,IF(OR(INDEX('×入力'!$A$1:$L$800,487+DR$3,2+DR$2)&lt;&gt;"",INDEX('×入力'!$A$1:$L$800,486,2+DR$2)&lt;&gt;"",INDEX('×入力'!$A$1:$L$800,487+DR$3,1)&lt;&gt;""),1,0),0)</f>
        <v/>
      </c>
      <c r="DS40">
        <f>IF(DS$4=1,IF(OR(INDEX('×入力'!$A$1:$L$800,487+DS$3,2+DS$2)&lt;&gt;"",INDEX('×入力'!$A$1:$L$800,486,2+DS$2)&lt;&gt;"",INDEX('×入力'!$A$1:$L$800,487+DS$3,1)&lt;&gt;""),1,0),0)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IF(D$4=1,IF(OR(INDEX('×入力'!$A$1:$L$800,503+D$3,2+D$2)&lt;&gt;"",INDEX('×入力'!$A$1:$L$800,502,2+D$2)&lt;&gt;"",INDEX('×入力'!$A$1:$L$800,503+D$3,1)&lt;&gt;""),1,0),0)</f>
        <v/>
      </c>
      <c r="E41">
        <f>IF(E$4=1,IF(OR(INDEX('×入力'!$A$1:$L$800,503+E$3,2+E$2)&lt;&gt;"",INDEX('×入力'!$A$1:$L$800,502,2+E$2)&lt;&gt;"",INDEX('×入力'!$A$1:$L$800,503+E$3,1)&lt;&gt;""),1,0),0)</f>
        <v/>
      </c>
      <c r="F41">
        <f>IF(F$4=1,IF(OR(INDEX('×入力'!$A$1:$L$800,503+F$3,2+F$2)&lt;&gt;"",INDEX('×入力'!$A$1:$L$800,502,2+F$2)&lt;&gt;"",INDEX('×入力'!$A$1:$L$800,503+F$3,1)&lt;&gt;""),1,0),0)</f>
        <v/>
      </c>
      <c r="G41">
        <f>IF(G$4=1,IF(OR(INDEX('×入力'!$A$1:$L$800,503+G$3,2+G$2)&lt;&gt;"",INDEX('×入力'!$A$1:$L$800,502,2+G$2)&lt;&gt;"",INDEX('×入力'!$A$1:$L$800,503+G$3,1)&lt;&gt;""),1,0),0)</f>
        <v/>
      </c>
      <c r="H41">
        <f>IF(H$4=1,IF(OR(INDEX('×入力'!$A$1:$L$800,503+H$3,2+H$2)&lt;&gt;"",INDEX('×入力'!$A$1:$L$800,502,2+H$2)&lt;&gt;"",INDEX('×入力'!$A$1:$L$800,503+H$3,1)&lt;&gt;""),1,0),0)</f>
        <v/>
      </c>
      <c r="I41">
        <f>IF(I$4=1,IF(OR(INDEX('×入力'!$A$1:$L$800,503+I$3,2+I$2)&lt;&gt;"",INDEX('×入力'!$A$1:$L$800,502,2+I$2)&lt;&gt;"",INDEX('×入力'!$A$1:$L$800,503+I$3,1)&lt;&gt;""),1,0),0)</f>
        <v/>
      </c>
      <c r="J41">
        <f>IF(J$4=1,IF(OR(INDEX('×入力'!$A$1:$L$800,503+J$3,2+J$2)&lt;&gt;"",INDEX('×入力'!$A$1:$L$800,502,2+J$2)&lt;&gt;"",INDEX('×入力'!$A$1:$L$800,503+J$3,1)&lt;&gt;""),1,0),0)</f>
        <v/>
      </c>
      <c r="K41">
        <f>IF(K$4=1,IF(OR(INDEX('×入力'!$A$1:$L$800,503+K$3,2+K$2)&lt;&gt;"",INDEX('×入力'!$A$1:$L$800,502,2+K$2)&lt;&gt;"",INDEX('×入力'!$A$1:$L$800,503+K$3,1)&lt;&gt;""),1,0),0)</f>
        <v/>
      </c>
      <c r="L41">
        <f>IF(L$4=1,IF(OR(INDEX('×入力'!$A$1:$L$800,503+L$3,2+L$2)&lt;&gt;"",INDEX('×入力'!$A$1:$L$800,502,2+L$2)&lt;&gt;"",INDEX('×入力'!$A$1:$L$800,503+L$3,1)&lt;&gt;""),1,0),0)</f>
        <v/>
      </c>
      <c r="M41">
        <f>IF(M$4=1,IF(OR(INDEX('×入力'!$A$1:$L$800,503+M$3,2+M$2)&lt;&gt;"",INDEX('×入力'!$A$1:$L$800,502,2+M$2)&lt;&gt;"",INDEX('×入力'!$A$1:$L$800,503+M$3,1)&lt;&gt;""),1,0),0)</f>
        <v/>
      </c>
      <c r="N41">
        <f>IF(N$4=1,IF(OR(INDEX('×入力'!$A$1:$L$800,503+N$3,2+N$2)&lt;&gt;"",INDEX('×入力'!$A$1:$L$800,502,2+N$2)&lt;&gt;"",INDEX('×入力'!$A$1:$L$800,503+N$3,1)&lt;&gt;""),1,0),0)</f>
        <v/>
      </c>
      <c r="O41">
        <f>IF(O$4=1,IF(OR(INDEX('×入力'!$A$1:$L$800,503+O$3,2+O$2)&lt;&gt;"",INDEX('×入力'!$A$1:$L$800,502,2+O$2)&lt;&gt;"",INDEX('×入力'!$A$1:$L$800,503+O$3,1)&lt;&gt;""),1,0),0)</f>
        <v/>
      </c>
      <c r="P41">
        <f>IF(P$4=1,IF(OR(INDEX('×入力'!$A$1:$L$800,503+P$3,2+P$2)&lt;&gt;"",INDEX('×入力'!$A$1:$L$800,502,2+P$2)&lt;&gt;"",INDEX('×入力'!$A$1:$L$800,503+P$3,1)&lt;&gt;""),1,0),0)</f>
        <v/>
      </c>
      <c r="Q41">
        <f>IF(Q$4=1,IF(OR(INDEX('×入力'!$A$1:$L$800,503+Q$3,2+Q$2)&lt;&gt;"",INDEX('×入力'!$A$1:$L$800,502,2+Q$2)&lt;&gt;"",INDEX('×入力'!$A$1:$L$800,503+Q$3,1)&lt;&gt;""),1,0),0)</f>
        <v/>
      </c>
      <c r="R41">
        <f>IF(R$4=1,IF(OR(INDEX('×入力'!$A$1:$L$800,503+R$3,2+R$2)&lt;&gt;"",INDEX('×入力'!$A$1:$L$800,502,2+R$2)&lt;&gt;"",INDEX('×入力'!$A$1:$L$800,503+R$3,1)&lt;&gt;""),1,0),0)</f>
        <v/>
      </c>
      <c r="S41">
        <f>IF(S$4=1,IF(OR(INDEX('×入力'!$A$1:$L$800,503+S$3,2+S$2)&lt;&gt;"",INDEX('×入力'!$A$1:$L$800,502,2+S$2)&lt;&gt;"",INDEX('×入力'!$A$1:$L$800,503+S$3,1)&lt;&gt;""),1,0),0)</f>
        <v/>
      </c>
      <c r="T41">
        <f>IF(T$4=1,IF(OR(INDEX('×入力'!$A$1:$L$800,503+T$3,2+T$2)&lt;&gt;"",INDEX('×入力'!$A$1:$L$800,502,2+T$2)&lt;&gt;"",INDEX('×入力'!$A$1:$L$800,503+T$3,1)&lt;&gt;""),1,0),0)</f>
        <v/>
      </c>
      <c r="U41">
        <f>IF(U$4=1,IF(OR(INDEX('×入力'!$A$1:$L$800,503+U$3,2+U$2)&lt;&gt;"",INDEX('×入力'!$A$1:$L$800,502,2+U$2)&lt;&gt;"",INDEX('×入力'!$A$1:$L$800,503+U$3,1)&lt;&gt;""),1,0),0)</f>
        <v/>
      </c>
      <c r="V41">
        <f>IF(V$4=1,IF(OR(INDEX('×入力'!$A$1:$L$800,503+V$3,2+V$2)&lt;&gt;"",INDEX('×入力'!$A$1:$L$800,502,2+V$2)&lt;&gt;"",INDEX('×入力'!$A$1:$L$800,503+V$3,1)&lt;&gt;""),1,0),0)</f>
        <v/>
      </c>
      <c r="W41">
        <f>IF(W$4=1,IF(OR(INDEX('×入力'!$A$1:$L$800,503+W$3,2+W$2)&lt;&gt;"",INDEX('×入力'!$A$1:$L$800,502,2+W$2)&lt;&gt;"",INDEX('×入力'!$A$1:$L$800,503+W$3,1)&lt;&gt;""),1,0),0)</f>
        <v/>
      </c>
      <c r="X41">
        <f>IF(X$4=1,IF(OR(INDEX('×入力'!$A$1:$L$800,503+X$3,2+X$2)&lt;&gt;"",INDEX('×入力'!$A$1:$L$800,502,2+X$2)&lt;&gt;"",INDEX('×入力'!$A$1:$L$800,503+X$3,1)&lt;&gt;""),1,0),0)</f>
        <v/>
      </c>
      <c r="Y41">
        <f>IF(Y$4=1,IF(OR(INDEX('×入力'!$A$1:$L$800,503+Y$3,2+Y$2)&lt;&gt;"",INDEX('×入力'!$A$1:$L$800,502,2+Y$2)&lt;&gt;"",INDEX('×入力'!$A$1:$L$800,503+Y$3,1)&lt;&gt;""),1,0),0)</f>
        <v/>
      </c>
      <c r="Z41">
        <f>IF(Z$4=1,IF(OR(INDEX('×入力'!$A$1:$L$800,503+Z$3,2+Z$2)&lt;&gt;"",INDEX('×入力'!$A$1:$L$800,502,2+Z$2)&lt;&gt;"",INDEX('×入力'!$A$1:$L$800,503+Z$3,1)&lt;&gt;""),1,0),0)</f>
        <v/>
      </c>
      <c r="AA41">
        <f>IF(AA$4=1,IF(OR(INDEX('×入力'!$A$1:$L$800,503+AA$3,2+AA$2)&lt;&gt;"",INDEX('×入力'!$A$1:$L$800,502,2+AA$2)&lt;&gt;"",INDEX('×入力'!$A$1:$L$800,503+AA$3,1)&lt;&gt;""),1,0),0)</f>
        <v/>
      </c>
      <c r="AB41">
        <f>IF(AB$4=1,IF(OR(INDEX('×入力'!$A$1:$L$800,503+AB$3,2+AB$2)&lt;&gt;"",INDEX('×入力'!$A$1:$L$800,502,2+AB$2)&lt;&gt;"",INDEX('×入力'!$A$1:$L$800,503+AB$3,1)&lt;&gt;""),1,0),0)</f>
        <v/>
      </c>
      <c r="AC41">
        <f>IF(AC$4=1,IF(OR(INDEX('×入力'!$A$1:$L$800,503+AC$3,2+AC$2)&lt;&gt;"",INDEX('×入力'!$A$1:$L$800,502,2+AC$2)&lt;&gt;"",INDEX('×入力'!$A$1:$L$800,503+AC$3,1)&lt;&gt;""),1,0),0)</f>
        <v/>
      </c>
      <c r="AD41">
        <f>IF(AD$4=1,IF(OR(INDEX('×入力'!$A$1:$L$800,503+AD$3,2+AD$2)&lt;&gt;"",INDEX('×入力'!$A$1:$L$800,502,2+AD$2)&lt;&gt;"",INDEX('×入力'!$A$1:$L$800,503+AD$3,1)&lt;&gt;""),1,0),0)</f>
        <v/>
      </c>
      <c r="AE41">
        <f>IF(AE$4=1,IF(OR(INDEX('×入力'!$A$1:$L$800,503+AE$3,2+AE$2)&lt;&gt;"",INDEX('×入力'!$A$1:$L$800,502,2+AE$2)&lt;&gt;"",INDEX('×入力'!$A$1:$L$800,503+AE$3,1)&lt;&gt;""),1,0),0)</f>
        <v/>
      </c>
      <c r="AF41">
        <f>IF(AF$4=1,IF(OR(INDEX('×入力'!$A$1:$L$800,503+AF$3,2+AF$2)&lt;&gt;"",INDEX('×入力'!$A$1:$L$800,502,2+AF$2)&lt;&gt;"",INDEX('×入力'!$A$1:$L$800,503+AF$3,1)&lt;&gt;""),1,0),0)</f>
        <v/>
      </c>
      <c r="AG41">
        <f>IF(AG$4=1,IF(OR(INDEX('×入力'!$A$1:$L$800,503+AG$3,2+AG$2)&lt;&gt;"",INDEX('×入力'!$A$1:$L$800,502,2+AG$2)&lt;&gt;"",INDEX('×入力'!$A$1:$L$800,503+AG$3,1)&lt;&gt;""),1,0),0)</f>
        <v/>
      </c>
      <c r="AH41">
        <f>IF(AH$4=1,IF(OR(INDEX('×入力'!$A$1:$L$800,503+AH$3,2+AH$2)&lt;&gt;"",INDEX('×入力'!$A$1:$L$800,502,2+AH$2)&lt;&gt;"",INDEX('×入力'!$A$1:$L$800,503+AH$3,1)&lt;&gt;""),1,0),0)</f>
        <v/>
      </c>
      <c r="AI41">
        <f>IF(AI$4=1,IF(OR(INDEX('×入力'!$A$1:$L$800,503+AI$3,2+AI$2)&lt;&gt;"",INDEX('×入力'!$A$1:$L$800,502,2+AI$2)&lt;&gt;"",INDEX('×入力'!$A$1:$L$800,503+AI$3,1)&lt;&gt;""),1,0),0)</f>
        <v/>
      </c>
      <c r="AJ41">
        <f>IF(AJ$4=1,IF(OR(INDEX('×入力'!$A$1:$L$800,503+AJ$3,2+AJ$2)&lt;&gt;"",INDEX('×入力'!$A$1:$L$800,502,2+AJ$2)&lt;&gt;"",INDEX('×入力'!$A$1:$L$800,503+AJ$3,1)&lt;&gt;""),1,0),0)</f>
        <v/>
      </c>
      <c r="AK41">
        <f>IF(AK$4=1,IF(OR(INDEX('×入力'!$A$1:$L$800,503+AK$3,2+AK$2)&lt;&gt;"",INDEX('×入力'!$A$1:$L$800,502,2+AK$2)&lt;&gt;"",INDEX('×入力'!$A$1:$L$800,503+AK$3,1)&lt;&gt;""),1,0),0)</f>
        <v/>
      </c>
      <c r="AL41">
        <f>IF(AL$4=1,IF(OR(INDEX('×入力'!$A$1:$L$800,503+AL$3,2+AL$2)&lt;&gt;"",INDEX('×入力'!$A$1:$L$800,502,2+AL$2)&lt;&gt;"",INDEX('×入力'!$A$1:$L$800,503+AL$3,1)&lt;&gt;""),1,0),0)</f>
        <v/>
      </c>
      <c r="AM41">
        <f>IF(AM$4=1,IF(OR(INDEX('×入力'!$A$1:$L$800,503+AM$3,2+AM$2)&lt;&gt;"",INDEX('×入力'!$A$1:$L$800,502,2+AM$2)&lt;&gt;"",INDEX('×入力'!$A$1:$L$800,503+AM$3,1)&lt;&gt;""),1,0),0)</f>
        <v/>
      </c>
      <c r="AN41">
        <f>IF(AN$4=1,IF(OR(INDEX('×入力'!$A$1:$L$800,503+AN$3,2+AN$2)&lt;&gt;"",INDEX('×入力'!$A$1:$L$800,502,2+AN$2)&lt;&gt;"",INDEX('×入力'!$A$1:$L$800,503+AN$3,1)&lt;&gt;""),1,0),0)</f>
        <v/>
      </c>
      <c r="AO41">
        <f>IF(AO$4=1,IF(OR(INDEX('×入力'!$A$1:$L$800,503+AO$3,2+AO$2)&lt;&gt;"",INDEX('×入力'!$A$1:$L$800,502,2+AO$2)&lt;&gt;"",INDEX('×入力'!$A$1:$L$800,503+AO$3,1)&lt;&gt;""),1,0),0)</f>
        <v/>
      </c>
      <c r="AP41">
        <f>IF(AP$4=1,IF(OR(INDEX('×入力'!$A$1:$L$800,503+AP$3,2+AP$2)&lt;&gt;"",INDEX('×入力'!$A$1:$L$800,502,2+AP$2)&lt;&gt;"",INDEX('×入力'!$A$1:$L$800,503+AP$3,1)&lt;&gt;""),1,0),0)</f>
        <v/>
      </c>
      <c r="AQ41">
        <f>IF(AQ$4=1,IF(OR(INDEX('×入力'!$A$1:$L$800,503+AQ$3,2+AQ$2)&lt;&gt;"",INDEX('×入力'!$A$1:$L$800,502,2+AQ$2)&lt;&gt;"",INDEX('×入力'!$A$1:$L$800,503+AQ$3,1)&lt;&gt;""),1,0),0)</f>
        <v/>
      </c>
      <c r="AR41">
        <f>IF(AR$4=1,IF(OR(INDEX('×入力'!$A$1:$L$800,503+AR$3,2+AR$2)&lt;&gt;"",INDEX('×入力'!$A$1:$L$800,502,2+AR$2)&lt;&gt;"",INDEX('×入力'!$A$1:$L$800,503+AR$3,1)&lt;&gt;""),1,0),0)</f>
        <v/>
      </c>
      <c r="AS41">
        <f>IF(AS$4=1,IF(OR(INDEX('×入力'!$A$1:$L$800,503+AS$3,2+AS$2)&lt;&gt;"",INDEX('×入力'!$A$1:$L$800,502,2+AS$2)&lt;&gt;"",INDEX('×入力'!$A$1:$L$800,503+AS$3,1)&lt;&gt;""),1,0),0)</f>
        <v/>
      </c>
      <c r="AT41">
        <f>IF(AT$4=1,IF(OR(INDEX('×入力'!$A$1:$L$800,503+AT$3,2+AT$2)&lt;&gt;"",INDEX('×入力'!$A$1:$L$800,502,2+AT$2)&lt;&gt;"",INDEX('×入力'!$A$1:$L$800,503+AT$3,1)&lt;&gt;""),1,0),0)</f>
        <v/>
      </c>
      <c r="AU41">
        <f>IF(AU$4=1,IF(OR(INDEX('×入力'!$A$1:$L$800,503+AU$3,2+AU$2)&lt;&gt;"",INDEX('×入力'!$A$1:$L$800,502,2+AU$2)&lt;&gt;"",INDEX('×入力'!$A$1:$L$800,503+AU$3,1)&lt;&gt;""),1,0),0)</f>
        <v/>
      </c>
      <c r="AV41">
        <f>IF(AV$4=1,IF(OR(INDEX('×入力'!$A$1:$L$800,503+AV$3,2+AV$2)&lt;&gt;"",INDEX('×入力'!$A$1:$L$800,502,2+AV$2)&lt;&gt;"",INDEX('×入力'!$A$1:$L$800,503+AV$3,1)&lt;&gt;""),1,0),0)</f>
        <v/>
      </c>
      <c r="AW41">
        <f>IF(AW$4=1,IF(OR(INDEX('×入力'!$A$1:$L$800,503+AW$3,2+AW$2)&lt;&gt;"",INDEX('×入力'!$A$1:$L$800,502,2+AW$2)&lt;&gt;"",INDEX('×入力'!$A$1:$L$800,503+AW$3,1)&lt;&gt;""),1,0),0)</f>
        <v/>
      </c>
      <c r="AX41">
        <f>IF(AX$4=1,IF(OR(INDEX('×入力'!$A$1:$L$800,503+AX$3,2+AX$2)&lt;&gt;"",INDEX('×入力'!$A$1:$L$800,502,2+AX$2)&lt;&gt;"",INDEX('×入力'!$A$1:$L$800,503+AX$3,1)&lt;&gt;""),1,0),0)</f>
        <v/>
      </c>
      <c r="AY41">
        <f>IF(AY$4=1,IF(OR(INDEX('×入力'!$A$1:$L$800,503+AY$3,2+AY$2)&lt;&gt;"",INDEX('×入力'!$A$1:$L$800,502,2+AY$2)&lt;&gt;"",INDEX('×入力'!$A$1:$L$800,503+AY$3,1)&lt;&gt;""),1,0),0)</f>
        <v/>
      </c>
      <c r="AZ41">
        <f>IF(AZ$4=1,IF(OR(INDEX('×入力'!$A$1:$L$800,503+AZ$3,2+AZ$2)&lt;&gt;"",INDEX('×入力'!$A$1:$L$800,502,2+AZ$2)&lt;&gt;"",INDEX('×入力'!$A$1:$L$800,503+AZ$3,1)&lt;&gt;""),1,0),0)</f>
        <v/>
      </c>
      <c r="BA41">
        <f>IF(BA$4=1,IF(OR(INDEX('×入力'!$A$1:$L$800,503+BA$3,2+BA$2)&lt;&gt;"",INDEX('×入力'!$A$1:$L$800,502,2+BA$2)&lt;&gt;"",INDEX('×入力'!$A$1:$L$800,503+BA$3,1)&lt;&gt;""),1,0),0)</f>
        <v/>
      </c>
      <c r="BB41">
        <f>IF(BB$4=1,IF(OR(INDEX('×入力'!$A$1:$L$800,503+BB$3,2+BB$2)&lt;&gt;"",INDEX('×入力'!$A$1:$L$800,502,2+BB$2)&lt;&gt;"",INDEX('×入力'!$A$1:$L$800,503+BB$3,1)&lt;&gt;""),1,0),0)</f>
        <v/>
      </c>
      <c r="BC41">
        <f>IF(BC$4=1,IF(OR(INDEX('×入力'!$A$1:$L$800,503+BC$3,2+BC$2)&lt;&gt;"",INDEX('×入力'!$A$1:$L$800,502,2+BC$2)&lt;&gt;"",INDEX('×入力'!$A$1:$L$800,503+BC$3,1)&lt;&gt;""),1,0),0)</f>
        <v/>
      </c>
      <c r="BD41">
        <f>IF(BD$4=1,IF(OR(INDEX('×入力'!$A$1:$L$800,503+BD$3,2+BD$2)&lt;&gt;"",INDEX('×入力'!$A$1:$L$800,502,2+BD$2)&lt;&gt;"",INDEX('×入力'!$A$1:$L$800,503+BD$3,1)&lt;&gt;""),1,0),0)</f>
        <v/>
      </c>
      <c r="BE41">
        <f>IF(BE$4=1,IF(OR(INDEX('×入力'!$A$1:$L$800,503+BE$3,2+BE$2)&lt;&gt;"",INDEX('×入力'!$A$1:$L$800,502,2+BE$2)&lt;&gt;"",INDEX('×入力'!$A$1:$L$800,503+BE$3,1)&lt;&gt;""),1,0),0)</f>
        <v/>
      </c>
      <c r="BF41">
        <f>IF(BF$4=1,IF(OR(INDEX('×入力'!$A$1:$L$800,503+BF$3,2+BF$2)&lt;&gt;"",INDEX('×入力'!$A$1:$L$800,502,2+BF$2)&lt;&gt;"",INDEX('×入力'!$A$1:$L$800,503+BF$3,1)&lt;&gt;""),1,0),0)</f>
        <v/>
      </c>
      <c r="BG41">
        <f>IF(BG$4=1,IF(OR(INDEX('×入力'!$A$1:$L$800,503+BG$3,2+BG$2)&lt;&gt;"",INDEX('×入力'!$A$1:$L$800,502,2+BG$2)&lt;&gt;"",INDEX('×入力'!$A$1:$L$800,503+BG$3,1)&lt;&gt;""),1,0),0)</f>
        <v/>
      </c>
      <c r="BH41">
        <f>IF(BH$4=1,IF(OR(INDEX('×入力'!$A$1:$L$800,503+BH$3,2+BH$2)&lt;&gt;"",INDEX('×入力'!$A$1:$L$800,502,2+BH$2)&lt;&gt;"",INDEX('×入力'!$A$1:$L$800,503+BH$3,1)&lt;&gt;""),1,0),0)</f>
        <v/>
      </c>
      <c r="BI41">
        <f>IF(BI$4=1,IF(OR(INDEX('×入力'!$A$1:$L$800,503+BI$3,2+BI$2)&lt;&gt;"",INDEX('×入力'!$A$1:$L$800,502,2+BI$2)&lt;&gt;"",INDEX('×入力'!$A$1:$L$800,503+BI$3,1)&lt;&gt;""),1,0),0)</f>
        <v/>
      </c>
      <c r="BJ41">
        <f>IF(BJ$4=1,IF(OR(INDEX('×入力'!$A$1:$L$800,503+BJ$3,2+BJ$2)&lt;&gt;"",INDEX('×入力'!$A$1:$L$800,502,2+BJ$2)&lt;&gt;"",INDEX('×入力'!$A$1:$L$800,503+BJ$3,1)&lt;&gt;""),1,0),0)</f>
        <v/>
      </c>
      <c r="BK41">
        <f>IF(BK$4=1,IF(OR(INDEX('×入力'!$A$1:$L$800,503+BK$3,2+BK$2)&lt;&gt;"",INDEX('×入力'!$A$1:$L$800,502,2+BK$2)&lt;&gt;"",INDEX('×入力'!$A$1:$L$800,503+BK$3,1)&lt;&gt;""),1,0),0)</f>
        <v/>
      </c>
      <c r="BL41">
        <f>IF(BL$4=1,IF(OR(INDEX('×入力'!$A$1:$L$800,503+BL$3,2+BL$2)&lt;&gt;"",INDEX('×入力'!$A$1:$L$800,502,2+BL$2)&lt;&gt;"",INDEX('×入力'!$A$1:$L$800,503+BL$3,1)&lt;&gt;""),1,0),0)</f>
        <v/>
      </c>
      <c r="BM41">
        <f>IF(BM$4=1,IF(OR(INDEX('×入力'!$A$1:$L$800,503+BM$3,2+BM$2)&lt;&gt;"",INDEX('×入力'!$A$1:$L$800,502,2+BM$2)&lt;&gt;"",INDEX('×入力'!$A$1:$L$800,503+BM$3,1)&lt;&gt;""),1,0),0)</f>
        <v/>
      </c>
      <c r="BN41">
        <f>IF(BN$4=1,IF(OR(INDEX('×入力'!$A$1:$L$800,503+BN$3,2+BN$2)&lt;&gt;"",INDEX('×入力'!$A$1:$L$800,502,2+BN$2)&lt;&gt;"",INDEX('×入力'!$A$1:$L$800,503+BN$3,1)&lt;&gt;""),1,0),0)</f>
        <v/>
      </c>
      <c r="BO41">
        <f>IF(BO$4=1,IF(OR(INDEX('×入力'!$A$1:$L$800,503+BO$3,2+BO$2)&lt;&gt;"",INDEX('×入力'!$A$1:$L$800,502,2+BO$2)&lt;&gt;"",INDEX('×入力'!$A$1:$L$800,503+BO$3,1)&lt;&gt;""),1,0),0)</f>
        <v/>
      </c>
      <c r="BP41">
        <f>IF(BP$4=1,IF(OR(INDEX('×入力'!$A$1:$L$800,503+BP$3,2+BP$2)&lt;&gt;"",INDEX('×入力'!$A$1:$L$800,502,2+BP$2)&lt;&gt;"",INDEX('×入力'!$A$1:$L$800,503+BP$3,1)&lt;&gt;""),1,0),0)</f>
        <v/>
      </c>
      <c r="BQ41">
        <f>IF(BQ$4=1,IF(OR(INDEX('×入力'!$A$1:$L$800,503+BQ$3,2+BQ$2)&lt;&gt;"",INDEX('×入力'!$A$1:$L$800,502,2+BQ$2)&lt;&gt;"",INDEX('×入力'!$A$1:$L$800,503+BQ$3,1)&lt;&gt;""),1,0),0)</f>
        <v/>
      </c>
      <c r="BR41">
        <f>IF(BR$4=1,IF(OR(INDEX('×入力'!$A$1:$L$800,503+BR$3,2+BR$2)&lt;&gt;"",INDEX('×入力'!$A$1:$L$800,502,2+BR$2)&lt;&gt;"",INDEX('×入力'!$A$1:$L$800,503+BR$3,1)&lt;&gt;""),1,0),0)</f>
        <v/>
      </c>
      <c r="BS41">
        <f>IF(BS$4=1,IF(OR(INDEX('×入力'!$A$1:$L$800,503+BS$3,2+BS$2)&lt;&gt;"",INDEX('×入力'!$A$1:$L$800,502,2+BS$2)&lt;&gt;"",INDEX('×入力'!$A$1:$L$800,503+BS$3,1)&lt;&gt;""),1,0),0)</f>
        <v/>
      </c>
      <c r="BT41">
        <f>IF(BT$4=1,IF(OR(INDEX('×入力'!$A$1:$L$800,503+BT$3,2+BT$2)&lt;&gt;"",INDEX('×入力'!$A$1:$L$800,502,2+BT$2)&lt;&gt;"",INDEX('×入力'!$A$1:$L$800,503+BT$3,1)&lt;&gt;""),1,0),0)</f>
        <v/>
      </c>
      <c r="BU41">
        <f>IF(BU$4=1,IF(OR(INDEX('×入力'!$A$1:$L$800,503+BU$3,2+BU$2)&lt;&gt;"",INDEX('×入力'!$A$1:$L$800,502,2+BU$2)&lt;&gt;"",INDEX('×入力'!$A$1:$L$800,503+BU$3,1)&lt;&gt;""),1,0),0)</f>
        <v/>
      </c>
      <c r="BV41">
        <f>IF(BV$4=1,IF(OR(INDEX('×入力'!$A$1:$L$800,503+BV$3,2+BV$2)&lt;&gt;"",INDEX('×入力'!$A$1:$L$800,502,2+BV$2)&lt;&gt;"",INDEX('×入力'!$A$1:$L$800,503+BV$3,1)&lt;&gt;""),1,0),0)</f>
        <v/>
      </c>
      <c r="BW41">
        <f>IF(BW$4=1,IF(OR(INDEX('×入力'!$A$1:$L$800,503+BW$3,2+BW$2)&lt;&gt;"",INDEX('×入力'!$A$1:$L$800,502,2+BW$2)&lt;&gt;"",INDEX('×入力'!$A$1:$L$800,503+BW$3,1)&lt;&gt;""),1,0),0)</f>
        <v/>
      </c>
      <c r="BX41">
        <f>IF(BX$4=1,IF(OR(INDEX('×入力'!$A$1:$L$800,503+BX$3,2+BX$2)&lt;&gt;"",INDEX('×入力'!$A$1:$L$800,502,2+BX$2)&lt;&gt;"",INDEX('×入力'!$A$1:$L$800,503+BX$3,1)&lt;&gt;""),1,0),0)</f>
        <v/>
      </c>
      <c r="BY41">
        <f>IF(BY$4=1,IF(OR(INDEX('×入力'!$A$1:$L$800,503+BY$3,2+BY$2)&lt;&gt;"",INDEX('×入力'!$A$1:$L$800,502,2+BY$2)&lt;&gt;"",INDEX('×入力'!$A$1:$L$800,503+BY$3,1)&lt;&gt;""),1,0),0)</f>
        <v/>
      </c>
      <c r="BZ41">
        <f>IF(BZ$4=1,IF(OR(INDEX('×入力'!$A$1:$L$800,503+BZ$3,2+BZ$2)&lt;&gt;"",INDEX('×入力'!$A$1:$L$800,502,2+BZ$2)&lt;&gt;"",INDEX('×入力'!$A$1:$L$800,503+BZ$3,1)&lt;&gt;""),1,0),0)</f>
        <v/>
      </c>
      <c r="CA41">
        <f>IF(CA$4=1,IF(OR(INDEX('×入力'!$A$1:$L$800,503+CA$3,2+CA$2)&lt;&gt;"",INDEX('×入力'!$A$1:$L$800,502,2+CA$2)&lt;&gt;"",INDEX('×入力'!$A$1:$L$800,503+CA$3,1)&lt;&gt;""),1,0),0)</f>
        <v/>
      </c>
      <c r="CB41">
        <f>IF(CB$4=1,IF(OR(INDEX('×入力'!$A$1:$L$800,503+CB$3,2+CB$2)&lt;&gt;"",INDEX('×入力'!$A$1:$L$800,502,2+CB$2)&lt;&gt;"",INDEX('×入力'!$A$1:$L$800,503+CB$3,1)&lt;&gt;""),1,0),0)</f>
        <v/>
      </c>
      <c r="CC41">
        <f>IF(CC$4=1,IF(OR(INDEX('×入力'!$A$1:$L$800,503+CC$3,2+CC$2)&lt;&gt;"",INDEX('×入力'!$A$1:$L$800,502,2+CC$2)&lt;&gt;"",INDEX('×入力'!$A$1:$L$800,503+CC$3,1)&lt;&gt;""),1,0),0)</f>
        <v/>
      </c>
      <c r="CD41">
        <f>IF(CD$4=1,IF(OR(INDEX('×入力'!$A$1:$L$800,503+CD$3,2+CD$2)&lt;&gt;"",INDEX('×入力'!$A$1:$L$800,502,2+CD$2)&lt;&gt;"",INDEX('×入力'!$A$1:$L$800,503+CD$3,1)&lt;&gt;""),1,0),0)</f>
        <v/>
      </c>
      <c r="CE41">
        <f>IF(CE$4=1,IF(OR(INDEX('×入力'!$A$1:$L$800,503+CE$3,2+CE$2)&lt;&gt;"",INDEX('×入力'!$A$1:$L$800,502,2+CE$2)&lt;&gt;"",INDEX('×入力'!$A$1:$L$800,503+CE$3,1)&lt;&gt;""),1,0),0)</f>
        <v/>
      </c>
      <c r="CF41">
        <f>IF(CF$4=1,IF(OR(INDEX('×入力'!$A$1:$L$800,503+CF$3,2+CF$2)&lt;&gt;"",INDEX('×入力'!$A$1:$L$800,502,2+CF$2)&lt;&gt;"",INDEX('×入力'!$A$1:$L$800,503+CF$3,1)&lt;&gt;""),1,0),0)</f>
        <v/>
      </c>
      <c r="CG41">
        <f>IF(CG$4=1,IF(OR(INDEX('×入力'!$A$1:$L$800,503+CG$3,2+CG$2)&lt;&gt;"",INDEX('×入力'!$A$1:$L$800,502,2+CG$2)&lt;&gt;"",INDEX('×入力'!$A$1:$L$800,503+CG$3,1)&lt;&gt;""),1,0),0)</f>
        <v/>
      </c>
      <c r="CH41">
        <f>IF(CH$4=1,IF(OR(INDEX('×入力'!$A$1:$L$800,503+CH$3,2+CH$2)&lt;&gt;"",INDEX('×入力'!$A$1:$L$800,502,2+CH$2)&lt;&gt;"",INDEX('×入力'!$A$1:$L$800,503+CH$3,1)&lt;&gt;""),1,0),0)</f>
        <v/>
      </c>
      <c r="CI41">
        <f>IF(CI$4=1,IF(OR(INDEX('×入力'!$A$1:$L$800,503+CI$3,2+CI$2)&lt;&gt;"",INDEX('×入力'!$A$1:$L$800,502,2+CI$2)&lt;&gt;"",INDEX('×入力'!$A$1:$L$800,503+CI$3,1)&lt;&gt;""),1,0),0)</f>
        <v/>
      </c>
      <c r="CJ41">
        <f>IF(CJ$4=1,IF(OR(INDEX('×入力'!$A$1:$L$800,503+CJ$3,2+CJ$2)&lt;&gt;"",INDEX('×入力'!$A$1:$L$800,502,2+CJ$2)&lt;&gt;"",INDEX('×入力'!$A$1:$L$800,503+CJ$3,1)&lt;&gt;""),1,0),0)</f>
        <v/>
      </c>
      <c r="CK41">
        <f>IF(CK$4=1,IF(OR(INDEX('×入力'!$A$1:$L$800,503+CK$3,2+CK$2)&lt;&gt;"",INDEX('×入力'!$A$1:$L$800,502,2+CK$2)&lt;&gt;"",INDEX('×入力'!$A$1:$L$800,503+CK$3,1)&lt;&gt;""),1,0),0)</f>
        <v/>
      </c>
      <c r="CL41">
        <f>IF(CL$4=1,IF(OR(INDEX('×入力'!$A$1:$L$800,503+CL$3,2+CL$2)&lt;&gt;"",INDEX('×入力'!$A$1:$L$800,502,2+CL$2)&lt;&gt;"",INDEX('×入力'!$A$1:$L$800,503+CL$3,1)&lt;&gt;""),1,0),0)</f>
        <v/>
      </c>
      <c r="CM41">
        <f>IF(CM$4=1,IF(OR(INDEX('×入力'!$A$1:$L$800,503+CM$3,2+CM$2)&lt;&gt;"",INDEX('×入力'!$A$1:$L$800,502,2+CM$2)&lt;&gt;"",INDEX('×入力'!$A$1:$L$800,503+CM$3,1)&lt;&gt;""),1,0),0)</f>
        <v/>
      </c>
      <c r="CN41">
        <f>IF(CN$4=1,IF(OR(INDEX('×入力'!$A$1:$L$800,503+CN$3,2+CN$2)&lt;&gt;"",INDEX('×入力'!$A$1:$L$800,502,2+CN$2)&lt;&gt;"",INDEX('×入力'!$A$1:$L$800,503+CN$3,1)&lt;&gt;""),1,0),0)</f>
        <v/>
      </c>
      <c r="CO41">
        <f>IF(CO$4=1,IF(OR(INDEX('×入力'!$A$1:$L$800,503+CO$3,2+CO$2)&lt;&gt;"",INDEX('×入力'!$A$1:$L$800,502,2+CO$2)&lt;&gt;"",INDEX('×入力'!$A$1:$L$800,503+CO$3,1)&lt;&gt;""),1,0),0)</f>
        <v/>
      </c>
      <c r="CP41">
        <f>IF(CP$4=1,IF(OR(INDEX('×入力'!$A$1:$L$800,503+CP$3,2+CP$2)&lt;&gt;"",INDEX('×入力'!$A$1:$L$800,502,2+CP$2)&lt;&gt;"",INDEX('×入力'!$A$1:$L$800,503+CP$3,1)&lt;&gt;""),1,0),0)</f>
        <v/>
      </c>
      <c r="CQ41">
        <f>IF(CQ$4=1,IF(OR(INDEX('×入力'!$A$1:$L$800,503+CQ$3,2+CQ$2)&lt;&gt;"",INDEX('×入力'!$A$1:$L$800,502,2+CQ$2)&lt;&gt;"",INDEX('×入力'!$A$1:$L$800,503+CQ$3,1)&lt;&gt;""),1,0),0)</f>
        <v/>
      </c>
      <c r="CR41">
        <f>IF(CR$4=1,IF(OR(INDEX('×入力'!$A$1:$L$800,503+CR$3,2+CR$2)&lt;&gt;"",INDEX('×入力'!$A$1:$L$800,502,2+CR$2)&lt;&gt;"",INDEX('×入力'!$A$1:$L$800,503+CR$3,1)&lt;&gt;""),1,0),0)</f>
        <v/>
      </c>
      <c r="CS41">
        <f>IF(CS$4=1,IF(OR(INDEX('×入力'!$A$1:$L$800,503+CS$3,2+CS$2)&lt;&gt;"",INDEX('×入力'!$A$1:$L$800,502,2+CS$2)&lt;&gt;"",INDEX('×入力'!$A$1:$L$800,503+CS$3,1)&lt;&gt;""),1,0),0)</f>
        <v/>
      </c>
      <c r="CT41">
        <f>IF(CT$4=1,IF(OR(INDEX('×入力'!$A$1:$L$800,503+CT$3,2+CT$2)&lt;&gt;"",INDEX('×入力'!$A$1:$L$800,502,2+CT$2)&lt;&gt;"",INDEX('×入力'!$A$1:$L$800,503+CT$3,1)&lt;&gt;""),1,0),0)</f>
        <v/>
      </c>
      <c r="CU41">
        <f>IF(CU$4=1,IF(OR(INDEX('×入力'!$A$1:$L$800,503+CU$3,2+CU$2)&lt;&gt;"",INDEX('×入力'!$A$1:$L$800,502,2+CU$2)&lt;&gt;"",INDEX('×入力'!$A$1:$L$800,503+CU$3,1)&lt;&gt;""),1,0),0)</f>
        <v/>
      </c>
      <c r="CV41">
        <f>IF(CV$4=1,IF(OR(INDEX('×入力'!$A$1:$L$800,503+CV$3,2+CV$2)&lt;&gt;"",INDEX('×入力'!$A$1:$L$800,502,2+CV$2)&lt;&gt;"",INDEX('×入力'!$A$1:$L$800,503+CV$3,1)&lt;&gt;""),1,0),0)</f>
        <v/>
      </c>
      <c r="CW41">
        <f>IF(CW$4=1,IF(OR(INDEX('×入力'!$A$1:$L$800,503+CW$3,2+CW$2)&lt;&gt;"",INDEX('×入力'!$A$1:$L$800,502,2+CW$2)&lt;&gt;"",INDEX('×入力'!$A$1:$L$800,503+CW$3,1)&lt;&gt;""),1,0),0)</f>
        <v/>
      </c>
      <c r="CX41">
        <f>IF(CX$4=1,IF(OR(INDEX('×入力'!$A$1:$L$800,503+CX$3,2+CX$2)&lt;&gt;"",INDEX('×入力'!$A$1:$L$800,502,2+CX$2)&lt;&gt;"",INDEX('×入力'!$A$1:$L$800,503+CX$3,1)&lt;&gt;""),1,0),0)</f>
        <v/>
      </c>
      <c r="CY41">
        <f>IF(CY$4=1,IF(OR(INDEX('×入力'!$A$1:$L$800,503+CY$3,2+CY$2)&lt;&gt;"",INDEX('×入力'!$A$1:$L$800,502,2+CY$2)&lt;&gt;"",INDEX('×入力'!$A$1:$L$800,503+CY$3,1)&lt;&gt;""),1,0),0)</f>
        <v/>
      </c>
      <c r="CZ41">
        <f>IF(CZ$4=1,IF(OR(INDEX('×入力'!$A$1:$L$800,503+CZ$3,2+CZ$2)&lt;&gt;"",INDEX('×入力'!$A$1:$L$800,502,2+CZ$2)&lt;&gt;"",INDEX('×入力'!$A$1:$L$800,503+CZ$3,1)&lt;&gt;""),1,0),0)</f>
        <v/>
      </c>
      <c r="DA41">
        <f>IF(DA$4=1,IF(OR(INDEX('×入力'!$A$1:$L$800,503+DA$3,2+DA$2)&lt;&gt;"",INDEX('×入力'!$A$1:$L$800,502,2+DA$2)&lt;&gt;"",INDEX('×入力'!$A$1:$L$800,503+DA$3,1)&lt;&gt;""),1,0),0)</f>
        <v/>
      </c>
      <c r="DB41">
        <f>IF(DB$4=1,IF(OR(INDEX('×入力'!$A$1:$L$800,503+DB$3,2+DB$2)&lt;&gt;"",INDEX('×入力'!$A$1:$L$800,502,2+DB$2)&lt;&gt;"",INDEX('×入力'!$A$1:$L$800,503+DB$3,1)&lt;&gt;""),1,0),0)</f>
        <v/>
      </c>
      <c r="DC41">
        <f>IF(DC$4=1,IF(OR(INDEX('×入力'!$A$1:$L$800,503+DC$3,2+DC$2)&lt;&gt;"",INDEX('×入力'!$A$1:$L$800,502,2+DC$2)&lt;&gt;"",INDEX('×入力'!$A$1:$L$800,503+DC$3,1)&lt;&gt;""),1,0),0)</f>
        <v/>
      </c>
      <c r="DD41">
        <f>IF(DD$4=1,IF(OR(INDEX('×入力'!$A$1:$L$800,503+DD$3,2+DD$2)&lt;&gt;"",INDEX('×入力'!$A$1:$L$800,502,2+DD$2)&lt;&gt;"",INDEX('×入力'!$A$1:$L$800,503+DD$3,1)&lt;&gt;""),1,0),0)</f>
        <v/>
      </c>
      <c r="DE41">
        <f>IF(DE$4=1,IF(OR(INDEX('×入力'!$A$1:$L$800,503+DE$3,2+DE$2)&lt;&gt;"",INDEX('×入力'!$A$1:$L$800,502,2+DE$2)&lt;&gt;"",INDEX('×入力'!$A$1:$L$800,503+DE$3,1)&lt;&gt;""),1,0),0)</f>
        <v/>
      </c>
      <c r="DF41">
        <f>IF(DF$4=1,IF(OR(INDEX('×入力'!$A$1:$L$800,503+DF$3,2+DF$2)&lt;&gt;"",INDEX('×入力'!$A$1:$L$800,502,2+DF$2)&lt;&gt;"",INDEX('×入力'!$A$1:$L$800,503+DF$3,1)&lt;&gt;""),1,0),0)</f>
        <v/>
      </c>
      <c r="DG41">
        <f>IF(DG$4=1,IF(OR(INDEX('×入力'!$A$1:$L$800,503+DG$3,2+DG$2)&lt;&gt;"",INDEX('×入力'!$A$1:$L$800,502,2+DG$2)&lt;&gt;"",INDEX('×入力'!$A$1:$L$800,503+DG$3,1)&lt;&gt;""),1,0),0)</f>
        <v/>
      </c>
      <c r="DH41">
        <f>IF(DH$4=1,IF(OR(INDEX('×入力'!$A$1:$L$800,503+DH$3,2+DH$2)&lt;&gt;"",INDEX('×入力'!$A$1:$L$800,502,2+DH$2)&lt;&gt;"",INDEX('×入力'!$A$1:$L$800,503+DH$3,1)&lt;&gt;""),1,0),0)</f>
        <v/>
      </c>
      <c r="DI41">
        <f>IF(DI$4=1,IF(OR(INDEX('×入力'!$A$1:$L$800,503+DI$3,2+DI$2)&lt;&gt;"",INDEX('×入力'!$A$1:$L$800,502,2+DI$2)&lt;&gt;"",INDEX('×入力'!$A$1:$L$800,503+DI$3,1)&lt;&gt;""),1,0),0)</f>
        <v/>
      </c>
      <c r="DJ41">
        <f>IF(DJ$4=1,IF(OR(INDEX('×入力'!$A$1:$L$800,503+DJ$3,2+DJ$2)&lt;&gt;"",INDEX('×入力'!$A$1:$L$800,502,2+DJ$2)&lt;&gt;"",INDEX('×入力'!$A$1:$L$800,503+DJ$3,1)&lt;&gt;""),1,0),0)</f>
        <v/>
      </c>
      <c r="DK41">
        <f>IF(DK$4=1,IF(OR(INDEX('×入力'!$A$1:$L$800,503+DK$3,2+DK$2)&lt;&gt;"",INDEX('×入力'!$A$1:$L$800,502,2+DK$2)&lt;&gt;"",INDEX('×入力'!$A$1:$L$800,503+DK$3,1)&lt;&gt;""),1,0),0)</f>
        <v/>
      </c>
      <c r="DL41">
        <f>IF(DL$4=1,IF(OR(INDEX('×入力'!$A$1:$L$800,503+DL$3,2+DL$2)&lt;&gt;"",INDEX('×入力'!$A$1:$L$800,502,2+DL$2)&lt;&gt;"",INDEX('×入力'!$A$1:$L$800,503+DL$3,1)&lt;&gt;""),1,0),0)</f>
        <v/>
      </c>
      <c r="DM41">
        <f>IF(DM$4=1,IF(OR(INDEX('×入力'!$A$1:$L$800,503+DM$3,2+DM$2)&lt;&gt;"",INDEX('×入力'!$A$1:$L$800,502,2+DM$2)&lt;&gt;"",INDEX('×入力'!$A$1:$L$800,503+DM$3,1)&lt;&gt;""),1,0),0)</f>
        <v/>
      </c>
      <c r="DN41">
        <f>IF(DN$4=1,IF(OR(INDEX('×入力'!$A$1:$L$800,503+DN$3,2+DN$2)&lt;&gt;"",INDEX('×入力'!$A$1:$L$800,502,2+DN$2)&lt;&gt;"",INDEX('×入力'!$A$1:$L$800,503+DN$3,1)&lt;&gt;""),1,0),0)</f>
        <v/>
      </c>
      <c r="DO41">
        <f>IF(DO$4=1,IF(OR(INDEX('×入力'!$A$1:$L$800,503+DO$3,2+DO$2)&lt;&gt;"",INDEX('×入力'!$A$1:$L$800,502,2+DO$2)&lt;&gt;"",INDEX('×入力'!$A$1:$L$800,503+DO$3,1)&lt;&gt;""),1,0),0)</f>
        <v/>
      </c>
      <c r="DP41">
        <f>IF(DP$4=1,IF(OR(INDEX('×入力'!$A$1:$L$800,503+DP$3,2+DP$2)&lt;&gt;"",INDEX('×入力'!$A$1:$L$800,502,2+DP$2)&lt;&gt;"",INDEX('×入力'!$A$1:$L$800,503+DP$3,1)&lt;&gt;""),1,0),0)</f>
        <v/>
      </c>
      <c r="DQ41">
        <f>IF(DQ$4=1,IF(OR(INDEX('×入力'!$A$1:$L$800,503+DQ$3,2+DQ$2)&lt;&gt;"",INDEX('×入力'!$A$1:$L$800,502,2+DQ$2)&lt;&gt;"",INDEX('×入力'!$A$1:$L$800,503+DQ$3,1)&lt;&gt;""),1,0),0)</f>
        <v/>
      </c>
      <c r="DR41">
        <f>IF(DR$4=1,IF(OR(INDEX('×入力'!$A$1:$L$800,503+DR$3,2+DR$2)&lt;&gt;"",INDEX('×入力'!$A$1:$L$800,502,2+DR$2)&lt;&gt;"",INDEX('×入力'!$A$1:$L$800,503+DR$3,1)&lt;&gt;""),1,0),0)</f>
        <v/>
      </c>
      <c r="DS41">
        <f>IF(DS$4=1,IF(OR(INDEX('×入力'!$A$1:$L$800,503+DS$3,2+DS$2)&lt;&gt;"",INDEX('×入力'!$A$1:$L$800,502,2+DS$2)&lt;&gt;"",INDEX('×入力'!$A$1:$L$800,503+DS$3,1)&lt;&gt;""),1,0),0)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IF(D$4=1,IF(OR(INDEX('×入力'!$A$1:$L$800,519+D$3,2+D$2)&lt;&gt;"",INDEX('×入力'!$A$1:$L$800,518,2+D$2)&lt;&gt;"",INDEX('×入力'!$A$1:$L$800,519+D$3,1)&lt;&gt;""),1,0),0)</f>
        <v/>
      </c>
      <c r="E42">
        <f>IF(E$4=1,IF(OR(INDEX('×入力'!$A$1:$L$800,519+E$3,2+E$2)&lt;&gt;"",INDEX('×入力'!$A$1:$L$800,518,2+E$2)&lt;&gt;"",INDEX('×入力'!$A$1:$L$800,519+E$3,1)&lt;&gt;""),1,0),0)</f>
        <v/>
      </c>
      <c r="F42">
        <f>IF(F$4=1,IF(OR(INDEX('×入力'!$A$1:$L$800,519+F$3,2+F$2)&lt;&gt;"",INDEX('×入力'!$A$1:$L$800,518,2+F$2)&lt;&gt;"",INDEX('×入力'!$A$1:$L$800,519+F$3,1)&lt;&gt;""),1,0),0)</f>
        <v/>
      </c>
      <c r="G42">
        <f>IF(G$4=1,IF(OR(INDEX('×入力'!$A$1:$L$800,519+G$3,2+G$2)&lt;&gt;"",INDEX('×入力'!$A$1:$L$800,518,2+G$2)&lt;&gt;"",INDEX('×入力'!$A$1:$L$800,519+G$3,1)&lt;&gt;""),1,0),0)</f>
        <v/>
      </c>
      <c r="H42">
        <f>IF(H$4=1,IF(OR(INDEX('×入力'!$A$1:$L$800,519+H$3,2+H$2)&lt;&gt;"",INDEX('×入力'!$A$1:$L$800,518,2+H$2)&lt;&gt;"",INDEX('×入力'!$A$1:$L$800,519+H$3,1)&lt;&gt;""),1,0),0)</f>
        <v/>
      </c>
      <c r="I42">
        <f>IF(I$4=1,IF(OR(INDEX('×入力'!$A$1:$L$800,519+I$3,2+I$2)&lt;&gt;"",INDEX('×入力'!$A$1:$L$800,518,2+I$2)&lt;&gt;"",INDEX('×入力'!$A$1:$L$800,519+I$3,1)&lt;&gt;""),1,0),0)</f>
        <v/>
      </c>
      <c r="J42">
        <f>IF(J$4=1,IF(OR(INDEX('×入力'!$A$1:$L$800,519+J$3,2+J$2)&lt;&gt;"",INDEX('×入力'!$A$1:$L$800,518,2+J$2)&lt;&gt;"",INDEX('×入力'!$A$1:$L$800,519+J$3,1)&lt;&gt;""),1,0),0)</f>
        <v/>
      </c>
      <c r="K42">
        <f>IF(K$4=1,IF(OR(INDEX('×入力'!$A$1:$L$800,519+K$3,2+K$2)&lt;&gt;"",INDEX('×入力'!$A$1:$L$800,518,2+K$2)&lt;&gt;"",INDEX('×入力'!$A$1:$L$800,519+K$3,1)&lt;&gt;""),1,0),0)</f>
        <v/>
      </c>
      <c r="L42">
        <f>IF(L$4=1,IF(OR(INDEX('×入力'!$A$1:$L$800,519+L$3,2+L$2)&lt;&gt;"",INDEX('×入力'!$A$1:$L$800,518,2+L$2)&lt;&gt;"",INDEX('×入力'!$A$1:$L$800,519+L$3,1)&lt;&gt;""),1,0),0)</f>
        <v/>
      </c>
      <c r="M42">
        <f>IF(M$4=1,IF(OR(INDEX('×入力'!$A$1:$L$800,519+M$3,2+M$2)&lt;&gt;"",INDEX('×入力'!$A$1:$L$800,518,2+M$2)&lt;&gt;"",INDEX('×入力'!$A$1:$L$800,519+M$3,1)&lt;&gt;""),1,0),0)</f>
        <v/>
      </c>
      <c r="N42">
        <f>IF(N$4=1,IF(OR(INDEX('×入力'!$A$1:$L$800,519+N$3,2+N$2)&lt;&gt;"",INDEX('×入力'!$A$1:$L$800,518,2+N$2)&lt;&gt;"",INDEX('×入力'!$A$1:$L$800,519+N$3,1)&lt;&gt;""),1,0),0)</f>
        <v/>
      </c>
      <c r="O42">
        <f>IF(O$4=1,IF(OR(INDEX('×入力'!$A$1:$L$800,519+O$3,2+O$2)&lt;&gt;"",INDEX('×入力'!$A$1:$L$800,518,2+O$2)&lt;&gt;"",INDEX('×入力'!$A$1:$L$800,519+O$3,1)&lt;&gt;""),1,0),0)</f>
        <v/>
      </c>
      <c r="P42">
        <f>IF(P$4=1,IF(OR(INDEX('×入力'!$A$1:$L$800,519+P$3,2+P$2)&lt;&gt;"",INDEX('×入力'!$A$1:$L$800,518,2+P$2)&lt;&gt;"",INDEX('×入力'!$A$1:$L$800,519+P$3,1)&lt;&gt;""),1,0),0)</f>
        <v/>
      </c>
      <c r="Q42">
        <f>IF(Q$4=1,IF(OR(INDEX('×入力'!$A$1:$L$800,519+Q$3,2+Q$2)&lt;&gt;"",INDEX('×入力'!$A$1:$L$800,518,2+Q$2)&lt;&gt;"",INDEX('×入力'!$A$1:$L$800,519+Q$3,1)&lt;&gt;""),1,0),0)</f>
        <v/>
      </c>
      <c r="R42">
        <f>IF(R$4=1,IF(OR(INDEX('×入力'!$A$1:$L$800,519+R$3,2+R$2)&lt;&gt;"",INDEX('×入力'!$A$1:$L$800,518,2+R$2)&lt;&gt;"",INDEX('×入力'!$A$1:$L$800,519+R$3,1)&lt;&gt;""),1,0),0)</f>
        <v/>
      </c>
      <c r="S42">
        <f>IF(S$4=1,IF(OR(INDEX('×入力'!$A$1:$L$800,519+S$3,2+S$2)&lt;&gt;"",INDEX('×入力'!$A$1:$L$800,518,2+S$2)&lt;&gt;"",INDEX('×入力'!$A$1:$L$800,519+S$3,1)&lt;&gt;""),1,0),0)</f>
        <v/>
      </c>
      <c r="T42">
        <f>IF(T$4=1,IF(OR(INDEX('×入力'!$A$1:$L$800,519+T$3,2+T$2)&lt;&gt;"",INDEX('×入力'!$A$1:$L$800,518,2+T$2)&lt;&gt;"",INDEX('×入力'!$A$1:$L$800,519+T$3,1)&lt;&gt;""),1,0),0)</f>
        <v/>
      </c>
      <c r="U42">
        <f>IF(U$4=1,IF(OR(INDEX('×入力'!$A$1:$L$800,519+U$3,2+U$2)&lt;&gt;"",INDEX('×入力'!$A$1:$L$800,518,2+U$2)&lt;&gt;"",INDEX('×入力'!$A$1:$L$800,519+U$3,1)&lt;&gt;""),1,0),0)</f>
        <v/>
      </c>
      <c r="V42">
        <f>IF(V$4=1,IF(OR(INDEX('×入力'!$A$1:$L$800,519+V$3,2+V$2)&lt;&gt;"",INDEX('×入力'!$A$1:$L$800,518,2+V$2)&lt;&gt;"",INDEX('×入力'!$A$1:$L$800,519+V$3,1)&lt;&gt;""),1,0),0)</f>
        <v/>
      </c>
      <c r="W42">
        <f>IF(W$4=1,IF(OR(INDEX('×入力'!$A$1:$L$800,519+W$3,2+W$2)&lt;&gt;"",INDEX('×入力'!$A$1:$L$800,518,2+W$2)&lt;&gt;"",INDEX('×入力'!$A$1:$L$800,519+W$3,1)&lt;&gt;""),1,0),0)</f>
        <v/>
      </c>
      <c r="X42">
        <f>IF(X$4=1,IF(OR(INDEX('×入力'!$A$1:$L$800,519+X$3,2+X$2)&lt;&gt;"",INDEX('×入力'!$A$1:$L$800,518,2+X$2)&lt;&gt;"",INDEX('×入力'!$A$1:$L$800,519+X$3,1)&lt;&gt;""),1,0),0)</f>
        <v/>
      </c>
      <c r="Y42">
        <f>IF(Y$4=1,IF(OR(INDEX('×入力'!$A$1:$L$800,519+Y$3,2+Y$2)&lt;&gt;"",INDEX('×入力'!$A$1:$L$800,518,2+Y$2)&lt;&gt;"",INDEX('×入力'!$A$1:$L$800,519+Y$3,1)&lt;&gt;""),1,0),0)</f>
        <v/>
      </c>
      <c r="Z42">
        <f>IF(Z$4=1,IF(OR(INDEX('×入力'!$A$1:$L$800,519+Z$3,2+Z$2)&lt;&gt;"",INDEX('×入力'!$A$1:$L$800,518,2+Z$2)&lt;&gt;"",INDEX('×入力'!$A$1:$L$800,519+Z$3,1)&lt;&gt;""),1,0),0)</f>
        <v/>
      </c>
      <c r="AA42">
        <f>IF(AA$4=1,IF(OR(INDEX('×入力'!$A$1:$L$800,519+AA$3,2+AA$2)&lt;&gt;"",INDEX('×入力'!$A$1:$L$800,518,2+AA$2)&lt;&gt;"",INDEX('×入力'!$A$1:$L$800,519+AA$3,1)&lt;&gt;""),1,0),0)</f>
        <v/>
      </c>
      <c r="AB42">
        <f>IF(AB$4=1,IF(OR(INDEX('×入力'!$A$1:$L$800,519+AB$3,2+AB$2)&lt;&gt;"",INDEX('×入力'!$A$1:$L$800,518,2+AB$2)&lt;&gt;"",INDEX('×入力'!$A$1:$L$800,519+AB$3,1)&lt;&gt;""),1,0),0)</f>
        <v/>
      </c>
      <c r="AC42">
        <f>IF(AC$4=1,IF(OR(INDEX('×入力'!$A$1:$L$800,519+AC$3,2+AC$2)&lt;&gt;"",INDEX('×入力'!$A$1:$L$800,518,2+AC$2)&lt;&gt;"",INDEX('×入力'!$A$1:$L$800,519+AC$3,1)&lt;&gt;""),1,0),0)</f>
        <v/>
      </c>
      <c r="AD42">
        <f>IF(AD$4=1,IF(OR(INDEX('×入力'!$A$1:$L$800,519+AD$3,2+AD$2)&lt;&gt;"",INDEX('×入力'!$A$1:$L$800,518,2+AD$2)&lt;&gt;"",INDEX('×入力'!$A$1:$L$800,519+AD$3,1)&lt;&gt;""),1,0),0)</f>
        <v/>
      </c>
      <c r="AE42">
        <f>IF(AE$4=1,IF(OR(INDEX('×入力'!$A$1:$L$800,519+AE$3,2+AE$2)&lt;&gt;"",INDEX('×入力'!$A$1:$L$800,518,2+AE$2)&lt;&gt;"",INDEX('×入力'!$A$1:$L$800,519+AE$3,1)&lt;&gt;""),1,0),0)</f>
        <v/>
      </c>
      <c r="AF42">
        <f>IF(AF$4=1,IF(OR(INDEX('×入力'!$A$1:$L$800,519+AF$3,2+AF$2)&lt;&gt;"",INDEX('×入力'!$A$1:$L$800,518,2+AF$2)&lt;&gt;"",INDEX('×入力'!$A$1:$L$800,519+AF$3,1)&lt;&gt;""),1,0),0)</f>
        <v/>
      </c>
      <c r="AG42">
        <f>IF(AG$4=1,IF(OR(INDEX('×入力'!$A$1:$L$800,519+AG$3,2+AG$2)&lt;&gt;"",INDEX('×入力'!$A$1:$L$800,518,2+AG$2)&lt;&gt;"",INDEX('×入力'!$A$1:$L$800,519+AG$3,1)&lt;&gt;""),1,0),0)</f>
        <v/>
      </c>
      <c r="AH42">
        <f>IF(AH$4=1,IF(OR(INDEX('×入力'!$A$1:$L$800,519+AH$3,2+AH$2)&lt;&gt;"",INDEX('×入力'!$A$1:$L$800,518,2+AH$2)&lt;&gt;"",INDEX('×入力'!$A$1:$L$800,519+AH$3,1)&lt;&gt;""),1,0),0)</f>
        <v/>
      </c>
      <c r="AI42">
        <f>IF(AI$4=1,IF(OR(INDEX('×入力'!$A$1:$L$800,519+AI$3,2+AI$2)&lt;&gt;"",INDEX('×入力'!$A$1:$L$800,518,2+AI$2)&lt;&gt;"",INDEX('×入力'!$A$1:$L$800,519+AI$3,1)&lt;&gt;""),1,0),0)</f>
        <v/>
      </c>
      <c r="AJ42">
        <f>IF(AJ$4=1,IF(OR(INDEX('×入力'!$A$1:$L$800,519+AJ$3,2+AJ$2)&lt;&gt;"",INDEX('×入力'!$A$1:$L$800,518,2+AJ$2)&lt;&gt;"",INDEX('×入力'!$A$1:$L$800,519+AJ$3,1)&lt;&gt;""),1,0),0)</f>
        <v/>
      </c>
      <c r="AK42">
        <f>IF(AK$4=1,IF(OR(INDEX('×入力'!$A$1:$L$800,519+AK$3,2+AK$2)&lt;&gt;"",INDEX('×入力'!$A$1:$L$800,518,2+AK$2)&lt;&gt;"",INDEX('×入力'!$A$1:$L$800,519+AK$3,1)&lt;&gt;""),1,0),0)</f>
        <v/>
      </c>
      <c r="AL42">
        <f>IF(AL$4=1,IF(OR(INDEX('×入力'!$A$1:$L$800,519+AL$3,2+AL$2)&lt;&gt;"",INDEX('×入力'!$A$1:$L$800,518,2+AL$2)&lt;&gt;"",INDEX('×入力'!$A$1:$L$800,519+AL$3,1)&lt;&gt;""),1,0),0)</f>
        <v/>
      </c>
      <c r="AM42">
        <f>IF(AM$4=1,IF(OR(INDEX('×入力'!$A$1:$L$800,519+AM$3,2+AM$2)&lt;&gt;"",INDEX('×入力'!$A$1:$L$800,518,2+AM$2)&lt;&gt;"",INDEX('×入力'!$A$1:$L$800,519+AM$3,1)&lt;&gt;""),1,0),0)</f>
        <v/>
      </c>
      <c r="AN42">
        <f>IF(AN$4=1,IF(OR(INDEX('×入力'!$A$1:$L$800,519+AN$3,2+AN$2)&lt;&gt;"",INDEX('×入力'!$A$1:$L$800,518,2+AN$2)&lt;&gt;"",INDEX('×入力'!$A$1:$L$800,519+AN$3,1)&lt;&gt;""),1,0),0)</f>
        <v/>
      </c>
      <c r="AO42">
        <f>IF(AO$4=1,IF(OR(INDEX('×入力'!$A$1:$L$800,519+AO$3,2+AO$2)&lt;&gt;"",INDEX('×入力'!$A$1:$L$800,518,2+AO$2)&lt;&gt;"",INDEX('×入力'!$A$1:$L$800,519+AO$3,1)&lt;&gt;""),1,0),0)</f>
        <v/>
      </c>
      <c r="AP42">
        <f>IF(AP$4=1,IF(OR(INDEX('×入力'!$A$1:$L$800,519+AP$3,2+AP$2)&lt;&gt;"",INDEX('×入力'!$A$1:$L$800,518,2+AP$2)&lt;&gt;"",INDEX('×入力'!$A$1:$L$800,519+AP$3,1)&lt;&gt;""),1,0),0)</f>
        <v/>
      </c>
      <c r="AQ42">
        <f>IF(AQ$4=1,IF(OR(INDEX('×入力'!$A$1:$L$800,519+AQ$3,2+AQ$2)&lt;&gt;"",INDEX('×入力'!$A$1:$L$800,518,2+AQ$2)&lt;&gt;"",INDEX('×入力'!$A$1:$L$800,519+AQ$3,1)&lt;&gt;""),1,0),0)</f>
        <v/>
      </c>
      <c r="AR42">
        <f>IF(AR$4=1,IF(OR(INDEX('×入力'!$A$1:$L$800,519+AR$3,2+AR$2)&lt;&gt;"",INDEX('×入力'!$A$1:$L$800,518,2+AR$2)&lt;&gt;"",INDEX('×入力'!$A$1:$L$800,519+AR$3,1)&lt;&gt;""),1,0),0)</f>
        <v/>
      </c>
      <c r="AS42">
        <f>IF(AS$4=1,IF(OR(INDEX('×入力'!$A$1:$L$800,519+AS$3,2+AS$2)&lt;&gt;"",INDEX('×入力'!$A$1:$L$800,518,2+AS$2)&lt;&gt;"",INDEX('×入力'!$A$1:$L$800,519+AS$3,1)&lt;&gt;""),1,0),0)</f>
        <v/>
      </c>
      <c r="AT42">
        <f>IF(AT$4=1,IF(OR(INDEX('×入力'!$A$1:$L$800,519+AT$3,2+AT$2)&lt;&gt;"",INDEX('×入力'!$A$1:$L$800,518,2+AT$2)&lt;&gt;"",INDEX('×入力'!$A$1:$L$800,519+AT$3,1)&lt;&gt;""),1,0),0)</f>
        <v/>
      </c>
      <c r="AU42">
        <f>IF(AU$4=1,IF(OR(INDEX('×入力'!$A$1:$L$800,519+AU$3,2+AU$2)&lt;&gt;"",INDEX('×入力'!$A$1:$L$800,518,2+AU$2)&lt;&gt;"",INDEX('×入力'!$A$1:$L$800,519+AU$3,1)&lt;&gt;""),1,0),0)</f>
        <v/>
      </c>
      <c r="AV42">
        <f>IF(AV$4=1,IF(OR(INDEX('×入力'!$A$1:$L$800,519+AV$3,2+AV$2)&lt;&gt;"",INDEX('×入力'!$A$1:$L$800,518,2+AV$2)&lt;&gt;"",INDEX('×入力'!$A$1:$L$800,519+AV$3,1)&lt;&gt;""),1,0),0)</f>
        <v/>
      </c>
      <c r="AW42">
        <f>IF(AW$4=1,IF(OR(INDEX('×入力'!$A$1:$L$800,519+AW$3,2+AW$2)&lt;&gt;"",INDEX('×入力'!$A$1:$L$800,518,2+AW$2)&lt;&gt;"",INDEX('×入力'!$A$1:$L$800,519+AW$3,1)&lt;&gt;""),1,0),0)</f>
        <v/>
      </c>
      <c r="AX42">
        <f>IF(AX$4=1,IF(OR(INDEX('×入力'!$A$1:$L$800,519+AX$3,2+AX$2)&lt;&gt;"",INDEX('×入力'!$A$1:$L$800,518,2+AX$2)&lt;&gt;"",INDEX('×入力'!$A$1:$L$800,519+AX$3,1)&lt;&gt;""),1,0),0)</f>
        <v/>
      </c>
      <c r="AY42">
        <f>IF(AY$4=1,IF(OR(INDEX('×入力'!$A$1:$L$800,519+AY$3,2+AY$2)&lt;&gt;"",INDEX('×入力'!$A$1:$L$800,518,2+AY$2)&lt;&gt;"",INDEX('×入力'!$A$1:$L$800,519+AY$3,1)&lt;&gt;""),1,0),0)</f>
        <v/>
      </c>
      <c r="AZ42">
        <f>IF(AZ$4=1,IF(OR(INDEX('×入力'!$A$1:$L$800,519+AZ$3,2+AZ$2)&lt;&gt;"",INDEX('×入力'!$A$1:$L$800,518,2+AZ$2)&lt;&gt;"",INDEX('×入力'!$A$1:$L$800,519+AZ$3,1)&lt;&gt;""),1,0),0)</f>
        <v/>
      </c>
      <c r="BA42">
        <f>IF(BA$4=1,IF(OR(INDEX('×入力'!$A$1:$L$800,519+BA$3,2+BA$2)&lt;&gt;"",INDEX('×入力'!$A$1:$L$800,518,2+BA$2)&lt;&gt;"",INDEX('×入力'!$A$1:$L$800,519+BA$3,1)&lt;&gt;""),1,0),0)</f>
        <v/>
      </c>
      <c r="BB42">
        <f>IF(BB$4=1,IF(OR(INDEX('×入力'!$A$1:$L$800,519+BB$3,2+BB$2)&lt;&gt;"",INDEX('×入力'!$A$1:$L$800,518,2+BB$2)&lt;&gt;"",INDEX('×入力'!$A$1:$L$800,519+BB$3,1)&lt;&gt;""),1,0),0)</f>
        <v/>
      </c>
      <c r="BC42">
        <f>IF(BC$4=1,IF(OR(INDEX('×入力'!$A$1:$L$800,519+BC$3,2+BC$2)&lt;&gt;"",INDEX('×入力'!$A$1:$L$800,518,2+BC$2)&lt;&gt;"",INDEX('×入力'!$A$1:$L$800,519+BC$3,1)&lt;&gt;""),1,0),0)</f>
        <v/>
      </c>
      <c r="BD42">
        <f>IF(BD$4=1,IF(OR(INDEX('×入力'!$A$1:$L$800,519+BD$3,2+BD$2)&lt;&gt;"",INDEX('×入力'!$A$1:$L$800,518,2+BD$2)&lt;&gt;"",INDEX('×入力'!$A$1:$L$800,519+BD$3,1)&lt;&gt;""),1,0),0)</f>
        <v/>
      </c>
      <c r="BE42">
        <f>IF(BE$4=1,IF(OR(INDEX('×入力'!$A$1:$L$800,519+BE$3,2+BE$2)&lt;&gt;"",INDEX('×入力'!$A$1:$L$800,518,2+BE$2)&lt;&gt;"",INDEX('×入力'!$A$1:$L$800,519+BE$3,1)&lt;&gt;""),1,0),0)</f>
        <v/>
      </c>
      <c r="BF42">
        <f>IF(BF$4=1,IF(OR(INDEX('×入力'!$A$1:$L$800,519+BF$3,2+BF$2)&lt;&gt;"",INDEX('×入力'!$A$1:$L$800,518,2+BF$2)&lt;&gt;"",INDEX('×入力'!$A$1:$L$800,519+BF$3,1)&lt;&gt;""),1,0),0)</f>
        <v/>
      </c>
      <c r="BG42">
        <f>IF(BG$4=1,IF(OR(INDEX('×入力'!$A$1:$L$800,519+BG$3,2+BG$2)&lt;&gt;"",INDEX('×入力'!$A$1:$L$800,518,2+BG$2)&lt;&gt;"",INDEX('×入力'!$A$1:$L$800,519+BG$3,1)&lt;&gt;""),1,0),0)</f>
        <v/>
      </c>
      <c r="BH42">
        <f>IF(BH$4=1,IF(OR(INDEX('×入力'!$A$1:$L$800,519+BH$3,2+BH$2)&lt;&gt;"",INDEX('×入力'!$A$1:$L$800,518,2+BH$2)&lt;&gt;"",INDEX('×入力'!$A$1:$L$800,519+BH$3,1)&lt;&gt;""),1,0),0)</f>
        <v/>
      </c>
      <c r="BI42">
        <f>IF(BI$4=1,IF(OR(INDEX('×入力'!$A$1:$L$800,519+BI$3,2+BI$2)&lt;&gt;"",INDEX('×入力'!$A$1:$L$800,518,2+BI$2)&lt;&gt;"",INDEX('×入力'!$A$1:$L$800,519+BI$3,1)&lt;&gt;""),1,0),0)</f>
        <v/>
      </c>
      <c r="BJ42">
        <f>IF(BJ$4=1,IF(OR(INDEX('×入力'!$A$1:$L$800,519+BJ$3,2+BJ$2)&lt;&gt;"",INDEX('×入力'!$A$1:$L$800,518,2+BJ$2)&lt;&gt;"",INDEX('×入力'!$A$1:$L$800,519+BJ$3,1)&lt;&gt;""),1,0),0)</f>
        <v/>
      </c>
      <c r="BK42">
        <f>IF(BK$4=1,IF(OR(INDEX('×入力'!$A$1:$L$800,519+BK$3,2+BK$2)&lt;&gt;"",INDEX('×入力'!$A$1:$L$800,518,2+BK$2)&lt;&gt;"",INDEX('×入力'!$A$1:$L$800,519+BK$3,1)&lt;&gt;""),1,0),0)</f>
        <v/>
      </c>
      <c r="BL42">
        <f>IF(BL$4=1,IF(OR(INDEX('×入力'!$A$1:$L$800,519+BL$3,2+BL$2)&lt;&gt;"",INDEX('×入力'!$A$1:$L$800,518,2+BL$2)&lt;&gt;"",INDEX('×入力'!$A$1:$L$800,519+BL$3,1)&lt;&gt;""),1,0),0)</f>
        <v/>
      </c>
      <c r="BM42">
        <f>IF(BM$4=1,IF(OR(INDEX('×入力'!$A$1:$L$800,519+BM$3,2+BM$2)&lt;&gt;"",INDEX('×入力'!$A$1:$L$800,518,2+BM$2)&lt;&gt;"",INDEX('×入力'!$A$1:$L$800,519+BM$3,1)&lt;&gt;""),1,0),0)</f>
        <v/>
      </c>
      <c r="BN42">
        <f>IF(BN$4=1,IF(OR(INDEX('×入力'!$A$1:$L$800,519+BN$3,2+BN$2)&lt;&gt;"",INDEX('×入力'!$A$1:$L$800,518,2+BN$2)&lt;&gt;"",INDEX('×入力'!$A$1:$L$800,519+BN$3,1)&lt;&gt;""),1,0),0)</f>
        <v/>
      </c>
      <c r="BO42">
        <f>IF(BO$4=1,IF(OR(INDEX('×入力'!$A$1:$L$800,519+BO$3,2+BO$2)&lt;&gt;"",INDEX('×入力'!$A$1:$L$800,518,2+BO$2)&lt;&gt;"",INDEX('×入力'!$A$1:$L$800,519+BO$3,1)&lt;&gt;""),1,0),0)</f>
        <v/>
      </c>
      <c r="BP42">
        <f>IF(BP$4=1,IF(OR(INDEX('×入力'!$A$1:$L$800,519+BP$3,2+BP$2)&lt;&gt;"",INDEX('×入力'!$A$1:$L$800,518,2+BP$2)&lt;&gt;"",INDEX('×入力'!$A$1:$L$800,519+BP$3,1)&lt;&gt;""),1,0),0)</f>
        <v/>
      </c>
      <c r="BQ42">
        <f>IF(BQ$4=1,IF(OR(INDEX('×入力'!$A$1:$L$800,519+BQ$3,2+BQ$2)&lt;&gt;"",INDEX('×入力'!$A$1:$L$800,518,2+BQ$2)&lt;&gt;"",INDEX('×入力'!$A$1:$L$800,519+BQ$3,1)&lt;&gt;""),1,0),0)</f>
        <v/>
      </c>
      <c r="BR42">
        <f>IF(BR$4=1,IF(OR(INDEX('×入力'!$A$1:$L$800,519+BR$3,2+BR$2)&lt;&gt;"",INDEX('×入力'!$A$1:$L$800,518,2+BR$2)&lt;&gt;"",INDEX('×入力'!$A$1:$L$800,519+BR$3,1)&lt;&gt;""),1,0),0)</f>
        <v/>
      </c>
      <c r="BS42">
        <f>IF(BS$4=1,IF(OR(INDEX('×入力'!$A$1:$L$800,519+BS$3,2+BS$2)&lt;&gt;"",INDEX('×入力'!$A$1:$L$800,518,2+BS$2)&lt;&gt;"",INDEX('×入力'!$A$1:$L$800,519+BS$3,1)&lt;&gt;""),1,0),0)</f>
        <v/>
      </c>
      <c r="BT42">
        <f>IF(BT$4=1,IF(OR(INDEX('×入力'!$A$1:$L$800,519+BT$3,2+BT$2)&lt;&gt;"",INDEX('×入力'!$A$1:$L$800,518,2+BT$2)&lt;&gt;"",INDEX('×入力'!$A$1:$L$800,519+BT$3,1)&lt;&gt;""),1,0),0)</f>
        <v/>
      </c>
      <c r="BU42">
        <f>IF(BU$4=1,IF(OR(INDEX('×入力'!$A$1:$L$800,519+BU$3,2+BU$2)&lt;&gt;"",INDEX('×入力'!$A$1:$L$800,518,2+BU$2)&lt;&gt;"",INDEX('×入力'!$A$1:$L$800,519+BU$3,1)&lt;&gt;""),1,0),0)</f>
        <v/>
      </c>
      <c r="BV42">
        <f>IF(BV$4=1,IF(OR(INDEX('×入力'!$A$1:$L$800,519+BV$3,2+BV$2)&lt;&gt;"",INDEX('×入力'!$A$1:$L$800,518,2+BV$2)&lt;&gt;"",INDEX('×入力'!$A$1:$L$800,519+BV$3,1)&lt;&gt;""),1,0),0)</f>
        <v/>
      </c>
      <c r="BW42">
        <f>IF(BW$4=1,IF(OR(INDEX('×入力'!$A$1:$L$800,519+BW$3,2+BW$2)&lt;&gt;"",INDEX('×入力'!$A$1:$L$800,518,2+BW$2)&lt;&gt;"",INDEX('×入力'!$A$1:$L$800,519+BW$3,1)&lt;&gt;""),1,0),0)</f>
        <v/>
      </c>
      <c r="BX42">
        <f>IF(BX$4=1,IF(OR(INDEX('×入力'!$A$1:$L$800,519+BX$3,2+BX$2)&lt;&gt;"",INDEX('×入力'!$A$1:$L$800,518,2+BX$2)&lt;&gt;"",INDEX('×入力'!$A$1:$L$800,519+BX$3,1)&lt;&gt;""),1,0),0)</f>
        <v/>
      </c>
      <c r="BY42">
        <f>IF(BY$4=1,IF(OR(INDEX('×入力'!$A$1:$L$800,519+BY$3,2+BY$2)&lt;&gt;"",INDEX('×入力'!$A$1:$L$800,518,2+BY$2)&lt;&gt;"",INDEX('×入力'!$A$1:$L$800,519+BY$3,1)&lt;&gt;""),1,0),0)</f>
        <v/>
      </c>
      <c r="BZ42">
        <f>IF(BZ$4=1,IF(OR(INDEX('×入力'!$A$1:$L$800,519+BZ$3,2+BZ$2)&lt;&gt;"",INDEX('×入力'!$A$1:$L$800,518,2+BZ$2)&lt;&gt;"",INDEX('×入力'!$A$1:$L$800,519+BZ$3,1)&lt;&gt;""),1,0),0)</f>
        <v/>
      </c>
      <c r="CA42">
        <f>IF(CA$4=1,IF(OR(INDEX('×入力'!$A$1:$L$800,519+CA$3,2+CA$2)&lt;&gt;"",INDEX('×入力'!$A$1:$L$800,518,2+CA$2)&lt;&gt;"",INDEX('×入力'!$A$1:$L$800,519+CA$3,1)&lt;&gt;""),1,0),0)</f>
        <v/>
      </c>
      <c r="CB42">
        <f>IF(CB$4=1,IF(OR(INDEX('×入力'!$A$1:$L$800,519+CB$3,2+CB$2)&lt;&gt;"",INDEX('×入力'!$A$1:$L$800,518,2+CB$2)&lt;&gt;"",INDEX('×入力'!$A$1:$L$800,519+CB$3,1)&lt;&gt;""),1,0),0)</f>
        <v/>
      </c>
      <c r="CC42">
        <f>IF(CC$4=1,IF(OR(INDEX('×入力'!$A$1:$L$800,519+CC$3,2+CC$2)&lt;&gt;"",INDEX('×入力'!$A$1:$L$800,518,2+CC$2)&lt;&gt;"",INDEX('×入力'!$A$1:$L$800,519+CC$3,1)&lt;&gt;""),1,0),0)</f>
        <v/>
      </c>
      <c r="CD42">
        <f>IF(CD$4=1,IF(OR(INDEX('×入力'!$A$1:$L$800,519+CD$3,2+CD$2)&lt;&gt;"",INDEX('×入力'!$A$1:$L$800,518,2+CD$2)&lt;&gt;"",INDEX('×入力'!$A$1:$L$800,519+CD$3,1)&lt;&gt;""),1,0),0)</f>
        <v/>
      </c>
      <c r="CE42">
        <f>IF(CE$4=1,IF(OR(INDEX('×入力'!$A$1:$L$800,519+CE$3,2+CE$2)&lt;&gt;"",INDEX('×入力'!$A$1:$L$800,518,2+CE$2)&lt;&gt;"",INDEX('×入力'!$A$1:$L$800,519+CE$3,1)&lt;&gt;""),1,0),0)</f>
        <v/>
      </c>
      <c r="CF42">
        <f>IF(CF$4=1,IF(OR(INDEX('×入力'!$A$1:$L$800,519+CF$3,2+CF$2)&lt;&gt;"",INDEX('×入力'!$A$1:$L$800,518,2+CF$2)&lt;&gt;"",INDEX('×入力'!$A$1:$L$800,519+CF$3,1)&lt;&gt;""),1,0),0)</f>
        <v/>
      </c>
      <c r="CG42">
        <f>IF(CG$4=1,IF(OR(INDEX('×入力'!$A$1:$L$800,519+CG$3,2+CG$2)&lt;&gt;"",INDEX('×入力'!$A$1:$L$800,518,2+CG$2)&lt;&gt;"",INDEX('×入力'!$A$1:$L$800,519+CG$3,1)&lt;&gt;""),1,0),0)</f>
        <v/>
      </c>
      <c r="CH42">
        <f>IF(CH$4=1,IF(OR(INDEX('×入力'!$A$1:$L$800,519+CH$3,2+CH$2)&lt;&gt;"",INDEX('×入力'!$A$1:$L$800,518,2+CH$2)&lt;&gt;"",INDEX('×入力'!$A$1:$L$800,519+CH$3,1)&lt;&gt;""),1,0),0)</f>
        <v/>
      </c>
      <c r="CI42">
        <f>IF(CI$4=1,IF(OR(INDEX('×入力'!$A$1:$L$800,519+CI$3,2+CI$2)&lt;&gt;"",INDEX('×入力'!$A$1:$L$800,518,2+CI$2)&lt;&gt;"",INDEX('×入力'!$A$1:$L$800,519+CI$3,1)&lt;&gt;""),1,0),0)</f>
        <v/>
      </c>
      <c r="CJ42">
        <f>IF(CJ$4=1,IF(OR(INDEX('×入力'!$A$1:$L$800,519+CJ$3,2+CJ$2)&lt;&gt;"",INDEX('×入力'!$A$1:$L$800,518,2+CJ$2)&lt;&gt;"",INDEX('×入力'!$A$1:$L$800,519+CJ$3,1)&lt;&gt;""),1,0),0)</f>
        <v/>
      </c>
      <c r="CK42">
        <f>IF(CK$4=1,IF(OR(INDEX('×入力'!$A$1:$L$800,519+CK$3,2+CK$2)&lt;&gt;"",INDEX('×入力'!$A$1:$L$800,518,2+CK$2)&lt;&gt;"",INDEX('×入力'!$A$1:$L$800,519+CK$3,1)&lt;&gt;""),1,0),0)</f>
        <v/>
      </c>
      <c r="CL42">
        <f>IF(CL$4=1,IF(OR(INDEX('×入力'!$A$1:$L$800,519+CL$3,2+CL$2)&lt;&gt;"",INDEX('×入力'!$A$1:$L$800,518,2+CL$2)&lt;&gt;"",INDEX('×入力'!$A$1:$L$800,519+CL$3,1)&lt;&gt;""),1,0),0)</f>
        <v/>
      </c>
      <c r="CM42">
        <f>IF(CM$4=1,IF(OR(INDEX('×入力'!$A$1:$L$800,519+CM$3,2+CM$2)&lt;&gt;"",INDEX('×入力'!$A$1:$L$800,518,2+CM$2)&lt;&gt;"",INDEX('×入力'!$A$1:$L$800,519+CM$3,1)&lt;&gt;""),1,0),0)</f>
        <v/>
      </c>
      <c r="CN42">
        <f>IF(CN$4=1,IF(OR(INDEX('×入力'!$A$1:$L$800,519+CN$3,2+CN$2)&lt;&gt;"",INDEX('×入力'!$A$1:$L$800,518,2+CN$2)&lt;&gt;"",INDEX('×入力'!$A$1:$L$800,519+CN$3,1)&lt;&gt;""),1,0),0)</f>
        <v/>
      </c>
      <c r="CO42">
        <f>IF(CO$4=1,IF(OR(INDEX('×入力'!$A$1:$L$800,519+CO$3,2+CO$2)&lt;&gt;"",INDEX('×入力'!$A$1:$L$800,518,2+CO$2)&lt;&gt;"",INDEX('×入力'!$A$1:$L$800,519+CO$3,1)&lt;&gt;""),1,0),0)</f>
        <v/>
      </c>
      <c r="CP42">
        <f>IF(CP$4=1,IF(OR(INDEX('×入力'!$A$1:$L$800,519+CP$3,2+CP$2)&lt;&gt;"",INDEX('×入力'!$A$1:$L$800,518,2+CP$2)&lt;&gt;"",INDEX('×入力'!$A$1:$L$800,519+CP$3,1)&lt;&gt;""),1,0),0)</f>
        <v/>
      </c>
      <c r="CQ42">
        <f>IF(CQ$4=1,IF(OR(INDEX('×入力'!$A$1:$L$800,519+CQ$3,2+CQ$2)&lt;&gt;"",INDEX('×入力'!$A$1:$L$800,518,2+CQ$2)&lt;&gt;"",INDEX('×入力'!$A$1:$L$800,519+CQ$3,1)&lt;&gt;""),1,0),0)</f>
        <v/>
      </c>
      <c r="CR42">
        <f>IF(CR$4=1,IF(OR(INDEX('×入力'!$A$1:$L$800,519+CR$3,2+CR$2)&lt;&gt;"",INDEX('×入力'!$A$1:$L$800,518,2+CR$2)&lt;&gt;"",INDEX('×入力'!$A$1:$L$800,519+CR$3,1)&lt;&gt;""),1,0),0)</f>
        <v/>
      </c>
      <c r="CS42">
        <f>IF(CS$4=1,IF(OR(INDEX('×入力'!$A$1:$L$800,519+CS$3,2+CS$2)&lt;&gt;"",INDEX('×入力'!$A$1:$L$800,518,2+CS$2)&lt;&gt;"",INDEX('×入力'!$A$1:$L$800,519+CS$3,1)&lt;&gt;""),1,0),0)</f>
        <v/>
      </c>
      <c r="CT42">
        <f>IF(CT$4=1,IF(OR(INDEX('×入力'!$A$1:$L$800,519+CT$3,2+CT$2)&lt;&gt;"",INDEX('×入力'!$A$1:$L$800,518,2+CT$2)&lt;&gt;"",INDEX('×入力'!$A$1:$L$800,519+CT$3,1)&lt;&gt;""),1,0),0)</f>
        <v/>
      </c>
      <c r="CU42">
        <f>IF(CU$4=1,IF(OR(INDEX('×入力'!$A$1:$L$800,519+CU$3,2+CU$2)&lt;&gt;"",INDEX('×入力'!$A$1:$L$800,518,2+CU$2)&lt;&gt;"",INDEX('×入力'!$A$1:$L$800,519+CU$3,1)&lt;&gt;""),1,0),0)</f>
        <v/>
      </c>
      <c r="CV42">
        <f>IF(CV$4=1,IF(OR(INDEX('×入力'!$A$1:$L$800,519+CV$3,2+CV$2)&lt;&gt;"",INDEX('×入力'!$A$1:$L$800,518,2+CV$2)&lt;&gt;"",INDEX('×入力'!$A$1:$L$800,519+CV$3,1)&lt;&gt;""),1,0),0)</f>
        <v/>
      </c>
      <c r="CW42">
        <f>IF(CW$4=1,IF(OR(INDEX('×入力'!$A$1:$L$800,519+CW$3,2+CW$2)&lt;&gt;"",INDEX('×入力'!$A$1:$L$800,518,2+CW$2)&lt;&gt;"",INDEX('×入力'!$A$1:$L$800,519+CW$3,1)&lt;&gt;""),1,0),0)</f>
        <v/>
      </c>
      <c r="CX42">
        <f>IF(CX$4=1,IF(OR(INDEX('×入力'!$A$1:$L$800,519+CX$3,2+CX$2)&lt;&gt;"",INDEX('×入力'!$A$1:$L$800,518,2+CX$2)&lt;&gt;"",INDEX('×入力'!$A$1:$L$800,519+CX$3,1)&lt;&gt;""),1,0),0)</f>
        <v/>
      </c>
      <c r="CY42">
        <f>IF(CY$4=1,IF(OR(INDEX('×入力'!$A$1:$L$800,519+CY$3,2+CY$2)&lt;&gt;"",INDEX('×入力'!$A$1:$L$800,518,2+CY$2)&lt;&gt;"",INDEX('×入力'!$A$1:$L$800,519+CY$3,1)&lt;&gt;""),1,0),0)</f>
        <v/>
      </c>
      <c r="CZ42">
        <f>IF(CZ$4=1,IF(OR(INDEX('×入力'!$A$1:$L$800,519+CZ$3,2+CZ$2)&lt;&gt;"",INDEX('×入力'!$A$1:$L$800,518,2+CZ$2)&lt;&gt;"",INDEX('×入力'!$A$1:$L$800,519+CZ$3,1)&lt;&gt;""),1,0),0)</f>
        <v/>
      </c>
      <c r="DA42">
        <f>IF(DA$4=1,IF(OR(INDEX('×入力'!$A$1:$L$800,519+DA$3,2+DA$2)&lt;&gt;"",INDEX('×入力'!$A$1:$L$800,518,2+DA$2)&lt;&gt;"",INDEX('×入力'!$A$1:$L$800,519+DA$3,1)&lt;&gt;""),1,0),0)</f>
        <v/>
      </c>
      <c r="DB42">
        <f>IF(DB$4=1,IF(OR(INDEX('×入力'!$A$1:$L$800,519+DB$3,2+DB$2)&lt;&gt;"",INDEX('×入力'!$A$1:$L$800,518,2+DB$2)&lt;&gt;"",INDEX('×入力'!$A$1:$L$800,519+DB$3,1)&lt;&gt;""),1,0),0)</f>
        <v/>
      </c>
      <c r="DC42">
        <f>IF(DC$4=1,IF(OR(INDEX('×入力'!$A$1:$L$800,519+DC$3,2+DC$2)&lt;&gt;"",INDEX('×入力'!$A$1:$L$800,518,2+DC$2)&lt;&gt;"",INDEX('×入力'!$A$1:$L$800,519+DC$3,1)&lt;&gt;""),1,0),0)</f>
        <v/>
      </c>
      <c r="DD42">
        <f>IF(DD$4=1,IF(OR(INDEX('×入力'!$A$1:$L$800,519+DD$3,2+DD$2)&lt;&gt;"",INDEX('×入力'!$A$1:$L$800,518,2+DD$2)&lt;&gt;"",INDEX('×入力'!$A$1:$L$800,519+DD$3,1)&lt;&gt;""),1,0),0)</f>
        <v/>
      </c>
      <c r="DE42">
        <f>IF(DE$4=1,IF(OR(INDEX('×入力'!$A$1:$L$800,519+DE$3,2+DE$2)&lt;&gt;"",INDEX('×入力'!$A$1:$L$800,518,2+DE$2)&lt;&gt;"",INDEX('×入力'!$A$1:$L$800,519+DE$3,1)&lt;&gt;""),1,0),0)</f>
        <v/>
      </c>
      <c r="DF42">
        <f>IF(DF$4=1,IF(OR(INDEX('×入力'!$A$1:$L$800,519+DF$3,2+DF$2)&lt;&gt;"",INDEX('×入力'!$A$1:$L$800,518,2+DF$2)&lt;&gt;"",INDEX('×入力'!$A$1:$L$800,519+DF$3,1)&lt;&gt;""),1,0),0)</f>
        <v/>
      </c>
      <c r="DG42">
        <f>IF(DG$4=1,IF(OR(INDEX('×入力'!$A$1:$L$800,519+DG$3,2+DG$2)&lt;&gt;"",INDEX('×入力'!$A$1:$L$800,518,2+DG$2)&lt;&gt;"",INDEX('×入力'!$A$1:$L$800,519+DG$3,1)&lt;&gt;""),1,0),0)</f>
        <v/>
      </c>
      <c r="DH42">
        <f>IF(DH$4=1,IF(OR(INDEX('×入力'!$A$1:$L$800,519+DH$3,2+DH$2)&lt;&gt;"",INDEX('×入力'!$A$1:$L$800,518,2+DH$2)&lt;&gt;"",INDEX('×入力'!$A$1:$L$800,519+DH$3,1)&lt;&gt;""),1,0),0)</f>
        <v/>
      </c>
      <c r="DI42">
        <f>IF(DI$4=1,IF(OR(INDEX('×入力'!$A$1:$L$800,519+DI$3,2+DI$2)&lt;&gt;"",INDEX('×入力'!$A$1:$L$800,518,2+DI$2)&lt;&gt;"",INDEX('×入力'!$A$1:$L$800,519+DI$3,1)&lt;&gt;""),1,0),0)</f>
        <v/>
      </c>
      <c r="DJ42">
        <f>IF(DJ$4=1,IF(OR(INDEX('×入力'!$A$1:$L$800,519+DJ$3,2+DJ$2)&lt;&gt;"",INDEX('×入力'!$A$1:$L$800,518,2+DJ$2)&lt;&gt;"",INDEX('×入力'!$A$1:$L$800,519+DJ$3,1)&lt;&gt;""),1,0),0)</f>
        <v/>
      </c>
      <c r="DK42">
        <f>IF(DK$4=1,IF(OR(INDEX('×入力'!$A$1:$L$800,519+DK$3,2+DK$2)&lt;&gt;"",INDEX('×入力'!$A$1:$L$800,518,2+DK$2)&lt;&gt;"",INDEX('×入力'!$A$1:$L$800,519+DK$3,1)&lt;&gt;""),1,0),0)</f>
        <v/>
      </c>
      <c r="DL42">
        <f>IF(DL$4=1,IF(OR(INDEX('×入力'!$A$1:$L$800,519+DL$3,2+DL$2)&lt;&gt;"",INDEX('×入力'!$A$1:$L$800,518,2+DL$2)&lt;&gt;"",INDEX('×入力'!$A$1:$L$800,519+DL$3,1)&lt;&gt;""),1,0),0)</f>
        <v/>
      </c>
      <c r="DM42">
        <f>IF(DM$4=1,IF(OR(INDEX('×入力'!$A$1:$L$800,519+DM$3,2+DM$2)&lt;&gt;"",INDEX('×入力'!$A$1:$L$800,518,2+DM$2)&lt;&gt;"",INDEX('×入力'!$A$1:$L$800,519+DM$3,1)&lt;&gt;""),1,0),0)</f>
        <v/>
      </c>
      <c r="DN42">
        <f>IF(DN$4=1,IF(OR(INDEX('×入力'!$A$1:$L$800,519+DN$3,2+DN$2)&lt;&gt;"",INDEX('×入力'!$A$1:$L$800,518,2+DN$2)&lt;&gt;"",INDEX('×入力'!$A$1:$L$800,519+DN$3,1)&lt;&gt;""),1,0),0)</f>
        <v/>
      </c>
      <c r="DO42">
        <f>IF(DO$4=1,IF(OR(INDEX('×入力'!$A$1:$L$800,519+DO$3,2+DO$2)&lt;&gt;"",INDEX('×入力'!$A$1:$L$800,518,2+DO$2)&lt;&gt;"",INDEX('×入力'!$A$1:$L$800,519+DO$3,1)&lt;&gt;""),1,0),0)</f>
        <v/>
      </c>
      <c r="DP42">
        <f>IF(DP$4=1,IF(OR(INDEX('×入力'!$A$1:$L$800,519+DP$3,2+DP$2)&lt;&gt;"",INDEX('×入力'!$A$1:$L$800,518,2+DP$2)&lt;&gt;"",INDEX('×入力'!$A$1:$L$800,519+DP$3,1)&lt;&gt;""),1,0),0)</f>
        <v/>
      </c>
      <c r="DQ42">
        <f>IF(DQ$4=1,IF(OR(INDEX('×入力'!$A$1:$L$800,519+DQ$3,2+DQ$2)&lt;&gt;"",INDEX('×入力'!$A$1:$L$800,518,2+DQ$2)&lt;&gt;"",INDEX('×入力'!$A$1:$L$800,519+DQ$3,1)&lt;&gt;""),1,0),0)</f>
        <v/>
      </c>
      <c r="DR42">
        <f>IF(DR$4=1,IF(OR(INDEX('×入力'!$A$1:$L$800,519+DR$3,2+DR$2)&lt;&gt;"",INDEX('×入力'!$A$1:$L$800,518,2+DR$2)&lt;&gt;"",INDEX('×入力'!$A$1:$L$800,519+DR$3,1)&lt;&gt;""),1,0),0)</f>
        <v/>
      </c>
      <c r="DS42">
        <f>IF(DS$4=1,IF(OR(INDEX('×入力'!$A$1:$L$800,519+DS$3,2+DS$2)&lt;&gt;"",INDEX('×入力'!$A$1:$L$800,518,2+DS$2)&lt;&gt;"",INDEX('×入力'!$A$1:$L$800,519+DS$3,1)&lt;&gt;""),1,0),0)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IF(D$4=1,IF(OR(INDEX('×入力'!$A$1:$L$800,535+D$3,2+D$2)&lt;&gt;"",INDEX('×入力'!$A$1:$L$800,534,2+D$2)&lt;&gt;"",INDEX('×入力'!$A$1:$L$800,535+D$3,1)&lt;&gt;""),1,0),0)</f>
        <v/>
      </c>
      <c r="E43">
        <f>IF(E$4=1,IF(OR(INDEX('×入力'!$A$1:$L$800,535+E$3,2+E$2)&lt;&gt;"",INDEX('×入力'!$A$1:$L$800,534,2+E$2)&lt;&gt;"",INDEX('×入力'!$A$1:$L$800,535+E$3,1)&lt;&gt;""),1,0),0)</f>
        <v/>
      </c>
      <c r="F43">
        <f>IF(F$4=1,IF(OR(INDEX('×入力'!$A$1:$L$800,535+F$3,2+F$2)&lt;&gt;"",INDEX('×入力'!$A$1:$L$800,534,2+F$2)&lt;&gt;"",INDEX('×入力'!$A$1:$L$800,535+F$3,1)&lt;&gt;""),1,0),0)</f>
        <v/>
      </c>
      <c r="G43">
        <f>IF(G$4=1,IF(OR(INDEX('×入力'!$A$1:$L$800,535+G$3,2+G$2)&lt;&gt;"",INDEX('×入力'!$A$1:$L$800,534,2+G$2)&lt;&gt;"",INDEX('×入力'!$A$1:$L$800,535+G$3,1)&lt;&gt;""),1,0),0)</f>
        <v/>
      </c>
      <c r="H43">
        <f>IF(H$4=1,IF(OR(INDEX('×入力'!$A$1:$L$800,535+H$3,2+H$2)&lt;&gt;"",INDEX('×入力'!$A$1:$L$800,534,2+H$2)&lt;&gt;"",INDEX('×入力'!$A$1:$L$800,535+H$3,1)&lt;&gt;""),1,0),0)</f>
        <v/>
      </c>
      <c r="I43">
        <f>IF(I$4=1,IF(OR(INDEX('×入力'!$A$1:$L$800,535+I$3,2+I$2)&lt;&gt;"",INDEX('×入力'!$A$1:$L$800,534,2+I$2)&lt;&gt;"",INDEX('×入力'!$A$1:$L$800,535+I$3,1)&lt;&gt;""),1,0),0)</f>
        <v/>
      </c>
      <c r="J43">
        <f>IF(J$4=1,IF(OR(INDEX('×入力'!$A$1:$L$800,535+J$3,2+J$2)&lt;&gt;"",INDEX('×入力'!$A$1:$L$800,534,2+J$2)&lt;&gt;"",INDEX('×入力'!$A$1:$L$800,535+J$3,1)&lt;&gt;""),1,0),0)</f>
        <v/>
      </c>
      <c r="K43">
        <f>IF(K$4=1,IF(OR(INDEX('×入力'!$A$1:$L$800,535+K$3,2+K$2)&lt;&gt;"",INDEX('×入力'!$A$1:$L$800,534,2+K$2)&lt;&gt;"",INDEX('×入力'!$A$1:$L$800,535+K$3,1)&lt;&gt;""),1,0),0)</f>
        <v/>
      </c>
      <c r="L43">
        <f>IF(L$4=1,IF(OR(INDEX('×入力'!$A$1:$L$800,535+L$3,2+L$2)&lt;&gt;"",INDEX('×入力'!$A$1:$L$800,534,2+L$2)&lt;&gt;"",INDEX('×入力'!$A$1:$L$800,535+L$3,1)&lt;&gt;""),1,0),0)</f>
        <v/>
      </c>
      <c r="M43">
        <f>IF(M$4=1,IF(OR(INDEX('×入力'!$A$1:$L$800,535+M$3,2+M$2)&lt;&gt;"",INDEX('×入力'!$A$1:$L$800,534,2+M$2)&lt;&gt;"",INDEX('×入力'!$A$1:$L$800,535+M$3,1)&lt;&gt;""),1,0),0)</f>
        <v/>
      </c>
      <c r="N43">
        <f>IF(N$4=1,IF(OR(INDEX('×入力'!$A$1:$L$800,535+N$3,2+N$2)&lt;&gt;"",INDEX('×入力'!$A$1:$L$800,534,2+N$2)&lt;&gt;"",INDEX('×入力'!$A$1:$L$800,535+N$3,1)&lt;&gt;""),1,0),0)</f>
        <v/>
      </c>
      <c r="O43">
        <f>IF(O$4=1,IF(OR(INDEX('×入力'!$A$1:$L$800,535+O$3,2+O$2)&lt;&gt;"",INDEX('×入力'!$A$1:$L$800,534,2+O$2)&lt;&gt;"",INDEX('×入力'!$A$1:$L$800,535+O$3,1)&lt;&gt;""),1,0),0)</f>
        <v/>
      </c>
      <c r="P43">
        <f>IF(P$4=1,IF(OR(INDEX('×入力'!$A$1:$L$800,535+P$3,2+P$2)&lt;&gt;"",INDEX('×入力'!$A$1:$L$800,534,2+P$2)&lt;&gt;"",INDEX('×入力'!$A$1:$L$800,535+P$3,1)&lt;&gt;""),1,0),0)</f>
        <v/>
      </c>
      <c r="Q43">
        <f>IF(Q$4=1,IF(OR(INDEX('×入力'!$A$1:$L$800,535+Q$3,2+Q$2)&lt;&gt;"",INDEX('×入力'!$A$1:$L$800,534,2+Q$2)&lt;&gt;"",INDEX('×入力'!$A$1:$L$800,535+Q$3,1)&lt;&gt;""),1,0),0)</f>
        <v/>
      </c>
      <c r="R43">
        <f>IF(R$4=1,IF(OR(INDEX('×入力'!$A$1:$L$800,535+R$3,2+R$2)&lt;&gt;"",INDEX('×入力'!$A$1:$L$800,534,2+R$2)&lt;&gt;"",INDEX('×入力'!$A$1:$L$800,535+R$3,1)&lt;&gt;""),1,0),0)</f>
        <v/>
      </c>
      <c r="S43">
        <f>IF(S$4=1,IF(OR(INDEX('×入力'!$A$1:$L$800,535+S$3,2+S$2)&lt;&gt;"",INDEX('×入力'!$A$1:$L$800,534,2+S$2)&lt;&gt;"",INDEX('×入力'!$A$1:$L$800,535+S$3,1)&lt;&gt;""),1,0),0)</f>
        <v/>
      </c>
      <c r="T43">
        <f>IF(T$4=1,IF(OR(INDEX('×入力'!$A$1:$L$800,535+T$3,2+T$2)&lt;&gt;"",INDEX('×入力'!$A$1:$L$800,534,2+T$2)&lt;&gt;"",INDEX('×入力'!$A$1:$L$800,535+T$3,1)&lt;&gt;""),1,0),0)</f>
        <v/>
      </c>
      <c r="U43">
        <f>IF(U$4=1,IF(OR(INDEX('×入力'!$A$1:$L$800,535+U$3,2+U$2)&lt;&gt;"",INDEX('×入力'!$A$1:$L$800,534,2+U$2)&lt;&gt;"",INDEX('×入力'!$A$1:$L$800,535+U$3,1)&lt;&gt;""),1,0),0)</f>
        <v/>
      </c>
      <c r="V43">
        <f>IF(V$4=1,IF(OR(INDEX('×入力'!$A$1:$L$800,535+V$3,2+V$2)&lt;&gt;"",INDEX('×入力'!$A$1:$L$800,534,2+V$2)&lt;&gt;"",INDEX('×入力'!$A$1:$L$800,535+V$3,1)&lt;&gt;""),1,0),0)</f>
        <v/>
      </c>
      <c r="W43">
        <f>IF(W$4=1,IF(OR(INDEX('×入力'!$A$1:$L$800,535+W$3,2+W$2)&lt;&gt;"",INDEX('×入力'!$A$1:$L$800,534,2+W$2)&lt;&gt;"",INDEX('×入力'!$A$1:$L$800,535+W$3,1)&lt;&gt;""),1,0),0)</f>
        <v/>
      </c>
      <c r="X43">
        <f>IF(X$4=1,IF(OR(INDEX('×入力'!$A$1:$L$800,535+X$3,2+X$2)&lt;&gt;"",INDEX('×入力'!$A$1:$L$800,534,2+X$2)&lt;&gt;"",INDEX('×入力'!$A$1:$L$800,535+X$3,1)&lt;&gt;""),1,0),0)</f>
        <v/>
      </c>
      <c r="Y43">
        <f>IF(Y$4=1,IF(OR(INDEX('×入力'!$A$1:$L$800,535+Y$3,2+Y$2)&lt;&gt;"",INDEX('×入力'!$A$1:$L$800,534,2+Y$2)&lt;&gt;"",INDEX('×入力'!$A$1:$L$800,535+Y$3,1)&lt;&gt;""),1,0),0)</f>
        <v/>
      </c>
      <c r="Z43">
        <f>IF(Z$4=1,IF(OR(INDEX('×入力'!$A$1:$L$800,535+Z$3,2+Z$2)&lt;&gt;"",INDEX('×入力'!$A$1:$L$800,534,2+Z$2)&lt;&gt;"",INDEX('×入力'!$A$1:$L$800,535+Z$3,1)&lt;&gt;""),1,0),0)</f>
        <v/>
      </c>
      <c r="AA43">
        <f>IF(AA$4=1,IF(OR(INDEX('×入力'!$A$1:$L$800,535+AA$3,2+AA$2)&lt;&gt;"",INDEX('×入力'!$A$1:$L$800,534,2+AA$2)&lt;&gt;"",INDEX('×入力'!$A$1:$L$800,535+AA$3,1)&lt;&gt;""),1,0),0)</f>
        <v/>
      </c>
      <c r="AB43">
        <f>IF(AB$4=1,IF(OR(INDEX('×入力'!$A$1:$L$800,535+AB$3,2+AB$2)&lt;&gt;"",INDEX('×入力'!$A$1:$L$800,534,2+AB$2)&lt;&gt;"",INDEX('×入力'!$A$1:$L$800,535+AB$3,1)&lt;&gt;""),1,0),0)</f>
        <v/>
      </c>
      <c r="AC43">
        <f>IF(AC$4=1,IF(OR(INDEX('×入力'!$A$1:$L$800,535+AC$3,2+AC$2)&lt;&gt;"",INDEX('×入力'!$A$1:$L$800,534,2+AC$2)&lt;&gt;"",INDEX('×入力'!$A$1:$L$800,535+AC$3,1)&lt;&gt;""),1,0),0)</f>
        <v/>
      </c>
      <c r="AD43">
        <f>IF(AD$4=1,IF(OR(INDEX('×入力'!$A$1:$L$800,535+AD$3,2+AD$2)&lt;&gt;"",INDEX('×入力'!$A$1:$L$800,534,2+AD$2)&lt;&gt;"",INDEX('×入力'!$A$1:$L$800,535+AD$3,1)&lt;&gt;""),1,0),0)</f>
        <v/>
      </c>
      <c r="AE43">
        <f>IF(AE$4=1,IF(OR(INDEX('×入力'!$A$1:$L$800,535+AE$3,2+AE$2)&lt;&gt;"",INDEX('×入力'!$A$1:$L$800,534,2+AE$2)&lt;&gt;"",INDEX('×入力'!$A$1:$L$800,535+AE$3,1)&lt;&gt;""),1,0),0)</f>
        <v/>
      </c>
      <c r="AF43">
        <f>IF(AF$4=1,IF(OR(INDEX('×入力'!$A$1:$L$800,535+AF$3,2+AF$2)&lt;&gt;"",INDEX('×入力'!$A$1:$L$800,534,2+AF$2)&lt;&gt;"",INDEX('×入力'!$A$1:$L$800,535+AF$3,1)&lt;&gt;""),1,0),0)</f>
        <v/>
      </c>
      <c r="AG43">
        <f>IF(AG$4=1,IF(OR(INDEX('×入力'!$A$1:$L$800,535+AG$3,2+AG$2)&lt;&gt;"",INDEX('×入力'!$A$1:$L$800,534,2+AG$2)&lt;&gt;"",INDEX('×入力'!$A$1:$L$800,535+AG$3,1)&lt;&gt;""),1,0),0)</f>
        <v/>
      </c>
      <c r="AH43">
        <f>IF(AH$4=1,IF(OR(INDEX('×入力'!$A$1:$L$800,535+AH$3,2+AH$2)&lt;&gt;"",INDEX('×入力'!$A$1:$L$800,534,2+AH$2)&lt;&gt;"",INDEX('×入力'!$A$1:$L$800,535+AH$3,1)&lt;&gt;""),1,0),0)</f>
        <v/>
      </c>
      <c r="AI43">
        <f>IF(AI$4=1,IF(OR(INDEX('×入力'!$A$1:$L$800,535+AI$3,2+AI$2)&lt;&gt;"",INDEX('×入力'!$A$1:$L$800,534,2+AI$2)&lt;&gt;"",INDEX('×入力'!$A$1:$L$800,535+AI$3,1)&lt;&gt;""),1,0),0)</f>
        <v/>
      </c>
      <c r="AJ43">
        <f>IF(AJ$4=1,IF(OR(INDEX('×入力'!$A$1:$L$800,535+AJ$3,2+AJ$2)&lt;&gt;"",INDEX('×入力'!$A$1:$L$800,534,2+AJ$2)&lt;&gt;"",INDEX('×入力'!$A$1:$L$800,535+AJ$3,1)&lt;&gt;""),1,0),0)</f>
        <v/>
      </c>
      <c r="AK43">
        <f>IF(AK$4=1,IF(OR(INDEX('×入力'!$A$1:$L$800,535+AK$3,2+AK$2)&lt;&gt;"",INDEX('×入力'!$A$1:$L$800,534,2+AK$2)&lt;&gt;"",INDEX('×入力'!$A$1:$L$800,535+AK$3,1)&lt;&gt;""),1,0),0)</f>
        <v/>
      </c>
      <c r="AL43">
        <f>IF(AL$4=1,IF(OR(INDEX('×入力'!$A$1:$L$800,535+AL$3,2+AL$2)&lt;&gt;"",INDEX('×入力'!$A$1:$L$800,534,2+AL$2)&lt;&gt;"",INDEX('×入力'!$A$1:$L$800,535+AL$3,1)&lt;&gt;""),1,0),0)</f>
        <v/>
      </c>
      <c r="AM43">
        <f>IF(AM$4=1,IF(OR(INDEX('×入力'!$A$1:$L$800,535+AM$3,2+AM$2)&lt;&gt;"",INDEX('×入力'!$A$1:$L$800,534,2+AM$2)&lt;&gt;"",INDEX('×入力'!$A$1:$L$800,535+AM$3,1)&lt;&gt;""),1,0),0)</f>
        <v/>
      </c>
      <c r="AN43">
        <f>IF(AN$4=1,IF(OR(INDEX('×入力'!$A$1:$L$800,535+AN$3,2+AN$2)&lt;&gt;"",INDEX('×入力'!$A$1:$L$800,534,2+AN$2)&lt;&gt;"",INDEX('×入力'!$A$1:$L$800,535+AN$3,1)&lt;&gt;""),1,0),0)</f>
        <v/>
      </c>
      <c r="AO43">
        <f>IF(AO$4=1,IF(OR(INDEX('×入力'!$A$1:$L$800,535+AO$3,2+AO$2)&lt;&gt;"",INDEX('×入力'!$A$1:$L$800,534,2+AO$2)&lt;&gt;"",INDEX('×入力'!$A$1:$L$800,535+AO$3,1)&lt;&gt;""),1,0),0)</f>
        <v/>
      </c>
      <c r="AP43">
        <f>IF(AP$4=1,IF(OR(INDEX('×入力'!$A$1:$L$800,535+AP$3,2+AP$2)&lt;&gt;"",INDEX('×入力'!$A$1:$L$800,534,2+AP$2)&lt;&gt;"",INDEX('×入力'!$A$1:$L$800,535+AP$3,1)&lt;&gt;""),1,0),0)</f>
        <v/>
      </c>
      <c r="AQ43">
        <f>IF(AQ$4=1,IF(OR(INDEX('×入力'!$A$1:$L$800,535+AQ$3,2+AQ$2)&lt;&gt;"",INDEX('×入力'!$A$1:$L$800,534,2+AQ$2)&lt;&gt;"",INDEX('×入力'!$A$1:$L$800,535+AQ$3,1)&lt;&gt;""),1,0),0)</f>
        <v/>
      </c>
      <c r="AR43">
        <f>IF(AR$4=1,IF(OR(INDEX('×入力'!$A$1:$L$800,535+AR$3,2+AR$2)&lt;&gt;"",INDEX('×入力'!$A$1:$L$800,534,2+AR$2)&lt;&gt;"",INDEX('×入力'!$A$1:$L$800,535+AR$3,1)&lt;&gt;""),1,0),0)</f>
        <v/>
      </c>
      <c r="AS43">
        <f>IF(AS$4=1,IF(OR(INDEX('×入力'!$A$1:$L$800,535+AS$3,2+AS$2)&lt;&gt;"",INDEX('×入力'!$A$1:$L$800,534,2+AS$2)&lt;&gt;"",INDEX('×入力'!$A$1:$L$800,535+AS$3,1)&lt;&gt;""),1,0),0)</f>
        <v/>
      </c>
      <c r="AT43">
        <f>IF(AT$4=1,IF(OR(INDEX('×入力'!$A$1:$L$800,535+AT$3,2+AT$2)&lt;&gt;"",INDEX('×入力'!$A$1:$L$800,534,2+AT$2)&lt;&gt;"",INDEX('×入力'!$A$1:$L$800,535+AT$3,1)&lt;&gt;""),1,0),0)</f>
        <v/>
      </c>
      <c r="AU43">
        <f>IF(AU$4=1,IF(OR(INDEX('×入力'!$A$1:$L$800,535+AU$3,2+AU$2)&lt;&gt;"",INDEX('×入力'!$A$1:$L$800,534,2+AU$2)&lt;&gt;"",INDEX('×入力'!$A$1:$L$800,535+AU$3,1)&lt;&gt;""),1,0),0)</f>
        <v/>
      </c>
      <c r="AV43">
        <f>IF(AV$4=1,IF(OR(INDEX('×入力'!$A$1:$L$800,535+AV$3,2+AV$2)&lt;&gt;"",INDEX('×入力'!$A$1:$L$800,534,2+AV$2)&lt;&gt;"",INDEX('×入力'!$A$1:$L$800,535+AV$3,1)&lt;&gt;""),1,0),0)</f>
        <v/>
      </c>
      <c r="AW43">
        <f>IF(AW$4=1,IF(OR(INDEX('×入力'!$A$1:$L$800,535+AW$3,2+AW$2)&lt;&gt;"",INDEX('×入力'!$A$1:$L$800,534,2+AW$2)&lt;&gt;"",INDEX('×入力'!$A$1:$L$800,535+AW$3,1)&lt;&gt;""),1,0),0)</f>
        <v/>
      </c>
      <c r="AX43">
        <f>IF(AX$4=1,IF(OR(INDEX('×入力'!$A$1:$L$800,535+AX$3,2+AX$2)&lt;&gt;"",INDEX('×入力'!$A$1:$L$800,534,2+AX$2)&lt;&gt;"",INDEX('×入力'!$A$1:$L$800,535+AX$3,1)&lt;&gt;""),1,0),0)</f>
        <v/>
      </c>
      <c r="AY43">
        <f>IF(AY$4=1,IF(OR(INDEX('×入力'!$A$1:$L$800,535+AY$3,2+AY$2)&lt;&gt;"",INDEX('×入力'!$A$1:$L$800,534,2+AY$2)&lt;&gt;"",INDEX('×入力'!$A$1:$L$800,535+AY$3,1)&lt;&gt;""),1,0),0)</f>
        <v/>
      </c>
      <c r="AZ43">
        <f>IF(AZ$4=1,IF(OR(INDEX('×入力'!$A$1:$L$800,535+AZ$3,2+AZ$2)&lt;&gt;"",INDEX('×入力'!$A$1:$L$800,534,2+AZ$2)&lt;&gt;"",INDEX('×入力'!$A$1:$L$800,535+AZ$3,1)&lt;&gt;""),1,0),0)</f>
        <v/>
      </c>
      <c r="BA43">
        <f>IF(BA$4=1,IF(OR(INDEX('×入力'!$A$1:$L$800,535+BA$3,2+BA$2)&lt;&gt;"",INDEX('×入力'!$A$1:$L$800,534,2+BA$2)&lt;&gt;"",INDEX('×入力'!$A$1:$L$800,535+BA$3,1)&lt;&gt;""),1,0),0)</f>
        <v/>
      </c>
      <c r="BB43">
        <f>IF(BB$4=1,IF(OR(INDEX('×入力'!$A$1:$L$800,535+BB$3,2+BB$2)&lt;&gt;"",INDEX('×入力'!$A$1:$L$800,534,2+BB$2)&lt;&gt;"",INDEX('×入力'!$A$1:$L$800,535+BB$3,1)&lt;&gt;""),1,0),0)</f>
        <v/>
      </c>
      <c r="BC43">
        <f>IF(BC$4=1,IF(OR(INDEX('×入力'!$A$1:$L$800,535+BC$3,2+BC$2)&lt;&gt;"",INDEX('×入力'!$A$1:$L$800,534,2+BC$2)&lt;&gt;"",INDEX('×入力'!$A$1:$L$800,535+BC$3,1)&lt;&gt;""),1,0),0)</f>
        <v/>
      </c>
      <c r="BD43">
        <f>IF(BD$4=1,IF(OR(INDEX('×入力'!$A$1:$L$800,535+BD$3,2+BD$2)&lt;&gt;"",INDEX('×入力'!$A$1:$L$800,534,2+BD$2)&lt;&gt;"",INDEX('×入力'!$A$1:$L$800,535+BD$3,1)&lt;&gt;""),1,0),0)</f>
        <v/>
      </c>
      <c r="BE43">
        <f>IF(BE$4=1,IF(OR(INDEX('×入力'!$A$1:$L$800,535+BE$3,2+BE$2)&lt;&gt;"",INDEX('×入力'!$A$1:$L$800,534,2+BE$2)&lt;&gt;"",INDEX('×入力'!$A$1:$L$800,535+BE$3,1)&lt;&gt;""),1,0),0)</f>
        <v/>
      </c>
      <c r="BF43">
        <f>IF(BF$4=1,IF(OR(INDEX('×入力'!$A$1:$L$800,535+BF$3,2+BF$2)&lt;&gt;"",INDEX('×入力'!$A$1:$L$800,534,2+BF$2)&lt;&gt;"",INDEX('×入力'!$A$1:$L$800,535+BF$3,1)&lt;&gt;""),1,0),0)</f>
        <v/>
      </c>
      <c r="BG43">
        <f>IF(BG$4=1,IF(OR(INDEX('×入力'!$A$1:$L$800,535+BG$3,2+BG$2)&lt;&gt;"",INDEX('×入力'!$A$1:$L$800,534,2+BG$2)&lt;&gt;"",INDEX('×入力'!$A$1:$L$800,535+BG$3,1)&lt;&gt;""),1,0),0)</f>
        <v/>
      </c>
      <c r="BH43">
        <f>IF(BH$4=1,IF(OR(INDEX('×入力'!$A$1:$L$800,535+BH$3,2+BH$2)&lt;&gt;"",INDEX('×入力'!$A$1:$L$800,534,2+BH$2)&lt;&gt;"",INDEX('×入力'!$A$1:$L$800,535+BH$3,1)&lt;&gt;""),1,0),0)</f>
        <v/>
      </c>
      <c r="BI43">
        <f>IF(BI$4=1,IF(OR(INDEX('×入力'!$A$1:$L$800,535+BI$3,2+BI$2)&lt;&gt;"",INDEX('×入力'!$A$1:$L$800,534,2+BI$2)&lt;&gt;"",INDEX('×入力'!$A$1:$L$800,535+BI$3,1)&lt;&gt;""),1,0),0)</f>
        <v/>
      </c>
      <c r="BJ43">
        <f>IF(BJ$4=1,IF(OR(INDEX('×入力'!$A$1:$L$800,535+BJ$3,2+BJ$2)&lt;&gt;"",INDEX('×入力'!$A$1:$L$800,534,2+BJ$2)&lt;&gt;"",INDEX('×入力'!$A$1:$L$800,535+BJ$3,1)&lt;&gt;""),1,0),0)</f>
        <v/>
      </c>
      <c r="BK43">
        <f>IF(BK$4=1,IF(OR(INDEX('×入力'!$A$1:$L$800,535+BK$3,2+BK$2)&lt;&gt;"",INDEX('×入力'!$A$1:$L$800,534,2+BK$2)&lt;&gt;"",INDEX('×入力'!$A$1:$L$800,535+BK$3,1)&lt;&gt;""),1,0),0)</f>
        <v/>
      </c>
      <c r="BL43">
        <f>IF(BL$4=1,IF(OR(INDEX('×入力'!$A$1:$L$800,535+BL$3,2+BL$2)&lt;&gt;"",INDEX('×入力'!$A$1:$L$800,534,2+BL$2)&lt;&gt;"",INDEX('×入力'!$A$1:$L$800,535+BL$3,1)&lt;&gt;""),1,0),0)</f>
        <v/>
      </c>
      <c r="BM43">
        <f>IF(BM$4=1,IF(OR(INDEX('×入力'!$A$1:$L$800,535+BM$3,2+BM$2)&lt;&gt;"",INDEX('×入力'!$A$1:$L$800,534,2+BM$2)&lt;&gt;"",INDEX('×入力'!$A$1:$L$800,535+BM$3,1)&lt;&gt;""),1,0),0)</f>
        <v/>
      </c>
      <c r="BN43">
        <f>IF(BN$4=1,IF(OR(INDEX('×入力'!$A$1:$L$800,535+BN$3,2+BN$2)&lt;&gt;"",INDEX('×入力'!$A$1:$L$800,534,2+BN$2)&lt;&gt;"",INDEX('×入力'!$A$1:$L$800,535+BN$3,1)&lt;&gt;""),1,0),0)</f>
        <v/>
      </c>
      <c r="BO43">
        <f>IF(BO$4=1,IF(OR(INDEX('×入力'!$A$1:$L$800,535+BO$3,2+BO$2)&lt;&gt;"",INDEX('×入力'!$A$1:$L$800,534,2+BO$2)&lt;&gt;"",INDEX('×入力'!$A$1:$L$800,535+BO$3,1)&lt;&gt;""),1,0),0)</f>
        <v/>
      </c>
      <c r="BP43">
        <f>IF(BP$4=1,IF(OR(INDEX('×入力'!$A$1:$L$800,535+BP$3,2+BP$2)&lt;&gt;"",INDEX('×入力'!$A$1:$L$800,534,2+BP$2)&lt;&gt;"",INDEX('×入力'!$A$1:$L$800,535+BP$3,1)&lt;&gt;""),1,0),0)</f>
        <v/>
      </c>
      <c r="BQ43">
        <f>IF(BQ$4=1,IF(OR(INDEX('×入力'!$A$1:$L$800,535+BQ$3,2+BQ$2)&lt;&gt;"",INDEX('×入力'!$A$1:$L$800,534,2+BQ$2)&lt;&gt;"",INDEX('×入力'!$A$1:$L$800,535+BQ$3,1)&lt;&gt;""),1,0),0)</f>
        <v/>
      </c>
      <c r="BR43">
        <f>IF(BR$4=1,IF(OR(INDEX('×入力'!$A$1:$L$800,535+BR$3,2+BR$2)&lt;&gt;"",INDEX('×入力'!$A$1:$L$800,534,2+BR$2)&lt;&gt;"",INDEX('×入力'!$A$1:$L$800,535+BR$3,1)&lt;&gt;""),1,0),0)</f>
        <v/>
      </c>
      <c r="BS43">
        <f>IF(BS$4=1,IF(OR(INDEX('×入力'!$A$1:$L$800,535+BS$3,2+BS$2)&lt;&gt;"",INDEX('×入力'!$A$1:$L$800,534,2+BS$2)&lt;&gt;"",INDEX('×入力'!$A$1:$L$800,535+BS$3,1)&lt;&gt;""),1,0),0)</f>
        <v/>
      </c>
      <c r="BT43">
        <f>IF(BT$4=1,IF(OR(INDEX('×入力'!$A$1:$L$800,535+BT$3,2+BT$2)&lt;&gt;"",INDEX('×入力'!$A$1:$L$800,534,2+BT$2)&lt;&gt;"",INDEX('×入力'!$A$1:$L$800,535+BT$3,1)&lt;&gt;""),1,0),0)</f>
        <v/>
      </c>
      <c r="BU43">
        <f>IF(BU$4=1,IF(OR(INDEX('×入力'!$A$1:$L$800,535+BU$3,2+BU$2)&lt;&gt;"",INDEX('×入力'!$A$1:$L$800,534,2+BU$2)&lt;&gt;"",INDEX('×入力'!$A$1:$L$800,535+BU$3,1)&lt;&gt;""),1,0),0)</f>
        <v/>
      </c>
      <c r="BV43">
        <f>IF(BV$4=1,IF(OR(INDEX('×入力'!$A$1:$L$800,535+BV$3,2+BV$2)&lt;&gt;"",INDEX('×入力'!$A$1:$L$800,534,2+BV$2)&lt;&gt;"",INDEX('×入力'!$A$1:$L$800,535+BV$3,1)&lt;&gt;""),1,0),0)</f>
        <v/>
      </c>
      <c r="BW43">
        <f>IF(BW$4=1,IF(OR(INDEX('×入力'!$A$1:$L$800,535+BW$3,2+BW$2)&lt;&gt;"",INDEX('×入力'!$A$1:$L$800,534,2+BW$2)&lt;&gt;"",INDEX('×入力'!$A$1:$L$800,535+BW$3,1)&lt;&gt;""),1,0),0)</f>
        <v/>
      </c>
      <c r="BX43">
        <f>IF(BX$4=1,IF(OR(INDEX('×入力'!$A$1:$L$800,535+BX$3,2+BX$2)&lt;&gt;"",INDEX('×入力'!$A$1:$L$800,534,2+BX$2)&lt;&gt;"",INDEX('×入力'!$A$1:$L$800,535+BX$3,1)&lt;&gt;""),1,0),0)</f>
        <v/>
      </c>
      <c r="BY43">
        <f>IF(BY$4=1,IF(OR(INDEX('×入力'!$A$1:$L$800,535+BY$3,2+BY$2)&lt;&gt;"",INDEX('×入力'!$A$1:$L$800,534,2+BY$2)&lt;&gt;"",INDEX('×入力'!$A$1:$L$800,535+BY$3,1)&lt;&gt;""),1,0),0)</f>
        <v/>
      </c>
      <c r="BZ43">
        <f>IF(BZ$4=1,IF(OR(INDEX('×入力'!$A$1:$L$800,535+BZ$3,2+BZ$2)&lt;&gt;"",INDEX('×入力'!$A$1:$L$800,534,2+BZ$2)&lt;&gt;"",INDEX('×入力'!$A$1:$L$800,535+BZ$3,1)&lt;&gt;""),1,0),0)</f>
        <v/>
      </c>
      <c r="CA43">
        <f>IF(CA$4=1,IF(OR(INDEX('×入力'!$A$1:$L$800,535+CA$3,2+CA$2)&lt;&gt;"",INDEX('×入力'!$A$1:$L$800,534,2+CA$2)&lt;&gt;"",INDEX('×入力'!$A$1:$L$800,535+CA$3,1)&lt;&gt;""),1,0),0)</f>
        <v/>
      </c>
      <c r="CB43">
        <f>IF(CB$4=1,IF(OR(INDEX('×入力'!$A$1:$L$800,535+CB$3,2+CB$2)&lt;&gt;"",INDEX('×入力'!$A$1:$L$800,534,2+CB$2)&lt;&gt;"",INDEX('×入力'!$A$1:$L$800,535+CB$3,1)&lt;&gt;""),1,0),0)</f>
        <v/>
      </c>
      <c r="CC43">
        <f>IF(CC$4=1,IF(OR(INDEX('×入力'!$A$1:$L$800,535+CC$3,2+CC$2)&lt;&gt;"",INDEX('×入力'!$A$1:$L$800,534,2+CC$2)&lt;&gt;"",INDEX('×入力'!$A$1:$L$800,535+CC$3,1)&lt;&gt;""),1,0),0)</f>
        <v/>
      </c>
      <c r="CD43">
        <f>IF(CD$4=1,IF(OR(INDEX('×入力'!$A$1:$L$800,535+CD$3,2+CD$2)&lt;&gt;"",INDEX('×入力'!$A$1:$L$800,534,2+CD$2)&lt;&gt;"",INDEX('×入力'!$A$1:$L$800,535+CD$3,1)&lt;&gt;""),1,0),0)</f>
        <v/>
      </c>
      <c r="CE43">
        <f>IF(CE$4=1,IF(OR(INDEX('×入力'!$A$1:$L$800,535+CE$3,2+CE$2)&lt;&gt;"",INDEX('×入力'!$A$1:$L$800,534,2+CE$2)&lt;&gt;"",INDEX('×入力'!$A$1:$L$800,535+CE$3,1)&lt;&gt;""),1,0),0)</f>
        <v/>
      </c>
      <c r="CF43">
        <f>IF(CF$4=1,IF(OR(INDEX('×入力'!$A$1:$L$800,535+CF$3,2+CF$2)&lt;&gt;"",INDEX('×入力'!$A$1:$L$800,534,2+CF$2)&lt;&gt;"",INDEX('×入力'!$A$1:$L$800,535+CF$3,1)&lt;&gt;""),1,0),0)</f>
        <v/>
      </c>
      <c r="CG43">
        <f>IF(CG$4=1,IF(OR(INDEX('×入力'!$A$1:$L$800,535+CG$3,2+CG$2)&lt;&gt;"",INDEX('×入力'!$A$1:$L$800,534,2+CG$2)&lt;&gt;"",INDEX('×入力'!$A$1:$L$800,535+CG$3,1)&lt;&gt;""),1,0),0)</f>
        <v/>
      </c>
      <c r="CH43">
        <f>IF(CH$4=1,IF(OR(INDEX('×入力'!$A$1:$L$800,535+CH$3,2+CH$2)&lt;&gt;"",INDEX('×入力'!$A$1:$L$800,534,2+CH$2)&lt;&gt;"",INDEX('×入力'!$A$1:$L$800,535+CH$3,1)&lt;&gt;""),1,0),0)</f>
        <v/>
      </c>
      <c r="CI43">
        <f>IF(CI$4=1,IF(OR(INDEX('×入力'!$A$1:$L$800,535+CI$3,2+CI$2)&lt;&gt;"",INDEX('×入力'!$A$1:$L$800,534,2+CI$2)&lt;&gt;"",INDEX('×入力'!$A$1:$L$800,535+CI$3,1)&lt;&gt;""),1,0),0)</f>
        <v/>
      </c>
      <c r="CJ43">
        <f>IF(CJ$4=1,IF(OR(INDEX('×入力'!$A$1:$L$800,535+CJ$3,2+CJ$2)&lt;&gt;"",INDEX('×入力'!$A$1:$L$800,534,2+CJ$2)&lt;&gt;"",INDEX('×入力'!$A$1:$L$800,535+CJ$3,1)&lt;&gt;""),1,0),0)</f>
        <v/>
      </c>
      <c r="CK43">
        <f>IF(CK$4=1,IF(OR(INDEX('×入力'!$A$1:$L$800,535+CK$3,2+CK$2)&lt;&gt;"",INDEX('×入力'!$A$1:$L$800,534,2+CK$2)&lt;&gt;"",INDEX('×入力'!$A$1:$L$800,535+CK$3,1)&lt;&gt;""),1,0),0)</f>
        <v/>
      </c>
      <c r="CL43">
        <f>IF(CL$4=1,IF(OR(INDEX('×入力'!$A$1:$L$800,535+CL$3,2+CL$2)&lt;&gt;"",INDEX('×入力'!$A$1:$L$800,534,2+CL$2)&lt;&gt;"",INDEX('×入力'!$A$1:$L$800,535+CL$3,1)&lt;&gt;""),1,0),0)</f>
        <v/>
      </c>
      <c r="CM43">
        <f>IF(CM$4=1,IF(OR(INDEX('×入力'!$A$1:$L$800,535+CM$3,2+CM$2)&lt;&gt;"",INDEX('×入力'!$A$1:$L$800,534,2+CM$2)&lt;&gt;"",INDEX('×入力'!$A$1:$L$800,535+CM$3,1)&lt;&gt;""),1,0),0)</f>
        <v/>
      </c>
      <c r="CN43">
        <f>IF(CN$4=1,IF(OR(INDEX('×入力'!$A$1:$L$800,535+CN$3,2+CN$2)&lt;&gt;"",INDEX('×入力'!$A$1:$L$800,534,2+CN$2)&lt;&gt;"",INDEX('×入力'!$A$1:$L$800,535+CN$3,1)&lt;&gt;""),1,0),0)</f>
        <v/>
      </c>
      <c r="CO43">
        <f>IF(CO$4=1,IF(OR(INDEX('×入力'!$A$1:$L$800,535+CO$3,2+CO$2)&lt;&gt;"",INDEX('×入力'!$A$1:$L$800,534,2+CO$2)&lt;&gt;"",INDEX('×入力'!$A$1:$L$800,535+CO$3,1)&lt;&gt;""),1,0),0)</f>
        <v/>
      </c>
      <c r="CP43">
        <f>IF(CP$4=1,IF(OR(INDEX('×入力'!$A$1:$L$800,535+CP$3,2+CP$2)&lt;&gt;"",INDEX('×入力'!$A$1:$L$800,534,2+CP$2)&lt;&gt;"",INDEX('×入力'!$A$1:$L$800,535+CP$3,1)&lt;&gt;""),1,0),0)</f>
        <v/>
      </c>
      <c r="CQ43">
        <f>IF(CQ$4=1,IF(OR(INDEX('×入力'!$A$1:$L$800,535+CQ$3,2+CQ$2)&lt;&gt;"",INDEX('×入力'!$A$1:$L$800,534,2+CQ$2)&lt;&gt;"",INDEX('×入力'!$A$1:$L$800,535+CQ$3,1)&lt;&gt;""),1,0),0)</f>
        <v/>
      </c>
      <c r="CR43">
        <f>IF(CR$4=1,IF(OR(INDEX('×入力'!$A$1:$L$800,535+CR$3,2+CR$2)&lt;&gt;"",INDEX('×入力'!$A$1:$L$800,534,2+CR$2)&lt;&gt;"",INDEX('×入力'!$A$1:$L$800,535+CR$3,1)&lt;&gt;""),1,0),0)</f>
        <v/>
      </c>
      <c r="CS43">
        <f>IF(CS$4=1,IF(OR(INDEX('×入力'!$A$1:$L$800,535+CS$3,2+CS$2)&lt;&gt;"",INDEX('×入力'!$A$1:$L$800,534,2+CS$2)&lt;&gt;"",INDEX('×入力'!$A$1:$L$800,535+CS$3,1)&lt;&gt;""),1,0),0)</f>
        <v/>
      </c>
      <c r="CT43">
        <f>IF(CT$4=1,IF(OR(INDEX('×入力'!$A$1:$L$800,535+CT$3,2+CT$2)&lt;&gt;"",INDEX('×入力'!$A$1:$L$800,534,2+CT$2)&lt;&gt;"",INDEX('×入力'!$A$1:$L$800,535+CT$3,1)&lt;&gt;""),1,0),0)</f>
        <v/>
      </c>
      <c r="CU43">
        <f>IF(CU$4=1,IF(OR(INDEX('×入力'!$A$1:$L$800,535+CU$3,2+CU$2)&lt;&gt;"",INDEX('×入力'!$A$1:$L$800,534,2+CU$2)&lt;&gt;"",INDEX('×入力'!$A$1:$L$800,535+CU$3,1)&lt;&gt;""),1,0),0)</f>
        <v/>
      </c>
      <c r="CV43">
        <f>IF(CV$4=1,IF(OR(INDEX('×入力'!$A$1:$L$800,535+CV$3,2+CV$2)&lt;&gt;"",INDEX('×入力'!$A$1:$L$800,534,2+CV$2)&lt;&gt;"",INDEX('×入力'!$A$1:$L$800,535+CV$3,1)&lt;&gt;""),1,0),0)</f>
        <v/>
      </c>
      <c r="CW43">
        <f>IF(CW$4=1,IF(OR(INDEX('×入力'!$A$1:$L$800,535+CW$3,2+CW$2)&lt;&gt;"",INDEX('×入力'!$A$1:$L$800,534,2+CW$2)&lt;&gt;"",INDEX('×入力'!$A$1:$L$800,535+CW$3,1)&lt;&gt;""),1,0),0)</f>
        <v/>
      </c>
      <c r="CX43">
        <f>IF(CX$4=1,IF(OR(INDEX('×入力'!$A$1:$L$800,535+CX$3,2+CX$2)&lt;&gt;"",INDEX('×入力'!$A$1:$L$800,534,2+CX$2)&lt;&gt;"",INDEX('×入力'!$A$1:$L$800,535+CX$3,1)&lt;&gt;""),1,0),0)</f>
        <v/>
      </c>
      <c r="CY43">
        <f>IF(CY$4=1,IF(OR(INDEX('×入力'!$A$1:$L$800,535+CY$3,2+CY$2)&lt;&gt;"",INDEX('×入力'!$A$1:$L$800,534,2+CY$2)&lt;&gt;"",INDEX('×入力'!$A$1:$L$800,535+CY$3,1)&lt;&gt;""),1,0),0)</f>
        <v/>
      </c>
      <c r="CZ43">
        <f>IF(CZ$4=1,IF(OR(INDEX('×入力'!$A$1:$L$800,535+CZ$3,2+CZ$2)&lt;&gt;"",INDEX('×入力'!$A$1:$L$800,534,2+CZ$2)&lt;&gt;"",INDEX('×入力'!$A$1:$L$800,535+CZ$3,1)&lt;&gt;""),1,0),0)</f>
        <v/>
      </c>
      <c r="DA43">
        <f>IF(DA$4=1,IF(OR(INDEX('×入力'!$A$1:$L$800,535+DA$3,2+DA$2)&lt;&gt;"",INDEX('×入力'!$A$1:$L$800,534,2+DA$2)&lt;&gt;"",INDEX('×入力'!$A$1:$L$800,535+DA$3,1)&lt;&gt;""),1,0),0)</f>
        <v/>
      </c>
      <c r="DB43">
        <f>IF(DB$4=1,IF(OR(INDEX('×入力'!$A$1:$L$800,535+DB$3,2+DB$2)&lt;&gt;"",INDEX('×入力'!$A$1:$L$800,534,2+DB$2)&lt;&gt;"",INDEX('×入力'!$A$1:$L$800,535+DB$3,1)&lt;&gt;""),1,0),0)</f>
        <v/>
      </c>
      <c r="DC43">
        <f>IF(DC$4=1,IF(OR(INDEX('×入力'!$A$1:$L$800,535+DC$3,2+DC$2)&lt;&gt;"",INDEX('×入力'!$A$1:$L$800,534,2+DC$2)&lt;&gt;"",INDEX('×入力'!$A$1:$L$800,535+DC$3,1)&lt;&gt;""),1,0),0)</f>
        <v/>
      </c>
      <c r="DD43">
        <f>IF(DD$4=1,IF(OR(INDEX('×入力'!$A$1:$L$800,535+DD$3,2+DD$2)&lt;&gt;"",INDEX('×入力'!$A$1:$L$800,534,2+DD$2)&lt;&gt;"",INDEX('×入力'!$A$1:$L$800,535+DD$3,1)&lt;&gt;""),1,0),0)</f>
        <v/>
      </c>
      <c r="DE43">
        <f>IF(DE$4=1,IF(OR(INDEX('×入力'!$A$1:$L$800,535+DE$3,2+DE$2)&lt;&gt;"",INDEX('×入力'!$A$1:$L$800,534,2+DE$2)&lt;&gt;"",INDEX('×入力'!$A$1:$L$800,535+DE$3,1)&lt;&gt;""),1,0),0)</f>
        <v/>
      </c>
      <c r="DF43">
        <f>IF(DF$4=1,IF(OR(INDEX('×入力'!$A$1:$L$800,535+DF$3,2+DF$2)&lt;&gt;"",INDEX('×入力'!$A$1:$L$800,534,2+DF$2)&lt;&gt;"",INDEX('×入力'!$A$1:$L$800,535+DF$3,1)&lt;&gt;""),1,0),0)</f>
        <v/>
      </c>
      <c r="DG43">
        <f>IF(DG$4=1,IF(OR(INDEX('×入力'!$A$1:$L$800,535+DG$3,2+DG$2)&lt;&gt;"",INDEX('×入力'!$A$1:$L$800,534,2+DG$2)&lt;&gt;"",INDEX('×入力'!$A$1:$L$800,535+DG$3,1)&lt;&gt;""),1,0),0)</f>
        <v/>
      </c>
      <c r="DH43">
        <f>IF(DH$4=1,IF(OR(INDEX('×入力'!$A$1:$L$800,535+DH$3,2+DH$2)&lt;&gt;"",INDEX('×入力'!$A$1:$L$800,534,2+DH$2)&lt;&gt;"",INDEX('×入力'!$A$1:$L$800,535+DH$3,1)&lt;&gt;""),1,0),0)</f>
        <v/>
      </c>
      <c r="DI43">
        <f>IF(DI$4=1,IF(OR(INDEX('×入力'!$A$1:$L$800,535+DI$3,2+DI$2)&lt;&gt;"",INDEX('×入力'!$A$1:$L$800,534,2+DI$2)&lt;&gt;"",INDEX('×入力'!$A$1:$L$800,535+DI$3,1)&lt;&gt;""),1,0),0)</f>
        <v/>
      </c>
      <c r="DJ43">
        <f>IF(DJ$4=1,IF(OR(INDEX('×入力'!$A$1:$L$800,535+DJ$3,2+DJ$2)&lt;&gt;"",INDEX('×入力'!$A$1:$L$800,534,2+DJ$2)&lt;&gt;"",INDEX('×入力'!$A$1:$L$800,535+DJ$3,1)&lt;&gt;""),1,0),0)</f>
        <v/>
      </c>
      <c r="DK43">
        <f>IF(DK$4=1,IF(OR(INDEX('×入力'!$A$1:$L$800,535+DK$3,2+DK$2)&lt;&gt;"",INDEX('×入力'!$A$1:$L$800,534,2+DK$2)&lt;&gt;"",INDEX('×入力'!$A$1:$L$800,535+DK$3,1)&lt;&gt;""),1,0),0)</f>
        <v/>
      </c>
      <c r="DL43">
        <f>IF(DL$4=1,IF(OR(INDEX('×入力'!$A$1:$L$800,535+DL$3,2+DL$2)&lt;&gt;"",INDEX('×入力'!$A$1:$L$800,534,2+DL$2)&lt;&gt;"",INDEX('×入力'!$A$1:$L$800,535+DL$3,1)&lt;&gt;""),1,0),0)</f>
        <v/>
      </c>
      <c r="DM43">
        <f>IF(DM$4=1,IF(OR(INDEX('×入力'!$A$1:$L$800,535+DM$3,2+DM$2)&lt;&gt;"",INDEX('×入力'!$A$1:$L$800,534,2+DM$2)&lt;&gt;"",INDEX('×入力'!$A$1:$L$800,535+DM$3,1)&lt;&gt;""),1,0),0)</f>
        <v/>
      </c>
      <c r="DN43">
        <f>IF(DN$4=1,IF(OR(INDEX('×入力'!$A$1:$L$800,535+DN$3,2+DN$2)&lt;&gt;"",INDEX('×入力'!$A$1:$L$800,534,2+DN$2)&lt;&gt;"",INDEX('×入力'!$A$1:$L$800,535+DN$3,1)&lt;&gt;""),1,0),0)</f>
        <v/>
      </c>
      <c r="DO43">
        <f>IF(DO$4=1,IF(OR(INDEX('×入力'!$A$1:$L$800,535+DO$3,2+DO$2)&lt;&gt;"",INDEX('×入力'!$A$1:$L$800,534,2+DO$2)&lt;&gt;"",INDEX('×入力'!$A$1:$L$800,535+DO$3,1)&lt;&gt;""),1,0),0)</f>
        <v/>
      </c>
      <c r="DP43">
        <f>IF(DP$4=1,IF(OR(INDEX('×入力'!$A$1:$L$800,535+DP$3,2+DP$2)&lt;&gt;"",INDEX('×入力'!$A$1:$L$800,534,2+DP$2)&lt;&gt;"",INDEX('×入力'!$A$1:$L$800,535+DP$3,1)&lt;&gt;""),1,0),0)</f>
        <v/>
      </c>
      <c r="DQ43">
        <f>IF(DQ$4=1,IF(OR(INDEX('×入力'!$A$1:$L$800,535+DQ$3,2+DQ$2)&lt;&gt;"",INDEX('×入力'!$A$1:$L$800,534,2+DQ$2)&lt;&gt;"",INDEX('×入力'!$A$1:$L$800,535+DQ$3,1)&lt;&gt;""),1,0),0)</f>
        <v/>
      </c>
      <c r="DR43">
        <f>IF(DR$4=1,IF(OR(INDEX('×入力'!$A$1:$L$800,535+DR$3,2+DR$2)&lt;&gt;"",INDEX('×入力'!$A$1:$L$800,534,2+DR$2)&lt;&gt;"",INDEX('×入力'!$A$1:$L$800,535+DR$3,1)&lt;&gt;""),1,0),0)</f>
        <v/>
      </c>
      <c r="DS43">
        <f>IF(DS$4=1,IF(OR(INDEX('×入力'!$A$1:$L$800,535+DS$3,2+DS$2)&lt;&gt;"",INDEX('×入力'!$A$1:$L$800,534,2+DS$2)&lt;&gt;"",INDEX('×入力'!$A$1:$L$800,535+DS$3,1)&lt;&gt;""),1,0),0)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IF(D$4=1,IF(OR(INDEX('×入力'!$A$1:$L$800,551+D$3,2+D$2)&lt;&gt;"",INDEX('×入力'!$A$1:$L$800,550,2+D$2)&lt;&gt;"",INDEX('×入力'!$A$1:$L$800,551+D$3,1)&lt;&gt;""),1,0),0)</f>
        <v/>
      </c>
      <c r="E44">
        <f>IF(E$4=1,IF(OR(INDEX('×入力'!$A$1:$L$800,551+E$3,2+E$2)&lt;&gt;"",INDEX('×入力'!$A$1:$L$800,550,2+E$2)&lt;&gt;"",INDEX('×入力'!$A$1:$L$800,551+E$3,1)&lt;&gt;""),1,0),0)</f>
        <v/>
      </c>
      <c r="F44">
        <f>IF(F$4=1,IF(OR(INDEX('×入力'!$A$1:$L$800,551+F$3,2+F$2)&lt;&gt;"",INDEX('×入力'!$A$1:$L$800,550,2+F$2)&lt;&gt;"",INDEX('×入力'!$A$1:$L$800,551+F$3,1)&lt;&gt;""),1,0),0)</f>
        <v/>
      </c>
      <c r="G44">
        <f>IF(G$4=1,IF(OR(INDEX('×入力'!$A$1:$L$800,551+G$3,2+G$2)&lt;&gt;"",INDEX('×入力'!$A$1:$L$800,550,2+G$2)&lt;&gt;"",INDEX('×入力'!$A$1:$L$800,551+G$3,1)&lt;&gt;""),1,0),0)</f>
        <v/>
      </c>
      <c r="H44">
        <f>IF(H$4=1,IF(OR(INDEX('×入力'!$A$1:$L$800,551+H$3,2+H$2)&lt;&gt;"",INDEX('×入力'!$A$1:$L$800,550,2+H$2)&lt;&gt;"",INDEX('×入力'!$A$1:$L$800,551+H$3,1)&lt;&gt;""),1,0),0)</f>
        <v/>
      </c>
      <c r="I44">
        <f>IF(I$4=1,IF(OR(INDEX('×入力'!$A$1:$L$800,551+I$3,2+I$2)&lt;&gt;"",INDEX('×入力'!$A$1:$L$800,550,2+I$2)&lt;&gt;"",INDEX('×入力'!$A$1:$L$800,551+I$3,1)&lt;&gt;""),1,0),0)</f>
        <v/>
      </c>
      <c r="J44">
        <f>IF(J$4=1,IF(OR(INDEX('×入力'!$A$1:$L$800,551+J$3,2+J$2)&lt;&gt;"",INDEX('×入力'!$A$1:$L$800,550,2+J$2)&lt;&gt;"",INDEX('×入力'!$A$1:$L$800,551+J$3,1)&lt;&gt;""),1,0),0)</f>
        <v/>
      </c>
      <c r="K44">
        <f>IF(K$4=1,IF(OR(INDEX('×入力'!$A$1:$L$800,551+K$3,2+K$2)&lt;&gt;"",INDEX('×入力'!$A$1:$L$800,550,2+K$2)&lt;&gt;"",INDEX('×入力'!$A$1:$L$800,551+K$3,1)&lt;&gt;""),1,0),0)</f>
        <v/>
      </c>
      <c r="L44">
        <f>IF(L$4=1,IF(OR(INDEX('×入力'!$A$1:$L$800,551+L$3,2+L$2)&lt;&gt;"",INDEX('×入力'!$A$1:$L$800,550,2+L$2)&lt;&gt;"",INDEX('×入力'!$A$1:$L$800,551+L$3,1)&lt;&gt;""),1,0),0)</f>
        <v/>
      </c>
      <c r="M44">
        <f>IF(M$4=1,IF(OR(INDEX('×入力'!$A$1:$L$800,551+M$3,2+M$2)&lt;&gt;"",INDEX('×入力'!$A$1:$L$800,550,2+M$2)&lt;&gt;"",INDEX('×入力'!$A$1:$L$800,551+M$3,1)&lt;&gt;""),1,0),0)</f>
        <v/>
      </c>
      <c r="N44">
        <f>IF(N$4=1,IF(OR(INDEX('×入力'!$A$1:$L$800,551+N$3,2+N$2)&lt;&gt;"",INDEX('×入力'!$A$1:$L$800,550,2+N$2)&lt;&gt;"",INDEX('×入力'!$A$1:$L$800,551+N$3,1)&lt;&gt;""),1,0),0)</f>
        <v/>
      </c>
      <c r="O44">
        <f>IF(O$4=1,IF(OR(INDEX('×入力'!$A$1:$L$800,551+O$3,2+O$2)&lt;&gt;"",INDEX('×入力'!$A$1:$L$800,550,2+O$2)&lt;&gt;"",INDEX('×入力'!$A$1:$L$800,551+O$3,1)&lt;&gt;""),1,0),0)</f>
        <v/>
      </c>
      <c r="P44">
        <f>IF(P$4=1,IF(OR(INDEX('×入力'!$A$1:$L$800,551+P$3,2+P$2)&lt;&gt;"",INDEX('×入力'!$A$1:$L$800,550,2+P$2)&lt;&gt;"",INDEX('×入力'!$A$1:$L$800,551+P$3,1)&lt;&gt;""),1,0),0)</f>
        <v/>
      </c>
      <c r="Q44">
        <f>IF(Q$4=1,IF(OR(INDEX('×入力'!$A$1:$L$800,551+Q$3,2+Q$2)&lt;&gt;"",INDEX('×入力'!$A$1:$L$800,550,2+Q$2)&lt;&gt;"",INDEX('×入力'!$A$1:$L$800,551+Q$3,1)&lt;&gt;""),1,0),0)</f>
        <v/>
      </c>
      <c r="R44">
        <f>IF(R$4=1,IF(OR(INDEX('×入力'!$A$1:$L$800,551+R$3,2+R$2)&lt;&gt;"",INDEX('×入力'!$A$1:$L$800,550,2+R$2)&lt;&gt;"",INDEX('×入力'!$A$1:$L$800,551+R$3,1)&lt;&gt;""),1,0),0)</f>
        <v/>
      </c>
      <c r="S44">
        <f>IF(S$4=1,IF(OR(INDEX('×入力'!$A$1:$L$800,551+S$3,2+S$2)&lt;&gt;"",INDEX('×入力'!$A$1:$L$800,550,2+S$2)&lt;&gt;"",INDEX('×入力'!$A$1:$L$800,551+S$3,1)&lt;&gt;""),1,0),0)</f>
        <v/>
      </c>
      <c r="T44">
        <f>IF(T$4=1,IF(OR(INDEX('×入力'!$A$1:$L$800,551+T$3,2+T$2)&lt;&gt;"",INDEX('×入力'!$A$1:$L$800,550,2+T$2)&lt;&gt;"",INDEX('×入力'!$A$1:$L$800,551+T$3,1)&lt;&gt;""),1,0),0)</f>
        <v/>
      </c>
      <c r="U44">
        <f>IF(U$4=1,IF(OR(INDEX('×入力'!$A$1:$L$800,551+U$3,2+U$2)&lt;&gt;"",INDEX('×入力'!$A$1:$L$800,550,2+U$2)&lt;&gt;"",INDEX('×入力'!$A$1:$L$800,551+U$3,1)&lt;&gt;""),1,0),0)</f>
        <v/>
      </c>
      <c r="V44">
        <f>IF(V$4=1,IF(OR(INDEX('×入力'!$A$1:$L$800,551+V$3,2+V$2)&lt;&gt;"",INDEX('×入力'!$A$1:$L$800,550,2+V$2)&lt;&gt;"",INDEX('×入力'!$A$1:$L$800,551+V$3,1)&lt;&gt;""),1,0),0)</f>
        <v/>
      </c>
      <c r="W44">
        <f>IF(W$4=1,IF(OR(INDEX('×入力'!$A$1:$L$800,551+W$3,2+W$2)&lt;&gt;"",INDEX('×入力'!$A$1:$L$800,550,2+W$2)&lt;&gt;"",INDEX('×入力'!$A$1:$L$800,551+W$3,1)&lt;&gt;""),1,0),0)</f>
        <v/>
      </c>
      <c r="X44">
        <f>IF(X$4=1,IF(OR(INDEX('×入力'!$A$1:$L$800,551+X$3,2+X$2)&lt;&gt;"",INDEX('×入力'!$A$1:$L$800,550,2+X$2)&lt;&gt;"",INDEX('×入力'!$A$1:$L$800,551+X$3,1)&lt;&gt;""),1,0),0)</f>
        <v/>
      </c>
      <c r="Y44">
        <f>IF(Y$4=1,IF(OR(INDEX('×入力'!$A$1:$L$800,551+Y$3,2+Y$2)&lt;&gt;"",INDEX('×入力'!$A$1:$L$800,550,2+Y$2)&lt;&gt;"",INDEX('×入力'!$A$1:$L$800,551+Y$3,1)&lt;&gt;""),1,0),0)</f>
        <v/>
      </c>
      <c r="Z44">
        <f>IF(Z$4=1,IF(OR(INDEX('×入力'!$A$1:$L$800,551+Z$3,2+Z$2)&lt;&gt;"",INDEX('×入力'!$A$1:$L$800,550,2+Z$2)&lt;&gt;"",INDEX('×入力'!$A$1:$L$800,551+Z$3,1)&lt;&gt;""),1,0),0)</f>
        <v/>
      </c>
      <c r="AA44">
        <f>IF(AA$4=1,IF(OR(INDEX('×入力'!$A$1:$L$800,551+AA$3,2+AA$2)&lt;&gt;"",INDEX('×入力'!$A$1:$L$800,550,2+AA$2)&lt;&gt;"",INDEX('×入力'!$A$1:$L$800,551+AA$3,1)&lt;&gt;""),1,0),0)</f>
        <v/>
      </c>
      <c r="AB44">
        <f>IF(AB$4=1,IF(OR(INDEX('×入力'!$A$1:$L$800,551+AB$3,2+AB$2)&lt;&gt;"",INDEX('×入力'!$A$1:$L$800,550,2+AB$2)&lt;&gt;"",INDEX('×入力'!$A$1:$L$800,551+AB$3,1)&lt;&gt;""),1,0),0)</f>
        <v/>
      </c>
      <c r="AC44">
        <f>IF(AC$4=1,IF(OR(INDEX('×入力'!$A$1:$L$800,551+AC$3,2+AC$2)&lt;&gt;"",INDEX('×入力'!$A$1:$L$800,550,2+AC$2)&lt;&gt;"",INDEX('×入力'!$A$1:$L$800,551+AC$3,1)&lt;&gt;""),1,0),0)</f>
        <v/>
      </c>
      <c r="AD44">
        <f>IF(AD$4=1,IF(OR(INDEX('×入力'!$A$1:$L$800,551+AD$3,2+AD$2)&lt;&gt;"",INDEX('×入力'!$A$1:$L$800,550,2+AD$2)&lt;&gt;"",INDEX('×入力'!$A$1:$L$800,551+AD$3,1)&lt;&gt;""),1,0),0)</f>
        <v/>
      </c>
      <c r="AE44">
        <f>IF(AE$4=1,IF(OR(INDEX('×入力'!$A$1:$L$800,551+AE$3,2+AE$2)&lt;&gt;"",INDEX('×入力'!$A$1:$L$800,550,2+AE$2)&lt;&gt;"",INDEX('×入力'!$A$1:$L$800,551+AE$3,1)&lt;&gt;""),1,0),0)</f>
        <v/>
      </c>
      <c r="AF44">
        <f>IF(AF$4=1,IF(OR(INDEX('×入力'!$A$1:$L$800,551+AF$3,2+AF$2)&lt;&gt;"",INDEX('×入力'!$A$1:$L$800,550,2+AF$2)&lt;&gt;"",INDEX('×入力'!$A$1:$L$800,551+AF$3,1)&lt;&gt;""),1,0),0)</f>
        <v/>
      </c>
      <c r="AG44">
        <f>IF(AG$4=1,IF(OR(INDEX('×入力'!$A$1:$L$800,551+AG$3,2+AG$2)&lt;&gt;"",INDEX('×入力'!$A$1:$L$800,550,2+AG$2)&lt;&gt;"",INDEX('×入力'!$A$1:$L$800,551+AG$3,1)&lt;&gt;""),1,0),0)</f>
        <v/>
      </c>
      <c r="AH44">
        <f>IF(AH$4=1,IF(OR(INDEX('×入力'!$A$1:$L$800,551+AH$3,2+AH$2)&lt;&gt;"",INDEX('×入力'!$A$1:$L$800,550,2+AH$2)&lt;&gt;"",INDEX('×入力'!$A$1:$L$800,551+AH$3,1)&lt;&gt;""),1,0),0)</f>
        <v/>
      </c>
      <c r="AI44">
        <f>IF(AI$4=1,IF(OR(INDEX('×入力'!$A$1:$L$800,551+AI$3,2+AI$2)&lt;&gt;"",INDEX('×入力'!$A$1:$L$800,550,2+AI$2)&lt;&gt;"",INDEX('×入力'!$A$1:$L$800,551+AI$3,1)&lt;&gt;""),1,0),0)</f>
        <v/>
      </c>
      <c r="AJ44">
        <f>IF(AJ$4=1,IF(OR(INDEX('×入力'!$A$1:$L$800,551+AJ$3,2+AJ$2)&lt;&gt;"",INDEX('×入力'!$A$1:$L$800,550,2+AJ$2)&lt;&gt;"",INDEX('×入力'!$A$1:$L$800,551+AJ$3,1)&lt;&gt;""),1,0),0)</f>
        <v/>
      </c>
      <c r="AK44">
        <f>IF(AK$4=1,IF(OR(INDEX('×入力'!$A$1:$L$800,551+AK$3,2+AK$2)&lt;&gt;"",INDEX('×入力'!$A$1:$L$800,550,2+AK$2)&lt;&gt;"",INDEX('×入力'!$A$1:$L$800,551+AK$3,1)&lt;&gt;""),1,0),0)</f>
        <v/>
      </c>
      <c r="AL44">
        <f>IF(AL$4=1,IF(OR(INDEX('×入力'!$A$1:$L$800,551+AL$3,2+AL$2)&lt;&gt;"",INDEX('×入力'!$A$1:$L$800,550,2+AL$2)&lt;&gt;"",INDEX('×入力'!$A$1:$L$800,551+AL$3,1)&lt;&gt;""),1,0),0)</f>
        <v/>
      </c>
      <c r="AM44">
        <f>IF(AM$4=1,IF(OR(INDEX('×入力'!$A$1:$L$800,551+AM$3,2+AM$2)&lt;&gt;"",INDEX('×入力'!$A$1:$L$800,550,2+AM$2)&lt;&gt;"",INDEX('×入力'!$A$1:$L$800,551+AM$3,1)&lt;&gt;""),1,0),0)</f>
        <v/>
      </c>
      <c r="AN44">
        <f>IF(AN$4=1,IF(OR(INDEX('×入力'!$A$1:$L$800,551+AN$3,2+AN$2)&lt;&gt;"",INDEX('×入力'!$A$1:$L$800,550,2+AN$2)&lt;&gt;"",INDEX('×入力'!$A$1:$L$800,551+AN$3,1)&lt;&gt;""),1,0),0)</f>
        <v/>
      </c>
      <c r="AO44">
        <f>IF(AO$4=1,IF(OR(INDEX('×入力'!$A$1:$L$800,551+AO$3,2+AO$2)&lt;&gt;"",INDEX('×入力'!$A$1:$L$800,550,2+AO$2)&lt;&gt;"",INDEX('×入力'!$A$1:$L$800,551+AO$3,1)&lt;&gt;""),1,0),0)</f>
        <v/>
      </c>
      <c r="AP44">
        <f>IF(AP$4=1,IF(OR(INDEX('×入力'!$A$1:$L$800,551+AP$3,2+AP$2)&lt;&gt;"",INDEX('×入力'!$A$1:$L$800,550,2+AP$2)&lt;&gt;"",INDEX('×入力'!$A$1:$L$800,551+AP$3,1)&lt;&gt;""),1,0),0)</f>
        <v/>
      </c>
      <c r="AQ44">
        <f>IF(AQ$4=1,IF(OR(INDEX('×入力'!$A$1:$L$800,551+AQ$3,2+AQ$2)&lt;&gt;"",INDEX('×入力'!$A$1:$L$800,550,2+AQ$2)&lt;&gt;"",INDEX('×入力'!$A$1:$L$800,551+AQ$3,1)&lt;&gt;""),1,0),0)</f>
        <v/>
      </c>
      <c r="AR44">
        <f>IF(AR$4=1,IF(OR(INDEX('×入力'!$A$1:$L$800,551+AR$3,2+AR$2)&lt;&gt;"",INDEX('×入力'!$A$1:$L$800,550,2+AR$2)&lt;&gt;"",INDEX('×入力'!$A$1:$L$800,551+AR$3,1)&lt;&gt;""),1,0),0)</f>
        <v/>
      </c>
      <c r="AS44">
        <f>IF(AS$4=1,IF(OR(INDEX('×入力'!$A$1:$L$800,551+AS$3,2+AS$2)&lt;&gt;"",INDEX('×入力'!$A$1:$L$800,550,2+AS$2)&lt;&gt;"",INDEX('×入力'!$A$1:$L$800,551+AS$3,1)&lt;&gt;""),1,0),0)</f>
        <v/>
      </c>
      <c r="AT44">
        <f>IF(AT$4=1,IF(OR(INDEX('×入力'!$A$1:$L$800,551+AT$3,2+AT$2)&lt;&gt;"",INDEX('×入力'!$A$1:$L$800,550,2+AT$2)&lt;&gt;"",INDEX('×入力'!$A$1:$L$800,551+AT$3,1)&lt;&gt;""),1,0),0)</f>
        <v/>
      </c>
      <c r="AU44">
        <f>IF(AU$4=1,IF(OR(INDEX('×入力'!$A$1:$L$800,551+AU$3,2+AU$2)&lt;&gt;"",INDEX('×入力'!$A$1:$L$800,550,2+AU$2)&lt;&gt;"",INDEX('×入力'!$A$1:$L$800,551+AU$3,1)&lt;&gt;""),1,0),0)</f>
        <v/>
      </c>
      <c r="AV44">
        <f>IF(AV$4=1,IF(OR(INDEX('×入力'!$A$1:$L$800,551+AV$3,2+AV$2)&lt;&gt;"",INDEX('×入力'!$A$1:$L$800,550,2+AV$2)&lt;&gt;"",INDEX('×入力'!$A$1:$L$800,551+AV$3,1)&lt;&gt;""),1,0),0)</f>
        <v/>
      </c>
      <c r="AW44">
        <f>IF(AW$4=1,IF(OR(INDEX('×入力'!$A$1:$L$800,551+AW$3,2+AW$2)&lt;&gt;"",INDEX('×入力'!$A$1:$L$800,550,2+AW$2)&lt;&gt;"",INDEX('×入力'!$A$1:$L$800,551+AW$3,1)&lt;&gt;""),1,0),0)</f>
        <v/>
      </c>
      <c r="AX44">
        <f>IF(AX$4=1,IF(OR(INDEX('×入力'!$A$1:$L$800,551+AX$3,2+AX$2)&lt;&gt;"",INDEX('×入力'!$A$1:$L$800,550,2+AX$2)&lt;&gt;"",INDEX('×入力'!$A$1:$L$800,551+AX$3,1)&lt;&gt;""),1,0),0)</f>
        <v/>
      </c>
      <c r="AY44">
        <f>IF(AY$4=1,IF(OR(INDEX('×入力'!$A$1:$L$800,551+AY$3,2+AY$2)&lt;&gt;"",INDEX('×入力'!$A$1:$L$800,550,2+AY$2)&lt;&gt;"",INDEX('×入力'!$A$1:$L$800,551+AY$3,1)&lt;&gt;""),1,0),0)</f>
        <v/>
      </c>
      <c r="AZ44">
        <f>IF(AZ$4=1,IF(OR(INDEX('×入力'!$A$1:$L$800,551+AZ$3,2+AZ$2)&lt;&gt;"",INDEX('×入力'!$A$1:$L$800,550,2+AZ$2)&lt;&gt;"",INDEX('×入力'!$A$1:$L$800,551+AZ$3,1)&lt;&gt;""),1,0),0)</f>
        <v/>
      </c>
      <c r="BA44">
        <f>IF(BA$4=1,IF(OR(INDEX('×入力'!$A$1:$L$800,551+BA$3,2+BA$2)&lt;&gt;"",INDEX('×入力'!$A$1:$L$800,550,2+BA$2)&lt;&gt;"",INDEX('×入力'!$A$1:$L$800,551+BA$3,1)&lt;&gt;""),1,0),0)</f>
        <v/>
      </c>
      <c r="BB44">
        <f>IF(BB$4=1,IF(OR(INDEX('×入力'!$A$1:$L$800,551+BB$3,2+BB$2)&lt;&gt;"",INDEX('×入力'!$A$1:$L$800,550,2+BB$2)&lt;&gt;"",INDEX('×入力'!$A$1:$L$800,551+BB$3,1)&lt;&gt;""),1,0),0)</f>
        <v/>
      </c>
      <c r="BC44">
        <f>IF(BC$4=1,IF(OR(INDEX('×入力'!$A$1:$L$800,551+BC$3,2+BC$2)&lt;&gt;"",INDEX('×入力'!$A$1:$L$800,550,2+BC$2)&lt;&gt;"",INDEX('×入力'!$A$1:$L$800,551+BC$3,1)&lt;&gt;""),1,0),0)</f>
        <v/>
      </c>
      <c r="BD44">
        <f>IF(BD$4=1,IF(OR(INDEX('×入力'!$A$1:$L$800,551+BD$3,2+BD$2)&lt;&gt;"",INDEX('×入力'!$A$1:$L$800,550,2+BD$2)&lt;&gt;"",INDEX('×入力'!$A$1:$L$800,551+BD$3,1)&lt;&gt;""),1,0),0)</f>
        <v/>
      </c>
      <c r="BE44">
        <f>IF(BE$4=1,IF(OR(INDEX('×入力'!$A$1:$L$800,551+BE$3,2+BE$2)&lt;&gt;"",INDEX('×入力'!$A$1:$L$800,550,2+BE$2)&lt;&gt;"",INDEX('×入力'!$A$1:$L$800,551+BE$3,1)&lt;&gt;""),1,0),0)</f>
        <v/>
      </c>
      <c r="BF44">
        <f>IF(BF$4=1,IF(OR(INDEX('×入力'!$A$1:$L$800,551+BF$3,2+BF$2)&lt;&gt;"",INDEX('×入力'!$A$1:$L$800,550,2+BF$2)&lt;&gt;"",INDEX('×入力'!$A$1:$L$800,551+BF$3,1)&lt;&gt;""),1,0),0)</f>
        <v/>
      </c>
      <c r="BG44">
        <f>IF(BG$4=1,IF(OR(INDEX('×入力'!$A$1:$L$800,551+BG$3,2+BG$2)&lt;&gt;"",INDEX('×入力'!$A$1:$L$800,550,2+BG$2)&lt;&gt;"",INDEX('×入力'!$A$1:$L$800,551+BG$3,1)&lt;&gt;""),1,0),0)</f>
        <v/>
      </c>
      <c r="BH44">
        <f>IF(BH$4=1,IF(OR(INDEX('×入力'!$A$1:$L$800,551+BH$3,2+BH$2)&lt;&gt;"",INDEX('×入力'!$A$1:$L$800,550,2+BH$2)&lt;&gt;"",INDEX('×入力'!$A$1:$L$800,551+BH$3,1)&lt;&gt;""),1,0),0)</f>
        <v/>
      </c>
      <c r="BI44">
        <f>IF(BI$4=1,IF(OR(INDEX('×入力'!$A$1:$L$800,551+BI$3,2+BI$2)&lt;&gt;"",INDEX('×入力'!$A$1:$L$800,550,2+BI$2)&lt;&gt;"",INDEX('×入力'!$A$1:$L$800,551+BI$3,1)&lt;&gt;""),1,0),0)</f>
        <v/>
      </c>
      <c r="BJ44">
        <f>IF(BJ$4=1,IF(OR(INDEX('×入力'!$A$1:$L$800,551+BJ$3,2+BJ$2)&lt;&gt;"",INDEX('×入力'!$A$1:$L$800,550,2+BJ$2)&lt;&gt;"",INDEX('×入力'!$A$1:$L$800,551+BJ$3,1)&lt;&gt;""),1,0),0)</f>
        <v/>
      </c>
      <c r="BK44">
        <f>IF(BK$4=1,IF(OR(INDEX('×入力'!$A$1:$L$800,551+BK$3,2+BK$2)&lt;&gt;"",INDEX('×入力'!$A$1:$L$800,550,2+BK$2)&lt;&gt;"",INDEX('×入力'!$A$1:$L$800,551+BK$3,1)&lt;&gt;""),1,0),0)</f>
        <v/>
      </c>
      <c r="BL44">
        <f>IF(BL$4=1,IF(OR(INDEX('×入力'!$A$1:$L$800,551+BL$3,2+BL$2)&lt;&gt;"",INDEX('×入力'!$A$1:$L$800,550,2+BL$2)&lt;&gt;"",INDEX('×入力'!$A$1:$L$800,551+BL$3,1)&lt;&gt;""),1,0),0)</f>
        <v/>
      </c>
      <c r="BM44">
        <f>IF(BM$4=1,IF(OR(INDEX('×入力'!$A$1:$L$800,551+BM$3,2+BM$2)&lt;&gt;"",INDEX('×入力'!$A$1:$L$800,550,2+BM$2)&lt;&gt;"",INDEX('×入力'!$A$1:$L$800,551+BM$3,1)&lt;&gt;""),1,0),0)</f>
        <v/>
      </c>
      <c r="BN44">
        <f>IF(BN$4=1,IF(OR(INDEX('×入力'!$A$1:$L$800,551+BN$3,2+BN$2)&lt;&gt;"",INDEX('×入力'!$A$1:$L$800,550,2+BN$2)&lt;&gt;"",INDEX('×入力'!$A$1:$L$800,551+BN$3,1)&lt;&gt;""),1,0),0)</f>
        <v/>
      </c>
      <c r="BO44">
        <f>IF(BO$4=1,IF(OR(INDEX('×入力'!$A$1:$L$800,551+BO$3,2+BO$2)&lt;&gt;"",INDEX('×入力'!$A$1:$L$800,550,2+BO$2)&lt;&gt;"",INDEX('×入力'!$A$1:$L$800,551+BO$3,1)&lt;&gt;""),1,0),0)</f>
        <v/>
      </c>
      <c r="BP44">
        <f>IF(BP$4=1,IF(OR(INDEX('×入力'!$A$1:$L$800,551+BP$3,2+BP$2)&lt;&gt;"",INDEX('×入力'!$A$1:$L$800,550,2+BP$2)&lt;&gt;"",INDEX('×入力'!$A$1:$L$800,551+BP$3,1)&lt;&gt;""),1,0),0)</f>
        <v/>
      </c>
      <c r="BQ44">
        <f>IF(BQ$4=1,IF(OR(INDEX('×入力'!$A$1:$L$800,551+BQ$3,2+BQ$2)&lt;&gt;"",INDEX('×入力'!$A$1:$L$800,550,2+BQ$2)&lt;&gt;"",INDEX('×入力'!$A$1:$L$800,551+BQ$3,1)&lt;&gt;""),1,0),0)</f>
        <v/>
      </c>
      <c r="BR44">
        <f>IF(BR$4=1,IF(OR(INDEX('×入力'!$A$1:$L$800,551+BR$3,2+BR$2)&lt;&gt;"",INDEX('×入力'!$A$1:$L$800,550,2+BR$2)&lt;&gt;"",INDEX('×入力'!$A$1:$L$800,551+BR$3,1)&lt;&gt;""),1,0),0)</f>
        <v/>
      </c>
      <c r="BS44">
        <f>IF(BS$4=1,IF(OR(INDEX('×入力'!$A$1:$L$800,551+BS$3,2+BS$2)&lt;&gt;"",INDEX('×入力'!$A$1:$L$800,550,2+BS$2)&lt;&gt;"",INDEX('×入力'!$A$1:$L$800,551+BS$3,1)&lt;&gt;""),1,0),0)</f>
        <v/>
      </c>
      <c r="BT44">
        <f>IF(BT$4=1,IF(OR(INDEX('×入力'!$A$1:$L$800,551+BT$3,2+BT$2)&lt;&gt;"",INDEX('×入力'!$A$1:$L$800,550,2+BT$2)&lt;&gt;"",INDEX('×入力'!$A$1:$L$800,551+BT$3,1)&lt;&gt;""),1,0),0)</f>
        <v/>
      </c>
      <c r="BU44">
        <f>IF(BU$4=1,IF(OR(INDEX('×入力'!$A$1:$L$800,551+BU$3,2+BU$2)&lt;&gt;"",INDEX('×入力'!$A$1:$L$800,550,2+BU$2)&lt;&gt;"",INDEX('×入力'!$A$1:$L$800,551+BU$3,1)&lt;&gt;""),1,0),0)</f>
        <v/>
      </c>
      <c r="BV44">
        <f>IF(BV$4=1,IF(OR(INDEX('×入力'!$A$1:$L$800,551+BV$3,2+BV$2)&lt;&gt;"",INDEX('×入力'!$A$1:$L$800,550,2+BV$2)&lt;&gt;"",INDEX('×入力'!$A$1:$L$800,551+BV$3,1)&lt;&gt;""),1,0),0)</f>
        <v/>
      </c>
      <c r="BW44">
        <f>IF(BW$4=1,IF(OR(INDEX('×入力'!$A$1:$L$800,551+BW$3,2+BW$2)&lt;&gt;"",INDEX('×入力'!$A$1:$L$800,550,2+BW$2)&lt;&gt;"",INDEX('×入力'!$A$1:$L$800,551+BW$3,1)&lt;&gt;""),1,0),0)</f>
        <v/>
      </c>
      <c r="BX44">
        <f>IF(BX$4=1,IF(OR(INDEX('×入力'!$A$1:$L$800,551+BX$3,2+BX$2)&lt;&gt;"",INDEX('×入力'!$A$1:$L$800,550,2+BX$2)&lt;&gt;"",INDEX('×入力'!$A$1:$L$800,551+BX$3,1)&lt;&gt;""),1,0),0)</f>
        <v/>
      </c>
      <c r="BY44">
        <f>IF(BY$4=1,IF(OR(INDEX('×入力'!$A$1:$L$800,551+BY$3,2+BY$2)&lt;&gt;"",INDEX('×入力'!$A$1:$L$800,550,2+BY$2)&lt;&gt;"",INDEX('×入力'!$A$1:$L$800,551+BY$3,1)&lt;&gt;""),1,0),0)</f>
        <v/>
      </c>
      <c r="BZ44">
        <f>IF(BZ$4=1,IF(OR(INDEX('×入力'!$A$1:$L$800,551+BZ$3,2+BZ$2)&lt;&gt;"",INDEX('×入力'!$A$1:$L$800,550,2+BZ$2)&lt;&gt;"",INDEX('×入力'!$A$1:$L$800,551+BZ$3,1)&lt;&gt;""),1,0),0)</f>
        <v/>
      </c>
      <c r="CA44">
        <f>IF(CA$4=1,IF(OR(INDEX('×入力'!$A$1:$L$800,551+CA$3,2+CA$2)&lt;&gt;"",INDEX('×入力'!$A$1:$L$800,550,2+CA$2)&lt;&gt;"",INDEX('×入力'!$A$1:$L$800,551+CA$3,1)&lt;&gt;""),1,0),0)</f>
        <v/>
      </c>
      <c r="CB44">
        <f>IF(CB$4=1,IF(OR(INDEX('×入力'!$A$1:$L$800,551+CB$3,2+CB$2)&lt;&gt;"",INDEX('×入力'!$A$1:$L$800,550,2+CB$2)&lt;&gt;"",INDEX('×入力'!$A$1:$L$800,551+CB$3,1)&lt;&gt;""),1,0),0)</f>
        <v/>
      </c>
      <c r="CC44">
        <f>IF(CC$4=1,IF(OR(INDEX('×入力'!$A$1:$L$800,551+CC$3,2+CC$2)&lt;&gt;"",INDEX('×入力'!$A$1:$L$800,550,2+CC$2)&lt;&gt;"",INDEX('×入力'!$A$1:$L$800,551+CC$3,1)&lt;&gt;""),1,0),0)</f>
        <v/>
      </c>
      <c r="CD44">
        <f>IF(CD$4=1,IF(OR(INDEX('×入力'!$A$1:$L$800,551+CD$3,2+CD$2)&lt;&gt;"",INDEX('×入力'!$A$1:$L$800,550,2+CD$2)&lt;&gt;"",INDEX('×入力'!$A$1:$L$800,551+CD$3,1)&lt;&gt;""),1,0),0)</f>
        <v/>
      </c>
      <c r="CE44">
        <f>IF(CE$4=1,IF(OR(INDEX('×入力'!$A$1:$L$800,551+CE$3,2+CE$2)&lt;&gt;"",INDEX('×入力'!$A$1:$L$800,550,2+CE$2)&lt;&gt;"",INDEX('×入力'!$A$1:$L$800,551+CE$3,1)&lt;&gt;""),1,0),0)</f>
        <v/>
      </c>
      <c r="CF44">
        <f>IF(CF$4=1,IF(OR(INDEX('×入力'!$A$1:$L$800,551+CF$3,2+CF$2)&lt;&gt;"",INDEX('×入力'!$A$1:$L$800,550,2+CF$2)&lt;&gt;"",INDEX('×入力'!$A$1:$L$800,551+CF$3,1)&lt;&gt;""),1,0),0)</f>
        <v/>
      </c>
      <c r="CG44">
        <f>IF(CG$4=1,IF(OR(INDEX('×入力'!$A$1:$L$800,551+CG$3,2+CG$2)&lt;&gt;"",INDEX('×入力'!$A$1:$L$800,550,2+CG$2)&lt;&gt;"",INDEX('×入力'!$A$1:$L$800,551+CG$3,1)&lt;&gt;""),1,0),0)</f>
        <v/>
      </c>
      <c r="CH44">
        <f>IF(CH$4=1,IF(OR(INDEX('×入力'!$A$1:$L$800,551+CH$3,2+CH$2)&lt;&gt;"",INDEX('×入力'!$A$1:$L$800,550,2+CH$2)&lt;&gt;"",INDEX('×入力'!$A$1:$L$800,551+CH$3,1)&lt;&gt;""),1,0),0)</f>
        <v/>
      </c>
      <c r="CI44">
        <f>IF(CI$4=1,IF(OR(INDEX('×入力'!$A$1:$L$800,551+CI$3,2+CI$2)&lt;&gt;"",INDEX('×入力'!$A$1:$L$800,550,2+CI$2)&lt;&gt;"",INDEX('×入力'!$A$1:$L$800,551+CI$3,1)&lt;&gt;""),1,0),0)</f>
        <v/>
      </c>
      <c r="CJ44">
        <f>IF(CJ$4=1,IF(OR(INDEX('×入力'!$A$1:$L$800,551+CJ$3,2+CJ$2)&lt;&gt;"",INDEX('×入力'!$A$1:$L$800,550,2+CJ$2)&lt;&gt;"",INDEX('×入力'!$A$1:$L$800,551+CJ$3,1)&lt;&gt;""),1,0),0)</f>
        <v/>
      </c>
      <c r="CK44">
        <f>IF(CK$4=1,IF(OR(INDEX('×入力'!$A$1:$L$800,551+CK$3,2+CK$2)&lt;&gt;"",INDEX('×入力'!$A$1:$L$800,550,2+CK$2)&lt;&gt;"",INDEX('×入力'!$A$1:$L$800,551+CK$3,1)&lt;&gt;""),1,0),0)</f>
        <v/>
      </c>
      <c r="CL44">
        <f>IF(CL$4=1,IF(OR(INDEX('×入力'!$A$1:$L$800,551+CL$3,2+CL$2)&lt;&gt;"",INDEX('×入力'!$A$1:$L$800,550,2+CL$2)&lt;&gt;"",INDEX('×入力'!$A$1:$L$800,551+CL$3,1)&lt;&gt;""),1,0),0)</f>
        <v/>
      </c>
      <c r="CM44">
        <f>IF(CM$4=1,IF(OR(INDEX('×入力'!$A$1:$L$800,551+CM$3,2+CM$2)&lt;&gt;"",INDEX('×入力'!$A$1:$L$800,550,2+CM$2)&lt;&gt;"",INDEX('×入力'!$A$1:$L$800,551+CM$3,1)&lt;&gt;""),1,0),0)</f>
        <v/>
      </c>
      <c r="CN44">
        <f>IF(CN$4=1,IF(OR(INDEX('×入力'!$A$1:$L$800,551+CN$3,2+CN$2)&lt;&gt;"",INDEX('×入力'!$A$1:$L$800,550,2+CN$2)&lt;&gt;"",INDEX('×入力'!$A$1:$L$800,551+CN$3,1)&lt;&gt;""),1,0),0)</f>
        <v/>
      </c>
      <c r="CO44">
        <f>IF(CO$4=1,IF(OR(INDEX('×入力'!$A$1:$L$800,551+CO$3,2+CO$2)&lt;&gt;"",INDEX('×入力'!$A$1:$L$800,550,2+CO$2)&lt;&gt;"",INDEX('×入力'!$A$1:$L$800,551+CO$3,1)&lt;&gt;""),1,0),0)</f>
        <v/>
      </c>
      <c r="CP44">
        <f>IF(CP$4=1,IF(OR(INDEX('×入力'!$A$1:$L$800,551+CP$3,2+CP$2)&lt;&gt;"",INDEX('×入力'!$A$1:$L$800,550,2+CP$2)&lt;&gt;"",INDEX('×入力'!$A$1:$L$800,551+CP$3,1)&lt;&gt;""),1,0),0)</f>
        <v/>
      </c>
      <c r="CQ44">
        <f>IF(CQ$4=1,IF(OR(INDEX('×入力'!$A$1:$L$800,551+CQ$3,2+CQ$2)&lt;&gt;"",INDEX('×入力'!$A$1:$L$800,550,2+CQ$2)&lt;&gt;"",INDEX('×入力'!$A$1:$L$800,551+CQ$3,1)&lt;&gt;""),1,0),0)</f>
        <v/>
      </c>
      <c r="CR44">
        <f>IF(CR$4=1,IF(OR(INDEX('×入力'!$A$1:$L$800,551+CR$3,2+CR$2)&lt;&gt;"",INDEX('×入力'!$A$1:$L$800,550,2+CR$2)&lt;&gt;"",INDEX('×入力'!$A$1:$L$800,551+CR$3,1)&lt;&gt;""),1,0),0)</f>
        <v/>
      </c>
      <c r="CS44">
        <f>IF(CS$4=1,IF(OR(INDEX('×入力'!$A$1:$L$800,551+CS$3,2+CS$2)&lt;&gt;"",INDEX('×入力'!$A$1:$L$800,550,2+CS$2)&lt;&gt;"",INDEX('×入力'!$A$1:$L$800,551+CS$3,1)&lt;&gt;""),1,0),0)</f>
        <v/>
      </c>
      <c r="CT44">
        <f>IF(CT$4=1,IF(OR(INDEX('×入力'!$A$1:$L$800,551+CT$3,2+CT$2)&lt;&gt;"",INDEX('×入力'!$A$1:$L$800,550,2+CT$2)&lt;&gt;"",INDEX('×入力'!$A$1:$L$800,551+CT$3,1)&lt;&gt;""),1,0),0)</f>
        <v/>
      </c>
      <c r="CU44">
        <f>IF(CU$4=1,IF(OR(INDEX('×入力'!$A$1:$L$800,551+CU$3,2+CU$2)&lt;&gt;"",INDEX('×入力'!$A$1:$L$800,550,2+CU$2)&lt;&gt;"",INDEX('×入力'!$A$1:$L$800,551+CU$3,1)&lt;&gt;""),1,0),0)</f>
        <v/>
      </c>
      <c r="CV44">
        <f>IF(CV$4=1,IF(OR(INDEX('×入力'!$A$1:$L$800,551+CV$3,2+CV$2)&lt;&gt;"",INDEX('×入力'!$A$1:$L$800,550,2+CV$2)&lt;&gt;"",INDEX('×入力'!$A$1:$L$800,551+CV$3,1)&lt;&gt;""),1,0),0)</f>
        <v/>
      </c>
      <c r="CW44">
        <f>IF(CW$4=1,IF(OR(INDEX('×入力'!$A$1:$L$800,551+CW$3,2+CW$2)&lt;&gt;"",INDEX('×入力'!$A$1:$L$800,550,2+CW$2)&lt;&gt;"",INDEX('×入力'!$A$1:$L$800,551+CW$3,1)&lt;&gt;""),1,0),0)</f>
        <v/>
      </c>
      <c r="CX44">
        <f>IF(CX$4=1,IF(OR(INDEX('×入力'!$A$1:$L$800,551+CX$3,2+CX$2)&lt;&gt;"",INDEX('×入力'!$A$1:$L$800,550,2+CX$2)&lt;&gt;"",INDEX('×入力'!$A$1:$L$800,551+CX$3,1)&lt;&gt;""),1,0),0)</f>
        <v/>
      </c>
      <c r="CY44">
        <f>IF(CY$4=1,IF(OR(INDEX('×入力'!$A$1:$L$800,551+CY$3,2+CY$2)&lt;&gt;"",INDEX('×入力'!$A$1:$L$800,550,2+CY$2)&lt;&gt;"",INDEX('×入力'!$A$1:$L$800,551+CY$3,1)&lt;&gt;""),1,0),0)</f>
        <v/>
      </c>
      <c r="CZ44">
        <f>IF(CZ$4=1,IF(OR(INDEX('×入力'!$A$1:$L$800,551+CZ$3,2+CZ$2)&lt;&gt;"",INDEX('×入力'!$A$1:$L$800,550,2+CZ$2)&lt;&gt;"",INDEX('×入力'!$A$1:$L$800,551+CZ$3,1)&lt;&gt;""),1,0),0)</f>
        <v/>
      </c>
      <c r="DA44">
        <f>IF(DA$4=1,IF(OR(INDEX('×入力'!$A$1:$L$800,551+DA$3,2+DA$2)&lt;&gt;"",INDEX('×入力'!$A$1:$L$800,550,2+DA$2)&lt;&gt;"",INDEX('×入力'!$A$1:$L$800,551+DA$3,1)&lt;&gt;""),1,0),0)</f>
        <v/>
      </c>
      <c r="DB44">
        <f>IF(DB$4=1,IF(OR(INDEX('×入力'!$A$1:$L$800,551+DB$3,2+DB$2)&lt;&gt;"",INDEX('×入力'!$A$1:$L$800,550,2+DB$2)&lt;&gt;"",INDEX('×入力'!$A$1:$L$800,551+DB$3,1)&lt;&gt;""),1,0),0)</f>
        <v/>
      </c>
      <c r="DC44">
        <f>IF(DC$4=1,IF(OR(INDEX('×入力'!$A$1:$L$800,551+DC$3,2+DC$2)&lt;&gt;"",INDEX('×入力'!$A$1:$L$800,550,2+DC$2)&lt;&gt;"",INDEX('×入力'!$A$1:$L$800,551+DC$3,1)&lt;&gt;""),1,0),0)</f>
        <v/>
      </c>
      <c r="DD44">
        <f>IF(DD$4=1,IF(OR(INDEX('×入力'!$A$1:$L$800,551+DD$3,2+DD$2)&lt;&gt;"",INDEX('×入力'!$A$1:$L$800,550,2+DD$2)&lt;&gt;"",INDEX('×入力'!$A$1:$L$800,551+DD$3,1)&lt;&gt;""),1,0),0)</f>
        <v/>
      </c>
      <c r="DE44">
        <f>IF(DE$4=1,IF(OR(INDEX('×入力'!$A$1:$L$800,551+DE$3,2+DE$2)&lt;&gt;"",INDEX('×入力'!$A$1:$L$800,550,2+DE$2)&lt;&gt;"",INDEX('×入力'!$A$1:$L$800,551+DE$3,1)&lt;&gt;""),1,0),0)</f>
        <v/>
      </c>
      <c r="DF44">
        <f>IF(DF$4=1,IF(OR(INDEX('×入力'!$A$1:$L$800,551+DF$3,2+DF$2)&lt;&gt;"",INDEX('×入力'!$A$1:$L$800,550,2+DF$2)&lt;&gt;"",INDEX('×入力'!$A$1:$L$800,551+DF$3,1)&lt;&gt;""),1,0),0)</f>
        <v/>
      </c>
      <c r="DG44">
        <f>IF(DG$4=1,IF(OR(INDEX('×入力'!$A$1:$L$800,551+DG$3,2+DG$2)&lt;&gt;"",INDEX('×入力'!$A$1:$L$800,550,2+DG$2)&lt;&gt;"",INDEX('×入力'!$A$1:$L$800,551+DG$3,1)&lt;&gt;""),1,0),0)</f>
        <v/>
      </c>
      <c r="DH44">
        <f>IF(DH$4=1,IF(OR(INDEX('×入力'!$A$1:$L$800,551+DH$3,2+DH$2)&lt;&gt;"",INDEX('×入力'!$A$1:$L$800,550,2+DH$2)&lt;&gt;"",INDEX('×入力'!$A$1:$L$800,551+DH$3,1)&lt;&gt;""),1,0),0)</f>
        <v/>
      </c>
      <c r="DI44">
        <f>IF(DI$4=1,IF(OR(INDEX('×入力'!$A$1:$L$800,551+DI$3,2+DI$2)&lt;&gt;"",INDEX('×入力'!$A$1:$L$800,550,2+DI$2)&lt;&gt;"",INDEX('×入力'!$A$1:$L$800,551+DI$3,1)&lt;&gt;""),1,0),0)</f>
        <v/>
      </c>
      <c r="DJ44">
        <f>IF(DJ$4=1,IF(OR(INDEX('×入力'!$A$1:$L$800,551+DJ$3,2+DJ$2)&lt;&gt;"",INDEX('×入力'!$A$1:$L$800,550,2+DJ$2)&lt;&gt;"",INDEX('×入力'!$A$1:$L$800,551+DJ$3,1)&lt;&gt;""),1,0),0)</f>
        <v/>
      </c>
      <c r="DK44">
        <f>IF(DK$4=1,IF(OR(INDEX('×入力'!$A$1:$L$800,551+DK$3,2+DK$2)&lt;&gt;"",INDEX('×入力'!$A$1:$L$800,550,2+DK$2)&lt;&gt;"",INDEX('×入力'!$A$1:$L$800,551+DK$3,1)&lt;&gt;""),1,0),0)</f>
        <v/>
      </c>
      <c r="DL44">
        <f>IF(DL$4=1,IF(OR(INDEX('×入力'!$A$1:$L$800,551+DL$3,2+DL$2)&lt;&gt;"",INDEX('×入力'!$A$1:$L$800,550,2+DL$2)&lt;&gt;"",INDEX('×入力'!$A$1:$L$800,551+DL$3,1)&lt;&gt;""),1,0),0)</f>
        <v/>
      </c>
      <c r="DM44">
        <f>IF(DM$4=1,IF(OR(INDEX('×入力'!$A$1:$L$800,551+DM$3,2+DM$2)&lt;&gt;"",INDEX('×入力'!$A$1:$L$800,550,2+DM$2)&lt;&gt;"",INDEX('×入力'!$A$1:$L$800,551+DM$3,1)&lt;&gt;""),1,0),0)</f>
        <v/>
      </c>
      <c r="DN44">
        <f>IF(DN$4=1,IF(OR(INDEX('×入力'!$A$1:$L$800,551+DN$3,2+DN$2)&lt;&gt;"",INDEX('×入力'!$A$1:$L$800,550,2+DN$2)&lt;&gt;"",INDEX('×入力'!$A$1:$L$800,551+DN$3,1)&lt;&gt;""),1,0),0)</f>
        <v/>
      </c>
      <c r="DO44">
        <f>IF(DO$4=1,IF(OR(INDEX('×入力'!$A$1:$L$800,551+DO$3,2+DO$2)&lt;&gt;"",INDEX('×入力'!$A$1:$L$800,550,2+DO$2)&lt;&gt;"",INDEX('×入力'!$A$1:$L$800,551+DO$3,1)&lt;&gt;""),1,0),0)</f>
        <v/>
      </c>
      <c r="DP44">
        <f>IF(DP$4=1,IF(OR(INDEX('×入力'!$A$1:$L$800,551+DP$3,2+DP$2)&lt;&gt;"",INDEX('×入力'!$A$1:$L$800,550,2+DP$2)&lt;&gt;"",INDEX('×入力'!$A$1:$L$800,551+DP$3,1)&lt;&gt;""),1,0),0)</f>
        <v/>
      </c>
      <c r="DQ44">
        <f>IF(DQ$4=1,IF(OR(INDEX('×入力'!$A$1:$L$800,551+DQ$3,2+DQ$2)&lt;&gt;"",INDEX('×入力'!$A$1:$L$800,550,2+DQ$2)&lt;&gt;"",INDEX('×入力'!$A$1:$L$800,551+DQ$3,1)&lt;&gt;""),1,0),0)</f>
        <v/>
      </c>
      <c r="DR44">
        <f>IF(DR$4=1,IF(OR(INDEX('×入力'!$A$1:$L$800,551+DR$3,2+DR$2)&lt;&gt;"",INDEX('×入力'!$A$1:$L$800,550,2+DR$2)&lt;&gt;"",INDEX('×入力'!$A$1:$L$800,551+DR$3,1)&lt;&gt;""),1,0),0)</f>
        <v/>
      </c>
      <c r="DS44">
        <f>IF(DS$4=1,IF(OR(INDEX('×入力'!$A$1:$L$800,551+DS$3,2+DS$2)&lt;&gt;"",INDEX('×入力'!$A$1:$L$800,550,2+DS$2)&lt;&gt;"",INDEX('×入力'!$A$1:$L$800,551+DS$3,1)&lt;&gt;""),1,0),0)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IF(D$4=1,IF(OR(INDEX('×入力'!$A$1:$L$800,567+D$3,2+D$2)&lt;&gt;"",INDEX('×入力'!$A$1:$L$800,566,2+D$2)&lt;&gt;"",INDEX('×入力'!$A$1:$L$800,567+D$3,1)&lt;&gt;""),1,0),0)</f>
        <v/>
      </c>
      <c r="E45">
        <f>IF(E$4=1,IF(OR(INDEX('×入力'!$A$1:$L$800,567+E$3,2+E$2)&lt;&gt;"",INDEX('×入力'!$A$1:$L$800,566,2+E$2)&lt;&gt;"",INDEX('×入力'!$A$1:$L$800,567+E$3,1)&lt;&gt;""),1,0),0)</f>
        <v/>
      </c>
      <c r="F45">
        <f>IF(F$4=1,IF(OR(INDEX('×入力'!$A$1:$L$800,567+F$3,2+F$2)&lt;&gt;"",INDEX('×入力'!$A$1:$L$800,566,2+F$2)&lt;&gt;"",INDEX('×入力'!$A$1:$L$800,567+F$3,1)&lt;&gt;""),1,0),0)</f>
        <v/>
      </c>
      <c r="G45">
        <f>IF(G$4=1,IF(OR(INDEX('×入力'!$A$1:$L$800,567+G$3,2+G$2)&lt;&gt;"",INDEX('×入力'!$A$1:$L$800,566,2+G$2)&lt;&gt;"",INDEX('×入力'!$A$1:$L$800,567+G$3,1)&lt;&gt;""),1,0),0)</f>
        <v/>
      </c>
      <c r="H45">
        <f>IF(H$4=1,IF(OR(INDEX('×入力'!$A$1:$L$800,567+H$3,2+H$2)&lt;&gt;"",INDEX('×入力'!$A$1:$L$800,566,2+H$2)&lt;&gt;"",INDEX('×入力'!$A$1:$L$800,567+H$3,1)&lt;&gt;""),1,0),0)</f>
        <v/>
      </c>
      <c r="I45">
        <f>IF(I$4=1,IF(OR(INDEX('×入力'!$A$1:$L$800,567+I$3,2+I$2)&lt;&gt;"",INDEX('×入力'!$A$1:$L$800,566,2+I$2)&lt;&gt;"",INDEX('×入力'!$A$1:$L$800,567+I$3,1)&lt;&gt;""),1,0),0)</f>
        <v/>
      </c>
      <c r="J45">
        <f>IF(J$4=1,IF(OR(INDEX('×入力'!$A$1:$L$800,567+J$3,2+J$2)&lt;&gt;"",INDEX('×入力'!$A$1:$L$800,566,2+J$2)&lt;&gt;"",INDEX('×入力'!$A$1:$L$800,567+J$3,1)&lt;&gt;""),1,0),0)</f>
        <v/>
      </c>
      <c r="K45">
        <f>IF(K$4=1,IF(OR(INDEX('×入力'!$A$1:$L$800,567+K$3,2+K$2)&lt;&gt;"",INDEX('×入力'!$A$1:$L$800,566,2+K$2)&lt;&gt;"",INDEX('×入力'!$A$1:$L$800,567+K$3,1)&lt;&gt;""),1,0),0)</f>
        <v/>
      </c>
      <c r="L45">
        <f>IF(L$4=1,IF(OR(INDEX('×入力'!$A$1:$L$800,567+L$3,2+L$2)&lt;&gt;"",INDEX('×入力'!$A$1:$L$800,566,2+L$2)&lt;&gt;"",INDEX('×入力'!$A$1:$L$800,567+L$3,1)&lt;&gt;""),1,0),0)</f>
        <v/>
      </c>
      <c r="M45">
        <f>IF(M$4=1,IF(OR(INDEX('×入力'!$A$1:$L$800,567+M$3,2+M$2)&lt;&gt;"",INDEX('×入力'!$A$1:$L$800,566,2+M$2)&lt;&gt;"",INDEX('×入力'!$A$1:$L$800,567+M$3,1)&lt;&gt;""),1,0),0)</f>
        <v/>
      </c>
      <c r="N45">
        <f>IF(N$4=1,IF(OR(INDEX('×入力'!$A$1:$L$800,567+N$3,2+N$2)&lt;&gt;"",INDEX('×入力'!$A$1:$L$800,566,2+N$2)&lt;&gt;"",INDEX('×入力'!$A$1:$L$800,567+N$3,1)&lt;&gt;""),1,0),0)</f>
        <v/>
      </c>
      <c r="O45">
        <f>IF(O$4=1,IF(OR(INDEX('×入力'!$A$1:$L$800,567+O$3,2+O$2)&lt;&gt;"",INDEX('×入力'!$A$1:$L$800,566,2+O$2)&lt;&gt;"",INDEX('×入力'!$A$1:$L$800,567+O$3,1)&lt;&gt;""),1,0),0)</f>
        <v/>
      </c>
      <c r="P45">
        <f>IF(P$4=1,IF(OR(INDEX('×入力'!$A$1:$L$800,567+P$3,2+P$2)&lt;&gt;"",INDEX('×入力'!$A$1:$L$800,566,2+P$2)&lt;&gt;"",INDEX('×入力'!$A$1:$L$800,567+P$3,1)&lt;&gt;""),1,0),0)</f>
        <v/>
      </c>
      <c r="Q45">
        <f>IF(Q$4=1,IF(OR(INDEX('×入力'!$A$1:$L$800,567+Q$3,2+Q$2)&lt;&gt;"",INDEX('×入力'!$A$1:$L$800,566,2+Q$2)&lt;&gt;"",INDEX('×入力'!$A$1:$L$800,567+Q$3,1)&lt;&gt;""),1,0),0)</f>
        <v/>
      </c>
      <c r="R45">
        <f>IF(R$4=1,IF(OR(INDEX('×入力'!$A$1:$L$800,567+R$3,2+R$2)&lt;&gt;"",INDEX('×入力'!$A$1:$L$800,566,2+R$2)&lt;&gt;"",INDEX('×入力'!$A$1:$L$800,567+R$3,1)&lt;&gt;""),1,0),0)</f>
        <v/>
      </c>
      <c r="S45">
        <f>IF(S$4=1,IF(OR(INDEX('×入力'!$A$1:$L$800,567+S$3,2+S$2)&lt;&gt;"",INDEX('×入力'!$A$1:$L$800,566,2+S$2)&lt;&gt;"",INDEX('×入力'!$A$1:$L$800,567+S$3,1)&lt;&gt;""),1,0),0)</f>
        <v/>
      </c>
      <c r="T45">
        <f>IF(T$4=1,IF(OR(INDEX('×入力'!$A$1:$L$800,567+T$3,2+T$2)&lt;&gt;"",INDEX('×入力'!$A$1:$L$800,566,2+T$2)&lt;&gt;"",INDEX('×入力'!$A$1:$L$800,567+T$3,1)&lt;&gt;""),1,0),0)</f>
        <v/>
      </c>
      <c r="U45">
        <f>IF(U$4=1,IF(OR(INDEX('×入力'!$A$1:$L$800,567+U$3,2+U$2)&lt;&gt;"",INDEX('×入力'!$A$1:$L$800,566,2+U$2)&lt;&gt;"",INDEX('×入力'!$A$1:$L$800,567+U$3,1)&lt;&gt;""),1,0),0)</f>
        <v/>
      </c>
      <c r="V45">
        <f>IF(V$4=1,IF(OR(INDEX('×入力'!$A$1:$L$800,567+V$3,2+V$2)&lt;&gt;"",INDEX('×入力'!$A$1:$L$800,566,2+V$2)&lt;&gt;"",INDEX('×入力'!$A$1:$L$800,567+V$3,1)&lt;&gt;""),1,0),0)</f>
        <v/>
      </c>
      <c r="W45">
        <f>IF(W$4=1,IF(OR(INDEX('×入力'!$A$1:$L$800,567+W$3,2+W$2)&lt;&gt;"",INDEX('×入力'!$A$1:$L$800,566,2+W$2)&lt;&gt;"",INDEX('×入力'!$A$1:$L$800,567+W$3,1)&lt;&gt;""),1,0),0)</f>
        <v/>
      </c>
      <c r="X45">
        <f>IF(X$4=1,IF(OR(INDEX('×入力'!$A$1:$L$800,567+X$3,2+X$2)&lt;&gt;"",INDEX('×入力'!$A$1:$L$800,566,2+X$2)&lt;&gt;"",INDEX('×入力'!$A$1:$L$800,567+X$3,1)&lt;&gt;""),1,0),0)</f>
        <v/>
      </c>
      <c r="Y45">
        <f>IF(Y$4=1,IF(OR(INDEX('×入力'!$A$1:$L$800,567+Y$3,2+Y$2)&lt;&gt;"",INDEX('×入力'!$A$1:$L$800,566,2+Y$2)&lt;&gt;"",INDEX('×入力'!$A$1:$L$800,567+Y$3,1)&lt;&gt;""),1,0),0)</f>
        <v/>
      </c>
      <c r="Z45">
        <f>IF(Z$4=1,IF(OR(INDEX('×入力'!$A$1:$L$800,567+Z$3,2+Z$2)&lt;&gt;"",INDEX('×入力'!$A$1:$L$800,566,2+Z$2)&lt;&gt;"",INDEX('×入力'!$A$1:$L$800,567+Z$3,1)&lt;&gt;""),1,0),0)</f>
        <v/>
      </c>
      <c r="AA45">
        <f>IF(AA$4=1,IF(OR(INDEX('×入力'!$A$1:$L$800,567+AA$3,2+AA$2)&lt;&gt;"",INDEX('×入力'!$A$1:$L$800,566,2+AA$2)&lt;&gt;"",INDEX('×入力'!$A$1:$L$800,567+AA$3,1)&lt;&gt;""),1,0),0)</f>
        <v/>
      </c>
      <c r="AB45">
        <f>IF(AB$4=1,IF(OR(INDEX('×入力'!$A$1:$L$800,567+AB$3,2+AB$2)&lt;&gt;"",INDEX('×入力'!$A$1:$L$800,566,2+AB$2)&lt;&gt;"",INDEX('×入力'!$A$1:$L$800,567+AB$3,1)&lt;&gt;""),1,0),0)</f>
        <v/>
      </c>
      <c r="AC45">
        <f>IF(AC$4=1,IF(OR(INDEX('×入力'!$A$1:$L$800,567+AC$3,2+AC$2)&lt;&gt;"",INDEX('×入力'!$A$1:$L$800,566,2+AC$2)&lt;&gt;"",INDEX('×入力'!$A$1:$L$800,567+AC$3,1)&lt;&gt;""),1,0),0)</f>
        <v/>
      </c>
      <c r="AD45">
        <f>IF(AD$4=1,IF(OR(INDEX('×入力'!$A$1:$L$800,567+AD$3,2+AD$2)&lt;&gt;"",INDEX('×入力'!$A$1:$L$800,566,2+AD$2)&lt;&gt;"",INDEX('×入力'!$A$1:$L$800,567+AD$3,1)&lt;&gt;""),1,0),0)</f>
        <v/>
      </c>
      <c r="AE45">
        <f>IF(AE$4=1,IF(OR(INDEX('×入力'!$A$1:$L$800,567+AE$3,2+AE$2)&lt;&gt;"",INDEX('×入力'!$A$1:$L$800,566,2+AE$2)&lt;&gt;"",INDEX('×入力'!$A$1:$L$800,567+AE$3,1)&lt;&gt;""),1,0),0)</f>
        <v/>
      </c>
      <c r="AF45">
        <f>IF(AF$4=1,IF(OR(INDEX('×入力'!$A$1:$L$800,567+AF$3,2+AF$2)&lt;&gt;"",INDEX('×入力'!$A$1:$L$800,566,2+AF$2)&lt;&gt;"",INDEX('×入力'!$A$1:$L$800,567+AF$3,1)&lt;&gt;""),1,0),0)</f>
        <v/>
      </c>
      <c r="AG45">
        <f>IF(AG$4=1,IF(OR(INDEX('×入力'!$A$1:$L$800,567+AG$3,2+AG$2)&lt;&gt;"",INDEX('×入力'!$A$1:$L$800,566,2+AG$2)&lt;&gt;"",INDEX('×入力'!$A$1:$L$800,567+AG$3,1)&lt;&gt;""),1,0),0)</f>
        <v/>
      </c>
      <c r="AH45">
        <f>IF(AH$4=1,IF(OR(INDEX('×入力'!$A$1:$L$800,567+AH$3,2+AH$2)&lt;&gt;"",INDEX('×入力'!$A$1:$L$800,566,2+AH$2)&lt;&gt;"",INDEX('×入力'!$A$1:$L$800,567+AH$3,1)&lt;&gt;""),1,0),0)</f>
        <v/>
      </c>
      <c r="AI45">
        <f>IF(AI$4=1,IF(OR(INDEX('×入力'!$A$1:$L$800,567+AI$3,2+AI$2)&lt;&gt;"",INDEX('×入力'!$A$1:$L$800,566,2+AI$2)&lt;&gt;"",INDEX('×入力'!$A$1:$L$800,567+AI$3,1)&lt;&gt;""),1,0),0)</f>
        <v/>
      </c>
      <c r="AJ45">
        <f>IF(AJ$4=1,IF(OR(INDEX('×入力'!$A$1:$L$800,567+AJ$3,2+AJ$2)&lt;&gt;"",INDEX('×入力'!$A$1:$L$800,566,2+AJ$2)&lt;&gt;"",INDEX('×入力'!$A$1:$L$800,567+AJ$3,1)&lt;&gt;""),1,0),0)</f>
        <v/>
      </c>
      <c r="AK45">
        <f>IF(AK$4=1,IF(OR(INDEX('×入力'!$A$1:$L$800,567+AK$3,2+AK$2)&lt;&gt;"",INDEX('×入力'!$A$1:$L$800,566,2+AK$2)&lt;&gt;"",INDEX('×入力'!$A$1:$L$800,567+AK$3,1)&lt;&gt;""),1,0),0)</f>
        <v/>
      </c>
      <c r="AL45">
        <f>IF(AL$4=1,IF(OR(INDEX('×入力'!$A$1:$L$800,567+AL$3,2+AL$2)&lt;&gt;"",INDEX('×入力'!$A$1:$L$800,566,2+AL$2)&lt;&gt;"",INDEX('×入力'!$A$1:$L$800,567+AL$3,1)&lt;&gt;""),1,0),0)</f>
        <v/>
      </c>
      <c r="AM45">
        <f>IF(AM$4=1,IF(OR(INDEX('×入力'!$A$1:$L$800,567+AM$3,2+AM$2)&lt;&gt;"",INDEX('×入力'!$A$1:$L$800,566,2+AM$2)&lt;&gt;"",INDEX('×入力'!$A$1:$L$800,567+AM$3,1)&lt;&gt;""),1,0),0)</f>
        <v/>
      </c>
      <c r="AN45">
        <f>IF(AN$4=1,IF(OR(INDEX('×入力'!$A$1:$L$800,567+AN$3,2+AN$2)&lt;&gt;"",INDEX('×入力'!$A$1:$L$800,566,2+AN$2)&lt;&gt;"",INDEX('×入力'!$A$1:$L$800,567+AN$3,1)&lt;&gt;""),1,0),0)</f>
        <v/>
      </c>
      <c r="AO45">
        <f>IF(AO$4=1,IF(OR(INDEX('×入力'!$A$1:$L$800,567+AO$3,2+AO$2)&lt;&gt;"",INDEX('×入力'!$A$1:$L$800,566,2+AO$2)&lt;&gt;"",INDEX('×入力'!$A$1:$L$800,567+AO$3,1)&lt;&gt;""),1,0),0)</f>
        <v/>
      </c>
      <c r="AP45">
        <f>IF(AP$4=1,IF(OR(INDEX('×入力'!$A$1:$L$800,567+AP$3,2+AP$2)&lt;&gt;"",INDEX('×入力'!$A$1:$L$800,566,2+AP$2)&lt;&gt;"",INDEX('×入力'!$A$1:$L$800,567+AP$3,1)&lt;&gt;""),1,0),0)</f>
        <v/>
      </c>
      <c r="AQ45">
        <f>IF(AQ$4=1,IF(OR(INDEX('×入力'!$A$1:$L$800,567+AQ$3,2+AQ$2)&lt;&gt;"",INDEX('×入力'!$A$1:$L$800,566,2+AQ$2)&lt;&gt;"",INDEX('×入力'!$A$1:$L$800,567+AQ$3,1)&lt;&gt;""),1,0),0)</f>
        <v/>
      </c>
      <c r="AR45">
        <f>IF(AR$4=1,IF(OR(INDEX('×入力'!$A$1:$L$800,567+AR$3,2+AR$2)&lt;&gt;"",INDEX('×入力'!$A$1:$L$800,566,2+AR$2)&lt;&gt;"",INDEX('×入力'!$A$1:$L$800,567+AR$3,1)&lt;&gt;""),1,0),0)</f>
        <v/>
      </c>
      <c r="AS45">
        <f>IF(AS$4=1,IF(OR(INDEX('×入力'!$A$1:$L$800,567+AS$3,2+AS$2)&lt;&gt;"",INDEX('×入力'!$A$1:$L$800,566,2+AS$2)&lt;&gt;"",INDEX('×入力'!$A$1:$L$800,567+AS$3,1)&lt;&gt;""),1,0),0)</f>
        <v/>
      </c>
      <c r="AT45">
        <f>IF(AT$4=1,IF(OR(INDEX('×入力'!$A$1:$L$800,567+AT$3,2+AT$2)&lt;&gt;"",INDEX('×入力'!$A$1:$L$800,566,2+AT$2)&lt;&gt;"",INDEX('×入力'!$A$1:$L$800,567+AT$3,1)&lt;&gt;""),1,0),0)</f>
        <v/>
      </c>
      <c r="AU45">
        <f>IF(AU$4=1,IF(OR(INDEX('×入力'!$A$1:$L$800,567+AU$3,2+AU$2)&lt;&gt;"",INDEX('×入力'!$A$1:$L$800,566,2+AU$2)&lt;&gt;"",INDEX('×入力'!$A$1:$L$800,567+AU$3,1)&lt;&gt;""),1,0),0)</f>
        <v/>
      </c>
      <c r="AV45">
        <f>IF(AV$4=1,IF(OR(INDEX('×入力'!$A$1:$L$800,567+AV$3,2+AV$2)&lt;&gt;"",INDEX('×入力'!$A$1:$L$800,566,2+AV$2)&lt;&gt;"",INDEX('×入力'!$A$1:$L$800,567+AV$3,1)&lt;&gt;""),1,0),0)</f>
        <v/>
      </c>
      <c r="AW45">
        <f>IF(AW$4=1,IF(OR(INDEX('×入力'!$A$1:$L$800,567+AW$3,2+AW$2)&lt;&gt;"",INDEX('×入力'!$A$1:$L$800,566,2+AW$2)&lt;&gt;"",INDEX('×入力'!$A$1:$L$800,567+AW$3,1)&lt;&gt;""),1,0),0)</f>
        <v/>
      </c>
      <c r="AX45">
        <f>IF(AX$4=1,IF(OR(INDEX('×入力'!$A$1:$L$800,567+AX$3,2+AX$2)&lt;&gt;"",INDEX('×入力'!$A$1:$L$800,566,2+AX$2)&lt;&gt;"",INDEX('×入力'!$A$1:$L$800,567+AX$3,1)&lt;&gt;""),1,0),0)</f>
        <v/>
      </c>
      <c r="AY45">
        <f>IF(AY$4=1,IF(OR(INDEX('×入力'!$A$1:$L$800,567+AY$3,2+AY$2)&lt;&gt;"",INDEX('×入力'!$A$1:$L$800,566,2+AY$2)&lt;&gt;"",INDEX('×入力'!$A$1:$L$800,567+AY$3,1)&lt;&gt;""),1,0),0)</f>
        <v/>
      </c>
      <c r="AZ45">
        <f>IF(AZ$4=1,IF(OR(INDEX('×入力'!$A$1:$L$800,567+AZ$3,2+AZ$2)&lt;&gt;"",INDEX('×入力'!$A$1:$L$800,566,2+AZ$2)&lt;&gt;"",INDEX('×入力'!$A$1:$L$800,567+AZ$3,1)&lt;&gt;""),1,0),0)</f>
        <v/>
      </c>
      <c r="BA45">
        <f>IF(BA$4=1,IF(OR(INDEX('×入力'!$A$1:$L$800,567+BA$3,2+BA$2)&lt;&gt;"",INDEX('×入力'!$A$1:$L$800,566,2+BA$2)&lt;&gt;"",INDEX('×入力'!$A$1:$L$800,567+BA$3,1)&lt;&gt;""),1,0),0)</f>
        <v/>
      </c>
      <c r="BB45">
        <f>IF(BB$4=1,IF(OR(INDEX('×入力'!$A$1:$L$800,567+BB$3,2+BB$2)&lt;&gt;"",INDEX('×入力'!$A$1:$L$800,566,2+BB$2)&lt;&gt;"",INDEX('×入力'!$A$1:$L$800,567+BB$3,1)&lt;&gt;""),1,0),0)</f>
        <v/>
      </c>
      <c r="BC45">
        <f>IF(BC$4=1,IF(OR(INDEX('×入力'!$A$1:$L$800,567+BC$3,2+BC$2)&lt;&gt;"",INDEX('×入力'!$A$1:$L$800,566,2+BC$2)&lt;&gt;"",INDEX('×入力'!$A$1:$L$800,567+BC$3,1)&lt;&gt;""),1,0),0)</f>
        <v/>
      </c>
      <c r="BD45">
        <f>IF(BD$4=1,IF(OR(INDEX('×入力'!$A$1:$L$800,567+BD$3,2+BD$2)&lt;&gt;"",INDEX('×入力'!$A$1:$L$800,566,2+BD$2)&lt;&gt;"",INDEX('×入力'!$A$1:$L$800,567+BD$3,1)&lt;&gt;""),1,0),0)</f>
        <v/>
      </c>
      <c r="BE45">
        <f>IF(BE$4=1,IF(OR(INDEX('×入力'!$A$1:$L$800,567+BE$3,2+BE$2)&lt;&gt;"",INDEX('×入力'!$A$1:$L$800,566,2+BE$2)&lt;&gt;"",INDEX('×入力'!$A$1:$L$800,567+BE$3,1)&lt;&gt;""),1,0),0)</f>
        <v/>
      </c>
      <c r="BF45">
        <f>IF(BF$4=1,IF(OR(INDEX('×入力'!$A$1:$L$800,567+BF$3,2+BF$2)&lt;&gt;"",INDEX('×入力'!$A$1:$L$800,566,2+BF$2)&lt;&gt;"",INDEX('×入力'!$A$1:$L$800,567+BF$3,1)&lt;&gt;""),1,0),0)</f>
        <v/>
      </c>
      <c r="BG45">
        <f>IF(BG$4=1,IF(OR(INDEX('×入力'!$A$1:$L$800,567+BG$3,2+BG$2)&lt;&gt;"",INDEX('×入力'!$A$1:$L$800,566,2+BG$2)&lt;&gt;"",INDEX('×入力'!$A$1:$L$800,567+BG$3,1)&lt;&gt;""),1,0),0)</f>
        <v/>
      </c>
      <c r="BH45">
        <f>IF(BH$4=1,IF(OR(INDEX('×入力'!$A$1:$L$800,567+BH$3,2+BH$2)&lt;&gt;"",INDEX('×入力'!$A$1:$L$800,566,2+BH$2)&lt;&gt;"",INDEX('×入力'!$A$1:$L$800,567+BH$3,1)&lt;&gt;""),1,0),0)</f>
        <v/>
      </c>
      <c r="BI45">
        <f>IF(BI$4=1,IF(OR(INDEX('×入力'!$A$1:$L$800,567+BI$3,2+BI$2)&lt;&gt;"",INDEX('×入力'!$A$1:$L$800,566,2+BI$2)&lt;&gt;"",INDEX('×入力'!$A$1:$L$800,567+BI$3,1)&lt;&gt;""),1,0),0)</f>
        <v/>
      </c>
      <c r="BJ45">
        <f>IF(BJ$4=1,IF(OR(INDEX('×入力'!$A$1:$L$800,567+BJ$3,2+BJ$2)&lt;&gt;"",INDEX('×入力'!$A$1:$L$800,566,2+BJ$2)&lt;&gt;"",INDEX('×入力'!$A$1:$L$800,567+BJ$3,1)&lt;&gt;""),1,0),0)</f>
        <v/>
      </c>
      <c r="BK45">
        <f>IF(BK$4=1,IF(OR(INDEX('×入力'!$A$1:$L$800,567+BK$3,2+BK$2)&lt;&gt;"",INDEX('×入力'!$A$1:$L$800,566,2+BK$2)&lt;&gt;"",INDEX('×入力'!$A$1:$L$800,567+BK$3,1)&lt;&gt;""),1,0),0)</f>
        <v/>
      </c>
      <c r="BL45">
        <f>IF(BL$4=1,IF(OR(INDEX('×入力'!$A$1:$L$800,567+BL$3,2+BL$2)&lt;&gt;"",INDEX('×入力'!$A$1:$L$800,566,2+BL$2)&lt;&gt;"",INDEX('×入力'!$A$1:$L$800,567+BL$3,1)&lt;&gt;""),1,0),0)</f>
        <v/>
      </c>
      <c r="BM45">
        <f>IF(BM$4=1,IF(OR(INDEX('×入力'!$A$1:$L$800,567+BM$3,2+BM$2)&lt;&gt;"",INDEX('×入力'!$A$1:$L$800,566,2+BM$2)&lt;&gt;"",INDEX('×入力'!$A$1:$L$800,567+BM$3,1)&lt;&gt;""),1,0),0)</f>
        <v/>
      </c>
      <c r="BN45">
        <f>IF(BN$4=1,IF(OR(INDEX('×入力'!$A$1:$L$800,567+BN$3,2+BN$2)&lt;&gt;"",INDEX('×入力'!$A$1:$L$800,566,2+BN$2)&lt;&gt;"",INDEX('×入力'!$A$1:$L$800,567+BN$3,1)&lt;&gt;""),1,0),0)</f>
        <v/>
      </c>
      <c r="BO45">
        <f>IF(BO$4=1,IF(OR(INDEX('×入力'!$A$1:$L$800,567+BO$3,2+BO$2)&lt;&gt;"",INDEX('×入力'!$A$1:$L$800,566,2+BO$2)&lt;&gt;"",INDEX('×入力'!$A$1:$L$800,567+BO$3,1)&lt;&gt;""),1,0),0)</f>
        <v/>
      </c>
      <c r="BP45">
        <f>IF(BP$4=1,IF(OR(INDEX('×入力'!$A$1:$L$800,567+BP$3,2+BP$2)&lt;&gt;"",INDEX('×入力'!$A$1:$L$800,566,2+BP$2)&lt;&gt;"",INDEX('×入力'!$A$1:$L$800,567+BP$3,1)&lt;&gt;""),1,0),0)</f>
        <v/>
      </c>
      <c r="BQ45">
        <f>IF(BQ$4=1,IF(OR(INDEX('×入力'!$A$1:$L$800,567+BQ$3,2+BQ$2)&lt;&gt;"",INDEX('×入力'!$A$1:$L$800,566,2+BQ$2)&lt;&gt;"",INDEX('×入力'!$A$1:$L$800,567+BQ$3,1)&lt;&gt;""),1,0),0)</f>
        <v/>
      </c>
      <c r="BR45">
        <f>IF(BR$4=1,IF(OR(INDEX('×入力'!$A$1:$L$800,567+BR$3,2+BR$2)&lt;&gt;"",INDEX('×入力'!$A$1:$L$800,566,2+BR$2)&lt;&gt;"",INDEX('×入力'!$A$1:$L$800,567+BR$3,1)&lt;&gt;""),1,0),0)</f>
        <v/>
      </c>
      <c r="BS45">
        <f>IF(BS$4=1,IF(OR(INDEX('×入力'!$A$1:$L$800,567+BS$3,2+BS$2)&lt;&gt;"",INDEX('×入力'!$A$1:$L$800,566,2+BS$2)&lt;&gt;"",INDEX('×入力'!$A$1:$L$800,567+BS$3,1)&lt;&gt;""),1,0),0)</f>
        <v/>
      </c>
      <c r="BT45">
        <f>IF(BT$4=1,IF(OR(INDEX('×入力'!$A$1:$L$800,567+BT$3,2+BT$2)&lt;&gt;"",INDEX('×入力'!$A$1:$L$800,566,2+BT$2)&lt;&gt;"",INDEX('×入力'!$A$1:$L$800,567+BT$3,1)&lt;&gt;""),1,0),0)</f>
        <v/>
      </c>
      <c r="BU45">
        <f>IF(BU$4=1,IF(OR(INDEX('×入力'!$A$1:$L$800,567+BU$3,2+BU$2)&lt;&gt;"",INDEX('×入力'!$A$1:$L$800,566,2+BU$2)&lt;&gt;"",INDEX('×入力'!$A$1:$L$800,567+BU$3,1)&lt;&gt;""),1,0),0)</f>
        <v/>
      </c>
      <c r="BV45">
        <f>IF(BV$4=1,IF(OR(INDEX('×入力'!$A$1:$L$800,567+BV$3,2+BV$2)&lt;&gt;"",INDEX('×入力'!$A$1:$L$800,566,2+BV$2)&lt;&gt;"",INDEX('×入力'!$A$1:$L$800,567+BV$3,1)&lt;&gt;""),1,0),0)</f>
        <v/>
      </c>
      <c r="BW45">
        <f>IF(BW$4=1,IF(OR(INDEX('×入力'!$A$1:$L$800,567+BW$3,2+BW$2)&lt;&gt;"",INDEX('×入力'!$A$1:$L$800,566,2+BW$2)&lt;&gt;"",INDEX('×入力'!$A$1:$L$800,567+BW$3,1)&lt;&gt;""),1,0),0)</f>
        <v/>
      </c>
      <c r="BX45">
        <f>IF(BX$4=1,IF(OR(INDEX('×入力'!$A$1:$L$800,567+BX$3,2+BX$2)&lt;&gt;"",INDEX('×入力'!$A$1:$L$800,566,2+BX$2)&lt;&gt;"",INDEX('×入力'!$A$1:$L$800,567+BX$3,1)&lt;&gt;""),1,0),0)</f>
        <v/>
      </c>
      <c r="BY45">
        <f>IF(BY$4=1,IF(OR(INDEX('×入力'!$A$1:$L$800,567+BY$3,2+BY$2)&lt;&gt;"",INDEX('×入力'!$A$1:$L$800,566,2+BY$2)&lt;&gt;"",INDEX('×入力'!$A$1:$L$800,567+BY$3,1)&lt;&gt;""),1,0),0)</f>
        <v/>
      </c>
      <c r="BZ45">
        <f>IF(BZ$4=1,IF(OR(INDEX('×入力'!$A$1:$L$800,567+BZ$3,2+BZ$2)&lt;&gt;"",INDEX('×入力'!$A$1:$L$800,566,2+BZ$2)&lt;&gt;"",INDEX('×入力'!$A$1:$L$800,567+BZ$3,1)&lt;&gt;""),1,0),0)</f>
        <v/>
      </c>
      <c r="CA45">
        <f>IF(CA$4=1,IF(OR(INDEX('×入力'!$A$1:$L$800,567+CA$3,2+CA$2)&lt;&gt;"",INDEX('×入力'!$A$1:$L$800,566,2+CA$2)&lt;&gt;"",INDEX('×入力'!$A$1:$L$800,567+CA$3,1)&lt;&gt;""),1,0),0)</f>
        <v/>
      </c>
      <c r="CB45">
        <f>IF(CB$4=1,IF(OR(INDEX('×入力'!$A$1:$L$800,567+CB$3,2+CB$2)&lt;&gt;"",INDEX('×入力'!$A$1:$L$800,566,2+CB$2)&lt;&gt;"",INDEX('×入力'!$A$1:$L$800,567+CB$3,1)&lt;&gt;""),1,0),0)</f>
        <v/>
      </c>
      <c r="CC45">
        <f>IF(CC$4=1,IF(OR(INDEX('×入力'!$A$1:$L$800,567+CC$3,2+CC$2)&lt;&gt;"",INDEX('×入力'!$A$1:$L$800,566,2+CC$2)&lt;&gt;"",INDEX('×入力'!$A$1:$L$800,567+CC$3,1)&lt;&gt;""),1,0),0)</f>
        <v/>
      </c>
      <c r="CD45">
        <f>IF(CD$4=1,IF(OR(INDEX('×入力'!$A$1:$L$800,567+CD$3,2+CD$2)&lt;&gt;"",INDEX('×入力'!$A$1:$L$800,566,2+CD$2)&lt;&gt;"",INDEX('×入力'!$A$1:$L$800,567+CD$3,1)&lt;&gt;""),1,0),0)</f>
        <v/>
      </c>
      <c r="CE45">
        <f>IF(CE$4=1,IF(OR(INDEX('×入力'!$A$1:$L$800,567+CE$3,2+CE$2)&lt;&gt;"",INDEX('×入力'!$A$1:$L$800,566,2+CE$2)&lt;&gt;"",INDEX('×入力'!$A$1:$L$800,567+CE$3,1)&lt;&gt;""),1,0),0)</f>
        <v/>
      </c>
      <c r="CF45">
        <f>IF(CF$4=1,IF(OR(INDEX('×入力'!$A$1:$L$800,567+CF$3,2+CF$2)&lt;&gt;"",INDEX('×入力'!$A$1:$L$800,566,2+CF$2)&lt;&gt;"",INDEX('×入力'!$A$1:$L$800,567+CF$3,1)&lt;&gt;""),1,0),0)</f>
        <v/>
      </c>
      <c r="CG45">
        <f>IF(CG$4=1,IF(OR(INDEX('×入力'!$A$1:$L$800,567+CG$3,2+CG$2)&lt;&gt;"",INDEX('×入力'!$A$1:$L$800,566,2+CG$2)&lt;&gt;"",INDEX('×入力'!$A$1:$L$800,567+CG$3,1)&lt;&gt;""),1,0),0)</f>
        <v/>
      </c>
      <c r="CH45">
        <f>IF(CH$4=1,IF(OR(INDEX('×入力'!$A$1:$L$800,567+CH$3,2+CH$2)&lt;&gt;"",INDEX('×入力'!$A$1:$L$800,566,2+CH$2)&lt;&gt;"",INDEX('×入力'!$A$1:$L$800,567+CH$3,1)&lt;&gt;""),1,0),0)</f>
        <v/>
      </c>
      <c r="CI45">
        <f>IF(CI$4=1,IF(OR(INDEX('×入力'!$A$1:$L$800,567+CI$3,2+CI$2)&lt;&gt;"",INDEX('×入力'!$A$1:$L$800,566,2+CI$2)&lt;&gt;"",INDEX('×入力'!$A$1:$L$800,567+CI$3,1)&lt;&gt;""),1,0),0)</f>
        <v/>
      </c>
      <c r="CJ45">
        <f>IF(CJ$4=1,IF(OR(INDEX('×入力'!$A$1:$L$800,567+CJ$3,2+CJ$2)&lt;&gt;"",INDEX('×入力'!$A$1:$L$800,566,2+CJ$2)&lt;&gt;"",INDEX('×入力'!$A$1:$L$800,567+CJ$3,1)&lt;&gt;""),1,0),0)</f>
        <v/>
      </c>
      <c r="CK45">
        <f>IF(CK$4=1,IF(OR(INDEX('×入力'!$A$1:$L$800,567+CK$3,2+CK$2)&lt;&gt;"",INDEX('×入力'!$A$1:$L$800,566,2+CK$2)&lt;&gt;"",INDEX('×入力'!$A$1:$L$800,567+CK$3,1)&lt;&gt;""),1,0),0)</f>
        <v/>
      </c>
      <c r="CL45">
        <f>IF(CL$4=1,IF(OR(INDEX('×入力'!$A$1:$L$800,567+CL$3,2+CL$2)&lt;&gt;"",INDEX('×入力'!$A$1:$L$800,566,2+CL$2)&lt;&gt;"",INDEX('×入力'!$A$1:$L$800,567+CL$3,1)&lt;&gt;""),1,0),0)</f>
        <v/>
      </c>
      <c r="CM45">
        <f>IF(CM$4=1,IF(OR(INDEX('×入力'!$A$1:$L$800,567+CM$3,2+CM$2)&lt;&gt;"",INDEX('×入力'!$A$1:$L$800,566,2+CM$2)&lt;&gt;"",INDEX('×入力'!$A$1:$L$800,567+CM$3,1)&lt;&gt;""),1,0),0)</f>
        <v/>
      </c>
      <c r="CN45">
        <f>IF(CN$4=1,IF(OR(INDEX('×入力'!$A$1:$L$800,567+CN$3,2+CN$2)&lt;&gt;"",INDEX('×入力'!$A$1:$L$800,566,2+CN$2)&lt;&gt;"",INDEX('×入力'!$A$1:$L$800,567+CN$3,1)&lt;&gt;""),1,0),0)</f>
        <v/>
      </c>
      <c r="CO45">
        <f>IF(CO$4=1,IF(OR(INDEX('×入力'!$A$1:$L$800,567+CO$3,2+CO$2)&lt;&gt;"",INDEX('×入力'!$A$1:$L$800,566,2+CO$2)&lt;&gt;"",INDEX('×入力'!$A$1:$L$800,567+CO$3,1)&lt;&gt;""),1,0),0)</f>
        <v/>
      </c>
      <c r="CP45">
        <f>IF(CP$4=1,IF(OR(INDEX('×入力'!$A$1:$L$800,567+CP$3,2+CP$2)&lt;&gt;"",INDEX('×入力'!$A$1:$L$800,566,2+CP$2)&lt;&gt;"",INDEX('×入力'!$A$1:$L$800,567+CP$3,1)&lt;&gt;""),1,0),0)</f>
        <v/>
      </c>
      <c r="CQ45">
        <f>IF(CQ$4=1,IF(OR(INDEX('×入力'!$A$1:$L$800,567+CQ$3,2+CQ$2)&lt;&gt;"",INDEX('×入力'!$A$1:$L$800,566,2+CQ$2)&lt;&gt;"",INDEX('×入力'!$A$1:$L$800,567+CQ$3,1)&lt;&gt;""),1,0),0)</f>
        <v/>
      </c>
      <c r="CR45">
        <f>IF(CR$4=1,IF(OR(INDEX('×入力'!$A$1:$L$800,567+CR$3,2+CR$2)&lt;&gt;"",INDEX('×入力'!$A$1:$L$800,566,2+CR$2)&lt;&gt;"",INDEX('×入力'!$A$1:$L$800,567+CR$3,1)&lt;&gt;""),1,0),0)</f>
        <v/>
      </c>
      <c r="CS45">
        <f>IF(CS$4=1,IF(OR(INDEX('×入力'!$A$1:$L$800,567+CS$3,2+CS$2)&lt;&gt;"",INDEX('×入力'!$A$1:$L$800,566,2+CS$2)&lt;&gt;"",INDEX('×入力'!$A$1:$L$800,567+CS$3,1)&lt;&gt;""),1,0),0)</f>
        <v/>
      </c>
      <c r="CT45">
        <f>IF(CT$4=1,IF(OR(INDEX('×入力'!$A$1:$L$800,567+CT$3,2+CT$2)&lt;&gt;"",INDEX('×入力'!$A$1:$L$800,566,2+CT$2)&lt;&gt;"",INDEX('×入力'!$A$1:$L$800,567+CT$3,1)&lt;&gt;""),1,0),0)</f>
        <v/>
      </c>
      <c r="CU45">
        <f>IF(CU$4=1,IF(OR(INDEX('×入力'!$A$1:$L$800,567+CU$3,2+CU$2)&lt;&gt;"",INDEX('×入力'!$A$1:$L$800,566,2+CU$2)&lt;&gt;"",INDEX('×入力'!$A$1:$L$800,567+CU$3,1)&lt;&gt;""),1,0),0)</f>
        <v/>
      </c>
      <c r="CV45">
        <f>IF(CV$4=1,IF(OR(INDEX('×入力'!$A$1:$L$800,567+CV$3,2+CV$2)&lt;&gt;"",INDEX('×入力'!$A$1:$L$800,566,2+CV$2)&lt;&gt;"",INDEX('×入力'!$A$1:$L$800,567+CV$3,1)&lt;&gt;""),1,0),0)</f>
        <v/>
      </c>
      <c r="CW45">
        <f>IF(CW$4=1,IF(OR(INDEX('×入力'!$A$1:$L$800,567+CW$3,2+CW$2)&lt;&gt;"",INDEX('×入力'!$A$1:$L$800,566,2+CW$2)&lt;&gt;"",INDEX('×入力'!$A$1:$L$800,567+CW$3,1)&lt;&gt;""),1,0),0)</f>
        <v/>
      </c>
      <c r="CX45">
        <f>IF(CX$4=1,IF(OR(INDEX('×入力'!$A$1:$L$800,567+CX$3,2+CX$2)&lt;&gt;"",INDEX('×入力'!$A$1:$L$800,566,2+CX$2)&lt;&gt;"",INDEX('×入力'!$A$1:$L$800,567+CX$3,1)&lt;&gt;""),1,0),0)</f>
        <v/>
      </c>
      <c r="CY45">
        <f>IF(CY$4=1,IF(OR(INDEX('×入力'!$A$1:$L$800,567+CY$3,2+CY$2)&lt;&gt;"",INDEX('×入力'!$A$1:$L$800,566,2+CY$2)&lt;&gt;"",INDEX('×入力'!$A$1:$L$800,567+CY$3,1)&lt;&gt;""),1,0),0)</f>
        <v/>
      </c>
      <c r="CZ45">
        <f>IF(CZ$4=1,IF(OR(INDEX('×入力'!$A$1:$L$800,567+CZ$3,2+CZ$2)&lt;&gt;"",INDEX('×入力'!$A$1:$L$800,566,2+CZ$2)&lt;&gt;"",INDEX('×入力'!$A$1:$L$800,567+CZ$3,1)&lt;&gt;""),1,0),0)</f>
        <v/>
      </c>
      <c r="DA45">
        <f>IF(DA$4=1,IF(OR(INDEX('×入力'!$A$1:$L$800,567+DA$3,2+DA$2)&lt;&gt;"",INDEX('×入力'!$A$1:$L$800,566,2+DA$2)&lt;&gt;"",INDEX('×入力'!$A$1:$L$800,567+DA$3,1)&lt;&gt;""),1,0),0)</f>
        <v/>
      </c>
      <c r="DB45">
        <f>IF(DB$4=1,IF(OR(INDEX('×入力'!$A$1:$L$800,567+DB$3,2+DB$2)&lt;&gt;"",INDEX('×入力'!$A$1:$L$800,566,2+DB$2)&lt;&gt;"",INDEX('×入力'!$A$1:$L$800,567+DB$3,1)&lt;&gt;""),1,0),0)</f>
        <v/>
      </c>
      <c r="DC45">
        <f>IF(DC$4=1,IF(OR(INDEX('×入力'!$A$1:$L$800,567+DC$3,2+DC$2)&lt;&gt;"",INDEX('×入力'!$A$1:$L$800,566,2+DC$2)&lt;&gt;"",INDEX('×入力'!$A$1:$L$800,567+DC$3,1)&lt;&gt;""),1,0),0)</f>
        <v/>
      </c>
      <c r="DD45">
        <f>IF(DD$4=1,IF(OR(INDEX('×入力'!$A$1:$L$800,567+DD$3,2+DD$2)&lt;&gt;"",INDEX('×入力'!$A$1:$L$800,566,2+DD$2)&lt;&gt;"",INDEX('×入力'!$A$1:$L$800,567+DD$3,1)&lt;&gt;""),1,0),0)</f>
        <v/>
      </c>
      <c r="DE45">
        <f>IF(DE$4=1,IF(OR(INDEX('×入力'!$A$1:$L$800,567+DE$3,2+DE$2)&lt;&gt;"",INDEX('×入力'!$A$1:$L$800,566,2+DE$2)&lt;&gt;"",INDEX('×入力'!$A$1:$L$800,567+DE$3,1)&lt;&gt;""),1,0),0)</f>
        <v/>
      </c>
      <c r="DF45">
        <f>IF(DF$4=1,IF(OR(INDEX('×入力'!$A$1:$L$800,567+DF$3,2+DF$2)&lt;&gt;"",INDEX('×入力'!$A$1:$L$800,566,2+DF$2)&lt;&gt;"",INDEX('×入力'!$A$1:$L$800,567+DF$3,1)&lt;&gt;""),1,0),0)</f>
        <v/>
      </c>
      <c r="DG45">
        <f>IF(DG$4=1,IF(OR(INDEX('×入力'!$A$1:$L$800,567+DG$3,2+DG$2)&lt;&gt;"",INDEX('×入力'!$A$1:$L$800,566,2+DG$2)&lt;&gt;"",INDEX('×入力'!$A$1:$L$800,567+DG$3,1)&lt;&gt;""),1,0),0)</f>
        <v/>
      </c>
      <c r="DH45">
        <f>IF(DH$4=1,IF(OR(INDEX('×入力'!$A$1:$L$800,567+DH$3,2+DH$2)&lt;&gt;"",INDEX('×入力'!$A$1:$L$800,566,2+DH$2)&lt;&gt;"",INDEX('×入力'!$A$1:$L$800,567+DH$3,1)&lt;&gt;""),1,0),0)</f>
        <v/>
      </c>
      <c r="DI45">
        <f>IF(DI$4=1,IF(OR(INDEX('×入力'!$A$1:$L$800,567+DI$3,2+DI$2)&lt;&gt;"",INDEX('×入力'!$A$1:$L$800,566,2+DI$2)&lt;&gt;"",INDEX('×入力'!$A$1:$L$800,567+DI$3,1)&lt;&gt;""),1,0),0)</f>
        <v/>
      </c>
      <c r="DJ45">
        <f>IF(DJ$4=1,IF(OR(INDEX('×入力'!$A$1:$L$800,567+DJ$3,2+DJ$2)&lt;&gt;"",INDEX('×入力'!$A$1:$L$800,566,2+DJ$2)&lt;&gt;"",INDEX('×入力'!$A$1:$L$800,567+DJ$3,1)&lt;&gt;""),1,0),0)</f>
        <v/>
      </c>
      <c r="DK45">
        <f>IF(DK$4=1,IF(OR(INDEX('×入力'!$A$1:$L$800,567+DK$3,2+DK$2)&lt;&gt;"",INDEX('×入力'!$A$1:$L$800,566,2+DK$2)&lt;&gt;"",INDEX('×入力'!$A$1:$L$800,567+DK$3,1)&lt;&gt;""),1,0),0)</f>
        <v/>
      </c>
      <c r="DL45">
        <f>IF(DL$4=1,IF(OR(INDEX('×入力'!$A$1:$L$800,567+DL$3,2+DL$2)&lt;&gt;"",INDEX('×入力'!$A$1:$L$800,566,2+DL$2)&lt;&gt;"",INDEX('×入力'!$A$1:$L$800,567+DL$3,1)&lt;&gt;""),1,0),0)</f>
        <v/>
      </c>
      <c r="DM45">
        <f>IF(DM$4=1,IF(OR(INDEX('×入力'!$A$1:$L$800,567+DM$3,2+DM$2)&lt;&gt;"",INDEX('×入力'!$A$1:$L$800,566,2+DM$2)&lt;&gt;"",INDEX('×入力'!$A$1:$L$800,567+DM$3,1)&lt;&gt;""),1,0),0)</f>
        <v/>
      </c>
      <c r="DN45">
        <f>IF(DN$4=1,IF(OR(INDEX('×入力'!$A$1:$L$800,567+DN$3,2+DN$2)&lt;&gt;"",INDEX('×入力'!$A$1:$L$800,566,2+DN$2)&lt;&gt;"",INDEX('×入力'!$A$1:$L$800,567+DN$3,1)&lt;&gt;""),1,0),0)</f>
        <v/>
      </c>
      <c r="DO45">
        <f>IF(DO$4=1,IF(OR(INDEX('×入力'!$A$1:$L$800,567+DO$3,2+DO$2)&lt;&gt;"",INDEX('×入力'!$A$1:$L$800,566,2+DO$2)&lt;&gt;"",INDEX('×入力'!$A$1:$L$800,567+DO$3,1)&lt;&gt;""),1,0),0)</f>
        <v/>
      </c>
      <c r="DP45">
        <f>IF(DP$4=1,IF(OR(INDEX('×入力'!$A$1:$L$800,567+DP$3,2+DP$2)&lt;&gt;"",INDEX('×入力'!$A$1:$L$800,566,2+DP$2)&lt;&gt;"",INDEX('×入力'!$A$1:$L$800,567+DP$3,1)&lt;&gt;""),1,0),0)</f>
        <v/>
      </c>
      <c r="DQ45">
        <f>IF(DQ$4=1,IF(OR(INDEX('×入力'!$A$1:$L$800,567+DQ$3,2+DQ$2)&lt;&gt;"",INDEX('×入力'!$A$1:$L$800,566,2+DQ$2)&lt;&gt;"",INDEX('×入力'!$A$1:$L$800,567+DQ$3,1)&lt;&gt;""),1,0),0)</f>
        <v/>
      </c>
      <c r="DR45">
        <f>IF(DR$4=1,IF(OR(INDEX('×入力'!$A$1:$L$800,567+DR$3,2+DR$2)&lt;&gt;"",INDEX('×入力'!$A$1:$L$800,566,2+DR$2)&lt;&gt;"",INDEX('×入力'!$A$1:$L$800,567+DR$3,1)&lt;&gt;""),1,0),0)</f>
        <v/>
      </c>
      <c r="DS45">
        <f>IF(DS$4=1,IF(OR(INDEX('×入力'!$A$1:$L$800,567+DS$3,2+DS$2)&lt;&gt;"",INDEX('×入力'!$A$1:$L$800,566,2+DS$2)&lt;&gt;"",INDEX('×入力'!$A$1:$L$800,567+DS$3,1)&lt;&gt;""),1,0),0)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IF(D$4=1,IF(OR(INDEX('×入力'!$A$1:$L$800,583+D$3,2+D$2)&lt;&gt;"",INDEX('×入力'!$A$1:$L$800,582,2+D$2)&lt;&gt;"",INDEX('×入力'!$A$1:$L$800,583+D$3,1)&lt;&gt;""),1,0),0)</f>
        <v/>
      </c>
      <c r="E46">
        <f>IF(E$4=1,IF(OR(INDEX('×入力'!$A$1:$L$800,583+E$3,2+E$2)&lt;&gt;"",INDEX('×入力'!$A$1:$L$800,582,2+E$2)&lt;&gt;"",INDEX('×入力'!$A$1:$L$800,583+E$3,1)&lt;&gt;""),1,0),0)</f>
        <v/>
      </c>
      <c r="F46">
        <f>IF(F$4=1,IF(OR(INDEX('×入力'!$A$1:$L$800,583+F$3,2+F$2)&lt;&gt;"",INDEX('×入力'!$A$1:$L$800,582,2+F$2)&lt;&gt;"",INDEX('×入力'!$A$1:$L$800,583+F$3,1)&lt;&gt;""),1,0),0)</f>
        <v/>
      </c>
      <c r="G46">
        <f>IF(G$4=1,IF(OR(INDEX('×入力'!$A$1:$L$800,583+G$3,2+G$2)&lt;&gt;"",INDEX('×入力'!$A$1:$L$800,582,2+G$2)&lt;&gt;"",INDEX('×入力'!$A$1:$L$800,583+G$3,1)&lt;&gt;""),1,0),0)</f>
        <v/>
      </c>
      <c r="H46">
        <f>IF(H$4=1,IF(OR(INDEX('×入力'!$A$1:$L$800,583+H$3,2+H$2)&lt;&gt;"",INDEX('×入力'!$A$1:$L$800,582,2+H$2)&lt;&gt;"",INDEX('×入力'!$A$1:$L$800,583+H$3,1)&lt;&gt;""),1,0),0)</f>
        <v/>
      </c>
      <c r="I46">
        <f>IF(I$4=1,IF(OR(INDEX('×入力'!$A$1:$L$800,583+I$3,2+I$2)&lt;&gt;"",INDEX('×入力'!$A$1:$L$800,582,2+I$2)&lt;&gt;"",INDEX('×入力'!$A$1:$L$800,583+I$3,1)&lt;&gt;""),1,0),0)</f>
        <v/>
      </c>
      <c r="J46">
        <f>IF(J$4=1,IF(OR(INDEX('×入力'!$A$1:$L$800,583+J$3,2+J$2)&lt;&gt;"",INDEX('×入力'!$A$1:$L$800,582,2+J$2)&lt;&gt;"",INDEX('×入力'!$A$1:$L$800,583+J$3,1)&lt;&gt;""),1,0),0)</f>
        <v/>
      </c>
      <c r="K46">
        <f>IF(K$4=1,IF(OR(INDEX('×入力'!$A$1:$L$800,583+K$3,2+K$2)&lt;&gt;"",INDEX('×入力'!$A$1:$L$800,582,2+K$2)&lt;&gt;"",INDEX('×入力'!$A$1:$L$800,583+K$3,1)&lt;&gt;""),1,0),0)</f>
        <v/>
      </c>
      <c r="L46">
        <f>IF(L$4=1,IF(OR(INDEX('×入力'!$A$1:$L$800,583+L$3,2+L$2)&lt;&gt;"",INDEX('×入力'!$A$1:$L$800,582,2+L$2)&lt;&gt;"",INDEX('×入力'!$A$1:$L$800,583+L$3,1)&lt;&gt;""),1,0),0)</f>
        <v/>
      </c>
      <c r="M46">
        <f>IF(M$4=1,IF(OR(INDEX('×入力'!$A$1:$L$800,583+M$3,2+M$2)&lt;&gt;"",INDEX('×入力'!$A$1:$L$800,582,2+M$2)&lt;&gt;"",INDEX('×入力'!$A$1:$L$800,583+M$3,1)&lt;&gt;""),1,0),0)</f>
        <v/>
      </c>
      <c r="N46">
        <f>IF(N$4=1,IF(OR(INDEX('×入力'!$A$1:$L$800,583+N$3,2+N$2)&lt;&gt;"",INDEX('×入力'!$A$1:$L$800,582,2+N$2)&lt;&gt;"",INDEX('×入力'!$A$1:$L$800,583+N$3,1)&lt;&gt;""),1,0),0)</f>
        <v/>
      </c>
      <c r="O46">
        <f>IF(O$4=1,IF(OR(INDEX('×入力'!$A$1:$L$800,583+O$3,2+O$2)&lt;&gt;"",INDEX('×入力'!$A$1:$L$800,582,2+O$2)&lt;&gt;"",INDEX('×入力'!$A$1:$L$800,583+O$3,1)&lt;&gt;""),1,0),0)</f>
        <v/>
      </c>
      <c r="P46">
        <f>IF(P$4=1,IF(OR(INDEX('×入力'!$A$1:$L$800,583+P$3,2+P$2)&lt;&gt;"",INDEX('×入力'!$A$1:$L$800,582,2+P$2)&lt;&gt;"",INDEX('×入力'!$A$1:$L$800,583+P$3,1)&lt;&gt;""),1,0),0)</f>
        <v/>
      </c>
      <c r="Q46">
        <f>IF(Q$4=1,IF(OR(INDEX('×入力'!$A$1:$L$800,583+Q$3,2+Q$2)&lt;&gt;"",INDEX('×入力'!$A$1:$L$800,582,2+Q$2)&lt;&gt;"",INDEX('×入力'!$A$1:$L$800,583+Q$3,1)&lt;&gt;""),1,0),0)</f>
        <v/>
      </c>
      <c r="R46">
        <f>IF(R$4=1,IF(OR(INDEX('×入力'!$A$1:$L$800,583+R$3,2+R$2)&lt;&gt;"",INDEX('×入力'!$A$1:$L$800,582,2+R$2)&lt;&gt;"",INDEX('×入力'!$A$1:$L$800,583+R$3,1)&lt;&gt;""),1,0),0)</f>
        <v/>
      </c>
      <c r="S46">
        <f>IF(S$4=1,IF(OR(INDEX('×入力'!$A$1:$L$800,583+S$3,2+S$2)&lt;&gt;"",INDEX('×入力'!$A$1:$L$800,582,2+S$2)&lt;&gt;"",INDEX('×入力'!$A$1:$L$800,583+S$3,1)&lt;&gt;""),1,0),0)</f>
        <v/>
      </c>
      <c r="T46">
        <f>IF(T$4=1,IF(OR(INDEX('×入力'!$A$1:$L$800,583+T$3,2+T$2)&lt;&gt;"",INDEX('×入力'!$A$1:$L$800,582,2+T$2)&lt;&gt;"",INDEX('×入力'!$A$1:$L$800,583+T$3,1)&lt;&gt;""),1,0),0)</f>
        <v/>
      </c>
      <c r="U46">
        <f>IF(U$4=1,IF(OR(INDEX('×入力'!$A$1:$L$800,583+U$3,2+U$2)&lt;&gt;"",INDEX('×入力'!$A$1:$L$800,582,2+U$2)&lt;&gt;"",INDEX('×入力'!$A$1:$L$800,583+U$3,1)&lt;&gt;""),1,0),0)</f>
        <v/>
      </c>
      <c r="V46">
        <f>IF(V$4=1,IF(OR(INDEX('×入力'!$A$1:$L$800,583+V$3,2+V$2)&lt;&gt;"",INDEX('×入力'!$A$1:$L$800,582,2+V$2)&lt;&gt;"",INDEX('×入力'!$A$1:$L$800,583+V$3,1)&lt;&gt;""),1,0),0)</f>
        <v/>
      </c>
      <c r="W46">
        <f>IF(W$4=1,IF(OR(INDEX('×入力'!$A$1:$L$800,583+W$3,2+W$2)&lt;&gt;"",INDEX('×入力'!$A$1:$L$800,582,2+W$2)&lt;&gt;"",INDEX('×入力'!$A$1:$L$800,583+W$3,1)&lt;&gt;""),1,0),0)</f>
        <v/>
      </c>
      <c r="X46">
        <f>IF(X$4=1,IF(OR(INDEX('×入力'!$A$1:$L$800,583+X$3,2+X$2)&lt;&gt;"",INDEX('×入力'!$A$1:$L$800,582,2+X$2)&lt;&gt;"",INDEX('×入力'!$A$1:$L$800,583+X$3,1)&lt;&gt;""),1,0),0)</f>
        <v/>
      </c>
      <c r="Y46">
        <f>IF(Y$4=1,IF(OR(INDEX('×入力'!$A$1:$L$800,583+Y$3,2+Y$2)&lt;&gt;"",INDEX('×入力'!$A$1:$L$800,582,2+Y$2)&lt;&gt;"",INDEX('×入力'!$A$1:$L$800,583+Y$3,1)&lt;&gt;""),1,0),0)</f>
        <v/>
      </c>
      <c r="Z46">
        <f>IF(Z$4=1,IF(OR(INDEX('×入力'!$A$1:$L$800,583+Z$3,2+Z$2)&lt;&gt;"",INDEX('×入力'!$A$1:$L$800,582,2+Z$2)&lt;&gt;"",INDEX('×入力'!$A$1:$L$800,583+Z$3,1)&lt;&gt;""),1,0),0)</f>
        <v/>
      </c>
      <c r="AA46">
        <f>IF(AA$4=1,IF(OR(INDEX('×入力'!$A$1:$L$800,583+AA$3,2+AA$2)&lt;&gt;"",INDEX('×入力'!$A$1:$L$800,582,2+AA$2)&lt;&gt;"",INDEX('×入力'!$A$1:$L$800,583+AA$3,1)&lt;&gt;""),1,0),0)</f>
        <v/>
      </c>
      <c r="AB46">
        <f>IF(AB$4=1,IF(OR(INDEX('×入力'!$A$1:$L$800,583+AB$3,2+AB$2)&lt;&gt;"",INDEX('×入力'!$A$1:$L$800,582,2+AB$2)&lt;&gt;"",INDEX('×入力'!$A$1:$L$800,583+AB$3,1)&lt;&gt;""),1,0),0)</f>
        <v/>
      </c>
      <c r="AC46">
        <f>IF(AC$4=1,IF(OR(INDEX('×入力'!$A$1:$L$800,583+AC$3,2+AC$2)&lt;&gt;"",INDEX('×入力'!$A$1:$L$800,582,2+AC$2)&lt;&gt;"",INDEX('×入力'!$A$1:$L$800,583+AC$3,1)&lt;&gt;""),1,0),0)</f>
        <v/>
      </c>
      <c r="AD46">
        <f>IF(AD$4=1,IF(OR(INDEX('×入力'!$A$1:$L$800,583+AD$3,2+AD$2)&lt;&gt;"",INDEX('×入力'!$A$1:$L$800,582,2+AD$2)&lt;&gt;"",INDEX('×入力'!$A$1:$L$800,583+AD$3,1)&lt;&gt;""),1,0),0)</f>
        <v/>
      </c>
      <c r="AE46">
        <f>IF(AE$4=1,IF(OR(INDEX('×入力'!$A$1:$L$800,583+AE$3,2+AE$2)&lt;&gt;"",INDEX('×入力'!$A$1:$L$800,582,2+AE$2)&lt;&gt;"",INDEX('×入力'!$A$1:$L$800,583+AE$3,1)&lt;&gt;""),1,0),0)</f>
        <v/>
      </c>
      <c r="AF46">
        <f>IF(AF$4=1,IF(OR(INDEX('×入力'!$A$1:$L$800,583+AF$3,2+AF$2)&lt;&gt;"",INDEX('×入力'!$A$1:$L$800,582,2+AF$2)&lt;&gt;"",INDEX('×入力'!$A$1:$L$800,583+AF$3,1)&lt;&gt;""),1,0),0)</f>
        <v/>
      </c>
      <c r="AG46">
        <f>IF(AG$4=1,IF(OR(INDEX('×入力'!$A$1:$L$800,583+AG$3,2+AG$2)&lt;&gt;"",INDEX('×入力'!$A$1:$L$800,582,2+AG$2)&lt;&gt;"",INDEX('×入力'!$A$1:$L$800,583+AG$3,1)&lt;&gt;""),1,0),0)</f>
        <v/>
      </c>
      <c r="AH46">
        <f>IF(AH$4=1,IF(OR(INDEX('×入力'!$A$1:$L$800,583+AH$3,2+AH$2)&lt;&gt;"",INDEX('×入力'!$A$1:$L$800,582,2+AH$2)&lt;&gt;"",INDEX('×入力'!$A$1:$L$800,583+AH$3,1)&lt;&gt;""),1,0),0)</f>
        <v/>
      </c>
      <c r="AI46">
        <f>IF(AI$4=1,IF(OR(INDEX('×入力'!$A$1:$L$800,583+AI$3,2+AI$2)&lt;&gt;"",INDEX('×入力'!$A$1:$L$800,582,2+AI$2)&lt;&gt;"",INDEX('×入力'!$A$1:$L$800,583+AI$3,1)&lt;&gt;""),1,0),0)</f>
        <v/>
      </c>
      <c r="AJ46">
        <f>IF(AJ$4=1,IF(OR(INDEX('×入力'!$A$1:$L$800,583+AJ$3,2+AJ$2)&lt;&gt;"",INDEX('×入力'!$A$1:$L$800,582,2+AJ$2)&lt;&gt;"",INDEX('×入力'!$A$1:$L$800,583+AJ$3,1)&lt;&gt;""),1,0),0)</f>
        <v/>
      </c>
      <c r="AK46">
        <f>IF(AK$4=1,IF(OR(INDEX('×入力'!$A$1:$L$800,583+AK$3,2+AK$2)&lt;&gt;"",INDEX('×入力'!$A$1:$L$800,582,2+AK$2)&lt;&gt;"",INDEX('×入力'!$A$1:$L$800,583+AK$3,1)&lt;&gt;""),1,0),0)</f>
        <v/>
      </c>
      <c r="AL46">
        <f>IF(AL$4=1,IF(OR(INDEX('×入力'!$A$1:$L$800,583+AL$3,2+AL$2)&lt;&gt;"",INDEX('×入力'!$A$1:$L$800,582,2+AL$2)&lt;&gt;"",INDEX('×入力'!$A$1:$L$800,583+AL$3,1)&lt;&gt;""),1,0),0)</f>
        <v/>
      </c>
      <c r="AM46">
        <f>IF(AM$4=1,IF(OR(INDEX('×入力'!$A$1:$L$800,583+AM$3,2+AM$2)&lt;&gt;"",INDEX('×入力'!$A$1:$L$800,582,2+AM$2)&lt;&gt;"",INDEX('×入力'!$A$1:$L$800,583+AM$3,1)&lt;&gt;""),1,0),0)</f>
        <v/>
      </c>
      <c r="AN46">
        <f>IF(AN$4=1,IF(OR(INDEX('×入力'!$A$1:$L$800,583+AN$3,2+AN$2)&lt;&gt;"",INDEX('×入力'!$A$1:$L$800,582,2+AN$2)&lt;&gt;"",INDEX('×入力'!$A$1:$L$800,583+AN$3,1)&lt;&gt;""),1,0),0)</f>
        <v/>
      </c>
      <c r="AO46">
        <f>IF(AO$4=1,IF(OR(INDEX('×入力'!$A$1:$L$800,583+AO$3,2+AO$2)&lt;&gt;"",INDEX('×入力'!$A$1:$L$800,582,2+AO$2)&lt;&gt;"",INDEX('×入力'!$A$1:$L$800,583+AO$3,1)&lt;&gt;""),1,0),0)</f>
        <v/>
      </c>
      <c r="AP46">
        <f>IF(AP$4=1,IF(OR(INDEX('×入力'!$A$1:$L$800,583+AP$3,2+AP$2)&lt;&gt;"",INDEX('×入力'!$A$1:$L$800,582,2+AP$2)&lt;&gt;"",INDEX('×入力'!$A$1:$L$800,583+AP$3,1)&lt;&gt;""),1,0),0)</f>
        <v/>
      </c>
      <c r="AQ46">
        <f>IF(AQ$4=1,IF(OR(INDEX('×入力'!$A$1:$L$800,583+AQ$3,2+AQ$2)&lt;&gt;"",INDEX('×入力'!$A$1:$L$800,582,2+AQ$2)&lt;&gt;"",INDEX('×入力'!$A$1:$L$800,583+AQ$3,1)&lt;&gt;""),1,0),0)</f>
        <v/>
      </c>
      <c r="AR46">
        <f>IF(AR$4=1,IF(OR(INDEX('×入力'!$A$1:$L$800,583+AR$3,2+AR$2)&lt;&gt;"",INDEX('×入力'!$A$1:$L$800,582,2+AR$2)&lt;&gt;"",INDEX('×入力'!$A$1:$L$800,583+AR$3,1)&lt;&gt;""),1,0),0)</f>
        <v/>
      </c>
      <c r="AS46">
        <f>IF(AS$4=1,IF(OR(INDEX('×入力'!$A$1:$L$800,583+AS$3,2+AS$2)&lt;&gt;"",INDEX('×入力'!$A$1:$L$800,582,2+AS$2)&lt;&gt;"",INDEX('×入力'!$A$1:$L$800,583+AS$3,1)&lt;&gt;""),1,0),0)</f>
        <v/>
      </c>
      <c r="AT46">
        <f>IF(AT$4=1,IF(OR(INDEX('×入力'!$A$1:$L$800,583+AT$3,2+AT$2)&lt;&gt;"",INDEX('×入力'!$A$1:$L$800,582,2+AT$2)&lt;&gt;"",INDEX('×入力'!$A$1:$L$800,583+AT$3,1)&lt;&gt;""),1,0),0)</f>
        <v/>
      </c>
      <c r="AU46">
        <f>IF(AU$4=1,IF(OR(INDEX('×入力'!$A$1:$L$800,583+AU$3,2+AU$2)&lt;&gt;"",INDEX('×入力'!$A$1:$L$800,582,2+AU$2)&lt;&gt;"",INDEX('×入力'!$A$1:$L$800,583+AU$3,1)&lt;&gt;""),1,0),0)</f>
        <v/>
      </c>
      <c r="AV46">
        <f>IF(AV$4=1,IF(OR(INDEX('×入力'!$A$1:$L$800,583+AV$3,2+AV$2)&lt;&gt;"",INDEX('×入力'!$A$1:$L$800,582,2+AV$2)&lt;&gt;"",INDEX('×入力'!$A$1:$L$800,583+AV$3,1)&lt;&gt;""),1,0),0)</f>
        <v/>
      </c>
      <c r="AW46">
        <f>IF(AW$4=1,IF(OR(INDEX('×入力'!$A$1:$L$800,583+AW$3,2+AW$2)&lt;&gt;"",INDEX('×入力'!$A$1:$L$800,582,2+AW$2)&lt;&gt;"",INDEX('×入力'!$A$1:$L$800,583+AW$3,1)&lt;&gt;""),1,0),0)</f>
        <v/>
      </c>
      <c r="AX46">
        <f>IF(AX$4=1,IF(OR(INDEX('×入力'!$A$1:$L$800,583+AX$3,2+AX$2)&lt;&gt;"",INDEX('×入力'!$A$1:$L$800,582,2+AX$2)&lt;&gt;"",INDEX('×入力'!$A$1:$L$800,583+AX$3,1)&lt;&gt;""),1,0),0)</f>
        <v/>
      </c>
      <c r="AY46">
        <f>IF(AY$4=1,IF(OR(INDEX('×入力'!$A$1:$L$800,583+AY$3,2+AY$2)&lt;&gt;"",INDEX('×入力'!$A$1:$L$800,582,2+AY$2)&lt;&gt;"",INDEX('×入力'!$A$1:$L$800,583+AY$3,1)&lt;&gt;""),1,0),0)</f>
        <v/>
      </c>
      <c r="AZ46">
        <f>IF(AZ$4=1,IF(OR(INDEX('×入力'!$A$1:$L$800,583+AZ$3,2+AZ$2)&lt;&gt;"",INDEX('×入力'!$A$1:$L$800,582,2+AZ$2)&lt;&gt;"",INDEX('×入力'!$A$1:$L$800,583+AZ$3,1)&lt;&gt;""),1,0),0)</f>
        <v/>
      </c>
      <c r="BA46">
        <f>IF(BA$4=1,IF(OR(INDEX('×入力'!$A$1:$L$800,583+BA$3,2+BA$2)&lt;&gt;"",INDEX('×入力'!$A$1:$L$800,582,2+BA$2)&lt;&gt;"",INDEX('×入力'!$A$1:$L$800,583+BA$3,1)&lt;&gt;""),1,0),0)</f>
        <v/>
      </c>
      <c r="BB46">
        <f>IF(BB$4=1,IF(OR(INDEX('×入力'!$A$1:$L$800,583+BB$3,2+BB$2)&lt;&gt;"",INDEX('×入力'!$A$1:$L$800,582,2+BB$2)&lt;&gt;"",INDEX('×入力'!$A$1:$L$800,583+BB$3,1)&lt;&gt;""),1,0),0)</f>
        <v/>
      </c>
      <c r="BC46">
        <f>IF(BC$4=1,IF(OR(INDEX('×入力'!$A$1:$L$800,583+BC$3,2+BC$2)&lt;&gt;"",INDEX('×入力'!$A$1:$L$800,582,2+BC$2)&lt;&gt;"",INDEX('×入力'!$A$1:$L$800,583+BC$3,1)&lt;&gt;""),1,0),0)</f>
        <v/>
      </c>
      <c r="BD46">
        <f>IF(BD$4=1,IF(OR(INDEX('×入力'!$A$1:$L$800,583+BD$3,2+BD$2)&lt;&gt;"",INDEX('×入力'!$A$1:$L$800,582,2+BD$2)&lt;&gt;"",INDEX('×入力'!$A$1:$L$800,583+BD$3,1)&lt;&gt;""),1,0),0)</f>
        <v/>
      </c>
      <c r="BE46">
        <f>IF(BE$4=1,IF(OR(INDEX('×入力'!$A$1:$L$800,583+BE$3,2+BE$2)&lt;&gt;"",INDEX('×入力'!$A$1:$L$800,582,2+BE$2)&lt;&gt;"",INDEX('×入力'!$A$1:$L$800,583+BE$3,1)&lt;&gt;""),1,0),0)</f>
        <v/>
      </c>
      <c r="BF46">
        <f>IF(BF$4=1,IF(OR(INDEX('×入力'!$A$1:$L$800,583+BF$3,2+BF$2)&lt;&gt;"",INDEX('×入力'!$A$1:$L$800,582,2+BF$2)&lt;&gt;"",INDEX('×入力'!$A$1:$L$800,583+BF$3,1)&lt;&gt;""),1,0),0)</f>
        <v/>
      </c>
      <c r="BG46">
        <f>IF(BG$4=1,IF(OR(INDEX('×入力'!$A$1:$L$800,583+BG$3,2+BG$2)&lt;&gt;"",INDEX('×入力'!$A$1:$L$800,582,2+BG$2)&lt;&gt;"",INDEX('×入力'!$A$1:$L$800,583+BG$3,1)&lt;&gt;""),1,0),0)</f>
        <v/>
      </c>
      <c r="BH46">
        <f>IF(BH$4=1,IF(OR(INDEX('×入力'!$A$1:$L$800,583+BH$3,2+BH$2)&lt;&gt;"",INDEX('×入力'!$A$1:$L$800,582,2+BH$2)&lt;&gt;"",INDEX('×入力'!$A$1:$L$800,583+BH$3,1)&lt;&gt;""),1,0),0)</f>
        <v/>
      </c>
      <c r="BI46">
        <f>IF(BI$4=1,IF(OR(INDEX('×入力'!$A$1:$L$800,583+BI$3,2+BI$2)&lt;&gt;"",INDEX('×入力'!$A$1:$L$800,582,2+BI$2)&lt;&gt;"",INDEX('×入力'!$A$1:$L$800,583+BI$3,1)&lt;&gt;""),1,0),0)</f>
        <v/>
      </c>
      <c r="BJ46">
        <f>IF(BJ$4=1,IF(OR(INDEX('×入力'!$A$1:$L$800,583+BJ$3,2+BJ$2)&lt;&gt;"",INDEX('×入力'!$A$1:$L$800,582,2+BJ$2)&lt;&gt;"",INDEX('×入力'!$A$1:$L$800,583+BJ$3,1)&lt;&gt;""),1,0),0)</f>
        <v/>
      </c>
      <c r="BK46">
        <f>IF(BK$4=1,IF(OR(INDEX('×入力'!$A$1:$L$800,583+BK$3,2+BK$2)&lt;&gt;"",INDEX('×入力'!$A$1:$L$800,582,2+BK$2)&lt;&gt;"",INDEX('×入力'!$A$1:$L$800,583+BK$3,1)&lt;&gt;""),1,0),0)</f>
        <v/>
      </c>
      <c r="BL46">
        <f>IF(BL$4=1,IF(OR(INDEX('×入力'!$A$1:$L$800,583+BL$3,2+BL$2)&lt;&gt;"",INDEX('×入力'!$A$1:$L$800,582,2+BL$2)&lt;&gt;"",INDEX('×入力'!$A$1:$L$800,583+BL$3,1)&lt;&gt;""),1,0),0)</f>
        <v/>
      </c>
      <c r="BM46">
        <f>IF(BM$4=1,IF(OR(INDEX('×入力'!$A$1:$L$800,583+BM$3,2+BM$2)&lt;&gt;"",INDEX('×入力'!$A$1:$L$800,582,2+BM$2)&lt;&gt;"",INDEX('×入力'!$A$1:$L$800,583+BM$3,1)&lt;&gt;""),1,0),0)</f>
        <v/>
      </c>
      <c r="BN46">
        <f>IF(BN$4=1,IF(OR(INDEX('×入力'!$A$1:$L$800,583+BN$3,2+BN$2)&lt;&gt;"",INDEX('×入力'!$A$1:$L$800,582,2+BN$2)&lt;&gt;"",INDEX('×入力'!$A$1:$L$800,583+BN$3,1)&lt;&gt;""),1,0),0)</f>
        <v/>
      </c>
      <c r="BO46">
        <f>IF(BO$4=1,IF(OR(INDEX('×入力'!$A$1:$L$800,583+BO$3,2+BO$2)&lt;&gt;"",INDEX('×入力'!$A$1:$L$800,582,2+BO$2)&lt;&gt;"",INDEX('×入力'!$A$1:$L$800,583+BO$3,1)&lt;&gt;""),1,0),0)</f>
        <v/>
      </c>
      <c r="BP46">
        <f>IF(BP$4=1,IF(OR(INDEX('×入力'!$A$1:$L$800,583+BP$3,2+BP$2)&lt;&gt;"",INDEX('×入力'!$A$1:$L$800,582,2+BP$2)&lt;&gt;"",INDEX('×入力'!$A$1:$L$800,583+BP$3,1)&lt;&gt;""),1,0),0)</f>
        <v/>
      </c>
      <c r="BQ46">
        <f>IF(BQ$4=1,IF(OR(INDEX('×入力'!$A$1:$L$800,583+BQ$3,2+BQ$2)&lt;&gt;"",INDEX('×入力'!$A$1:$L$800,582,2+BQ$2)&lt;&gt;"",INDEX('×入力'!$A$1:$L$800,583+BQ$3,1)&lt;&gt;""),1,0),0)</f>
        <v/>
      </c>
      <c r="BR46">
        <f>IF(BR$4=1,IF(OR(INDEX('×入力'!$A$1:$L$800,583+BR$3,2+BR$2)&lt;&gt;"",INDEX('×入力'!$A$1:$L$800,582,2+BR$2)&lt;&gt;"",INDEX('×入力'!$A$1:$L$800,583+BR$3,1)&lt;&gt;""),1,0),0)</f>
        <v/>
      </c>
      <c r="BS46">
        <f>IF(BS$4=1,IF(OR(INDEX('×入力'!$A$1:$L$800,583+BS$3,2+BS$2)&lt;&gt;"",INDEX('×入力'!$A$1:$L$800,582,2+BS$2)&lt;&gt;"",INDEX('×入力'!$A$1:$L$800,583+BS$3,1)&lt;&gt;""),1,0),0)</f>
        <v/>
      </c>
      <c r="BT46">
        <f>IF(BT$4=1,IF(OR(INDEX('×入力'!$A$1:$L$800,583+BT$3,2+BT$2)&lt;&gt;"",INDEX('×入力'!$A$1:$L$800,582,2+BT$2)&lt;&gt;"",INDEX('×入力'!$A$1:$L$800,583+BT$3,1)&lt;&gt;""),1,0),0)</f>
        <v/>
      </c>
      <c r="BU46">
        <f>IF(BU$4=1,IF(OR(INDEX('×入力'!$A$1:$L$800,583+BU$3,2+BU$2)&lt;&gt;"",INDEX('×入力'!$A$1:$L$800,582,2+BU$2)&lt;&gt;"",INDEX('×入力'!$A$1:$L$800,583+BU$3,1)&lt;&gt;""),1,0),0)</f>
        <v/>
      </c>
      <c r="BV46">
        <f>IF(BV$4=1,IF(OR(INDEX('×入力'!$A$1:$L$800,583+BV$3,2+BV$2)&lt;&gt;"",INDEX('×入力'!$A$1:$L$800,582,2+BV$2)&lt;&gt;"",INDEX('×入力'!$A$1:$L$800,583+BV$3,1)&lt;&gt;""),1,0),0)</f>
        <v/>
      </c>
      <c r="BW46">
        <f>IF(BW$4=1,IF(OR(INDEX('×入力'!$A$1:$L$800,583+BW$3,2+BW$2)&lt;&gt;"",INDEX('×入力'!$A$1:$L$800,582,2+BW$2)&lt;&gt;"",INDEX('×入力'!$A$1:$L$800,583+BW$3,1)&lt;&gt;""),1,0),0)</f>
        <v/>
      </c>
      <c r="BX46">
        <f>IF(BX$4=1,IF(OR(INDEX('×入力'!$A$1:$L$800,583+BX$3,2+BX$2)&lt;&gt;"",INDEX('×入力'!$A$1:$L$800,582,2+BX$2)&lt;&gt;"",INDEX('×入力'!$A$1:$L$800,583+BX$3,1)&lt;&gt;""),1,0),0)</f>
        <v/>
      </c>
      <c r="BY46">
        <f>IF(BY$4=1,IF(OR(INDEX('×入力'!$A$1:$L$800,583+BY$3,2+BY$2)&lt;&gt;"",INDEX('×入力'!$A$1:$L$800,582,2+BY$2)&lt;&gt;"",INDEX('×入力'!$A$1:$L$800,583+BY$3,1)&lt;&gt;""),1,0),0)</f>
        <v/>
      </c>
      <c r="BZ46">
        <f>IF(BZ$4=1,IF(OR(INDEX('×入力'!$A$1:$L$800,583+BZ$3,2+BZ$2)&lt;&gt;"",INDEX('×入力'!$A$1:$L$800,582,2+BZ$2)&lt;&gt;"",INDEX('×入力'!$A$1:$L$800,583+BZ$3,1)&lt;&gt;""),1,0),0)</f>
        <v/>
      </c>
      <c r="CA46">
        <f>IF(CA$4=1,IF(OR(INDEX('×入力'!$A$1:$L$800,583+CA$3,2+CA$2)&lt;&gt;"",INDEX('×入力'!$A$1:$L$800,582,2+CA$2)&lt;&gt;"",INDEX('×入力'!$A$1:$L$800,583+CA$3,1)&lt;&gt;""),1,0),0)</f>
        <v/>
      </c>
      <c r="CB46">
        <f>IF(CB$4=1,IF(OR(INDEX('×入力'!$A$1:$L$800,583+CB$3,2+CB$2)&lt;&gt;"",INDEX('×入力'!$A$1:$L$800,582,2+CB$2)&lt;&gt;"",INDEX('×入力'!$A$1:$L$800,583+CB$3,1)&lt;&gt;""),1,0),0)</f>
        <v/>
      </c>
      <c r="CC46">
        <f>IF(CC$4=1,IF(OR(INDEX('×入力'!$A$1:$L$800,583+CC$3,2+CC$2)&lt;&gt;"",INDEX('×入力'!$A$1:$L$800,582,2+CC$2)&lt;&gt;"",INDEX('×入力'!$A$1:$L$800,583+CC$3,1)&lt;&gt;""),1,0),0)</f>
        <v/>
      </c>
      <c r="CD46">
        <f>IF(CD$4=1,IF(OR(INDEX('×入力'!$A$1:$L$800,583+CD$3,2+CD$2)&lt;&gt;"",INDEX('×入力'!$A$1:$L$800,582,2+CD$2)&lt;&gt;"",INDEX('×入力'!$A$1:$L$800,583+CD$3,1)&lt;&gt;""),1,0),0)</f>
        <v/>
      </c>
      <c r="CE46">
        <f>IF(CE$4=1,IF(OR(INDEX('×入力'!$A$1:$L$800,583+CE$3,2+CE$2)&lt;&gt;"",INDEX('×入力'!$A$1:$L$800,582,2+CE$2)&lt;&gt;"",INDEX('×入力'!$A$1:$L$800,583+CE$3,1)&lt;&gt;""),1,0),0)</f>
        <v/>
      </c>
      <c r="CF46">
        <f>IF(CF$4=1,IF(OR(INDEX('×入力'!$A$1:$L$800,583+CF$3,2+CF$2)&lt;&gt;"",INDEX('×入力'!$A$1:$L$800,582,2+CF$2)&lt;&gt;"",INDEX('×入力'!$A$1:$L$800,583+CF$3,1)&lt;&gt;""),1,0),0)</f>
        <v/>
      </c>
      <c r="CG46">
        <f>IF(CG$4=1,IF(OR(INDEX('×入力'!$A$1:$L$800,583+CG$3,2+CG$2)&lt;&gt;"",INDEX('×入力'!$A$1:$L$800,582,2+CG$2)&lt;&gt;"",INDEX('×入力'!$A$1:$L$800,583+CG$3,1)&lt;&gt;""),1,0),0)</f>
        <v/>
      </c>
      <c r="CH46">
        <f>IF(CH$4=1,IF(OR(INDEX('×入力'!$A$1:$L$800,583+CH$3,2+CH$2)&lt;&gt;"",INDEX('×入力'!$A$1:$L$800,582,2+CH$2)&lt;&gt;"",INDEX('×入力'!$A$1:$L$800,583+CH$3,1)&lt;&gt;""),1,0),0)</f>
        <v/>
      </c>
      <c r="CI46">
        <f>IF(CI$4=1,IF(OR(INDEX('×入力'!$A$1:$L$800,583+CI$3,2+CI$2)&lt;&gt;"",INDEX('×入力'!$A$1:$L$800,582,2+CI$2)&lt;&gt;"",INDEX('×入力'!$A$1:$L$800,583+CI$3,1)&lt;&gt;""),1,0),0)</f>
        <v/>
      </c>
      <c r="CJ46">
        <f>IF(CJ$4=1,IF(OR(INDEX('×入力'!$A$1:$L$800,583+CJ$3,2+CJ$2)&lt;&gt;"",INDEX('×入力'!$A$1:$L$800,582,2+CJ$2)&lt;&gt;"",INDEX('×入力'!$A$1:$L$800,583+CJ$3,1)&lt;&gt;""),1,0),0)</f>
        <v/>
      </c>
      <c r="CK46">
        <f>IF(CK$4=1,IF(OR(INDEX('×入力'!$A$1:$L$800,583+CK$3,2+CK$2)&lt;&gt;"",INDEX('×入力'!$A$1:$L$800,582,2+CK$2)&lt;&gt;"",INDEX('×入力'!$A$1:$L$800,583+CK$3,1)&lt;&gt;""),1,0),0)</f>
        <v/>
      </c>
      <c r="CL46">
        <f>IF(CL$4=1,IF(OR(INDEX('×入力'!$A$1:$L$800,583+CL$3,2+CL$2)&lt;&gt;"",INDEX('×入力'!$A$1:$L$800,582,2+CL$2)&lt;&gt;"",INDEX('×入力'!$A$1:$L$800,583+CL$3,1)&lt;&gt;""),1,0),0)</f>
        <v/>
      </c>
      <c r="CM46">
        <f>IF(CM$4=1,IF(OR(INDEX('×入力'!$A$1:$L$800,583+CM$3,2+CM$2)&lt;&gt;"",INDEX('×入力'!$A$1:$L$800,582,2+CM$2)&lt;&gt;"",INDEX('×入力'!$A$1:$L$800,583+CM$3,1)&lt;&gt;""),1,0),0)</f>
        <v/>
      </c>
      <c r="CN46">
        <f>IF(CN$4=1,IF(OR(INDEX('×入力'!$A$1:$L$800,583+CN$3,2+CN$2)&lt;&gt;"",INDEX('×入力'!$A$1:$L$800,582,2+CN$2)&lt;&gt;"",INDEX('×入力'!$A$1:$L$800,583+CN$3,1)&lt;&gt;""),1,0),0)</f>
        <v/>
      </c>
      <c r="CO46">
        <f>IF(CO$4=1,IF(OR(INDEX('×入力'!$A$1:$L$800,583+CO$3,2+CO$2)&lt;&gt;"",INDEX('×入力'!$A$1:$L$800,582,2+CO$2)&lt;&gt;"",INDEX('×入力'!$A$1:$L$800,583+CO$3,1)&lt;&gt;""),1,0),0)</f>
        <v/>
      </c>
      <c r="CP46">
        <f>IF(CP$4=1,IF(OR(INDEX('×入力'!$A$1:$L$800,583+CP$3,2+CP$2)&lt;&gt;"",INDEX('×入力'!$A$1:$L$800,582,2+CP$2)&lt;&gt;"",INDEX('×入力'!$A$1:$L$800,583+CP$3,1)&lt;&gt;""),1,0),0)</f>
        <v/>
      </c>
      <c r="CQ46">
        <f>IF(CQ$4=1,IF(OR(INDEX('×入力'!$A$1:$L$800,583+CQ$3,2+CQ$2)&lt;&gt;"",INDEX('×入力'!$A$1:$L$800,582,2+CQ$2)&lt;&gt;"",INDEX('×入力'!$A$1:$L$800,583+CQ$3,1)&lt;&gt;""),1,0),0)</f>
        <v/>
      </c>
      <c r="CR46">
        <f>IF(CR$4=1,IF(OR(INDEX('×入力'!$A$1:$L$800,583+CR$3,2+CR$2)&lt;&gt;"",INDEX('×入力'!$A$1:$L$800,582,2+CR$2)&lt;&gt;"",INDEX('×入力'!$A$1:$L$800,583+CR$3,1)&lt;&gt;""),1,0),0)</f>
        <v/>
      </c>
      <c r="CS46">
        <f>IF(CS$4=1,IF(OR(INDEX('×入力'!$A$1:$L$800,583+CS$3,2+CS$2)&lt;&gt;"",INDEX('×入力'!$A$1:$L$800,582,2+CS$2)&lt;&gt;"",INDEX('×入力'!$A$1:$L$800,583+CS$3,1)&lt;&gt;""),1,0),0)</f>
        <v/>
      </c>
      <c r="CT46">
        <f>IF(CT$4=1,IF(OR(INDEX('×入力'!$A$1:$L$800,583+CT$3,2+CT$2)&lt;&gt;"",INDEX('×入力'!$A$1:$L$800,582,2+CT$2)&lt;&gt;"",INDEX('×入力'!$A$1:$L$800,583+CT$3,1)&lt;&gt;""),1,0),0)</f>
        <v/>
      </c>
      <c r="CU46">
        <f>IF(CU$4=1,IF(OR(INDEX('×入力'!$A$1:$L$800,583+CU$3,2+CU$2)&lt;&gt;"",INDEX('×入力'!$A$1:$L$800,582,2+CU$2)&lt;&gt;"",INDEX('×入力'!$A$1:$L$800,583+CU$3,1)&lt;&gt;""),1,0),0)</f>
        <v/>
      </c>
      <c r="CV46">
        <f>IF(CV$4=1,IF(OR(INDEX('×入力'!$A$1:$L$800,583+CV$3,2+CV$2)&lt;&gt;"",INDEX('×入力'!$A$1:$L$800,582,2+CV$2)&lt;&gt;"",INDEX('×入力'!$A$1:$L$800,583+CV$3,1)&lt;&gt;""),1,0),0)</f>
        <v/>
      </c>
      <c r="CW46">
        <f>IF(CW$4=1,IF(OR(INDEX('×入力'!$A$1:$L$800,583+CW$3,2+CW$2)&lt;&gt;"",INDEX('×入力'!$A$1:$L$800,582,2+CW$2)&lt;&gt;"",INDEX('×入力'!$A$1:$L$800,583+CW$3,1)&lt;&gt;""),1,0),0)</f>
        <v/>
      </c>
      <c r="CX46">
        <f>IF(CX$4=1,IF(OR(INDEX('×入力'!$A$1:$L$800,583+CX$3,2+CX$2)&lt;&gt;"",INDEX('×入力'!$A$1:$L$800,582,2+CX$2)&lt;&gt;"",INDEX('×入力'!$A$1:$L$800,583+CX$3,1)&lt;&gt;""),1,0),0)</f>
        <v/>
      </c>
      <c r="CY46">
        <f>IF(CY$4=1,IF(OR(INDEX('×入力'!$A$1:$L$800,583+CY$3,2+CY$2)&lt;&gt;"",INDEX('×入力'!$A$1:$L$800,582,2+CY$2)&lt;&gt;"",INDEX('×入力'!$A$1:$L$800,583+CY$3,1)&lt;&gt;""),1,0),0)</f>
        <v/>
      </c>
      <c r="CZ46">
        <f>IF(CZ$4=1,IF(OR(INDEX('×入力'!$A$1:$L$800,583+CZ$3,2+CZ$2)&lt;&gt;"",INDEX('×入力'!$A$1:$L$800,582,2+CZ$2)&lt;&gt;"",INDEX('×入力'!$A$1:$L$800,583+CZ$3,1)&lt;&gt;""),1,0),0)</f>
        <v/>
      </c>
      <c r="DA46">
        <f>IF(DA$4=1,IF(OR(INDEX('×入力'!$A$1:$L$800,583+DA$3,2+DA$2)&lt;&gt;"",INDEX('×入力'!$A$1:$L$800,582,2+DA$2)&lt;&gt;"",INDEX('×入力'!$A$1:$L$800,583+DA$3,1)&lt;&gt;""),1,0),0)</f>
        <v/>
      </c>
      <c r="DB46">
        <f>IF(DB$4=1,IF(OR(INDEX('×入力'!$A$1:$L$800,583+DB$3,2+DB$2)&lt;&gt;"",INDEX('×入力'!$A$1:$L$800,582,2+DB$2)&lt;&gt;"",INDEX('×入力'!$A$1:$L$800,583+DB$3,1)&lt;&gt;""),1,0),0)</f>
        <v/>
      </c>
      <c r="DC46">
        <f>IF(DC$4=1,IF(OR(INDEX('×入力'!$A$1:$L$800,583+DC$3,2+DC$2)&lt;&gt;"",INDEX('×入力'!$A$1:$L$800,582,2+DC$2)&lt;&gt;"",INDEX('×入力'!$A$1:$L$800,583+DC$3,1)&lt;&gt;""),1,0),0)</f>
        <v/>
      </c>
      <c r="DD46">
        <f>IF(DD$4=1,IF(OR(INDEX('×入力'!$A$1:$L$800,583+DD$3,2+DD$2)&lt;&gt;"",INDEX('×入力'!$A$1:$L$800,582,2+DD$2)&lt;&gt;"",INDEX('×入力'!$A$1:$L$800,583+DD$3,1)&lt;&gt;""),1,0),0)</f>
        <v/>
      </c>
      <c r="DE46">
        <f>IF(DE$4=1,IF(OR(INDEX('×入力'!$A$1:$L$800,583+DE$3,2+DE$2)&lt;&gt;"",INDEX('×入力'!$A$1:$L$800,582,2+DE$2)&lt;&gt;"",INDEX('×入力'!$A$1:$L$800,583+DE$3,1)&lt;&gt;""),1,0),0)</f>
        <v/>
      </c>
      <c r="DF46">
        <f>IF(DF$4=1,IF(OR(INDEX('×入力'!$A$1:$L$800,583+DF$3,2+DF$2)&lt;&gt;"",INDEX('×入力'!$A$1:$L$800,582,2+DF$2)&lt;&gt;"",INDEX('×入力'!$A$1:$L$800,583+DF$3,1)&lt;&gt;""),1,0),0)</f>
        <v/>
      </c>
      <c r="DG46">
        <f>IF(DG$4=1,IF(OR(INDEX('×入力'!$A$1:$L$800,583+DG$3,2+DG$2)&lt;&gt;"",INDEX('×入力'!$A$1:$L$800,582,2+DG$2)&lt;&gt;"",INDEX('×入力'!$A$1:$L$800,583+DG$3,1)&lt;&gt;""),1,0),0)</f>
        <v/>
      </c>
      <c r="DH46">
        <f>IF(DH$4=1,IF(OR(INDEX('×入力'!$A$1:$L$800,583+DH$3,2+DH$2)&lt;&gt;"",INDEX('×入力'!$A$1:$L$800,582,2+DH$2)&lt;&gt;"",INDEX('×入力'!$A$1:$L$800,583+DH$3,1)&lt;&gt;""),1,0),0)</f>
        <v/>
      </c>
      <c r="DI46">
        <f>IF(DI$4=1,IF(OR(INDEX('×入力'!$A$1:$L$800,583+DI$3,2+DI$2)&lt;&gt;"",INDEX('×入力'!$A$1:$L$800,582,2+DI$2)&lt;&gt;"",INDEX('×入力'!$A$1:$L$800,583+DI$3,1)&lt;&gt;""),1,0),0)</f>
        <v/>
      </c>
      <c r="DJ46">
        <f>IF(DJ$4=1,IF(OR(INDEX('×入力'!$A$1:$L$800,583+DJ$3,2+DJ$2)&lt;&gt;"",INDEX('×入力'!$A$1:$L$800,582,2+DJ$2)&lt;&gt;"",INDEX('×入力'!$A$1:$L$800,583+DJ$3,1)&lt;&gt;""),1,0),0)</f>
        <v/>
      </c>
      <c r="DK46">
        <f>IF(DK$4=1,IF(OR(INDEX('×入力'!$A$1:$L$800,583+DK$3,2+DK$2)&lt;&gt;"",INDEX('×入力'!$A$1:$L$800,582,2+DK$2)&lt;&gt;"",INDEX('×入力'!$A$1:$L$800,583+DK$3,1)&lt;&gt;""),1,0),0)</f>
        <v/>
      </c>
      <c r="DL46">
        <f>IF(DL$4=1,IF(OR(INDEX('×入力'!$A$1:$L$800,583+DL$3,2+DL$2)&lt;&gt;"",INDEX('×入力'!$A$1:$L$800,582,2+DL$2)&lt;&gt;"",INDEX('×入力'!$A$1:$L$800,583+DL$3,1)&lt;&gt;""),1,0),0)</f>
        <v/>
      </c>
      <c r="DM46">
        <f>IF(DM$4=1,IF(OR(INDEX('×入力'!$A$1:$L$800,583+DM$3,2+DM$2)&lt;&gt;"",INDEX('×入力'!$A$1:$L$800,582,2+DM$2)&lt;&gt;"",INDEX('×入力'!$A$1:$L$800,583+DM$3,1)&lt;&gt;""),1,0),0)</f>
        <v/>
      </c>
      <c r="DN46">
        <f>IF(DN$4=1,IF(OR(INDEX('×入力'!$A$1:$L$800,583+DN$3,2+DN$2)&lt;&gt;"",INDEX('×入力'!$A$1:$L$800,582,2+DN$2)&lt;&gt;"",INDEX('×入力'!$A$1:$L$800,583+DN$3,1)&lt;&gt;""),1,0),0)</f>
        <v/>
      </c>
      <c r="DO46">
        <f>IF(DO$4=1,IF(OR(INDEX('×入力'!$A$1:$L$800,583+DO$3,2+DO$2)&lt;&gt;"",INDEX('×入力'!$A$1:$L$800,582,2+DO$2)&lt;&gt;"",INDEX('×入力'!$A$1:$L$800,583+DO$3,1)&lt;&gt;""),1,0),0)</f>
        <v/>
      </c>
      <c r="DP46">
        <f>IF(DP$4=1,IF(OR(INDEX('×入力'!$A$1:$L$800,583+DP$3,2+DP$2)&lt;&gt;"",INDEX('×入力'!$A$1:$L$800,582,2+DP$2)&lt;&gt;"",INDEX('×入力'!$A$1:$L$800,583+DP$3,1)&lt;&gt;""),1,0),0)</f>
        <v/>
      </c>
      <c r="DQ46">
        <f>IF(DQ$4=1,IF(OR(INDEX('×入力'!$A$1:$L$800,583+DQ$3,2+DQ$2)&lt;&gt;"",INDEX('×入力'!$A$1:$L$800,582,2+DQ$2)&lt;&gt;"",INDEX('×入力'!$A$1:$L$800,583+DQ$3,1)&lt;&gt;""),1,0),0)</f>
        <v/>
      </c>
      <c r="DR46">
        <f>IF(DR$4=1,IF(OR(INDEX('×入力'!$A$1:$L$800,583+DR$3,2+DR$2)&lt;&gt;"",INDEX('×入力'!$A$1:$L$800,582,2+DR$2)&lt;&gt;"",INDEX('×入力'!$A$1:$L$800,583+DR$3,1)&lt;&gt;""),1,0),0)</f>
        <v/>
      </c>
      <c r="DS46">
        <f>IF(DS$4=1,IF(OR(INDEX('×入力'!$A$1:$L$800,583+DS$3,2+DS$2)&lt;&gt;"",INDEX('×入力'!$A$1:$L$800,582,2+DS$2)&lt;&gt;"",INDEX('×入力'!$A$1:$L$800,583+DS$3,1)&lt;&gt;""),1,0),0)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IF(D$4=1,IF(OR(INDEX('×入力'!$A$1:$L$800,599+D$3,2+D$2)&lt;&gt;"",INDEX('×入力'!$A$1:$L$800,598,2+D$2)&lt;&gt;"",INDEX('×入力'!$A$1:$L$800,599+D$3,1)&lt;&gt;""),1,0),0)</f>
        <v/>
      </c>
      <c r="E47">
        <f>IF(E$4=1,IF(OR(INDEX('×入力'!$A$1:$L$800,599+E$3,2+E$2)&lt;&gt;"",INDEX('×入力'!$A$1:$L$800,598,2+E$2)&lt;&gt;"",INDEX('×入力'!$A$1:$L$800,599+E$3,1)&lt;&gt;""),1,0),0)</f>
        <v/>
      </c>
      <c r="F47">
        <f>IF(F$4=1,IF(OR(INDEX('×入力'!$A$1:$L$800,599+F$3,2+F$2)&lt;&gt;"",INDEX('×入力'!$A$1:$L$800,598,2+F$2)&lt;&gt;"",INDEX('×入力'!$A$1:$L$800,599+F$3,1)&lt;&gt;""),1,0),0)</f>
        <v/>
      </c>
      <c r="G47">
        <f>IF(G$4=1,IF(OR(INDEX('×入力'!$A$1:$L$800,599+G$3,2+G$2)&lt;&gt;"",INDEX('×入力'!$A$1:$L$800,598,2+G$2)&lt;&gt;"",INDEX('×入力'!$A$1:$L$800,599+G$3,1)&lt;&gt;""),1,0),0)</f>
        <v/>
      </c>
      <c r="H47">
        <f>IF(H$4=1,IF(OR(INDEX('×入力'!$A$1:$L$800,599+H$3,2+H$2)&lt;&gt;"",INDEX('×入力'!$A$1:$L$800,598,2+H$2)&lt;&gt;"",INDEX('×入力'!$A$1:$L$800,599+H$3,1)&lt;&gt;""),1,0),0)</f>
        <v/>
      </c>
      <c r="I47">
        <f>IF(I$4=1,IF(OR(INDEX('×入力'!$A$1:$L$800,599+I$3,2+I$2)&lt;&gt;"",INDEX('×入力'!$A$1:$L$800,598,2+I$2)&lt;&gt;"",INDEX('×入力'!$A$1:$L$800,599+I$3,1)&lt;&gt;""),1,0),0)</f>
        <v/>
      </c>
      <c r="J47">
        <f>IF(J$4=1,IF(OR(INDEX('×入力'!$A$1:$L$800,599+J$3,2+J$2)&lt;&gt;"",INDEX('×入力'!$A$1:$L$800,598,2+J$2)&lt;&gt;"",INDEX('×入力'!$A$1:$L$800,599+J$3,1)&lt;&gt;""),1,0),0)</f>
        <v/>
      </c>
      <c r="K47">
        <f>IF(K$4=1,IF(OR(INDEX('×入力'!$A$1:$L$800,599+K$3,2+K$2)&lt;&gt;"",INDEX('×入力'!$A$1:$L$800,598,2+K$2)&lt;&gt;"",INDEX('×入力'!$A$1:$L$800,599+K$3,1)&lt;&gt;""),1,0),0)</f>
        <v/>
      </c>
      <c r="L47">
        <f>IF(L$4=1,IF(OR(INDEX('×入力'!$A$1:$L$800,599+L$3,2+L$2)&lt;&gt;"",INDEX('×入力'!$A$1:$L$800,598,2+L$2)&lt;&gt;"",INDEX('×入力'!$A$1:$L$800,599+L$3,1)&lt;&gt;""),1,0),0)</f>
        <v/>
      </c>
      <c r="M47">
        <f>IF(M$4=1,IF(OR(INDEX('×入力'!$A$1:$L$800,599+M$3,2+M$2)&lt;&gt;"",INDEX('×入力'!$A$1:$L$800,598,2+M$2)&lt;&gt;"",INDEX('×入力'!$A$1:$L$800,599+M$3,1)&lt;&gt;""),1,0),0)</f>
        <v/>
      </c>
      <c r="N47">
        <f>IF(N$4=1,IF(OR(INDEX('×入力'!$A$1:$L$800,599+N$3,2+N$2)&lt;&gt;"",INDEX('×入力'!$A$1:$L$800,598,2+N$2)&lt;&gt;"",INDEX('×入力'!$A$1:$L$800,599+N$3,1)&lt;&gt;""),1,0),0)</f>
        <v/>
      </c>
      <c r="O47">
        <f>IF(O$4=1,IF(OR(INDEX('×入力'!$A$1:$L$800,599+O$3,2+O$2)&lt;&gt;"",INDEX('×入力'!$A$1:$L$800,598,2+O$2)&lt;&gt;"",INDEX('×入力'!$A$1:$L$800,599+O$3,1)&lt;&gt;""),1,0),0)</f>
        <v/>
      </c>
      <c r="P47">
        <f>IF(P$4=1,IF(OR(INDEX('×入力'!$A$1:$L$800,599+P$3,2+P$2)&lt;&gt;"",INDEX('×入力'!$A$1:$L$800,598,2+P$2)&lt;&gt;"",INDEX('×入力'!$A$1:$L$800,599+P$3,1)&lt;&gt;""),1,0),0)</f>
        <v/>
      </c>
      <c r="Q47">
        <f>IF(Q$4=1,IF(OR(INDEX('×入力'!$A$1:$L$800,599+Q$3,2+Q$2)&lt;&gt;"",INDEX('×入力'!$A$1:$L$800,598,2+Q$2)&lt;&gt;"",INDEX('×入力'!$A$1:$L$800,599+Q$3,1)&lt;&gt;""),1,0),0)</f>
        <v/>
      </c>
      <c r="R47">
        <f>IF(R$4=1,IF(OR(INDEX('×入力'!$A$1:$L$800,599+R$3,2+R$2)&lt;&gt;"",INDEX('×入力'!$A$1:$L$800,598,2+R$2)&lt;&gt;"",INDEX('×入力'!$A$1:$L$800,599+R$3,1)&lt;&gt;""),1,0),0)</f>
        <v/>
      </c>
      <c r="S47">
        <f>IF(S$4=1,IF(OR(INDEX('×入力'!$A$1:$L$800,599+S$3,2+S$2)&lt;&gt;"",INDEX('×入力'!$A$1:$L$800,598,2+S$2)&lt;&gt;"",INDEX('×入力'!$A$1:$L$800,599+S$3,1)&lt;&gt;""),1,0),0)</f>
        <v/>
      </c>
      <c r="T47">
        <f>IF(T$4=1,IF(OR(INDEX('×入力'!$A$1:$L$800,599+T$3,2+T$2)&lt;&gt;"",INDEX('×入力'!$A$1:$L$800,598,2+T$2)&lt;&gt;"",INDEX('×入力'!$A$1:$L$800,599+T$3,1)&lt;&gt;""),1,0),0)</f>
        <v/>
      </c>
      <c r="U47">
        <f>IF(U$4=1,IF(OR(INDEX('×入力'!$A$1:$L$800,599+U$3,2+U$2)&lt;&gt;"",INDEX('×入力'!$A$1:$L$800,598,2+U$2)&lt;&gt;"",INDEX('×入力'!$A$1:$L$800,599+U$3,1)&lt;&gt;""),1,0),0)</f>
        <v/>
      </c>
      <c r="V47">
        <f>IF(V$4=1,IF(OR(INDEX('×入力'!$A$1:$L$800,599+V$3,2+V$2)&lt;&gt;"",INDEX('×入力'!$A$1:$L$800,598,2+V$2)&lt;&gt;"",INDEX('×入力'!$A$1:$L$800,599+V$3,1)&lt;&gt;""),1,0),0)</f>
        <v/>
      </c>
      <c r="W47">
        <f>IF(W$4=1,IF(OR(INDEX('×入力'!$A$1:$L$800,599+W$3,2+W$2)&lt;&gt;"",INDEX('×入力'!$A$1:$L$800,598,2+W$2)&lt;&gt;"",INDEX('×入力'!$A$1:$L$800,599+W$3,1)&lt;&gt;""),1,0),0)</f>
        <v/>
      </c>
      <c r="X47">
        <f>IF(X$4=1,IF(OR(INDEX('×入力'!$A$1:$L$800,599+X$3,2+X$2)&lt;&gt;"",INDEX('×入力'!$A$1:$L$800,598,2+X$2)&lt;&gt;"",INDEX('×入力'!$A$1:$L$800,599+X$3,1)&lt;&gt;""),1,0),0)</f>
        <v/>
      </c>
      <c r="Y47">
        <f>IF(Y$4=1,IF(OR(INDEX('×入力'!$A$1:$L$800,599+Y$3,2+Y$2)&lt;&gt;"",INDEX('×入力'!$A$1:$L$800,598,2+Y$2)&lt;&gt;"",INDEX('×入力'!$A$1:$L$800,599+Y$3,1)&lt;&gt;""),1,0),0)</f>
        <v/>
      </c>
      <c r="Z47">
        <f>IF(Z$4=1,IF(OR(INDEX('×入力'!$A$1:$L$800,599+Z$3,2+Z$2)&lt;&gt;"",INDEX('×入力'!$A$1:$L$800,598,2+Z$2)&lt;&gt;"",INDEX('×入力'!$A$1:$L$800,599+Z$3,1)&lt;&gt;""),1,0),0)</f>
        <v/>
      </c>
      <c r="AA47">
        <f>IF(AA$4=1,IF(OR(INDEX('×入力'!$A$1:$L$800,599+AA$3,2+AA$2)&lt;&gt;"",INDEX('×入力'!$A$1:$L$800,598,2+AA$2)&lt;&gt;"",INDEX('×入力'!$A$1:$L$800,599+AA$3,1)&lt;&gt;""),1,0),0)</f>
        <v/>
      </c>
      <c r="AB47">
        <f>IF(AB$4=1,IF(OR(INDEX('×入力'!$A$1:$L$800,599+AB$3,2+AB$2)&lt;&gt;"",INDEX('×入力'!$A$1:$L$800,598,2+AB$2)&lt;&gt;"",INDEX('×入力'!$A$1:$L$800,599+AB$3,1)&lt;&gt;""),1,0),0)</f>
        <v/>
      </c>
      <c r="AC47">
        <f>IF(AC$4=1,IF(OR(INDEX('×入力'!$A$1:$L$800,599+AC$3,2+AC$2)&lt;&gt;"",INDEX('×入力'!$A$1:$L$800,598,2+AC$2)&lt;&gt;"",INDEX('×入力'!$A$1:$L$800,599+AC$3,1)&lt;&gt;""),1,0),0)</f>
        <v/>
      </c>
      <c r="AD47">
        <f>IF(AD$4=1,IF(OR(INDEX('×入力'!$A$1:$L$800,599+AD$3,2+AD$2)&lt;&gt;"",INDEX('×入力'!$A$1:$L$800,598,2+AD$2)&lt;&gt;"",INDEX('×入力'!$A$1:$L$800,599+AD$3,1)&lt;&gt;""),1,0),0)</f>
        <v/>
      </c>
      <c r="AE47">
        <f>IF(AE$4=1,IF(OR(INDEX('×入力'!$A$1:$L$800,599+AE$3,2+AE$2)&lt;&gt;"",INDEX('×入力'!$A$1:$L$800,598,2+AE$2)&lt;&gt;"",INDEX('×入力'!$A$1:$L$800,599+AE$3,1)&lt;&gt;""),1,0),0)</f>
        <v/>
      </c>
      <c r="AF47">
        <f>IF(AF$4=1,IF(OR(INDEX('×入力'!$A$1:$L$800,599+AF$3,2+AF$2)&lt;&gt;"",INDEX('×入力'!$A$1:$L$800,598,2+AF$2)&lt;&gt;"",INDEX('×入力'!$A$1:$L$800,599+AF$3,1)&lt;&gt;""),1,0),0)</f>
        <v/>
      </c>
      <c r="AG47">
        <f>IF(AG$4=1,IF(OR(INDEX('×入力'!$A$1:$L$800,599+AG$3,2+AG$2)&lt;&gt;"",INDEX('×入力'!$A$1:$L$800,598,2+AG$2)&lt;&gt;"",INDEX('×入力'!$A$1:$L$800,599+AG$3,1)&lt;&gt;""),1,0),0)</f>
        <v/>
      </c>
      <c r="AH47">
        <f>IF(AH$4=1,IF(OR(INDEX('×入力'!$A$1:$L$800,599+AH$3,2+AH$2)&lt;&gt;"",INDEX('×入力'!$A$1:$L$800,598,2+AH$2)&lt;&gt;"",INDEX('×入力'!$A$1:$L$800,599+AH$3,1)&lt;&gt;""),1,0),0)</f>
        <v/>
      </c>
      <c r="AI47">
        <f>IF(AI$4=1,IF(OR(INDEX('×入力'!$A$1:$L$800,599+AI$3,2+AI$2)&lt;&gt;"",INDEX('×入力'!$A$1:$L$800,598,2+AI$2)&lt;&gt;"",INDEX('×入力'!$A$1:$L$800,599+AI$3,1)&lt;&gt;""),1,0),0)</f>
        <v/>
      </c>
      <c r="AJ47">
        <f>IF(AJ$4=1,IF(OR(INDEX('×入力'!$A$1:$L$800,599+AJ$3,2+AJ$2)&lt;&gt;"",INDEX('×入力'!$A$1:$L$800,598,2+AJ$2)&lt;&gt;"",INDEX('×入力'!$A$1:$L$800,599+AJ$3,1)&lt;&gt;""),1,0),0)</f>
        <v/>
      </c>
      <c r="AK47">
        <f>IF(AK$4=1,IF(OR(INDEX('×入力'!$A$1:$L$800,599+AK$3,2+AK$2)&lt;&gt;"",INDEX('×入力'!$A$1:$L$800,598,2+AK$2)&lt;&gt;"",INDEX('×入力'!$A$1:$L$800,599+AK$3,1)&lt;&gt;""),1,0),0)</f>
        <v/>
      </c>
      <c r="AL47">
        <f>IF(AL$4=1,IF(OR(INDEX('×入力'!$A$1:$L$800,599+AL$3,2+AL$2)&lt;&gt;"",INDEX('×入力'!$A$1:$L$800,598,2+AL$2)&lt;&gt;"",INDEX('×入力'!$A$1:$L$800,599+AL$3,1)&lt;&gt;""),1,0),0)</f>
        <v/>
      </c>
      <c r="AM47">
        <f>IF(AM$4=1,IF(OR(INDEX('×入力'!$A$1:$L$800,599+AM$3,2+AM$2)&lt;&gt;"",INDEX('×入力'!$A$1:$L$800,598,2+AM$2)&lt;&gt;"",INDEX('×入力'!$A$1:$L$800,599+AM$3,1)&lt;&gt;""),1,0),0)</f>
        <v/>
      </c>
      <c r="AN47">
        <f>IF(AN$4=1,IF(OR(INDEX('×入力'!$A$1:$L$800,599+AN$3,2+AN$2)&lt;&gt;"",INDEX('×入力'!$A$1:$L$800,598,2+AN$2)&lt;&gt;"",INDEX('×入力'!$A$1:$L$800,599+AN$3,1)&lt;&gt;""),1,0),0)</f>
        <v/>
      </c>
      <c r="AO47">
        <f>IF(AO$4=1,IF(OR(INDEX('×入力'!$A$1:$L$800,599+AO$3,2+AO$2)&lt;&gt;"",INDEX('×入力'!$A$1:$L$800,598,2+AO$2)&lt;&gt;"",INDEX('×入力'!$A$1:$L$800,599+AO$3,1)&lt;&gt;""),1,0),0)</f>
        <v/>
      </c>
      <c r="AP47">
        <f>IF(AP$4=1,IF(OR(INDEX('×入力'!$A$1:$L$800,599+AP$3,2+AP$2)&lt;&gt;"",INDEX('×入力'!$A$1:$L$800,598,2+AP$2)&lt;&gt;"",INDEX('×入力'!$A$1:$L$800,599+AP$3,1)&lt;&gt;""),1,0),0)</f>
        <v/>
      </c>
      <c r="AQ47">
        <f>IF(AQ$4=1,IF(OR(INDEX('×入力'!$A$1:$L$800,599+AQ$3,2+AQ$2)&lt;&gt;"",INDEX('×入力'!$A$1:$L$800,598,2+AQ$2)&lt;&gt;"",INDEX('×入力'!$A$1:$L$800,599+AQ$3,1)&lt;&gt;""),1,0),0)</f>
        <v/>
      </c>
      <c r="AR47">
        <f>IF(AR$4=1,IF(OR(INDEX('×入力'!$A$1:$L$800,599+AR$3,2+AR$2)&lt;&gt;"",INDEX('×入力'!$A$1:$L$800,598,2+AR$2)&lt;&gt;"",INDEX('×入力'!$A$1:$L$800,599+AR$3,1)&lt;&gt;""),1,0),0)</f>
        <v/>
      </c>
      <c r="AS47">
        <f>IF(AS$4=1,IF(OR(INDEX('×入力'!$A$1:$L$800,599+AS$3,2+AS$2)&lt;&gt;"",INDEX('×入力'!$A$1:$L$800,598,2+AS$2)&lt;&gt;"",INDEX('×入力'!$A$1:$L$800,599+AS$3,1)&lt;&gt;""),1,0),0)</f>
        <v/>
      </c>
      <c r="AT47">
        <f>IF(AT$4=1,IF(OR(INDEX('×入力'!$A$1:$L$800,599+AT$3,2+AT$2)&lt;&gt;"",INDEX('×入力'!$A$1:$L$800,598,2+AT$2)&lt;&gt;"",INDEX('×入力'!$A$1:$L$800,599+AT$3,1)&lt;&gt;""),1,0),0)</f>
        <v/>
      </c>
      <c r="AU47">
        <f>IF(AU$4=1,IF(OR(INDEX('×入力'!$A$1:$L$800,599+AU$3,2+AU$2)&lt;&gt;"",INDEX('×入力'!$A$1:$L$800,598,2+AU$2)&lt;&gt;"",INDEX('×入力'!$A$1:$L$800,599+AU$3,1)&lt;&gt;""),1,0),0)</f>
        <v/>
      </c>
      <c r="AV47">
        <f>IF(AV$4=1,IF(OR(INDEX('×入力'!$A$1:$L$800,599+AV$3,2+AV$2)&lt;&gt;"",INDEX('×入力'!$A$1:$L$800,598,2+AV$2)&lt;&gt;"",INDEX('×入力'!$A$1:$L$800,599+AV$3,1)&lt;&gt;""),1,0),0)</f>
        <v/>
      </c>
      <c r="AW47">
        <f>IF(AW$4=1,IF(OR(INDEX('×入力'!$A$1:$L$800,599+AW$3,2+AW$2)&lt;&gt;"",INDEX('×入力'!$A$1:$L$800,598,2+AW$2)&lt;&gt;"",INDEX('×入力'!$A$1:$L$800,599+AW$3,1)&lt;&gt;""),1,0),0)</f>
        <v/>
      </c>
      <c r="AX47">
        <f>IF(AX$4=1,IF(OR(INDEX('×入力'!$A$1:$L$800,599+AX$3,2+AX$2)&lt;&gt;"",INDEX('×入力'!$A$1:$L$800,598,2+AX$2)&lt;&gt;"",INDEX('×入力'!$A$1:$L$800,599+AX$3,1)&lt;&gt;""),1,0),0)</f>
        <v/>
      </c>
      <c r="AY47">
        <f>IF(AY$4=1,IF(OR(INDEX('×入力'!$A$1:$L$800,599+AY$3,2+AY$2)&lt;&gt;"",INDEX('×入力'!$A$1:$L$800,598,2+AY$2)&lt;&gt;"",INDEX('×入力'!$A$1:$L$800,599+AY$3,1)&lt;&gt;""),1,0),0)</f>
        <v/>
      </c>
      <c r="AZ47">
        <f>IF(AZ$4=1,IF(OR(INDEX('×入力'!$A$1:$L$800,599+AZ$3,2+AZ$2)&lt;&gt;"",INDEX('×入力'!$A$1:$L$800,598,2+AZ$2)&lt;&gt;"",INDEX('×入力'!$A$1:$L$800,599+AZ$3,1)&lt;&gt;""),1,0),0)</f>
        <v/>
      </c>
      <c r="BA47">
        <f>IF(BA$4=1,IF(OR(INDEX('×入力'!$A$1:$L$800,599+BA$3,2+BA$2)&lt;&gt;"",INDEX('×入力'!$A$1:$L$800,598,2+BA$2)&lt;&gt;"",INDEX('×入力'!$A$1:$L$800,599+BA$3,1)&lt;&gt;""),1,0),0)</f>
        <v/>
      </c>
      <c r="BB47">
        <f>IF(BB$4=1,IF(OR(INDEX('×入力'!$A$1:$L$800,599+BB$3,2+BB$2)&lt;&gt;"",INDEX('×入力'!$A$1:$L$800,598,2+BB$2)&lt;&gt;"",INDEX('×入力'!$A$1:$L$800,599+BB$3,1)&lt;&gt;""),1,0),0)</f>
        <v/>
      </c>
      <c r="BC47">
        <f>IF(BC$4=1,IF(OR(INDEX('×入力'!$A$1:$L$800,599+BC$3,2+BC$2)&lt;&gt;"",INDEX('×入力'!$A$1:$L$800,598,2+BC$2)&lt;&gt;"",INDEX('×入力'!$A$1:$L$800,599+BC$3,1)&lt;&gt;""),1,0),0)</f>
        <v/>
      </c>
      <c r="BD47">
        <f>IF(BD$4=1,IF(OR(INDEX('×入力'!$A$1:$L$800,599+BD$3,2+BD$2)&lt;&gt;"",INDEX('×入力'!$A$1:$L$800,598,2+BD$2)&lt;&gt;"",INDEX('×入力'!$A$1:$L$800,599+BD$3,1)&lt;&gt;""),1,0),0)</f>
        <v/>
      </c>
      <c r="BE47">
        <f>IF(BE$4=1,IF(OR(INDEX('×入力'!$A$1:$L$800,599+BE$3,2+BE$2)&lt;&gt;"",INDEX('×入力'!$A$1:$L$800,598,2+BE$2)&lt;&gt;"",INDEX('×入力'!$A$1:$L$800,599+BE$3,1)&lt;&gt;""),1,0),0)</f>
        <v/>
      </c>
      <c r="BF47">
        <f>IF(BF$4=1,IF(OR(INDEX('×入力'!$A$1:$L$800,599+BF$3,2+BF$2)&lt;&gt;"",INDEX('×入力'!$A$1:$L$800,598,2+BF$2)&lt;&gt;"",INDEX('×入力'!$A$1:$L$800,599+BF$3,1)&lt;&gt;""),1,0),0)</f>
        <v/>
      </c>
      <c r="BG47">
        <f>IF(BG$4=1,IF(OR(INDEX('×入力'!$A$1:$L$800,599+BG$3,2+BG$2)&lt;&gt;"",INDEX('×入力'!$A$1:$L$800,598,2+BG$2)&lt;&gt;"",INDEX('×入力'!$A$1:$L$800,599+BG$3,1)&lt;&gt;""),1,0),0)</f>
        <v/>
      </c>
      <c r="BH47">
        <f>IF(BH$4=1,IF(OR(INDEX('×入力'!$A$1:$L$800,599+BH$3,2+BH$2)&lt;&gt;"",INDEX('×入力'!$A$1:$L$800,598,2+BH$2)&lt;&gt;"",INDEX('×入力'!$A$1:$L$800,599+BH$3,1)&lt;&gt;""),1,0),0)</f>
        <v/>
      </c>
      <c r="BI47">
        <f>IF(BI$4=1,IF(OR(INDEX('×入力'!$A$1:$L$800,599+BI$3,2+BI$2)&lt;&gt;"",INDEX('×入力'!$A$1:$L$800,598,2+BI$2)&lt;&gt;"",INDEX('×入力'!$A$1:$L$800,599+BI$3,1)&lt;&gt;""),1,0),0)</f>
        <v/>
      </c>
      <c r="BJ47">
        <f>IF(BJ$4=1,IF(OR(INDEX('×入力'!$A$1:$L$800,599+BJ$3,2+BJ$2)&lt;&gt;"",INDEX('×入力'!$A$1:$L$800,598,2+BJ$2)&lt;&gt;"",INDEX('×入力'!$A$1:$L$800,599+BJ$3,1)&lt;&gt;""),1,0),0)</f>
        <v/>
      </c>
      <c r="BK47">
        <f>IF(BK$4=1,IF(OR(INDEX('×入力'!$A$1:$L$800,599+BK$3,2+BK$2)&lt;&gt;"",INDEX('×入力'!$A$1:$L$800,598,2+BK$2)&lt;&gt;"",INDEX('×入力'!$A$1:$L$800,599+BK$3,1)&lt;&gt;""),1,0),0)</f>
        <v/>
      </c>
      <c r="BL47">
        <f>IF(BL$4=1,IF(OR(INDEX('×入力'!$A$1:$L$800,599+BL$3,2+BL$2)&lt;&gt;"",INDEX('×入力'!$A$1:$L$800,598,2+BL$2)&lt;&gt;"",INDEX('×入力'!$A$1:$L$800,599+BL$3,1)&lt;&gt;""),1,0),0)</f>
        <v/>
      </c>
      <c r="BM47">
        <f>IF(BM$4=1,IF(OR(INDEX('×入力'!$A$1:$L$800,599+BM$3,2+BM$2)&lt;&gt;"",INDEX('×入力'!$A$1:$L$800,598,2+BM$2)&lt;&gt;"",INDEX('×入力'!$A$1:$L$800,599+BM$3,1)&lt;&gt;""),1,0),0)</f>
        <v/>
      </c>
      <c r="BN47">
        <f>IF(BN$4=1,IF(OR(INDEX('×入力'!$A$1:$L$800,599+BN$3,2+BN$2)&lt;&gt;"",INDEX('×入力'!$A$1:$L$800,598,2+BN$2)&lt;&gt;"",INDEX('×入力'!$A$1:$L$800,599+BN$3,1)&lt;&gt;""),1,0),0)</f>
        <v/>
      </c>
      <c r="BO47">
        <f>IF(BO$4=1,IF(OR(INDEX('×入力'!$A$1:$L$800,599+BO$3,2+BO$2)&lt;&gt;"",INDEX('×入力'!$A$1:$L$800,598,2+BO$2)&lt;&gt;"",INDEX('×入力'!$A$1:$L$800,599+BO$3,1)&lt;&gt;""),1,0),0)</f>
        <v/>
      </c>
      <c r="BP47">
        <f>IF(BP$4=1,IF(OR(INDEX('×入力'!$A$1:$L$800,599+BP$3,2+BP$2)&lt;&gt;"",INDEX('×入力'!$A$1:$L$800,598,2+BP$2)&lt;&gt;"",INDEX('×入力'!$A$1:$L$800,599+BP$3,1)&lt;&gt;""),1,0),0)</f>
        <v/>
      </c>
      <c r="BQ47">
        <f>IF(BQ$4=1,IF(OR(INDEX('×入力'!$A$1:$L$800,599+BQ$3,2+BQ$2)&lt;&gt;"",INDEX('×入力'!$A$1:$L$800,598,2+BQ$2)&lt;&gt;"",INDEX('×入力'!$A$1:$L$800,599+BQ$3,1)&lt;&gt;""),1,0),0)</f>
        <v/>
      </c>
      <c r="BR47">
        <f>IF(BR$4=1,IF(OR(INDEX('×入力'!$A$1:$L$800,599+BR$3,2+BR$2)&lt;&gt;"",INDEX('×入力'!$A$1:$L$800,598,2+BR$2)&lt;&gt;"",INDEX('×入力'!$A$1:$L$800,599+BR$3,1)&lt;&gt;""),1,0),0)</f>
        <v/>
      </c>
      <c r="BS47">
        <f>IF(BS$4=1,IF(OR(INDEX('×入力'!$A$1:$L$800,599+BS$3,2+BS$2)&lt;&gt;"",INDEX('×入力'!$A$1:$L$800,598,2+BS$2)&lt;&gt;"",INDEX('×入力'!$A$1:$L$800,599+BS$3,1)&lt;&gt;""),1,0),0)</f>
        <v/>
      </c>
      <c r="BT47">
        <f>IF(BT$4=1,IF(OR(INDEX('×入力'!$A$1:$L$800,599+BT$3,2+BT$2)&lt;&gt;"",INDEX('×入力'!$A$1:$L$800,598,2+BT$2)&lt;&gt;"",INDEX('×入力'!$A$1:$L$800,599+BT$3,1)&lt;&gt;""),1,0),0)</f>
        <v/>
      </c>
      <c r="BU47">
        <f>IF(BU$4=1,IF(OR(INDEX('×入力'!$A$1:$L$800,599+BU$3,2+BU$2)&lt;&gt;"",INDEX('×入力'!$A$1:$L$800,598,2+BU$2)&lt;&gt;"",INDEX('×入力'!$A$1:$L$800,599+BU$3,1)&lt;&gt;""),1,0),0)</f>
        <v/>
      </c>
      <c r="BV47">
        <f>IF(BV$4=1,IF(OR(INDEX('×入力'!$A$1:$L$800,599+BV$3,2+BV$2)&lt;&gt;"",INDEX('×入力'!$A$1:$L$800,598,2+BV$2)&lt;&gt;"",INDEX('×入力'!$A$1:$L$800,599+BV$3,1)&lt;&gt;""),1,0),0)</f>
        <v/>
      </c>
      <c r="BW47">
        <f>IF(BW$4=1,IF(OR(INDEX('×入力'!$A$1:$L$800,599+BW$3,2+BW$2)&lt;&gt;"",INDEX('×入力'!$A$1:$L$800,598,2+BW$2)&lt;&gt;"",INDEX('×入力'!$A$1:$L$800,599+BW$3,1)&lt;&gt;""),1,0),0)</f>
        <v/>
      </c>
      <c r="BX47">
        <f>IF(BX$4=1,IF(OR(INDEX('×入力'!$A$1:$L$800,599+BX$3,2+BX$2)&lt;&gt;"",INDEX('×入力'!$A$1:$L$800,598,2+BX$2)&lt;&gt;"",INDEX('×入力'!$A$1:$L$800,599+BX$3,1)&lt;&gt;""),1,0),0)</f>
        <v/>
      </c>
      <c r="BY47">
        <f>IF(BY$4=1,IF(OR(INDEX('×入力'!$A$1:$L$800,599+BY$3,2+BY$2)&lt;&gt;"",INDEX('×入力'!$A$1:$L$800,598,2+BY$2)&lt;&gt;"",INDEX('×入力'!$A$1:$L$800,599+BY$3,1)&lt;&gt;""),1,0),0)</f>
        <v/>
      </c>
      <c r="BZ47">
        <f>IF(BZ$4=1,IF(OR(INDEX('×入力'!$A$1:$L$800,599+BZ$3,2+BZ$2)&lt;&gt;"",INDEX('×入力'!$A$1:$L$800,598,2+BZ$2)&lt;&gt;"",INDEX('×入力'!$A$1:$L$800,599+BZ$3,1)&lt;&gt;""),1,0),0)</f>
        <v/>
      </c>
      <c r="CA47">
        <f>IF(CA$4=1,IF(OR(INDEX('×入力'!$A$1:$L$800,599+CA$3,2+CA$2)&lt;&gt;"",INDEX('×入力'!$A$1:$L$800,598,2+CA$2)&lt;&gt;"",INDEX('×入力'!$A$1:$L$800,599+CA$3,1)&lt;&gt;""),1,0),0)</f>
        <v/>
      </c>
      <c r="CB47">
        <f>IF(CB$4=1,IF(OR(INDEX('×入力'!$A$1:$L$800,599+CB$3,2+CB$2)&lt;&gt;"",INDEX('×入力'!$A$1:$L$800,598,2+CB$2)&lt;&gt;"",INDEX('×入力'!$A$1:$L$800,599+CB$3,1)&lt;&gt;""),1,0),0)</f>
        <v/>
      </c>
      <c r="CC47">
        <f>IF(CC$4=1,IF(OR(INDEX('×入力'!$A$1:$L$800,599+CC$3,2+CC$2)&lt;&gt;"",INDEX('×入力'!$A$1:$L$800,598,2+CC$2)&lt;&gt;"",INDEX('×入力'!$A$1:$L$800,599+CC$3,1)&lt;&gt;""),1,0),0)</f>
        <v/>
      </c>
      <c r="CD47">
        <f>IF(CD$4=1,IF(OR(INDEX('×入力'!$A$1:$L$800,599+CD$3,2+CD$2)&lt;&gt;"",INDEX('×入力'!$A$1:$L$800,598,2+CD$2)&lt;&gt;"",INDEX('×入力'!$A$1:$L$800,599+CD$3,1)&lt;&gt;""),1,0),0)</f>
        <v/>
      </c>
      <c r="CE47">
        <f>IF(CE$4=1,IF(OR(INDEX('×入力'!$A$1:$L$800,599+CE$3,2+CE$2)&lt;&gt;"",INDEX('×入力'!$A$1:$L$800,598,2+CE$2)&lt;&gt;"",INDEX('×入力'!$A$1:$L$800,599+CE$3,1)&lt;&gt;""),1,0),0)</f>
        <v/>
      </c>
      <c r="CF47">
        <f>IF(CF$4=1,IF(OR(INDEX('×入力'!$A$1:$L$800,599+CF$3,2+CF$2)&lt;&gt;"",INDEX('×入力'!$A$1:$L$800,598,2+CF$2)&lt;&gt;"",INDEX('×入力'!$A$1:$L$800,599+CF$3,1)&lt;&gt;""),1,0),0)</f>
        <v/>
      </c>
      <c r="CG47">
        <f>IF(CG$4=1,IF(OR(INDEX('×入力'!$A$1:$L$800,599+CG$3,2+CG$2)&lt;&gt;"",INDEX('×入力'!$A$1:$L$800,598,2+CG$2)&lt;&gt;"",INDEX('×入力'!$A$1:$L$800,599+CG$3,1)&lt;&gt;""),1,0),0)</f>
        <v/>
      </c>
      <c r="CH47">
        <f>IF(CH$4=1,IF(OR(INDEX('×入力'!$A$1:$L$800,599+CH$3,2+CH$2)&lt;&gt;"",INDEX('×入力'!$A$1:$L$800,598,2+CH$2)&lt;&gt;"",INDEX('×入力'!$A$1:$L$800,599+CH$3,1)&lt;&gt;""),1,0),0)</f>
        <v/>
      </c>
      <c r="CI47">
        <f>IF(CI$4=1,IF(OR(INDEX('×入力'!$A$1:$L$800,599+CI$3,2+CI$2)&lt;&gt;"",INDEX('×入力'!$A$1:$L$800,598,2+CI$2)&lt;&gt;"",INDEX('×入力'!$A$1:$L$800,599+CI$3,1)&lt;&gt;""),1,0),0)</f>
        <v/>
      </c>
      <c r="CJ47">
        <f>IF(CJ$4=1,IF(OR(INDEX('×入力'!$A$1:$L$800,599+CJ$3,2+CJ$2)&lt;&gt;"",INDEX('×入力'!$A$1:$L$800,598,2+CJ$2)&lt;&gt;"",INDEX('×入力'!$A$1:$L$800,599+CJ$3,1)&lt;&gt;""),1,0),0)</f>
        <v/>
      </c>
      <c r="CK47">
        <f>IF(CK$4=1,IF(OR(INDEX('×入力'!$A$1:$L$800,599+CK$3,2+CK$2)&lt;&gt;"",INDEX('×入力'!$A$1:$L$800,598,2+CK$2)&lt;&gt;"",INDEX('×入力'!$A$1:$L$800,599+CK$3,1)&lt;&gt;""),1,0),0)</f>
        <v/>
      </c>
      <c r="CL47">
        <f>IF(CL$4=1,IF(OR(INDEX('×入力'!$A$1:$L$800,599+CL$3,2+CL$2)&lt;&gt;"",INDEX('×入力'!$A$1:$L$800,598,2+CL$2)&lt;&gt;"",INDEX('×入力'!$A$1:$L$800,599+CL$3,1)&lt;&gt;""),1,0),0)</f>
        <v/>
      </c>
      <c r="CM47">
        <f>IF(CM$4=1,IF(OR(INDEX('×入力'!$A$1:$L$800,599+CM$3,2+CM$2)&lt;&gt;"",INDEX('×入力'!$A$1:$L$800,598,2+CM$2)&lt;&gt;"",INDEX('×入力'!$A$1:$L$800,599+CM$3,1)&lt;&gt;""),1,0),0)</f>
        <v/>
      </c>
      <c r="CN47">
        <f>IF(CN$4=1,IF(OR(INDEX('×入力'!$A$1:$L$800,599+CN$3,2+CN$2)&lt;&gt;"",INDEX('×入力'!$A$1:$L$800,598,2+CN$2)&lt;&gt;"",INDEX('×入力'!$A$1:$L$800,599+CN$3,1)&lt;&gt;""),1,0),0)</f>
        <v/>
      </c>
      <c r="CO47">
        <f>IF(CO$4=1,IF(OR(INDEX('×入力'!$A$1:$L$800,599+CO$3,2+CO$2)&lt;&gt;"",INDEX('×入力'!$A$1:$L$800,598,2+CO$2)&lt;&gt;"",INDEX('×入力'!$A$1:$L$800,599+CO$3,1)&lt;&gt;""),1,0),0)</f>
        <v/>
      </c>
      <c r="CP47">
        <f>IF(CP$4=1,IF(OR(INDEX('×入力'!$A$1:$L$800,599+CP$3,2+CP$2)&lt;&gt;"",INDEX('×入力'!$A$1:$L$800,598,2+CP$2)&lt;&gt;"",INDEX('×入力'!$A$1:$L$800,599+CP$3,1)&lt;&gt;""),1,0),0)</f>
        <v/>
      </c>
      <c r="CQ47">
        <f>IF(CQ$4=1,IF(OR(INDEX('×入力'!$A$1:$L$800,599+CQ$3,2+CQ$2)&lt;&gt;"",INDEX('×入力'!$A$1:$L$800,598,2+CQ$2)&lt;&gt;"",INDEX('×入力'!$A$1:$L$800,599+CQ$3,1)&lt;&gt;""),1,0),0)</f>
        <v/>
      </c>
      <c r="CR47">
        <f>IF(CR$4=1,IF(OR(INDEX('×入力'!$A$1:$L$800,599+CR$3,2+CR$2)&lt;&gt;"",INDEX('×入力'!$A$1:$L$800,598,2+CR$2)&lt;&gt;"",INDEX('×入力'!$A$1:$L$800,599+CR$3,1)&lt;&gt;""),1,0),0)</f>
        <v/>
      </c>
      <c r="CS47">
        <f>IF(CS$4=1,IF(OR(INDEX('×入力'!$A$1:$L$800,599+CS$3,2+CS$2)&lt;&gt;"",INDEX('×入力'!$A$1:$L$800,598,2+CS$2)&lt;&gt;"",INDEX('×入力'!$A$1:$L$800,599+CS$3,1)&lt;&gt;""),1,0),0)</f>
        <v/>
      </c>
      <c r="CT47">
        <f>IF(CT$4=1,IF(OR(INDEX('×入力'!$A$1:$L$800,599+CT$3,2+CT$2)&lt;&gt;"",INDEX('×入力'!$A$1:$L$800,598,2+CT$2)&lt;&gt;"",INDEX('×入力'!$A$1:$L$800,599+CT$3,1)&lt;&gt;""),1,0),0)</f>
        <v/>
      </c>
      <c r="CU47">
        <f>IF(CU$4=1,IF(OR(INDEX('×入力'!$A$1:$L$800,599+CU$3,2+CU$2)&lt;&gt;"",INDEX('×入力'!$A$1:$L$800,598,2+CU$2)&lt;&gt;"",INDEX('×入力'!$A$1:$L$800,599+CU$3,1)&lt;&gt;""),1,0),0)</f>
        <v/>
      </c>
      <c r="CV47">
        <f>IF(CV$4=1,IF(OR(INDEX('×入力'!$A$1:$L$800,599+CV$3,2+CV$2)&lt;&gt;"",INDEX('×入力'!$A$1:$L$800,598,2+CV$2)&lt;&gt;"",INDEX('×入力'!$A$1:$L$800,599+CV$3,1)&lt;&gt;""),1,0),0)</f>
        <v/>
      </c>
      <c r="CW47">
        <f>IF(CW$4=1,IF(OR(INDEX('×入力'!$A$1:$L$800,599+CW$3,2+CW$2)&lt;&gt;"",INDEX('×入力'!$A$1:$L$800,598,2+CW$2)&lt;&gt;"",INDEX('×入力'!$A$1:$L$800,599+CW$3,1)&lt;&gt;""),1,0),0)</f>
        <v/>
      </c>
      <c r="CX47">
        <f>IF(CX$4=1,IF(OR(INDEX('×入力'!$A$1:$L$800,599+CX$3,2+CX$2)&lt;&gt;"",INDEX('×入力'!$A$1:$L$800,598,2+CX$2)&lt;&gt;"",INDEX('×入力'!$A$1:$L$800,599+CX$3,1)&lt;&gt;""),1,0),0)</f>
        <v/>
      </c>
      <c r="CY47">
        <f>IF(CY$4=1,IF(OR(INDEX('×入力'!$A$1:$L$800,599+CY$3,2+CY$2)&lt;&gt;"",INDEX('×入力'!$A$1:$L$800,598,2+CY$2)&lt;&gt;"",INDEX('×入力'!$A$1:$L$800,599+CY$3,1)&lt;&gt;""),1,0),0)</f>
        <v/>
      </c>
      <c r="CZ47">
        <f>IF(CZ$4=1,IF(OR(INDEX('×入力'!$A$1:$L$800,599+CZ$3,2+CZ$2)&lt;&gt;"",INDEX('×入力'!$A$1:$L$800,598,2+CZ$2)&lt;&gt;"",INDEX('×入力'!$A$1:$L$800,599+CZ$3,1)&lt;&gt;""),1,0),0)</f>
        <v/>
      </c>
      <c r="DA47">
        <f>IF(DA$4=1,IF(OR(INDEX('×入力'!$A$1:$L$800,599+DA$3,2+DA$2)&lt;&gt;"",INDEX('×入力'!$A$1:$L$800,598,2+DA$2)&lt;&gt;"",INDEX('×入力'!$A$1:$L$800,599+DA$3,1)&lt;&gt;""),1,0),0)</f>
        <v/>
      </c>
      <c r="DB47">
        <f>IF(DB$4=1,IF(OR(INDEX('×入力'!$A$1:$L$800,599+DB$3,2+DB$2)&lt;&gt;"",INDEX('×入力'!$A$1:$L$800,598,2+DB$2)&lt;&gt;"",INDEX('×入力'!$A$1:$L$800,599+DB$3,1)&lt;&gt;""),1,0),0)</f>
        <v/>
      </c>
      <c r="DC47">
        <f>IF(DC$4=1,IF(OR(INDEX('×入力'!$A$1:$L$800,599+DC$3,2+DC$2)&lt;&gt;"",INDEX('×入力'!$A$1:$L$800,598,2+DC$2)&lt;&gt;"",INDEX('×入力'!$A$1:$L$800,599+DC$3,1)&lt;&gt;""),1,0),0)</f>
        <v/>
      </c>
      <c r="DD47">
        <f>IF(DD$4=1,IF(OR(INDEX('×入力'!$A$1:$L$800,599+DD$3,2+DD$2)&lt;&gt;"",INDEX('×入力'!$A$1:$L$800,598,2+DD$2)&lt;&gt;"",INDEX('×入力'!$A$1:$L$800,599+DD$3,1)&lt;&gt;""),1,0),0)</f>
        <v/>
      </c>
      <c r="DE47">
        <f>IF(DE$4=1,IF(OR(INDEX('×入力'!$A$1:$L$800,599+DE$3,2+DE$2)&lt;&gt;"",INDEX('×入力'!$A$1:$L$800,598,2+DE$2)&lt;&gt;"",INDEX('×入力'!$A$1:$L$800,599+DE$3,1)&lt;&gt;""),1,0),0)</f>
        <v/>
      </c>
      <c r="DF47">
        <f>IF(DF$4=1,IF(OR(INDEX('×入力'!$A$1:$L$800,599+DF$3,2+DF$2)&lt;&gt;"",INDEX('×入力'!$A$1:$L$800,598,2+DF$2)&lt;&gt;"",INDEX('×入力'!$A$1:$L$800,599+DF$3,1)&lt;&gt;""),1,0),0)</f>
        <v/>
      </c>
      <c r="DG47">
        <f>IF(DG$4=1,IF(OR(INDEX('×入力'!$A$1:$L$800,599+DG$3,2+DG$2)&lt;&gt;"",INDEX('×入力'!$A$1:$L$800,598,2+DG$2)&lt;&gt;"",INDEX('×入力'!$A$1:$L$800,599+DG$3,1)&lt;&gt;""),1,0),0)</f>
        <v/>
      </c>
      <c r="DH47">
        <f>IF(DH$4=1,IF(OR(INDEX('×入力'!$A$1:$L$800,599+DH$3,2+DH$2)&lt;&gt;"",INDEX('×入力'!$A$1:$L$800,598,2+DH$2)&lt;&gt;"",INDEX('×入力'!$A$1:$L$800,599+DH$3,1)&lt;&gt;""),1,0),0)</f>
        <v/>
      </c>
      <c r="DI47">
        <f>IF(DI$4=1,IF(OR(INDEX('×入力'!$A$1:$L$800,599+DI$3,2+DI$2)&lt;&gt;"",INDEX('×入力'!$A$1:$L$800,598,2+DI$2)&lt;&gt;"",INDEX('×入力'!$A$1:$L$800,599+DI$3,1)&lt;&gt;""),1,0),0)</f>
        <v/>
      </c>
      <c r="DJ47">
        <f>IF(DJ$4=1,IF(OR(INDEX('×入力'!$A$1:$L$800,599+DJ$3,2+DJ$2)&lt;&gt;"",INDEX('×入力'!$A$1:$L$800,598,2+DJ$2)&lt;&gt;"",INDEX('×入力'!$A$1:$L$800,599+DJ$3,1)&lt;&gt;""),1,0),0)</f>
        <v/>
      </c>
      <c r="DK47">
        <f>IF(DK$4=1,IF(OR(INDEX('×入力'!$A$1:$L$800,599+DK$3,2+DK$2)&lt;&gt;"",INDEX('×入力'!$A$1:$L$800,598,2+DK$2)&lt;&gt;"",INDEX('×入力'!$A$1:$L$800,599+DK$3,1)&lt;&gt;""),1,0),0)</f>
        <v/>
      </c>
      <c r="DL47">
        <f>IF(DL$4=1,IF(OR(INDEX('×入力'!$A$1:$L$800,599+DL$3,2+DL$2)&lt;&gt;"",INDEX('×入力'!$A$1:$L$800,598,2+DL$2)&lt;&gt;"",INDEX('×入力'!$A$1:$L$800,599+DL$3,1)&lt;&gt;""),1,0),0)</f>
        <v/>
      </c>
      <c r="DM47">
        <f>IF(DM$4=1,IF(OR(INDEX('×入力'!$A$1:$L$800,599+DM$3,2+DM$2)&lt;&gt;"",INDEX('×入力'!$A$1:$L$800,598,2+DM$2)&lt;&gt;"",INDEX('×入力'!$A$1:$L$800,599+DM$3,1)&lt;&gt;""),1,0),0)</f>
        <v/>
      </c>
      <c r="DN47">
        <f>IF(DN$4=1,IF(OR(INDEX('×入力'!$A$1:$L$800,599+DN$3,2+DN$2)&lt;&gt;"",INDEX('×入力'!$A$1:$L$800,598,2+DN$2)&lt;&gt;"",INDEX('×入力'!$A$1:$L$800,599+DN$3,1)&lt;&gt;""),1,0),0)</f>
        <v/>
      </c>
      <c r="DO47">
        <f>IF(DO$4=1,IF(OR(INDEX('×入力'!$A$1:$L$800,599+DO$3,2+DO$2)&lt;&gt;"",INDEX('×入力'!$A$1:$L$800,598,2+DO$2)&lt;&gt;"",INDEX('×入力'!$A$1:$L$800,599+DO$3,1)&lt;&gt;""),1,0),0)</f>
        <v/>
      </c>
      <c r="DP47">
        <f>IF(DP$4=1,IF(OR(INDEX('×入力'!$A$1:$L$800,599+DP$3,2+DP$2)&lt;&gt;"",INDEX('×入力'!$A$1:$L$800,598,2+DP$2)&lt;&gt;"",INDEX('×入力'!$A$1:$L$800,599+DP$3,1)&lt;&gt;""),1,0),0)</f>
        <v/>
      </c>
      <c r="DQ47">
        <f>IF(DQ$4=1,IF(OR(INDEX('×入力'!$A$1:$L$800,599+DQ$3,2+DQ$2)&lt;&gt;"",INDEX('×入力'!$A$1:$L$800,598,2+DQ$2)&lt;&gt;"",INDEX('×入力'!$A$1:$L$800,599+DQ$3,1)&lt;&gt;""),1,0),0)</f>
        <v/>
      </c>
      <c r="DR47">
        <f>IF(DR$4=1,IF(OR(INDEX('×入力'!$A$1:$L$800,599+DR$3,2+DR$2)&lt;&gt;"",INDEX('×入力'!$A$1:$L$800,598,2+DR$2)&lt;&gt;"",INDEX('×入力'!$A$1:$L$800,599+DR$3,1)&lt;&gt;""),1,0),0)</f>
        <v/>
      </c>
      <c r="DS47">
        <f>IF(DS$4=1,IF(OR(INDEX('×入力'!$A$1:$L$800,599+DS$3,2+DS$2)&lt;&gt;"",INDEX('×入力'!$A$1:$L$800,598,2+DS$2)&lt;&gt;"",INDEX('×入力'!$A$1:$L$800,599+DS$3,1)&lt;&gt;""),1,0),0)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IF(D$4=1,IF(OR(INDEX('×入力'!$A$1:$L$800,615+D$3,2+D$2)&lt;&gt;"",INDEX('×入力'!$A$1:$L$800,614,2+D$2)&lt;&gt;"",INDEX('×入力'!$A$1:$L$800,615+D$3,1)&lt;&gt;""),1,0),0)</f>
        <v/>
      </c>
      <c r="E48">
        <f>IF(E$4=1,IF(OR(INDEX('×入力'!$A$1:$L$800,615+E$3,2+E$2)&lt;&gt;"",INDEX('×入力'!$A$1:$L$800,614,2+E$2)&lt;&gt;"",INDEX('×入力'!$A$1:$L$800,615+E$3,1)&lt;&gt;""),1,0),0)</f>
        <v/>
      </c>
      <c r="F48">
        <f>IF(F$4=1,IF(OR(INDEX('×入力'!$A$1:$L$800,615+F$3,2+F$2)&lt;&gt;"",INDEX('×入力'!$A$1:$L$800,614,2+F$2)&lt;&gt;"",INDEX('×入力'!$A$1:$L$800,615+F$3,1)&lt;&gt;""),1,0),0)</f>
        <v/>
      </c>
      <c r="G48">
        <f>IF(G$4=1,IF(OR(INDEX('×入力'!$A$1:$L$800,615+G$3,2+G$2)&lt;&gt;"",INDEX('×入力'!$A$1:$L$800,614,2+G$2)&lt;&gt;"",INDEX('×入力'!$A$1:$L$800,615+G$3,1)&lt;&gt;""),1,0),0)</f>
        <v/>
      </c>
      <c r="H48">
        <f>IF(H$4=1,IF(OR(INDEX('×入力'!$A$1:$L$800,615+H$3,2+H$2)&lt;&gt;"",INDEX('×入力'!$A$1:$L$800,614,2+H$2)&lt;&gt;"",INDEX('×入力'!$A$1:$L$800,615+H$3,1)&lt;&gt;""),1,0),0)</f>
        <v/>
      </c>
      <c r="I48">
        <f>IF(I$4=1,IF(OR(INDEX('×入力'!$A$1:$L$800,615+I$3,2+I$2)&lt;&gt;"",INDEX('×入力'!$A$1:$L$800,614,2+I$2)&lt;&gt;"",INDEX('×入力'!$A$1:$L$800,615+I$3,1)&lt;&gt;""),1,0),0)</f>
        <v/>
      </c>
      <c r="J48">
        <f>IF(J$4=1,IF(OR(INDEX('×入力'!$A$1:$L$800,615+J$3,2+J$2)&lt;&gt;"",INDEX('×入力'!$A$1:$L$800,614,2+J$2)&lt;&gt;"",INDEX('×入力'!$A$1:$L$800,615+J$3,1)&lt;&gt;""),1,0),0)</f>
        <v/>
      </c>
      <c r="K48">
        <f>IF(K$4=1,IF(OR(INDEX('×入力'!$A$1:$L$800,615+K$3,2+K$2)&lt;&gt;"",INDEX('×入力'!$A$1:$L$800,614,2+K$2)&lt;&gt;"",INDEX('×入力'!$A$1:$L$800,615+K$3,1)&lt;&gt;""),1,0),0)</f>
        <v/>
      </c>
      <c r="L48">
        <f>IF(L$4=1,IF(OR(INDEX('×入力'!$A$1:$L$800,615+L$3,2+L$2)&lt;&gt;"",INDEX('×入力'!$A$1:$L$800,614,2+L$2)&lt;&gt;"",INDEX('×入力'!$A$1:$L$800,615+L$3,1)&lt;&gt;""),1,0),0)</f>
        <v/>
      </c>
      <c r="M48">
        <f>IF(M$4=1,IF(OR(INDEX('×入力'!$A$1:$L$800,615+M$3,2+M$2)&lt;&gt;"",INDEX('×入力'!$A$1:$L$800,614,2+M$2)&lt;&gt;"",INDEX('×入力'!$A$1:$L$800,615+M$3,1)&lt;&gt;""),1,0),0)</f>
        <v/>
      </c>
      <c r="N48">
        <f>IF(N$4=1,IF(OR(INDEX('×入力'!$A$1:$L$800,615+N$3,2+N$2)&lt;&gt;"",INDEX('×入力'!$A$1:$L$800,614,2+N$2)&lt;&gt;"",INDEX('×入力'!$A$1:$L$800,615+N$3,1)&lt;&gt;""),1,0),0)</f>
        <v/>
      </c>
      <c r="O48">
        <f>IF(O$4=1,IF(OR(INDEX('×入力'!$A$1:$L$800,615+O$3,2+O$2)&lt;&gt;"",INDEX('×入力'!$A$1:$L$800,614,2+O$2)&lt;&gt;"",INDEX('×入力'!$A$1:$L$800,615+O$3,1)&lt;&gt;""),1,0),0)</f>
        <v/>
      </c>
      <c r="P48">
        <f>IF(P$4=1,IF(OR(INDEX('×入力'!$A$1:$L$800,615+P$3,2+P$2)&lt;&gt;"",INDEX('×入力'!$A$1:$L$800,614,2+P$2)&lt;&gt;"",INDEX('×入力'!$A$1:$L$800,615+P$3,1)&lt;&gt;""),1,0),0)</f>
        <v/>
      </c>
      <c r="Q48">
        <f>IF(Q$4=1,IF(OR(INDEX('×入力'!$A$1:$L$800,615+Q$3,2+Q$2)&lt;&gt;"",INDEX('×入力'!$A$1:$L$800,614,2+Q$2)&lt;&gt;"",INDEX('×入力'!$A$1:$L$800,615+Q$3,1)&lt;&gt;""),1,0),0)</f>
        <v/>
      </c>
      <c r="R48">
        <f>IF(R$4=1,IF(OR(INDEX('×入力'!$A$1:$L$800,615+R$3,2+R$2)&lt;&gt;"",INDEX('×入力'!$A$1:$L$800,614,2+R$2)&lt;&gt;"",INDEX('×入力'!$A$1:$L$800,615+R$3,1)&lt;&gt;""),1,0),0)</f>
        <v/>
      </c>
      <c r="S48">
        <f>IF(S$4=1,IF(OR(INDEX('×入力'!$A$1:$L$800,615+S$3,2+S$2)&lt;&gt;"",INDEX('×入力'!$A$1:$L$800,614,2+S$2)&lt;&gt;"",INDEX('×入力'!$A$1:$L$800,615+S$3,1)&lt;&gt;""),1,0),0)</f>
        <v/>
      </c>
      <c r="T48">
        <f>IF(T$4=1,IF(OR(INDEX('×入力'!$A$1:$L$800,615+T$3,2+T$2)&lt;&gt;"",INDEX('×入力'!$A$1:$L$800,614,2+T$2)&lt;&gt;"",INDEX('×入力'!$A$1:$L$800,615+T$3,1)&lt;&gt;""),1,0),0)</f>
        <v/>
      </c>
      <c r="U48">
        <f>IF(U$4=1,IF(OR(INDEX('×入力'!$A$1:$L$800,615+U$3,2+U$2)&lt;&gt;"",INDEX('×入力'!$A$1:$L$800,614,2+U$2)&lt;&gt;"",INDEX('×入力'!$A$1:$L$800,615+U$3,1)&lt;&gt;""),1,0),0)</f>
        <v/>
      </c>
      <c r="V48">
        <f>IF(V$4=1,IF(OR(INDEX('×入力'!$A$1:$L$800,615+V$3,2+V$2)&lt;&gt;"",INDEX('×入力'!$A$1:$L$800,614,2+V$2)&lt;&gt;"",INDEX('×入力'!$A$1:$L$800,615+V$3,1)&lt;&gt;""),1,0),0)</f>
        <v/>
      </c>
      <c r="W48">
        <f>IF(W$4=1,IF(OR(INDEX('×入力'!$A$1:$L$800,615+W$3,2+W$2)&lt;&gt;"",INDEX('×入力'!$A$1:$L$800,614,2+W$2)&lt;&gt;"",INDEX('×入力'!$A$1:$L$800,615+W$3,1)&lt;&gt;""),1,0),0)</f>
        <v/>
      </c>
      <c r="X48">
        <f>IF(X$4=1,IF(OR(INDEX('×入力'!$A$1:$L$800,615+X$3,2+X$2)&lt;&gt;"",INDEX('×入力'!$A$1:$L$800,614,2+X$2)&lt;&gt;"",INDEX('×入力'!$A$1:$L$800,615+X$3,1)&lt;&gt;""),1,0),0)</f>
        <v/>
      </c>
      <c r="Y48">
        <f>IF(Y$4=1,IF(OR(INDEX('×入力'!$A$1:$L$800,615+Y$3,2+Y$2)&lt;&gt;"",INDEX('×入力'!$A$1:$L$800,614,2+Y$2)&lt;&gt;"",INDEX('×入力'!$A$1:$L$800,615+Y$3,1)&lt;&gt;""),1,0),0)</f>
        <v/>
      </c>
      <c r="Z48">
        <f>IF(Z$4=1,IF(OR(INDEX('×入力'!$A$1:$L$800,615+Z$3,2+Z$2)&lt;&gt;"",INDEX('×入力'!$A$1:$L$800,614,2+Z$2)&lt;&gt;"",INDEX('×入力'!$A$1:$L$800,615+Z$3,1)&lt;&gt;""),1,0),0)</f>
        <v/>
      </c>
      <c r="AA48">
        <f>IF(AA$4=1,IF(OR(INDEX('×入力'!$A$1:$L$800,615+AA$3,2+AA$2)&lt;&gt;"",INDEX('×入力'!$A$1:$L$800,614,2+AA$2)&lt;&gt;"",INDEX('×入力'!$A$1:$L$800,615+AA$3,1)&lt;&gt;""),1,0),0)</f>
        <v/>
      </c>
      <c r="AB48">
        <f>IF(AB$4=1,IF(OR(INDEX('×入力'!$A$1:$L$800,615+AB$3,2+AB$2)&lt;&gt;"",INDEX('×入力'!$A$1:$L$800,614,2+AB$2)&lt;&gt;"",INDEX('×入力'!$A$1:$L$800,615+AB$3,1)&lt;&gt;""),1,0),0)</f>
        <v/>
      </c>
      <c r="AC48">
        <f>IF(AC$4=1,IF(OR(INDEX('×入力'!$A$1:$L$800,615+AC$3,2+AC$2)&lt;&gt;"",INDEX('×入力'!$A$1:$L$800,614,2+AC$2)&lt;&gt;"",INDEX('×入力'!$A$1:$L$800,615+AC$3,1)&lt;&gt;""),1,0),0)</f>
        <v/>
      </c>
      <c r="AD48">
        <f>IF(AD$4=1,IF(OR(INDEX('×入力'!$A$1:$L$800,615+AD$3,2+AD$2)&lt;&gt;"",INDEX('×入力'!$A$1:$L$800,614,2+AD$2)&lt;&gt;"",INDEX('×入力'!$A$1:$L$800,615+AD$3,1)&lt;&gt;""),1,0),0)</f>
        <v/>
      </c>
      <c r="AE48">
        <f>IF(AE$4=1,IF(OR(INDEX('×入力'!$A$1:$L$800,615+AE$3,2+AE$2)&lt;&gt;"",INDEX('×入力'!$A$1:$L$800,614,2+AE$2)&lt;&gt;"",INDEX('×入力'!$A$1:$L$800,615+AE$3,1)&lt;&gt;""),1,0),0)</f>
        <v/>
      </c>
      <c r="AF48">
        <f>IF(AF$4=1,IF(OR(INDEX('×入力'!$A$1:$L$800,615+AF$3,2+AF$2)&lt;&gt;"",INDEX('×入力'!$A$1:$L$800,614,2+AF$2)&lt;&gt;"",INDEX('×入力'!$A$1:$L$800,615+AF$3,1)&lt;&gt;""),1,0),0)</f>
        <v/>
      </c>
      <c r="AG48">
        <f>IF(AG$4=1,IF(OR(INDEX('×入力'!$A$1:$L$800,615+AG$3,2+AG$2)&lt;&gt;"",INDEX('×入力'!$A$1:$L$800,614,2+AG$2)&lt;&gt;"",INDEX('×入力'!$A$1:$L$800,615+AG$3,1)&lt;&gt;""),1,0),0)</f>
        <v/>
      </c>
      <c r="AH48">
        <f>IF(AH$4=1,IF(OR(INDEX('×入力'!$A$1:$L$800,615+AH$3,2+AH$2)&lt;&gt;"",INDEX('×入力'!$A$1:$L$800,614,2+AH$2)&lt;&gt;"",INDEX('×入力'!$A$1:$L$800,615+AH$3,1)&lt;&gt;""),1,0),0)</f>
        <v/>
      </c>
      <c r="AI48">
        <f>IF(AI$4=1,IF(OR(INDEX('×入力'!$A$1:$L$800,615+AI$3,2+AI$2)&lt;&gt;"",INDEX('×入力'!$A$1:$L$800,614,2+AI$2)&lt;&gt;"",INDEX('×入力'!$A$1:$L$800,615+AI$3,1)&lt;&gt;""),1,0),0)</f>
        <v/>
      </c>
      <c r="AJ48">
        <f>IF(AJ$4=1,IF(OR(INDEX('×入力'!$A$1:$L$800,615+AJ$3,2+AJ$2)&lt;&gt;"",INDEX('×入力'!$A$1:$L$800,614,2+AJ$2)&lt;&gt;"",INDEX('×入力'!$A$1:$L$800,615+AJ$3,1)&lt;&gt;""),1,0),0)</f>
        <v/>
      </c>
      <c r="AK48">
        <f>IF(AK$4=1,IF(OR(INDEX('×入力'!$A$1:$L$800,615+AK$3,2+AK$2)&lt;&gt;"",INDEX('×入力'!$A$1:$L$800,614,2+AK$2)&lt;&gt;"",INDEX('×入力'!$A$1:$L$800,615+AK$3,1)&lt;&gt;""),1,0),0)</f>
        <v/>
      </c>
      <c r="AL48">
        <f>IF(AL$4=1,IF(OR(INDEX('×入力'!$A$1:$L$800,615+AL$3,2+AL$2)&lt;&gt;"",INDEX('×入力'!$A$1:$L$800,614,2+AL$2)&lt;&gt;"",INDEX('×入力'!$A$1:$L$800,615+AL$3,1)&lt;&gt;""),1,0),0)</f>
        <v/>
      </c>
      <c r="AM48">
        <f>IF(AM$4=1,IF(OR(INDEX('×入力'!$A$1:$L$800,615+AM$3,2+AM$2)&lt;&gt;"",INDEX('×入力'!$A$1:$L$800,614,2+AM$2)&lt;&gt;"",INDEX('×入力'!$A$1:$L$800,615+AM$3,1)&lt;&gt;""),1,0),0)</f>
        <v/>
      </c>
      <c r="AN48">
        <f>IF(AN$4=1,IF(OR(INDEX('×入力'!$A$1:$L$800,615+AN$3,2+AN$2)&lt;&gt;"",INDEX('×入力'!$A$1:$L$800,614,2+AN$2)&lt;&gt;"",INDEX('×入力'!$A$1:$L$800,615+AN$3,1)&lt;&gt;""),1,0),0)</f>
        <v/>
      </c>
      <c r="AO48">
        <f>IF(AO$4=1,IF(OR(INDEX('×入力'!$A$1:$L$800,615+AO$3,2+AO$2)&lt;&gt;"",INDEX('×入力'!$A$1:$L$800,614,2+AO$2)&lt;&gt;"",INDEX('×入力'!$A$1:$L$800,615+AO$3,1)&lt;&gt;""),1,0),0)</f>
        <v/>
      </c>
      <c r="AP48">
        <f>IF(AP$4=1,IF(OR(INDEX('×入力'!$A$1:$L$800,615+AP$3,2+AP$2)&lt;&gt;"",INDEX('×入力'!$A$1:$L$800,614,2+AP$2)&lt;&gt;"",INDEX('×入力'!$A$1:$L$800,615+AP$3,1)&lt;&gt;""),1,0),0)</f>
        <v/>
      </c>
      <c r="AQ48">
        <f>IF(AQ$4=1,IF(OR(INDEX('×入力'!$A$1:$L$800,615+AQ$3,2+AQ$2)&lt;&gt;"",INDEX('×入力'!$A$1:$L$800,614,2+AQ$2)&lt;&gt;"",INDEX('×入力'!$A$1:$L$800,615+AQ$3,1)&lt;&gt;""),1,0),0)</f>
        <v/>
      </c>
      <c r="AR48">
        <f>IF(AR$4=1,IF(OR(INDEX('×入力'!$A$1:$L$800,615+AR$3,2+AR$2)&lt;&gt;"",INDEX('×入力'!$A$1:$L$800,614,2+AR$2)&lt;&gt;"",INDEX('×入力'!$A$1:$L$800,615+AR$3,1)&lt;&gt;""),1,0),0)</f>
        <v/>
      </c>
      <c r="AS48">
        <f>IF(AS$4=1,IF(OR(INDEX('×入力'!$A$1:$L$800,615+AS$3,2+AS$2)&lt;&gt;"",INDEX('×入力'!$A$1:$L$800,614,2+AS$2)&lt;&gt;"",INDEX('×入力'!$A$1:$L$800,615+AS$3,1)&lt;&gt;""),1,0),0)</f>
        <v/>
      </c>
      <c r="AT48">
        <f>IF(AT$4=1,IF(OR(INDEX('×入力'!$A$1:$L$800,615+AT$3,2+AT$2)&lt;&gt;"",INDEX('×入力'!$A$1:$L$800,614,2+AT$2)&lt;&gt;"",INDEX('×入力'!$A$1:$L$800,615+AT$3,1)&lt;&gt;""),1,0),0)</f>
        <v/>
      </c>
      <c r="AU48">
        <f>IF(AU$4=1,IF(OR(INDEX('×入力'!$A$1:$L$800,615+AU$3,2+AU$2)&lt;&gt;"",INDEX('×入力'!$A$1:$L$800,614,2+AU$2)&lt;&gt;"",INDEX('×入力'!$A$1:$L$800,615+AU$3,1)&lt;&gt;""),1,0),0)</f>
        <v/>
      </c>
      <c r="AV48">
        <f>IF(AV$4=1,IF(OR(INDEX('×入力'!$A$1:$L$800,615+AV$3,2+AV$2)&lt;&gt;"",INDEX('×入力'!$A$1:$L$800,614,2+AV$2)&lt;&gt;"",INDEX('×入力'!$A$1:$L$800,615+AV$3,1)&lt;&gt;""),1,0),0)</f>
        <v/>
      </c>
      <c r="AW48">
        <f>IF(AW$4=1,IF(OR(INDEX('×入力'!$A$1:$L$800,615+AW$3,2+AW$2)&lt;&gt;"",INDEX('×入力'!$A$1:$L$800,614,2+AW$2)&lt;&gt;"",INDEX('×入力'!$A$1:$L$800,615+AW$3,1)&lt;&gt;""),1,0),0)</f>
        <v/>
      </c>
      <c r="AX48">
        <f>IF(AX$4=1,IF(OR(INDEX('×入力'!$A$1:$L$800,615+AX$3,2+AX$2)&lt;&gt;"",INDEX('×入力'!$A$1:$L$800,614,2+AX$2)&lt;&gt;"",INDEX('×入力'!$A$1:$L$800,615+AX$3,1)&lt;&gt;""),1,0),0)</f>
        <v/>
      </c>
      <c r="AY48">
        <f>IF(AY$4=1,IF(OR(INDEX('×入力'!$A$1:$L$800,615+AY$3,2+AY$2)&lt;&gt;"",INDEX('×入力'!$A$1:$L$800,614,2+AY$2)&lt;&gt;"",INDEX('×入力'!$A$1:$L$800,615+AY$3,1)&lt;&gt;""),1,0),0)</f>
        <v/>
      </c>
      <c r="AZ48">
        <f>IF(AZ$4=1,IF(OR(INDEX('×入力'!$A$1:$L$800,615+AZ$3,2+AZ$2)&lt;&gt;"",INDEX('×入力'!$A$1:$L$800,614,2+AZ$2)&lt;&gt;"",INDEX('×入力'!$A$1:$L$800,615+AZ$3,1)&lt;&gt;""),1,0),0)</f>
        <v/>
      </c>
      <c r="BA48">
        <f>IF(BA$4=1,IF(OR(INDEX('×入力'!$A$1:$L$800,615+BA$3,2+BA$2)&lt;&gt;"",INDEX('×入力'!$A$1:$L$800,614,2+BA$2)&lt;&gt;"",INDEX('×入力'!$A$1:$L$800,615+BA$3,1)&lt;&gt;""),1,0),0)</f>
        <v/>
      </c>
      <c r="BB48">
        <f>IF(BB$4=1,IF(OR(INDEX('×入力'!$A$1:$L$800,615+BB$3,2+BB$2)&lt;&gt;"",INDEX('×入力'!$A$1:$L$800,614,2+BB$2)&lt;&gt;"",INDEX('×入力'!$A$1:$L$800,615+BB$3,1)&lt;&gt;""),1,0),0)</f>
        <v/>
      </c>
      <c r="BC48">
        <f>IF(BC$4=1,IF(OR(INDEX('×入力'!$A$1:$L$800,615+BC$3,2+BC$2)&lt;&gt;"",INDEX('×入力'!$A$1:$L$800,614,2+BC$2)&lt;&gt;"",INDEX('×入力'!$A$1:$L$800,615+BC$3,1)&lt;&gt;""),1,0),0)</f>
        <v/>
      </c>
      <c r="BD48">
        <f>IF(BD$4=1,IF(OR(INDEX('×入力'!$A$1:$L$800,615+BD$3,2+BD$2)&lt;&gt;"",INDEX('×入力'!$A$1:$L$800,614,2+BD$2)&lt;&gt;"",INDEX('×入力'!$A$1:$L$800,615+BD$3,1)&lt;&gt;""),1,0),0)</f>
        <v/>
      </c>
      <c r="BE48">
        <f>IF(BE$4=1,IF(OR(INDEX('×入力'!$A$1:$L$800,615+BE$3,2+BE$2)&lt;&gt;"",INDEX('×入力'!$A$1:$L$800,614,2+BE$2)&lt;&gt;"",INDEX('×入力'!$A$1:$L$800,615+BE$3,1)&lt;&gt;""),1,0),0)</f>
        <v/>
      </c>
      <c r="BF48">
        <f>IF(BF$4=1,IF(OR(INDEX('×入力'!$A$1:$L$800,615+BF$3,2+BF$2)&lt;&gt;"",INDEX('×入力'!$A$1:$L$800,614,2+BF$2)&lt;&gt;"",INDEX('×入力'!$A$1:$L$800,615+BF$3,1)&lt;&gt;""),1,0),0)</f>
        <v/>
      </c>
      <c r="BG48">
        <f>IF(BG$4=1,IF(OR(INDEX('×入力'!$A$1:$L$800,615+BG$3,2+BG$2)&lt;&gt;"",INDEX('×入力'!$A$1:$L$800,614,2+BG$2)&lt;&gt;"",INDEX('×入力'!$A$1:$L$800,615+BG$3,1)&lt;&gt;""),1,0),0)</f>
        <v/>
      </c>
      <c r="BH48">
        <f>IF(BH$4=1,IF(OR(INDEX('×入力'!$A$1:$L$800,615+BH$3,2+BH$2)&lt;&gt;"",INDEX('×入力'!$A$1:$L$800,614,2+BH$2)&lt;&gt;"",INDEX('×入力'!$A$1:$L$800,615+BH$3,1)&lt;&gt;""),1,0),0)</f>
        <v/>
      </c>
      <c r="BI48">
        <f>IF(BI$4=1,IF(OR(INDEX('×入力'!$A$1:$L$800,615+BI$3,2+BI$2)&lt;&gt;"",INDEX('×入力'!$A$1:$L$800,614,2+BI$2)&lt;&gt;"",INDEX('×入力'!$A$1:$L$800,615+BI$3,1)&lt;&gt;""),1,0),0)</f>
        <v/>
      </c>
      <c r="BJ48">
        <f>IF(BJ$4=1,IF(OR(INDEX('×入力'!$A$1:$L$800,615+BJ$3,2+BJ$2)&lt;&gt;"",INDEX('×入力'!$A$1:$L$800,614,2+BJ$2)&lt;&gt;"",INDEX('×入力'!$A$1:$L$800,615+BJ$3,1)&lt;&gt;""),1,0),0)</f>
        <v/>
      </c>
      <c r="BK48">
        <f>IF(BK$4=1,IF(OR(INDEX('×入力'!$A$1:$L$800,615+BK$3,2+BK$2)&lt;&gt;"",INDEX('×入力'!$A$1:$L$800,614,2+BK$2)&lt;&gt;"",INDEX('×入力'!$A$1:$L$800,615+BK$3,1)&lt;&gt;""),1,0),0)</f>
        <v/>
      </c>
      <c r="BL48">
        <f>IF(BL$4=1,IF(OR(INDEX('×入力'!$A$1:$L$800,615+BL$3,2+BL$2)&lt;&gt;"",INDEX('×入力'!$A$1:$L$800,614,2+BL$2)&lt;&gt;"",INDEX('×入力'!$A$1:$L$800,615+BL$3,1)&lt;&gt;""),1,0),0)</f>
        <v/>
      </c>
      <c r="BM48">
        <f>IF(BM$4=1,IF(OR(INDEX('×入力'!$A$1:$L$800,615+BM$3,2+BM$2)&lt;&gt;"",INDEX('×入力'!$A$1:$L$800,614,2+BM$2)&lt;&gt;"",INDEX('×入力'!$A$1:$L$800,615+BM$3,1)&lt;&gt;""),1,0),0)</f>
        <v/>
      </c>
      <c r="BN48">
        <f>IF(BN$4=1,IF(OR(INDEX('×入力'!$A$1:$L$800,615+BN$3,2+BN$2)&lt;&gt;"",INDEX('×入力'!$A$1:$L$800,614,2+BN$2)&lt;&gt;"",INDEX('×入力'!$A$1:$L$800,615+BN$3,1)&lt;&gt;""),1,0),0)</f>
        <v/>
      </c>
      <c r="BO48">
        <f>IF(BO$4=1,IF(OR(INDEX('×入力'!$A$1:$L$800,615+BO$3,2+BO$2)&lt;&gt;"",INDEX('×入力'!$A$1:$L$800,614,2+BO$2)&lt;&gt;"",INDEX('×入力'!$A$1:$L$800,615+BO$3,1)&lt;&gt;""),1,0),0)</f>
        <v/>
      </c>
      <c r="BP48">
        <f>IF(BP$4=1,IF(OR(INDEX('×入力'!$A$1:$L$800,615+BP$3,2+BP$2)&lt;&gt;"",INDEX('×入力'!$A$1:$L$800,614,2+BP$2)&lt;&gt;"",INDEX('×入力'!$A$1:$L$800,615+BP$3,1)&lt;&gt;""),1,0),0)</f>
        <v/>
      </c>
      <c r="BQ48">
        <f>IF(BQ$4=1,IF(OR(INDEX('×入力'!$A$1:$L$800,615+BQ$3,2+BQ$2)&lt;&gt;"",INDEX('×入力'!$A$1:$L$800,614,2+BQ$2)&lt;&gt;"",INDEX('×入力'!$A$1:$L$800,615+BQ$3,1)&lt;&gt;""),1,0),0)</f>
        <v/>
      </c>
      <c r="BR48">
        <f>IF(BR$4=1,IF(OR(INDEX('×入力'!$A$1:$L$800,615+BR$3,2+BR$2)&lt;&gt;"",INDEX('×入力'!$A$1:$L$800,614,2+BR$2)&lt;&gt;"",INDEX('×入力'!$A$1:$L$800,615+BR$3,1)&lt;&gt;""),1,0),0)</f>
        <v/>
      </c>
      <c r="BS48">
        <f>IF(BS$4=1,IF(OR(INDEX('×入力'!$A$1:$L$800,615+BS$3,2+BS$2)&lt;&gt;"",INDEX('×入力'!$A$1:$L$800,614,2+BS$2)&lt;&gt;"",INDEX('×入力'!$A$1:$L$800,615+BS$3,1)&lt;&gt;""),1,0),0)</f>
        <v/>
      </c>
      <c r="BT48">
        <f>IF(BT$4=1,IF(OR(INDEX('×入力'!$A$1:$L$800,615+BT$3,2+BT$2)&lt;&gt;"",INDEX('×入力'!$A$1:$L$800,614,2+BT$2)&lt;&gt;"",INDEX('×入力'!$A$1:$L$800,615+BT$3,1)&lt;&gt;""),1,0),0)</f>
        <v/>
      </c>
      <c r="BU48">
        <f>IF(BU$4=1,IF(OR(INDEX('×入力'!$A$1:$L$800,615+BU$3,2+BU$2)&lt;&gt;"",INDEX('×入力'!$A$1:$L$800,614,2+BU$2)&lt;&gt;"",INDEX('×入力'!$A$1:$L$800,615+BU$3,1)&lt;&gt;""),1,0),0)</f>
        <v/>
      </c>
      <c r="BV48">
        <f>IF(BV$4=1,IF(OR(INDEX('×入力'!$A$1:$L$800,615+BV$3,2+BV$2)&lt;&gt;"",INDEX('×入力'!$A$1:$L$800,614,2+BV$2)&lt;&gt;"",INDEX('×入力'!$A$1:$L$800,615+BV$3,1)&lt;&gt;""),1,0),0)</f>
        <v/>
      </c>
      <c r="BW48">
        <f>IF(BW$4=1,IF(OR(INDEX('×入力'!$A$1:$L$800,615+BW$3,2+BW$2)&lt;&gt;"",INDEX('×入力'!$A$1:$L$800,614,2+BW$2)&lt;&gt;"",INDEX('×入力'!$A$1:$L$800,615+BW$3,1)&lt;&gt;""),1,0),0)</f>
        <v/>
      </c>
      <c r="BX48">
        <f>IF(BX$4=1,IF(OR(INDEX('×入力'!$A$1:$L$800,615+BX$3,2+BX$2)&lt;&gt;"",INDEX('×入力'!$A$1:$L$800,614,2+BX$2)&lt;&gt;"",INDEX('×入力'!$A$1:$L$800,615+BX$3,1)&lt;&gt;""),1,0),0)</f>
        <v/>
      </c>
      <c r="BY48">
        <f>IF(BY$4=1,IF(OR(INDEX('×入力'!$A$1:$L$800,615+BY$3,2+BY$2)&lt;&gt;"",INDEX('×入力'!$A$1:$L$800,614,2+BY$2)&lt;&gt;"",INDEX('×入力'!$A$1:$L$800,615+BY$3,1)&lt;&gt;""),1,0),0)</f>
        <v/>
      </c>
      <c r="BZ48">
        <f>IF(BZ$4=1,IF(OR(INDEX('×入力'!$A$1:$L$800,615+BZ$3,2+BZ$2)&lt;&gt;"",INDEX('×入力'!$A$1:$L$800,614,2+BZ$2)&lt;&gt;"",INDEX('×入力'!$A$1:$L$800,615+BZ$3,1)&lt;&gt;""),1,0),0)</f>
        <v/>
      </c>
      <c r="CA48">
        <f>IF(CA$4=1,IF(OR(INDEX('×入力'!$A$1:$L$800,615+CA$3,2+CA$2)&lt;&gt;"",INDEX('×入力'!$A$1:$L$800,614,2+CA$2)&lt;&gt;"",INDEX('×入力'!$A$1:$L$800,615+CA$3,1)&lt;&gt;""),1,0),0)</f>
        <v/>
      </c>
      <c r="CB48">
        <f>IF(CB$4=1,IF(OR(INDEX('×入力'!$A$1:$L$800,615+CB$3,2+CB$2)&lt;&gt;"",INDEX('×入力'!$A$1:$L$800,614,2+CB$2)&lt;&gt;"",INDEX('×入力'!$A$1:$L$800,615+CB$3,1)&lt;&gt;""),1,0),0)</f>
        <v/>
      </c>
      <c r="CC48">
        <f>IF(CC$4=1,IF(OR(INDEX('×入力'!$A$1:$L$800,615+CC$3,2+CC$2)&lt;&gt;"",INDEX('×入力'!$A$1:$L$800,614,2+CC$2)&lt;&gt;"",INDEX('×入力'!$A$1:$L$800,615+CC$3,1)&lt;&gt;""),1,0),0)</f>
        <v/>
      </c>
      <c r="CD48">
        <f>IF(CD$4=1,IF(OR(INDEX('×入力'!$A$1:$L$800,615+CD$3,2+CD$2)&lt;&gt;"",INDEX('×入力'!$A$1:$L$800,614,2+CD$2)&lt;&gt;"",INDEX('×入力'!$A$1:$L$800,615+CD$3,1)&lt;&gt;""),1,0),0)</f>
        <v/>
      </c>
      <c r="CE48">
        <f>IF(CE$4=1,IF(OR(INDEX('×入力'!$A$1:$L$800,615+CE$3,2+CE$2)&lt;&gt;"",INDEX('×入力'!$A$1:$L$800,614,2+CE$2)&lt;&gt;"",INDEX('×入力'!$A$1:$L$800,615+CE$3,1)&lt;&gt;""),1,0),0)</f>
        <v/>
      </c>
      <c r="CF48">
        <f>IF(CF$4=1,IF(OR(INDEX('×入力'!$A$1:$L$800,615+CF$3,2+CF$2)&lt;&gt;"",INDEX('×入力'!$A$1:$L$800,614,2+CF$2)&lt;&gt;"",INDEX('×入力'!$A$1:$L$800,615+CF$3,1)&lt;&gt;""),1,0),0)</f>
        <v/>
      </c>
      <c r="CG48">
        <f>IF(CG$4=1,IF(OR(INDEX('×入力'!$A$1:$L$800,615+CG$3,2+CG$2)&lt;&gt;"",INDEX('×入力'!$A$1:$L$800,614,2+CG$2)&lt;&gt;"",INDEX('×入力'!$A$1:$L$800,615+CG$3,1)&lt;&gt;""),1,0),0)</f>
        <v/>
      </c>
      <c r="CH48">
        <f>IF(CH$4=1,IF(OR(INDEX('×入力'!$A$1:$L$800,615+CH$3,2+CH$2)&lt;&gt;"",INDEX('×入力'!$A$1:$L$800,614,2+CH$2)&lt;&gt;"",INDEX('×入力'!$A$1:$L$800,615+CH$3,1)&lt;&gt;""),1,0),0)</f>
        <v/>
      </c>
      <c r="CI48">
        <f>IF(CI$4=1,IF(OR(INDEX('×入力'!$A$1:$L$800,615+CI$3,2+CI$2)&lt;&gt;"",INDEX('×入力'!$A$1:$L$800,614,2+CI$2)&lt;&gt;"",INDEX('×入力'!$A$1:$L$800,615+CI$3,1)&lt;&gt;""),1,0),0)</f>
        <v/>
      </c>
      <c r="CJ48">
        <f>IF(CJ$4=1,IF(OR(INDEX('×入力'!$A$1:$L$800,615+CJ$3,2+CJ$2)&lt;&gt;"",INDEX('×入力'!$A$1:$L$800,614,2+CJ$2)&lt;&gt;"",INDEX('×入力'!$A$1:$L$800,615+CJ$3,1)&lt;&gt;""),1,0),0)</f>
        <v/>
      </c>
      <c r="CK48">
        <f>IF(CK$4=1,IF(OR(INDEX('×入力'!$A$1:$L$800,615+CK$3,2+CK$2)&lt;&gt;"",INDEX('×入力'!$A$1:$L$800,614,2+CK$2)&lt;&gt;"",INDEX('×入力'!$A$1:$L$800,615+CK$3,1)&lt;&gt;""),1,0),0)</f>
        <v/>
      </c>
      <c r="CL48">
        <f>IF(CL$4=1,IF(OR(INDEX('×入力'!$A$1:$L$800,615+CL$3,2+CL$2)&lt;&gt;"",INDEX('×入力'!$A$1:$L$800,614,2+CL$2)&lt;&gt;"",INDEX('×入力'!$A$1:$L$800,615+CL$3,1)&lt;&gt;""),1,0),0)</f>
        <v/>
      </c>
      <c r="CM48">
        <f>IF(CM$4=1,IF(OR(INDEX('×入力'!$A$1:$L$800,615+CM$3,2+CM$2)&lt;&gt;"",INDEX('×入力'!$A$1:$L$800,614,2+CM$2)&lt;&gt;"",INDEX('×入力'!$A$1:$L$800,615+CM$3,1)&lt;&gt;""),1,0),0)</f>
        <v/>
      </c>
      <c r="CN48">
        <f>IF(CN$4=1,IF(OR(INDEX('×入力'!$A$1:$L$800,615+CN$3,2+CN$2)&lt;&gt;"",INDEX('×入力'!$A$1:$L$800,614,2+CN$2)&lt;&gt;"",INDEX('×入力'!$A$1:$L$800,615+CN$3,1)&lt;&gt;""),1,0),0)</f>
        <v/>
      </c>
      <c r="CO48">
        <f>IF(CO$4=1,IF(OR(INDEX('×入力'!$A$1:$L$800,615+CO$3,2+CO$2)&lt;&gt;"",INDEX('×入力'!$A$1:$L$800,614,2+CO$2)&lt;&gt;"",INDEX('×入力'!$A$1:$L$800,615+CO$3,1)&lt;&gt;""),1,0),0)</f>
        <v/>
      </c>
      <c r="CP48">
        <f>IF(CP$4=1,IF(OR(INDEX('×入力'!$A$1:$L$800,615+CP$3,2+CP$2)&lt;&gt;"",INDEX('×入力'!$A$1:$L$800,614,2+CP$2)&lt;&gt;"",INDEX('×入力'!$A$1:$L$800,615+CP$3,1)&lt;&gt;""),1,0),0)</f>
        <v/>
      </c>
      <c r="CQ48">
        <f>IF(CQ$4=1,IF(OR(INDEX('×入力'!$A$1:$L$800,615+CQ$3,2+CQ$2)&lt;&gt;"",INDEX('×入力'!$A$1:$L$800,614,2+CQ$2)&lt;&gt;"",INDEX('×入力'!$A$1:$L$800,615+CQ$3,1)&lt;&gt;""),1,0),0)</f>
        <v/>
      </c>
      <c r="CR48">
        <f>IF(CR$4=1,IF(OR(INDEX('×入力'!$A$1:$L$800,615+CR$3,2+CR$2)&lt;&gt;"",INDEX('×入力'!$A$1:$L$800,614,2+CR$2)&lt;&gt;"",INDEX('×入力'!$A$1:$L$800,615+CR$3,1)&lt;&gt;""),1,0),0)</f>
        <v/>
      </c>
      <c r="CS48">
        <f>IF(CS$4=1,IF(OR(INDEX('×入力'!$A$1:$L$800,615+CS$3,2+CS$2)&lt;&gt;"",INDEX('×入力'!$A$1:$L$800,614,2+CS$2)&lt;&gt;"",INDEX('×入力'!$A$1:$L$800,615+CS$3,1)&lt;&gt;""),1,0),0)</f>
        <v/>
      </c>
      <c r="CT48">
        <f>IF(CT$4=1,IF(OR(INDEX('×入力'!$A$1:$L$800,615+CT$3,2+CT$2)&lt;&gt;"",INDEX('×入力'!$A$1:$L$800,614,2+CT$2)&lt;&gt;"",INDEX('×入力'!$A$1:$L$800,615+CT$3,1)&lt;&gt;""),1,0),0)</f>
        <v/>
      </c>
      <c r="CU48">
        <f>IF(CU$4=1,IF(OR(INDEX('×入力'!$A$1:$L$800,615+CU$3,2+CU$2)&lt;&gt;"",INDEX('×入力'!$A$1:$L$800,614,2+CU$2)&lt;&gt;"",INDEX('×入力'!$A$1:$L$800,615+CU$3,1)&lt;&gt;""),1,0),0)</f>
        <v/>
      </c>
      <c r="CV48">
        <f>IF(CV$4=1,IF(OR(INDEX('×入力'!$A$1:$L$800,615+CV$3,2+CV$2)&lt;&gt;"",INDEX('×入力'!$A$1:$L$800,614,2+CV$2)&lt;&gt;"",INDEX('×入力'!$A$1:$L$800,615+CV$3,1)&lt;&gt;""),1,0),0)</f>
        <v/>
      </c>
      <c r="CW48">
        <f>IF(CW$4=1,IF(OR(INDEX('×入力'!$A$1:$L$800,615+CW$3,2+CW$2)&lt;&gt;"",INDEX('×入力'!$A$1:$L$800,614,2+CW$2)&lt;&gt;"",INDEX('×入力'!$A$1:$L$800,615+CW$3,1)&lt;&gt;""),1,0),0)</f>
        <v/>
      </c>
      <c r="CX48">
        <f>IF(CX$4=1,IF(OR(INDEX('×入力'!$A$1:$L$800,615+CX$3,2+CX$2)&lt;&gt;"",INDEX('×入力'!$A$1:$L$800,614,2+CX$2)&lt;&gt;"",INDEX('×入力'!$A$1:$L$800,615+CX$3,1)&lt;&gt;""),1,0),0)</f>
        <v/>
      </c>
      <c r="CY48">
        <f>IF(CY$4=1,IF(OR(INDEX('×入力'!$A$1:$L$800,615+CY$3,2+CY$2)&lt;&gt;"",INDEX('×入力'!$A$1:$L$800,614,2+CY$2)&lt;&gt;"",INDEX('×入力'!$A$1:$L$800,615+CY$3,1)&lt;&gt;""),1,0),0)</f>
        <v/>
      </c>
      <c r="CZ48">
        <f>IF(CZ$4=1,IF(OR(INDEX('×入力'!$A$1:$L$800,615+CZ$3,2+CZ$2)&lt;&gt;"",INDEX('×入力'!$A$1:$L$800,614,2+CZ$2)&lt;&gt;"",INDEX('×入力'!$A$1:$L$800,615+CZ$3,1)&lt;&gt;""),1,0),0)</f>
        <v/>
      </c>
      <c r="DA48">
        <f>IF(DA$4=1,IF(OR(INDEX('×入力'!$A$1:$L$800,615+DA$3,2+DA$2)&lt;&gt;"",INDEX('×入力'!$A$1:$L$800,614,2+DA$2)&lt;&gt;"",INDEX('×入力'!$A$1:$L$800,615+DA$3,1)&lt;&gt;""),1,0),0)</f>
        <v/>
      </c>
      <c r="DB48">
        <f>IF(DB$4=1,IF(OR(INDEX('×入力'!$A$1:$L$800,615+DB$3,2+DB$2)&lt;&gt;"",INDEX('×入力'!$A$1:$L$800,614,2+DB$2)&lt;&gt;"",INDEX('×入力'!$A$1:$L$800,615+DB$3,1)&lt;&gt;""),1,0),0)</f>
        <v/>
      </c>
      <c r="DC48">
        <f>IF(DC$4=1,IF(OR(INDEX('×入力'!$A$1:$L$800,615+DC$3,2+DC$2)&lt;&gt;"",INDEX('×入力'!$A$1:$L$800,614,2+DC$2)&lt;&gt;"",INDEX('×入力'!$A$1:$L$800,615+DC$3,1)&lt;&gt;""),1,0),0)</f>
        <v/>
      </c>
      <c r="DD48">
        <f>IF(DD$4=1,IF(OR(INDEX('×入力'!$A$1:$L$800,615+DD$3,2+DD$2)&lt;&gt;"",INDEX('×入力'!$A$1:$L$800,614,2+DD$2)&lt;&gt;"",INDEX('×入力'!$A$1:$L$800,615+DD$3,1)&lt;&gt;""),1,0),0)</f>
        <v/>
      </c>
      <c r="DE48">
        <f>IF(DE$4=1,IF(OR(INDEX('×入力'!$A$1:$L$800,615+DE$3,2+DE$2)&lt;&gt;"",INDEX('×入力'!$A$1:$L$800,614,2+DE$2)&lt;&gt;"",INDEX('×入力'!$A$1:$L$800,615+DE$3,1)&lt;&gt;""),1,0),0)</f>
        <v/>
      </c>
      <c r="DF48">
        <f>IF(DF$4=1,IF(OR(INDEX('×入力'!$A$1:$L$800,615+DF$3,2+DF$2)&lt;&gt;"",INDEX('×入力'!$A$1:$L$800,614,2+DF$2)&lt;&gt;"",INDEX('×入力'!$A$1:$L$800,615+DF$3,1)&lt;&gt;""),1,0),0)</f>
        <v/>
      </c>
      <c r="DG48">
        <f>IF(DG$4=1,IF(OR(INDEX('×入力'!$A$1:$L$800,615+DG$3,2+DG$2)&lt;&gt;"",INDEX('×入力'!$A$1:$L$800,614,2+DG$2)&lt;&gt;"",INDEX('×入力'!$A$1:$L$800,615+DG$3,1)&lt;&gt;""),1,0),0)</f>
        <v/>
      </c>
      <c r="DH48">
        <f>IF(DH$4=1,IF(OR(INDEX('×入力'!$A$1:$L$800,615+DH$3,2+DH$2)&lt;&gt;"",INDEX('×入力'!$A$1:$L$800,614,2+DH$2)&lt;&gt;"",INDEX('×入力'!$A$1:$L$800,615+DH$3,1)&lt;&gt;""),1,0),0)</f>
        <v/>
      </c>
      <c r="DI48">
        <f>IF(DI$4=1,IF(OR(INDEX('×入力'!$A$1:$L$800,615+DI$3,2+DI$2)&lt;&gt;"",INDEX('×入力'!$A$1:$L$800,614,2+DI$2)&lt;&gt;"",INDEX('×入力'!$A$1:$L$800,615+DI$3,1)&lt;&gt;""),1,0),0)</f>
        <v/>
      </c>
      <c r="DJ48">
        <f>IF(DJ$4=1,IF(OR(INDEX('×入力'!$A$1:$L$800,615+DJ$3,2+DJ$2)&lt;&gt;"",INDEX('×入力'!$A$1:$L$800,614,2+DJ$2)&lt;&gt;"",INDEX('×入力'!$A$1:$L$800,615+DJ$3,1)&lt;&gt;""),1,0),0)</f>
        <v/>
      </c>
      <c r="DK48">
        <f>IF(DK$4=1,IF(OR(INDEX('×入力'!$A$1:$L$800,615+DK$3,2+DK$2)&lt;&gt;"",INDEX('×入力'!$A$1:$L$800,614,2+DK$2)&lt;&gt;"",INDEX('×入力'!$A$1:$L$800,615+DK$3,1)&lt;&gt;""),1,0),0)</f>
        <v/>
      </c>
      <c r="DL48">
        <f>IF(DL$4=1,IF(OR(INDEX('×入力'!$A$1:$L$800,615+DL$3,2+DL$2)&lt;&gt;"",INDEX('×入力'!$A$1:$L$800,614,2+DL$2)&lt;&gt;"",INDEX('×入力'!$A$1:$L$800,615+DL$3,1)&lt;&gt;""),1,0),0)</f>
        <v/>
      </c>
      <c r="DM48">
        <f>IF(DM$4=1,IF(OR(INDEX('×入力'!$A$1:$L$800,615+DM$3,2+DM$2)&lt;&gt;"",INDEX('×入力'!$A$1:$L$800,614,2+DM$2)&lt;&gt;"",INDEX('×入力'!$A$1:$L$800,615+DM$3,1)&lt;&gt;""),1,0),0)</f>
        <v/>
      </c>
      <c r="DN48">
        <f>IF(DN$4=1,IF(OR(INDEX('×入力'!$A$1:$L$800,615+DN$3,2+DN$2)&lt;&gt;"",INDEX('×入力'!$A$1:$L$800,614,2+DN$2)&lt;&gt;"",INDEX('×入力'!$A$1:$L$800,615+DN$3,1)&lt;&gt;""),1,0),0)</f>
        <v/>
      </c>
      <c r="DO48">
        <f>IF(DO$4=1,IF(OR(INDEX('×入力'!$A$1:$L$800,615+DO$3,2+DO$2)&lt;&gt;"",INDEX('×入力'!$A$1:$L$800,614,2+DO$2)&lt;&gt;"",INDEX('×入力'!$A$1:$L$800,615+DO$3,1)&lt;&gt;""),1,0),0)</f>
        <v/>
      </c>
      <c r="DP48">
        <f>IF(DP$4=1,IF(OR(INDEX('×入力'!$A$1:$L$800,615+DP$3,2+DP$2)&lt;&gt;"",INDEX('×入力'!$A$1:$L$800,614,2+DP$2)&lt;&gt;"",INDEX('×入力'!$A$1:$L$800,615+DP$3,1)&lt;&gt;""),1,0),0)</f>
        <v/>
      </c>
      <c r="DQ48">
        <f>IF(DQ$4=1,IF(OR(INDEX('×入力'!$A$1:$L$800,615+DQ$3,2+DQ$2)&lt;&gt;"",INDEX('×入力'!$A$1:$L$800,614,2+DQ$2)&lt;&gt;"",INDEX('×入力'!$A$1:$L$800,615+DQ$3,1)&lt;&gt;""),1,0),0)</f>
        <v/>
      </c>
      <c r="DR48">
        <f>IF(DR$4=1,IF(OR(INDEX('×入力'!$A$1:$L$800,615+DR$3,2+DR$2)&lt;&gt;"",INDEX('×入力'!$A$1:$L$800,614,2+DR$2)&lt;&gt;"",INDEX('×入力'!$A$1:$L$800,615+DR$3,1)&lt;&gt;""),1,0),0)</f>
        <v/>
      </c>
      <c r="DS48">
        <f>IF(DS$4=1,IF(OR(INDEX('×入力'!$A$1:$L$800,615+DS$3,2+DS$2)&lt;&gt;"",INDEX('×入力'!$A$1:$L$800,614,2+DS$2)&lt;&gt;"",INDEX('×入力'!$A$1:$L$800,615+DS$3,1)&lt;&gt;""),1,0),0)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IF(D$4=1,IF(OR(INDEX('×入力'!$A$1:$L$800,631+D$3,2+D$2)&lt;&gt;"",INDEX('×入力'!$A$1:$L$800,630,2+D$2)&lt;&gt;"",INDEX('×入力'!$A$1:$L$800,631+D$3,1)&lt;&gt;""),1,0),0)</f>
        <v/>
      </c>
      <c r="E49">
        <f>IF(E$4=1,IF(OR(INDEX('×入力'!$A$1:$L$800,631+E$3,2+E$2)&lt;&gt;"",INDEX('×入力'!$A$1:$L$800,630,2+E$2)&lt;&gt;"",INDEX('×入力'!$A$1:$L$800,631+E$3,1)&lt;&gt;""),1,0),0)</f>
        <v/>
      </c>
      <c r="F49">
        <f>IF(F$4=1,IF(OR(INDEX('×入力'!$A$1:$L$800,631+F$3,2+F$2)&lt;&gt;"",INDEX('×入力'!$A$1:$L$800,630,2+F$2)&lt;&gt;"",INDEX('×入力'!$A$1:$L$800,631+F$3,1)&lt;&gt;""),1,0),0)</f>
        <v/>
      </c>
      <c r="G49">
        <f>IF(G$4=1,IF(OR(INDEX('×入力'!$A$1:$L$800,631+G$3,2+G$2)&lt;&gt;"",INDEX('×入力'!$A$1:$L$800,630,2+G$2)&lt;&gt;"",INDEX('×入力'!$A$1:$L$800,631+G$3,1)&lt;&gt;""),1,0),0)</f>
        <v/>
      </c>
      <c r="H49">
        <f>IF(H$4=1,IF(OR(INDEX('×入力'!$A$1:$L$800,631+H$3,2+H$2)&lt;&gt;"",INDEX('×入力'!$A$1:$L$800,630,2+H$2)&lt;&gt;"",INDEX('×入力'!$A$1:$L$800,631+H$3,1)&lt;&gt;""),1,0),0)</f>
        <v/>
      </c>
      <c r="I49">
        <f>IF(I$4=1,IF(OR(INDEX('×入力'!$A$1:$L$800,631+I$3,2+I$2)&lt;&gt;"",INDEX('×入力'!$A$1:$L$800,630,2+I$2)&lt;&gt;"",INDEX('×入力'!$A$1:$L$800,631+I$3,1)&lt;&gt;""),1,0),0)</f>
        <v/>
      </c>
      <c r="J49">
        <f>IF(J$4=1,IF(OR(INDEX('×入力'!$A$1:$L$800,631+J$3,2+J$2)&lt;&gt;"",INDEX('×入力'!$A$1:$L$800,630,2+J$2)&lt;&gt;"",INDEX('×入力'!$A$1:$L$800,631+J$3,1)&lt;&gt;""),1,0),0)</f>
        <v/>
      </c>
      <c r="K49">
        <f>IF(K$4=1,IF(OR(INDEX('×入力'!$A$1:$L$800,631+K$3,2+K$2)&lt;&gt;"",INDEX('×入力'!$A$1:$L$800,630,2+K$2)&lt;&gt;"",INDEX('×入力'!$A$1:$L$800,631+K$3,1)&lt;&gt;""),1,0),0)</f>
        <v/>
      </c>
      <c r="L49">
        <f>IF(L$4=1,IF(OR(INDEX('×入力'!$A$1:$L$800,631+L$3,2+L$2)&lt;&gt;"",INDEX('×入力'!$A$1:$L$800,630,2+L$2)&lt;&gt;"",INDEX('×入力'!$A$1:$L$800,631+L$3,1)&lt;&gt;""),1,0),0)</f>
        <v/>
      </c>
      <c r="M49">
        <f>IF(M$4=1,IF(OR(INDEX('×入力'!$A$1:$L$800,631+M$3,2+M$2)&lt;&gt;"",INDEX('×入力'!$A$1:$L$800,630,2+M$2)&lt;&gt;"",INDEX('×入力'!$A$1:$L$800,631+M$3,1)&lt;&gt;""),1,0),0)</f>
        <v/>
      </c>
      <c r="N49">
        <f>IF(N$4=1,IF(OR(INDEX('×入力'!$A$1:$L$800,631+N$3,2+N$2)&lt;&gt;"",INDEX('×入力'!$A$1:$L$800,630,2+N$2)&lt;&gt;"",INDEX('×入力'!$A$1:$L$800,631+N$3,1)&lt;&gt;""),1,0),0)</f>
        <v/>
      </c>
      <c r="O49">
        <f>IF(O$4=1,IF(OR(INDEX('×入力'!$A$1:$L$800,631+O$3,2+O$2)&lt;&gt;"",INDEX('×入力'!$A$1:$L$800,630,2+O$2)&lt;&gt;"",INDEX('×入力'!$A$1:$L$800,631+O$3,1)&lt;&gt;""),1,0),0)</f>
        <v/>
      </c>
      <c r="P49">
        <f>IF(P$4=1,IF(OR(INDEX('×入力'!$A$1:$L$800,631+P$3,2+P$2)&lt;&gt;"",INDEX('×入力'!$A$1:$L$800,630,2+P$2)&lt;&gt;"",INDEX('×入力'!$A$1:$L$800,631+P$3,1)&lt;&gt;""),1,0),0)</f>
        <v/>
      </c>
      <c r="Q49">
        <f>IF(Q$4=1,IF(OR(INDEX('×入力'!$A$1:$L$800,631+Q$3,2+Q$2)&lt;&gt;"",INDEX('×入力'!$A$1:$L$800,630,2+Q$2)&lt;&gt;"",INDEX('×入力'!$A$1:$L$800,631+Q$3,1)&lt;&gt;""),1,0),0)</f>
        <v/>
      </c>
      <c r="R49">
        <f>IF(R$4=1,IF(OR(INDEX('×入力'!$A$1:$L$800,631+R$3,2+R$2)&lt;&gt;"",INDEX('×入力'!$A$1:$L$800,630,2+R$2)&lt;&gt;"",INDEX('×入力'!$A$1:$L$800,631+R$3,1)&lt;&gt;""),1,0),0)</f>
        <v/>
      </c>
      <c r="S49">
        <f>IF(S$4=1,IF(OR(INDEX('×入力'!$A$1:$L$800,631+S$3,2+S$2)&lt;&gt;"",INDEX('×入力'!$A$1:$L$800,630,2+S$2)&lt;&gt;"",INDEX('×入力'!$A$1:$L$800,631+S$3,1)&lt;&gt;""),1,0),0)</f>
        <v/>
      </c>
      <c r="T49">
        <f>IF(T$4=1,IF(OR(INDEX('×入力'!$A$1:$L$800,631+T$3,2+T$2)&lt;&gt;"",INDEX('×入力'!$A$1:$L$800,630,2+T$2)&lt;&gt;"",INDEX('×入力'!$A$1:$L$800,631+T$3,1)&lt;&gt;""),1,0),0)</f>
        <v/>
      </c>
      <c r="U49">
        <f>IF(U$4=1,IF(OR(INDEX('×入力'!$A$1:$L$800,631+U$3,2+U$2)&lt;&gt;"",INDEX('×入力'!$A$1:$L$800,630,2+U$2)&lt;&gt;"",INDEX('×入力'!$A$1:$L$800,631+U$3,1)&lt;&gt;""),1,0),0)</f>
        <v/>
      </c>
      <c r="V49">
        <f>IF(V$4=1,IF(OR(INDEX('×入力'!$A$1:$L$800,631+V$3,2+V$2)&lt;&gt;"",INDEX('×入力'!$A$1:$L$800,630,2+V$2)&lt;&gt;"",INDEX('×入力'!$A$1:$L$800,631+V$3,1)&lt;&gt;""),1,0),0)</f>
        <v/>
      </c>
      <c r="W49">
        <f>IF(W$4=1,IF(OR(INDEX('×入力'!$A$1:$L$800,631+W$3,2+W$2)&lt;&gt;"",INDEX('×入力'!$A$1:$L$800,630,2+W$2)&lt;&gt;"",INDEX('×入力'!$A$1:$L$800,631+W$3,1)&lt;&gt;""),1,0),0)</f>
        <v/>
      </c>
      <c r="X49">
        <f>IF(X$4=1,IF(OR(INDEX('×入力'!$A$1:$L$800,631+X$3,2+X$2)&lt;&gt;"",INDEX('×入力'!$A$1:$L$800,630,2+X$2)&lt;&gt;"",INDEX('×入力'!$A$1:$L$800,631+X$3,1)&lt;&gt;""),1,0),0)</f>
        <v/>
      </c>
      <c r="Y49">
        <f>IF(Y$4=1,IF(OR(INDEX('×入力'!$A$1:$L$800,631+Y$3,2+Y$2)&lt;&gt;"",INDEX('×入力'!$A$1:$L$800,630,2+Y$2)&lt;&gt;"",INDEX('×入力'!$A$1:$L$800,631+Y$3,1)&lt;&gt;""),1,0),0)</f>
        <v/>
      </c>
      <c r="Z49">
        <f>IF(Z$4=1,IF(OR(INDEX('×入力'!$A$1:$L$800,631+Z$3,2+Z$2)&lt;&gt;"",INDEX('×入力'!$A$1:$L$800,630,2+Z$2)&lt;&gt;"",INDEX('×入力'!$A$1:$L$800,631+Z$3,1)&lt;&gt;""),1,0),0)</f>
        <v/>
      </c>
      <c r="AA49">
        <f>IF(AA$4=1,IF(OR(INDEX('×入力'!$A$1:$L$800,631+AA$3,2+AA$2)&lt;&gt;"",INDEX('×入力'!$A$1:$L$800,630,2+AA$2)&lt;&gt;"",INDEX('×入力'!$A$1:$L$800,631+AA$3,1)&lt;&gt;""),1,0),0)</f>
        <v/>
      </c>
      <c r="AB49">
        <f>IF(AB$4=1,IF(OR(INDEX('×入力'!$A$1:$L$800,631+AB$3,2+AB$2)&lt;&gt;"",INDEX('×入力'!$A$1:$L$800,630,2+AB$2)&lt;&gt;"",INDEX('×入力'!$A$1:$L$800,631+AB$3,1)&lt;&gt;""),1,0),0)</f>
        <v/>
      </c>
      <c r="AC49">
        <f>IF(AC$4=1,IF(OR(INDEX('×入力'!$A$1:$L$800,631+AC$3,2+AC$2)&lt;&gt;"",INDEX('×入力'!$A$1:$L$800,630,2+AC$2)&lt;&gt;"",INDEX('×入力'!$A$1:$L$800,631+AC$3,1)&lt;&gt;""),1,0),0)</f>
        <v/>
      </c>
      <c r="AD49">
        <f>IF(AD$4=1,IF(OR(INDEX('×入力'!$A$1:$L$800,631+AD$3,2+AD$2)&lt;&gt;"",INDEX('×入力'!$A$1:$L$800,630,2+AD$2)&lt;&gt;"",INDEX('×入力'!$A$1:$L$800,631+AD$3,1)&lt;&gt;""),1,0),0)</f>
        <v/>
      </c>
      <c r="AE49">
        <f>IF(AE$4=1,IF(OR(INDEX('×入力'!$A$1:$L$800,631+AE$3,2+AE$2)&lt;&gt;"",INDEX('×入力'!$A$1:$L$800,630,2+AE$2)&lt;&gt;"",INDEX('×入力'!$A$1:$L$800,631+AE$3,1)&lt;&gt;""),1,0),0)</f>
        <v/>
      </c>
      <c r="AF49">
        <f>IF(AF$4=1,IF(OR(INDEX('×入力'!$A$1:$L$800,631+AF$3,2+AF$2)&lt;&gt;"",INDEX('×入力'!$A$1:$L$800,630,2+AF$2)&lt;&gt;"",INDEX('×入力'!$A$1:$L$800,631+AF$3,1)&lt;&gt;""),1,0),0)</f>
        <v/>
      </c>
      <c r="AG49">
        <f>IF(AG$4=1,IF(OR(INDEX('×入力'!$A$1:$L$800,631+AG$3,2+AG$2)&lt;&gt;"",INDEX('×入力'!$A$1:$L$800,630,2+AG$2)&lt;&gt;"",INDEX('×入力'!$A$1:$L$800,631+AG$3,1)&lt;&gt;""),1,0),0)</f>
        <v/>
      </c>
      <c r="AH49">
        <f>IF(AH$4=1,IF(OR(INDEX('×入力'!$A$1:$L$800,631+AH$3,2+AH$2)&lt;&gt;"",INDEX('×入力'!$A$1:$L$800,630,2+AH$2)&lt;&gt;"",INDEX('×入力'!$A$1:$L$800,631+AH$3,1)&lt;&gt;""),1,0),0)</f>
        <v/>
      </c>
      <c r="AI49">
        <f>IF(AI$4=1,IF(OR(INDEX('×入力'!$A$1:$L$800,631+AI$3,2+AI$2)&lt;&gt;"",INDEX('×入力'!$A$1:$L$800,630,2+AI$2)&lt;&gt;"",INDEX('×入力'!$A$1:$L$800,631+AI$3,1)&lt;&gt;""),1,0),0)</f>
        <v/>
      </c>
      <c r="AJ49">
        <f>IF(AJ$4=1,IF(OR(INDEX('×入力'!$A$1:$L$800,631+AJ$3,2+AJ$2)&lt;&gt;"",INDEX('×入力'!$A$1:$L$800,630,2+AJ$2)&lt;&gt;"",INDEX('×入力'!$A$1:$L$800,631+AJ$3,1)&lt;&gt;""),1,0),0)</f>
        <v/>
      </c>
      <c r="AK49">
        <f>IF(AK$4=1,IF(OR(INDEX('×入力'!$A$1:$L$800,631+AK$3,2+AK$2)&lt;&gt;"",INDEX('×入力'!$A$1:$L$800,630,2+AK$2)&lt;&gt;"",INDEX('×入力'!$A$1:$L$800,631+AK$3,1)&lt;&gt;""),1,0),0)</f>
        <v/>
      </c>
      <c r="AL49">
        <f>IF(AL$4=1,IF(OR(INDEX('×入力'!$A$1:$L$800,631+AL$3,2+AL$2)&lt;&gt;"",INDEX('×入力'!$A$1:$L$800,630,2+AL$2)&lt;&gt;"",INDEX('×入力'!$A$1:$L$800,631+AL$3,1)&lt;&gt;""),1,0),0)</f>
        <v/>
      </c>
      <c r="AM49">
        <f>IF(AM$4=1,IF(OR(INDEX('×入力'!$A$1:$L$800,631+AM$3,2+AM$2)&lt;&gt;"",INDEX('×入力'!$A$1:$L$800,630,2+AM$2)&lt;&gt;"",INDEX('×入力'!$A$1:$L$800,631+AM$3,1)&lt;&gt;""),1,0),0)</f>
        <v/>
      </c>
      <c r="AN49">
        <f>IF(AN$4=1,IF(OR(INDEX('×入力'!$A$1:$L$800,631+AN$3,2+AN$2)&lt;&gt;"",INDEX('×入力'!$A$1:$L$800,630,2+AN$2)&lt;&gt;"",INDEX('×入力'!$A$1:$L$800,631+AN$3,1)&lt;&gt;""),1,0),0)</f>
        <v/>
      </c>
      <c r="AO49">
        <f>IF(AO$4=1,IF(OR(INDEX('×入力'!$A$1:$L$800,631+AO$3,2+AO$2)&lt;&gt;"",INDEX('×入力'!$A$1:$L$800,630,2+AO$2)&lt;&gt;"",INDEX('×入力'!$A$1:$L$800,631+AO$3,1)&lt;&gt;""),1,0),0)</f>
        <v/>
      </c>
      <c r="AP49">
        <f>IF(AP$4=1,IF(OR(INDEX('×入力'!$A$1:$L$800,631+AP$3,2+AP$2)&lt;&gt;"",INDEX('×入力'!$A$1:$L$800,630,2+AP$2)&lt;&gt;"",INDEX('×入力'!$A$1:$L$800,631+AP$3,1)&lt;&gt;""),1,0),0)</f>
        <v/>
      </c>
      <c r="AQ49">
        <f>IF(AQ$4=1,IF(OR(INDEX('×入力'!$A$1:$L$800,631+AQ$3,2+AQ$2)&lt;&gt;"",INDEX('×入力'!$A$1:$L$800,630,2+AQ$2)&lt;&gt;"",INDEX('×入力'!$A$1:$L$800,631+AQ$3,1)&lt;&gt;""),1,0),0)</f>
        <v/>
      </c>
      <c r="AR49">
        <f>IF(AR$4=1,IF(OR(INDEX('×入力'!$A$1:$L$800,631+AR$3,2+AR$2)&lt;&gt;"",INDEX('×入力'!$A$1:$L$800,630,2+AR$2)&lt;&gt;"",INDEX('×入力'!$A$1:$L$800,631+AR$3,1)&lt;&gt;""),1,0),0)</f>
        <v/>
      </c>
      <c r="AS49">
        <f>IF(AS$4=1,IF(OR(INDEX('×入力'!$A$1:$L$800,631+AS$3,2+AS$2)&lt;&gt;"",INDEX('×入力'!$A$1:$L$800,630,2+AS$2)&lt;&gt;"",INDEX('×入力'!$A$1:$L$800,631+AS$3,1)&lt;&gt;""),1,0),0)</f>
        <v/>
      </c>
      <c r="AT49">
        <f>IF(AT$4=1,IF(OR(INDEX('×入力'!$A$1:$L$800,631+AT$3,2+AT$2)&lt;&gt;"",INDEX('×入力'!$A$1:$L$800,630,2+AT$2)&lt;&gt;"",INDEX('×入力'!$A$1:$L$800,631+AT$3,1)&lt;&gt;""),1,0),0)</f>
        <v/>
      </c>
      <c r="AU49">
        <f>IF(AU$4=1,IF(OR(INDEX('×入力'!$A$1:$L$800,631+AU$3,2+AU$2)&lt;&gt;"",INDEX('×入力'!$A$1:$L$800,630,2+AU$2)&lt;&gt;"",INDEX('×入力'!$A$1:$L$800,631+AU$3,1)&lt;&gt;""),1,0),0)</f>
        <v/>
      </c>
      <c r="AV49">
        <f>IF(AV$4=1,IF(OR(INDEX('×入力'!$A$1:$L$800,631+AV$3,2+AV$2)&lt;&gt;"",INDEX('×入力'!$A$1:$L$800,630,2+AV$2)&lt;&gt;"",INDEX('×入力'!$A$1:$L$800,631+AV$3,1)&lt;&gt;""),1,0),0)</f>
        <v/>
      </c>
      <c r="AW49">
        <f>IF(AW$4=1,IF(OR(INDEX('×入力'!$A$1:$L$800,631+AW$3,2+AW$2)&lt;&gt;"",INDEX('×入力'!$A$1:$L$800,630,2+AW$2)&lt;&gt;"",INDEX('×入力'!$A$1:$L$800,631+AW$3,1)&lt;&gt;""),1,0),0)</f>
        <v/>
      </c>
      <c r="AX49">
        <f>IF(AX$4=1,IF(OR(INDEX('×入力'!$A$1:$L$800,631+AX$3,2+AX$2)&lt;&gt;"",INDEX('×入力'!$A$1:$L$800,630,2+AX$2)&lt;&gt;"",INDEX('×入力'!$A$1:$L$800,631+AX$3,1)&lt;&gt;""),1,0),0)</f>
        <v/>
      </c>
      <c r="AY49">
        <f>IF(AY$4=1,IF(OR(INDEX('×入力'!$A$1:$L$800,631+AY$3,2+AY$2)&lt;&gt;"",INDEX('×入力'!$A$1:$L$800,630,2+AY$2)&lt;&gt;"",INDEX('×入力'!$A$1:$L$800,631+AY$3,1)&lt;&gt;""),1,0),0)</f>
        <v/>
      </c>
      <c r="AZ49">
        <f>IF(AZ$4=1,IF(OR(INDEX('×入力'!$A$1:$L$800,631+AZ$3,2+AZ$2)&lt;&gt;"",INDEX('×入力'!$A$1:$L$800,630,2+AZ$2)&lt;&gt;"",INDEX('×入力'!$A$1:$L$800,631+AZ$3,1)&lt;&gt;""),1,0),0)</f>
        <v/>
      </c>
      <c r="BA49">
        <f>IF(BA$4=1,IF(OR(INDEX('×入力'!$A$1:$L$800,631+BA$3,2+BA$2)&lt;&gt;"",INDEX('×入力'!$A$1:$L$800,630,2+BA$2)&lt;&gt;"",INDEX('×入力'!$A$1:$L$800,631+BA$3,1)&lt;&gt;""),1,0),0)</f>
        <v/>
      </c>
      <c r="BB49">
        <f>IF(BB$4=1,IF(OR(INDEX('×入力'!$A$1:$L$800,631+BB$3,2+BB$2)&lt;&gt;"",INDEX('×入力'!$A$1:$L$800,630,2+BB$2)&lt;&gt;"",INDEX('×入力'!$A$1:$L$800,631+BB$3,1)&lt;&gt;""),1,0),0)</f>
        <v/>
      </c>
      <c r="BC49">
        <f>IF(BC$4=1,IF(OR(INDEX('×入力'!$A$1:$L$800,631+BC$3,2+BC$2)&lt;&gt;"",INDEX('×入力'!$A$1:$L$800,630,2+BC$2)&lt;&gt;"",INDEX('×入力'!$A$1:$L$800,631+BC$3,1)&lt;&gt;""),1,0),0)</f>
        <v/>
      </c>
      <c r="BD49">
        <f>IF(BD$4=1,IF(OR(INDEX('×入力'!$A$1:$L$800,631+BD$3,2+BD$2)&lt;&gt;"",INDEX('×入力'!$A$1:$L$800,630,2+BD$2)&lt;&gt;"",INDEX('×入力'!$A$1:$L$800,631+BD$3,1)&lt;&gt;""),1,0),0)</f>
        <v/>
      </c>
      <c r="BE49">
        <f>IF(BE$4=1,IF(OR(INDEX('×入力'!$A$1:$L$800,631+BE$3,2+BE$2)&lt;&gt;"",INDEX('×入力'!$A$1:$L$800,630,2+BE$2)&lt;&gt;"",INDEX('×入力'!$A$1:$L$800,631+BE$3,1)&lt;&gt;""),1,0),0)</f>
        <v/>
      </c>
      <c r="BF49">
        <f>IF(BF$4=1,IF(OR(INDEX('×入力'!$A$1:$L$800,631+BF$3,2+BF$2)&lt;&gt;"",INDEX('×入力'!$A$1:$L$800,630,2+BF$2)&lt;&gt;"",INDEX('×入力'!$A$1:$L$800,631+BF$3,1)&lt;&gt;""),1,0),0)</f>
        <v/>
      </c>
      <c r="BG49">
        <f>IF(BG$4=1,IF(OR(INDEX('×入力'!$A$1:$L$800,631+BG$3,2+BG$2)&lt;&gt;"",INDEX('×入力'!$A$1:$L$800,630,2+BG$2)&lt;&gt;"",INDEX('×入力'!$A$1:$L$800,631+BG$3,1)&lt;&gt;""),1,0),0)</f>
        <v/>
      </c>
      <c r="BH49">
        <f>IF(BH$4=1,IF(OR(INDEX('×入力'!$A$1:$L$800,631+BH$3,2+BH$2)&lt;&gt;"",INDEX('×入力'!$A$1:$L$800,630,2+BH$2)&lt;&gt;"",INDEX('×入力'!$A$1:$L$800,631+BH$3,1)&lt;&gt;""),1,0),0)</f>
        <v/>
      </c>
      <c r="BI49">
        <f>IF(BI$4=1,IF(OR(INDEX('×入力'!$A$1:$L$800,631+BI$3,2+BI$2)&lt;&gt;"",INDEX('×入力'!$A$1:$L$800,630,2+BI$2)&lt;&gt;"",INDEX('×入力'!$A$1:$L$800,631+BI$3,1)&lt;&gt;""),1,0),0)</f>
        <v/>
      </c>
      <c r="BJ49">
        <f>IF(BJ$4=1,IF(OR(INDEX('×入力'!$A$1:$L$800,631+BJ$3,2+BJ$2)&lt;&gt;"",INDEX('×入力'!$A$1:$L$800,630,2+BJ$2)&lt;&gt;"",INDEX('×入力'!$A$1:$L$800,631+BJ$3,1)&lt;&gt;""),1,0),0)</f>
        <v/>
      </c>
      <c r="BK49">
        <f>IF(BK$4=1,IF(OR(INDEX('×入力'!$A$1:$L$800,631+BK$3,2+BK$2)&lt;&gt;"",INDEX('×入力'!$A$1:$L$800,630,2+BK$2)&lt;&gt;"",INDEX('×入力'!$A$1:$L$800,631+BK$3,1)&lt;&gt;""),1,0),0)</f>
        <v/>
      </c>
      <c r="BL49">
        <f>IF(BL$4=1,IF(OR(INDEX('×入力'!$A$1:$L$800,631+BL$3,2+BL$2)&lt;&gt;"",INDEX('×入力'!$A$1:$L$800,630,2+BL$2)&lt;&gt;"",INDEX('×入力'!$A$1:$L$800,631+BL$3,1)&lt;&gt;""),1,0),0)</f>
        <v/>
      </c>
      <c r="BM49">
        <f>IF(BM$4=1,IF(OR(INDEX('×入力'!$A$1:$L$800,631+BM$3,2+BM$2)&lt;&gt;"",INDEX('×入力'!$A$1:$L$800,630,2+BM$2)&lt;&gt;"",INDEX('×入力'!$A$1:$L$800,631+BM$3,1)&lt;&gt;""),1,0),0)</f>
        <v/>
      </c>
      <c r="BN49">
        <f>IF(BN$4=1,IF(OR(INDEX('×入力'!$A$1:$L$800,631+BN$3,2+BN$2)&lt;&gt;"",INDEX('×入力'!$A$1:$L$800,630,2+BN$2)&lt;&gt;"",INDEX('×入力'!$A$1:$L$800,631+BN$3,1)&lt;&gt;""),1,0),0)</f>
        <v/>
      </c>
      <c r="BO49">
        <f>IF(BO$4=1,IF(OR(INDEX('×入力'!$A$1:$L$800,631+BO$3,2+BO$2)&lt;&gt;"",INDEX('×入力'!$A$1:$L$800,630,2+BO$2)&lt;&gt;"",INDEX('×入力'!$A$1:$L$800,631+BO$3,1)&lt;&gt;""),1,0),0)</f>
        <v/>
      </c>
      <c r="BP49">
        <f>IF(BP$4=1,IF(OR(INDEX('×入力'!$A$1:$L$800,631+BP$3,2+BP$2)&lt;&gt;"",INDEX('×入力'!$A$1:$L$800,630,2+BP$2)&lt;&gt;"",INDEX('×入力'!$A$1:$L$800,631+BP$3,1)&lt;&gt;""),1,0),0)</f>
        <v/>
      </c>
      <c r="BQ49">
        <f>IF(BQ$4=1,IF(OR(INDEX('×入力'!$A$1:$L$800,631+BQ$3,2+BQ$2)&lt;&gt;"",INDEX('×入力'!$A$1:$L$800,630,2+BQ$2)&lt;&gt;"",INDEX('×入力'!$A$1:$L$800,631+BQ$3,1)&lt;&gt;""),1,0),0)</f>
        <v/>
      </c>
      <c r="BR49">
        <f>IF(BR$4=1,IF(OR(INDEX('×入力'!$A$1:$L$800,631+BR$3,2+BR$2)&lt;&gt;"",INDEX('×入力'!$A$1:$L$800,630,2+BR$2)&lt;&gt;"",INDEX('×入力'!$A$1:$L$800,631+BR$3,1)&lt;&gt;""),1,0),0)</f>
        <v/>
      </c>
      <c r="BS49">
        <f>IF(BS$4=1,IF(OR(INDEX('×入力'!$A$1:$L$800,631+BS$3,2+BS$2)&lt;&gt;"",INDEX('×入力'!$A$1:$L$800,630,2+BS$2)&lt;&gt;"",INDEX('×入力'!$A$1:$L$800,631+BS$3,1)&lt;&gt;""),1,0),0)</f>
        <v/>
      </c>
      <c r="BT49">
        <f>IF(BT$4=1,IF(OR(INDEX('×入力'!$A$1:$L$800,631+BT$3,2+BT$2)&lt;&gt;"",INDEX('×入力'!$A$1:$L$800,630,2+BT$2)&lt;&gt;"",INDEX('×入力'!$A$1:$L$800,631+BT$3,1)&lt;&gt;""),1,0),0)</f>
        <v/>
      </c>
      <c r="BU49">
        <f>IF(BU$4=1,IF(OR(INDEX('×入力'!$A$1:$L$800,631+BU$3,2+BU$2)&lt;&gt;"",INDEX('×入力'!$A$1:$L$800,630,2+BU$2)&lt;&gt;"",INDEX('×入力'!$A$1:$L$800,631+BU$3,1)&lt;&gt;""),1,0),0)</f>
        <v/>
      </c>
      <c r="BV49">
        <f>IF(BV$4=1,IF(OR(INDEX('×入力'!$A$1:$L$800,631+BV$3,2+BV$2)&lt;&gt;"",INDEX('×入力'!$A$1:$L$800,630,2+BV$2)&lt;&gt;"",INDEX('×入力'!$A$1:$L$800,631+BV$3,1)&lt;&gt;""),1,0),0)</f>
        <v/>
      </c>
      <c r="BW49">
        <f>IF(BW$4=1,IF(OR(INDEX('×入力'!$A$1:$L$800,631+BW$3,2+BW$2)&lt;&gt;"",INDEX('×入力'!$A$1:$L$800,630,2+BW$2)&lt;&gt;"",INDEX('×入力'!$A$1:$L$800,631+BW$3,1)&lt;&gt;""),1,0),0)</f>
        <v/>
      </c>
      <c r="BX49">
        <f>IF(BX$4=1,IF(OR(INDEX('×入力'!$A$1:$L$800,631+BX$3,2+BX$2)&lt;&gt;"",INDEX('×入力'!$A$1:$L$800,630,2+BX$2)&lt;&gt;"",INDEX('×入力'!$A$1:$L$800,631+BX$3,1)&lt;&gt;""),1,0),0)</f>
        <v/>
      </c>
      <c r="BY49">
        <f>IF(BY$4=1,IF(OR(INDEX('×入力'!$A$1:$L$800,631+BY$3,2+BY$2)&lt;&gt;"",INDEX('×入力'!$A$1:$L$800,630,2+BY$2)&lt;&gt;"",INDEX('×入力'!$A$1:$L$800,631+BY$3,1)&lt;&gt;""),1,0),0)</f>
        <v/>
      </c>
      <c r="BZ49">
        <f>IF(BZ$4=1,IF(OR(INDEX('×入力'!$A$1:$L$800,631+BZ$3,2+BZ$2)&lt;&gt;"",INDEX('×入力'!$A$1:$L$800,630,2+BZ$2)&lt;&gt;"",INDEX('×入力'!$A$1:$L$800,631+BZ$3,1)&lt;&gt;""),1,0),0)</f>
        <v/>
      </c>
      <c r="CA49">
        <f>IF(CA$4=1,IF(OR(INDEX('×入力'!$A$1:$L$800,631+CA$3,2+CA$2)&lt;&gt;"",INDEX('×入力'!$A$1:$L$800,630,2+CA$2)&lt;&gt;"",INDEX('×入力'!$A$1:$L$800,631+CA$3,1)&lt;&gt;""),1,0),0)</f>
        <v/>
      </c>
      <c r="CB49">
        <f>IF(CB$4=1,IF(OR(INDEX('×入力'!$A$1:$L$800,631+CB$3,2+CB$2)&lt;&gt;"",INDEX('×入力'!$A$1:$L$800,630,2+CB$2)&lt;&gt;"",INDEX('×入力'!$A$1:$L$800,631+CB$3,1)&lt;&gt;""),1,0),0)</f>
        <v/>
      </c>
      <c r="CC49">
        <f>IF(CC$4=1,IF(OR(INDEX('×入力'!$A$1:$L$800,631+CC$3,2+CC$2)&lt;&gt;"",INDEX('×入力'!$A$1:$L$800,630,2+CC$2)&lt;&gt;"",INDEX('×入力'!$A$1:$L$800,631+CC$3,1)&lt;&gt;""),1,0),0)</f>
        <v/>
      </c>
      <c r="CD49">
        <f>IF(CD$4=1,IF(OR(INDEX('×入力'!$A$1:$L$800,631+CD$3,2+CD$2)&lt;&gt;"",INDEX('×入力'!$A$1:$L$800,630,2+CD$2)&lt;&gt;"",INDEX('×入力'!$A$1:$L$800,631+CD$3,1)&lt;&gt;""),1,0),0)</f>
        <v/>
      </c>
      <c r="CE49">
        <f>IF(CE$4=1,IF(OR(INDEX('×入力'!$A$1:$L$800,631+CE$3,2+CE$2)&lt;&gt;"",INDEX('×入力'!$A$1:$L$800,630,2+CE$2)&lt;&gt;"",INDEX('×入力'!$A$1:$L$800,631+CE$3,1)&lt;&gt;""),1,0),0)</f>
        <v/>
      </c>
      <c r="CF49">
        <f>IF(CF$4=1,IF(OR(INDEX('×入力'!$A$1:$L$800,631+CF$3,2+CF$2)&lt;&gt;"",INDEX('×入力'!$A$1:$L$800,630,2+CF$2)&lt;&gt;"",INDEX('×入力'!$A$1:$L$800,631+CF$3,1)&lt;&gt;""),1,0),0)</f>
        <v/>
      </c>
      <c r="CG49">
        <f>IF(CG$4=1,IF(OR(INDEX('×入力'!$A$1:$L$800,631+CG$3,2+CG$2)&lt;&gt;"",INDEX('×入力'!$A$1:$L$800,630,2+CG$2)&lt;&gt;"",INDEX('×入力'!$A$1:$L$800,631+CG$3,1)&lt;&gt;""),1,0),0)</f>
        <v/>
      </c>
      <c r="CH49">
        <f>IF(CH$4=1,IF(OR(INDEX('×入力'!$A$1:$L$800,631+CH$3,2+CH$2)&lt;&gt;"",INDEX('×入力'!$A$1:$L$800,630,2+CH$2)&lt;&gt;"",INDEX('×入力'!$A$1:$L$800,631+CH$3,1)&lt;&gt;""),1,0),0)</f>
        <v/>
      </c>
      <c r="CI49">
        <f>IF(CI$4=1,IF(OR(INDEX('×入力'!$A$1:$L$800,631+CI$3,2+CI$2)&lt;&gt;"",INDEX('×入力'!$A$1:$L$800,630,2+CI$2)&lt;&gt;"",INDEX('×入力'!$A$1:$L$800,631+CI$3,1)&lt;&gt;""),1,0),0)</f>
        <v/>
      </c>
      <c r="CJ49">
        <f>IF(CJ$4=1,IF(OR(INDEX('×入力'!$A$1:$L$800,631+CJ$3,2+CJ$2)&lt;&gt;"",INDEX('×入力'!$A$1:$L$800,630,2+CJ$2)&lt;&gt;"",INDEX('×入力'!$A$1:$L$800,631+CJ$3,1)&lt;&gt;""),1,0),0)</f>
        <v/>
      </c>
      <c r="CK49">
        <f>IF(CK$4=1,IF(OR(INDEX('×入力'!$A$1:$L$800,631+CK$3,2+CK$2)&lt;&gt;"",INDEX('×入力'!$A$1:$L$800,630,2+CK$2)&lt;&gt;"",INDEX('×入力'!$A$1:$L$800,631+CK$3,1)&lt;&gt;""),1,0),0)</f>
        <v/>
      </c>
      <c r="CL49">
        <f>IF(CL$4=1,IF(OR(INDEX('×入力'!$A$1:$L$800,631+CL$3,2+CL$2)&lt;&gt;"",INDEX('×入力'!$A$1:$L$800,630,2+CL$2)&lt;&gt;"",INDEX('×入力'!$A$1:$L$800,631+CL$3,1)&lt;&gt;""),1,0),0)</f>
        <v/>
      </c>
      <c r="CM49">
        <f>IF(CM$4=1,IF(OR(INDEX('×入力'!$A$1:$L$800,631+CM$3,2+CM$2)&lt;&gt;"",INDEX('×入力'!$A$1:$L$800,630,2+CM$2)&lt;&gt;"",INDEX('×入力'!$A$1:$L$800,631+CM$3,1)&lt;&gt;""),1,0),0)</f>
        <v/>
      </c>
      <c r="CN49">
        <f>IF(CN$4=1,IF(OR(INDEX('×入力'!$A$1:$L$800,631+CN$3,2+CN$2)&lt;&gt;"",INDEX('×入力'!$A$1:$L$800,630,2+CN$2)&lt;&gt;"",INDEX('×入力'!$A$1:$L$800,631+CN$3,1)&lt;&gt;""),1,0),0)</f>
        <v/>
      </c>
      <c r="CO49">
        <f>IF(CO$4=1,IF(OR(INDEX('×入力'!$A$1:$L$800,631+CO$3,2+CO$2)&lt;&gt;"",INDEX('×入力'!$A$1:$L$800,630,2+CO$2)&lt;&gt;"",INDEX('×入力'!$A$1:$L$800,631+CO$3,1)&lt;&gt;""),1,0),0)</f>
        <v/>
      </c>
      <c r="CP49">
        <f>IF(CP$4=1,IF(OR(INDEX('×入力'!$A$1:$L$800,631+CP$3,2+CP$2)&lt;&gt;"",INDEX('×入力'!$A$1:$L$800,630,2+CP$2)&lt;&gt;"",INDEX('×入力'!$A$1:$L$800,631+CP$3,1)&lt;&gt;""),1,0),0)</f>
        <v/>
      </c>
      <c r="CQ49">
        <f>IF(CQ$4=1,IF(OR(INDEX('×入力'!$A$1:$L$800,631+CQ$3,2+CQ$2)&lt;&gt;"",INDEX('×入力'!$A$1:$L$800,630,2+CQ$2)&lt;&gt;"",INDEX('×入力'!$A$1:$L$800,631+CQ$3,1)&lt;&gt;""),1,0),0)</f>
        <v/>
      </c>
      <c r="CR49">
        <f>IF(CR$4=1,IF(OR(INDEX('×入力'!$A$1:$L$800,631+CR$3,2+CR$2)&lt;&gt;"",INDEX('×入力'!$A$1:$L$800,630,2+CR$2)&lt;&gt;"",INDEX('×入力'!$A$1:$L$800,631+CR$3,1)&lt;&gt;""),1,0),0)</f>
        <v/>
      </c>
      <c r="CS49">
        <f>IF(CS$4=1,IF(OR(INDEX('×入力'!$A$1:$L$800,631+CS$3,2+CS$2)&lt;&gt;"",INDEX('×入力'!$A$1:$L$800,630,2+CS$2)&lt;&gt;"",INDEX('×入力'!$A$1:$L$800,631+CS$3,1)&lt;&gt;""),1,0),0)</f>
        <v/>
      </c>
      <c r="CT49">
        <f>IF(CT$4=1,IF(OR(INDEX('×入力'!$A$1:$L$800,631+CT$3,2+CT$2)&lt;&gt;"",INDEX('×入力'!$A$1:$L$800,630,2+CT$2)&lt;&gt;"",INDEX('×入力'!$A$1:$L$800,631+CT$3,1)&lt;&gt;""),1,0),0)</f>
        <v/>
      </c>
      <c r="CU49">
        <f>IF(CU$4=1,IF(OR(INDEX('×入力'!$A$1:$L$800,631+CU$3,2+CU$2)&lt;&gt;"",INDEX('×入力'!$A$1:$L$800,630,2+CU$2)&lt;&gt;"",INDEX('×入力'!$A$1:$L$800,631+CU$3,1)&lt;&gt;""),1,0),0)</f>
        <v/>
      </c>
      <c r="CV49">
        <f>IF(CV$4=1,IF(OR(INDEX('×入力'!$A$1:$L$800,631+CV$3,2+CV$2)&lt;&gt;"",INDEX('×入力'!$A$1:$L$800,630,2+CV$2)&lt;&gt;"",INDEX('×入力'!$A$1:$L$800,631+CV$3,1)&lt;&gt;""),1,0),0)</f>
        <v/>
      </c>
      <c r="CW49">
        <f>IF(CW$4=1,IF(OR(INDEX('×入力'!$A$1:$L$800,631+CW$3,2+CW$2)&lt;&gt;"",INDEX('×入力'!$A$1:$L$800,630,2+CW$2)&lt;&gt;"",INDEX('×入力'!$A$1:$L$800,631+CW$3,1)&lt;&gt;""),1,0),0)</f>
        <v/>
      </c>
      <c r="CX49">
        <f>IF(CX$4=1,IF(OR(INDEX('×入力'!$A$1:$L$800,631+CX$3,2+CX$2)&lt;&gt;"",INDEX('×入力'!$A$1:$L$800,630,2+CX$2)&lt;&gt;"",INDEX('×入力'!$A$1:$L$800,631+CX$3,1)&lt;&gt;""),1,0),0)</f>
        <v/>
      </c>
      <c r="CY49">
        <f>IF(CY$4=1,IF(OR(INDEX('×入力'!$A$1:$L$800,631+CY$3,2+CY$2)&lt;&gt;"",INDEX('×入力'!$A$1:$L$800,630,2+CY$2)&lt;&gt;"",INDEX('×入力'!$A$1:$L$800,631+CY$3,1)&lt;&gt;""),1,0),0)</f>
        <v/>
      </c>
      <c r="CZ49">
        <f>IF(CZ$4=1,IF(OR(INDEX('×入力'!$A$1:$L$800,631+CZ$3,2+CZ$2)&lt;&gt;"",INDEX('×入力'!$A$1:$L$800,630,2+CZ$2)&lt;&gt;"",INDEX('×入力'!$A$1:$L$800,631+CZ$3,1)&lt;&gt;""),1,0),0)</f>
        <v/>
      </c>
      <c r="DA49">
        <f>IF(DA$4=1,IF(OR(INDEX('×入力'!$A$1:$L$800,631+DA$3,2+DA$2)&lt;&gt;"",INDEX('×入力'!$A$1:$L$800,630,2+DA$2)&lt;&gt;"",INDEX('×入力'!$A$1:$L$800,631+DA$3,1)&lt;&gt;""),1,0),0)</f>
        <v/>
      </c>
      <c r="DB49">
        <f>IF(DB$4=1,IF(OR(INDEX('×入力'!$A$1:$L$800,631+DB$3,2+DB$2)&lt;&gt;"",INDEX('×入力'!$A$1:$L$800,630,2+DB$2)&lt;&gt;"",INDEX('×入力'!$A$1:$L$800,631+DB$3,1)&lt;&gt;""),1,0),0)</f>
        <v/>
      </c>
      <c r="DC49">
        <f>IF(DC$4=1,IF(OR(INDEX('×入力'!$A$1:$L$800,631+DC$3,2+DC$2)&lt;&gt;"",INDEX('×入力'!$A$1:$L$800,630,2+DC$2)&lt;&gt;"",INDEX('×入力'!$A$1:$L$800,631+DC$3,1)&lt;&gt;""),1,0),0)</f>
        <v/>
      </c>
      <c r="DD49">
        <f>IF(DD$4=1,IF(OR(INDEX('×入力'!$A$1:$L$800,631+DD$3,2+DD$2)&lt;&gt;"",INDEX('×入力'!$A$1:$L$800,630,2+DD$2)&lt;&gt;"",INDEX('×入力'!$A$1:$L$800,631+DD$3,1)&lt;&gt;""),1,0),0)</f>
        <v/>
      </c>
      <c r="DE49">
        <f>IF(DE$4=1,IF(OR(INDEX('×入力'!$A$1:$L$800,631+DE$3,2+DE$2)&lt;&gt;"",INDEX('×入力'!$A$1:$L$800,630,2+DE$2)&lt;&gt;"",INDEX('×入力'!$A$1:$L$800,631+DE$3,1)&lt;&gt;""),1,0),0)</f>
        <v/>
      </c>
      <c r="DF49">
        <f>IF(DF$4=1,IF(OR(INDEX('×入力'!$A$1:$L$800,631+DF$3,2+DF$2)&lt;&gt;"",INDEX('×入力'!$A$1:$L$800,630,2+DF$2)&lt;&gt;"",INDEX('×入力'!$A$1:$L$800,631+DF$3,1)&lt;&gt;""),1,0),0)</f>
        <v/>
      </c>
      <c r="DG49">
        <f>IF(DG$4=1,IF(OR(INDEX('×入力'!$A$1:$L$800,631+DG$3,2+DG$2)&lt;&gt;"",INDEX('×入力'!$A$1:$L$800,630,2+DG$2)&lt;&gt;"",INDEX('×入力'!$A$1:$L$800,631+DG$3,1)&lt;&gt;""),1,0),0)</f>
        <v/>
      </c>
      <c r="DH49">
        <f>IF(DH$4=1,IF(OR(INDEX('×入力'!$A$1:$L$800,631+DH$3,2+DH$2)&lt;&gt;"",INDEX('×入力'!$A$1:$L$800,630,2+DH$2)&lt;&gt;"",INDEX('×入力'!$A$1:$L$800,631+DH$3,1)&lt;&gt;""),1,0),0)</f>
        <v/>
      </c>
      <c r="DI49">
        <f>IF(DI$4=1,IF(OR(INDEX('×入力'!$A$1:$L$800,631+DI$3,2+DI$2)&lt;&gt;"",INDEX('×入力'!$A$1:$L$800,630,2+DI$2)&lt;&gt;"",INDEX('×入力'!$A$1:$L$800,631+DI$3,1)&lt;&gt;""),1,0),0)</f>
        <v/>
      </c>
      <c r="DJ49">
        <f>IF(DJ$4=1,IF(OR(INDEX('×入力'!$A$1:$L$800,631+DJ$3,2+DJ$2)&lt;&gt;"",INDEX('×入力'!$A$1:$L$800,630,2+DJ$2)&lt;&gt;"",INDEX('×入力'!$A$1:$L$800,631+DJ$3,1)&lt;&gt;""),1,0),0)</f>
        <v/>
      </c>
      <c r="DK49">
        <f>IF(DK$4=1,IF(OR(INDEX('×入力'!$A$1:$L$800,631+DK$3,2+DK$2)&lt;&gt;"",INDEX('×入力'!$A$1:$L$800,630,2+DK$2)&lt;&gt;"",INDEX('×入力'!$A$1:$L$800,631+DK$3,1)&lt;&gt;""),1,0),0)</f>
        <v/>
      </c>
      <c r="DL49">
        <f>IF(DL$4=1,IF(OR(INDEX('×入力'!$A$1:$L$800,631+DL$3,2+DL$2)&lt;&gt;"",INDEX('×入力'!$A$1:$L$800,630,2+DL$2)&lt;&gt;"",INDEX('×入力'!$A$1:$L$800,631+DL$3,1)&lt;&gt;""),1,0),0)</f>
        <v/>
      </c>
      <c r="DM49">
        <f>IF(DM$4=1,IF(OR(INDEX('×入力'!$A$1:$L$800,631+DM$3,2+DM$2)&lt;&gt;"",INDEX('×入力'!$A$1:$L$800,630,2+DM$2)&lt;&gt;"",INDEX('×入力'!$A$1:$L$800,631+DM$3,1)&lt;&gt;""),1,0),0)</f>
        <v/>
      </c>
      <c r="DN49">
        <f>IF(DN$4=1,IF(OR(INDEX('×入力'!$A$1:$L$800,631+DN$3,2+DN$2)&lt;&gt;"",INDEX('×入力'!$A$1:$L$800,630,2+DN$2)&lt;&gt;"",INDEX('×入力'!$A$1:$L$800,631+DN$3,1)&lt;&gt;""),1,0),0)</f>
        <v/>
      </c>
      <c r="DO49">
        <f>IF(DO$4=1,IF(OR(INDEX('×入力'!$A$1:$L$800,631+DO$3,2+DO$2)&lt;&gt;"",INDEX('×入力'!$A$1:$L$800,630,2+DO$2)&lt;&gt;"",INDEX('×入力'!$A$1:$L$800,631+DO$3,1)&lt;&gt;""),1,0),0)</f>
        <v/>
      </c>
      <c r="DP49">
        <f>IF(DP$4=1,IF(OR(INDEX('×入力'!$A$1:$L$800,631+DP$3,2+DP$2)&lt;&gt;"",INDEX('×入力'!$A$1:$L$800,630,2+DP$2)&lt;&gt;"",INDEX('×入力'!$A$1:$L$800,631+DP$3,1)&lt;&gt;""),1,0),0)</f>
        <v/>
      </c>
      <c r="DQ49">
        <f>IF(DQ$4=1,IF(OR(INDEX('×入力'!$A$1:$L$800,631+DQ$3,2+DQ$2)&lt;&gt;"",INDEX('×入力'!$A$1:$L$800,630,2+DQ$2)&lt;&gt;"",INDEX('×入力'!$A$1:$L$800,631+DQ$3,1)&lt;&gt;""),1,0),0)</f>
        <v/>
      </c>
      <c r="DR49">
        <f>IF(DR$4=1,IF(OR(INDEX('×入力'!$A$1:$L$800,631+DR$3,2+DR$2)&lt;&gt;"",INDEX('×入力'!$A$1:$L$800,630,2+DR$2)&lt;&gt;"",INDEX('×入力'!$A$1:$L$800,631+DR$3,1)&lt;&gt;""),1,0),0)</f>
        <v/>
      </c>
      <c r="DS49">
        <f>IF(DS$4=1,IF(OR(INDEX('×入力'!$A$1:$L$800,631+DS$3,2+DS$2)&lt;&gt;"",INDEX('×入力'!$A$1:$L$800,630,2+DS$2)&lt;&gt;"",INDEX('×入力'!$A$1:$L$800,631+DS$3,1)&lt;&gt;""),1,0),0)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IF(D$4=1,IF(OR(INDEX('×入力'!$A$1:$L$800,647+D$3,2+D$2)&lt;&gt;"",INDEX('×入力'!$A$1:$L$800,646,2+D$2)&lt;&gt;"",INDEX('×入力'!$A$1:$L$800,647+D$3,1)&lt;&gt;""),1,0),0)</f>
        <v/>
      </c>
      <c r="E50">
        <f>IF(E$4=1,IF(OR(INDEX('×入力'!$A$1:$L$800,647+E$3,2+E$2)&lt;&gt;"",INDEX('×入力'!$A$1:$L$800,646,2+E$2)&lt;&gt;"",INDEX('×入力'!$A$1:$L$800,647+E$3,1)&lt;&gt;""),1,0),0)</f>
        <v/>
      </c>
      <c r="F50">
        <f>IF(F$4=1,IF(OR(INDEX('×入力'!$A$1:$L$800,647+F$3,2+F$2)&lt;&gt;"",INDEX('×入力'!$A$1:$L$800,646,2+F$2)&lt;&gt;"",INDEX('×入力'!$A$1:$L$800,647+F$3,1)&lt;&gt;""),1,0),0)</f>
        <v/>
      </c>
      <c r="G50">
        <f>IF(G$4=1,IF(OR(INDEX('×入力'!$A$1:$L$800,647+G$3,2+G$2)&lt;&gt;"",INDEX('×入力'!$A$1:$L$800,646,2+G$2)&lt;&gt;"",INDEX('×入力'!$A$1:$L$800,647+G$3,1)&lt;&gt;""),1,0),0)</f>
        <v/>
      </c>
      <c r="H50">
        <f>IF(H$4=1,IF(OR(INDEX('×入力'!$A$1:$L$800,647+H$3,2+H$2)&lt;&gt;"",INDEX('×入力'!$A$1:$L$800,646,2+H$2)&lt;&gt;"",INDEX('×入力'!$A$1:$L$800,647+H$3,1)&lt;&gt;""),1,0),0)</f>
        <v/>
      </c>
      <c r="I50">
        <f>IF(I$4=1,IF(OR(INDEX('×入力'!$A$1:$L$800,647+I$3,2+I$2)&lt;&gt;"",INDEX('×入力'!$A$1:$L$800,646,2+I$2)&lt;&gt;"",INDEX('×入力'!$A$1:$L$800,647+I$3,1)&lt;&gt;""),1,0),0)</f>
        <v/>
      </c>
      <c r="J50">
        <f>IF(J$4=1,IF(OR(INDEX('×入力'!$A$1:$L$800,647+J$3,2+J$2)&lt;&gt;"",INDEX('×入力'!$A$1:$L$800,646,2+J$2)&lt;&gt;"",INDEX('×入力'!$A$1:$L$800,647+J$3,1)&lt;&gt;""),1,0),0)</f>
        <v/>
      </c>
      <c r="K50">
        <f>IF(K$4=1,IF(OR(INDEX('×入力'!$A$1:$L$800,647+K$3,2+K$2)&lt;&gt;"",INDEX('×入力'!$A$1:$L$800,646,2+K$2)&lt;&gt;"",INDEX('×入力'!$A$1:$L$800,647+K$3,1)&lt;&gt;""),1,0),0)</f>
        <v/>
      </c>
      <c r="L50">
        <f>IF(L$4=1,IF(OR(INDEX('×入力'!$A$1:$L$800,647+L$3,2+L$2)&lt;&gt;"",INDEX('×入力'!$A$1:$L$800,646,2+L$2)&lt;&gt;"",INDEX('×入力'!$A$1:$L$800,647+L$3,1)&lt;&gt;""),1,0),0)</f>
        <v/>
      </c>
      <c r="M50">
        <f>IF(M$4=1,IF(OR(INDEX('×入力'!$A$1:$L$800,647+M$3,2+M$2)&lt;&gt;"",INDEX('×入力'!$A$1:$L$800,646,2+M$2)&lt;&gt;"",INDEX('×入力'!$A$1:$L$800,647+M$3,1)&lt;&gt;""),1,0),0)</f>
        <v/>
      </c>
      <c r="N50">
        <f>IF(N$4=1,IF(OR(INDEX('×入力'!$A$1:$L$800,647+N$3,2+N$2)&lt;&gt;"",INDEX('×入力'!$A$1:$L$800,646,2+N$2)&lt;&gt;"",INDEX('×入力'!$A$1:$L$800,647+N$3,1)&lt;&gt;""),1,0),0)</f>
        <v/>
      </c>
      <c r="O50">
        <f>IF(O$4=1,IF(OR(INDEX('×入力'!$A$1:$L$800,647+O$3,2+O$2)&lt;&gt;"",INDEX('×入力'!$A$1:$L$800,646,2+O$2)&lt;&gt;"",INDEX('×入力'!$A$1:$L$800,647+O$3,1)&lt;&gt;""),1,0),0)</f>
        <v/>
      </c>
      <c r="P50">
        <f>IF(P$4=1,IF(OR(INDEX('×入力'!$A$1:$L$800,647+P$3,2+P$2)&lt;&gt;"",INDEX('×入力'!$A$1:$L$800,646,2+P$2)&lt;&gt;"",INDEX('×入力'!$A$1:$L$800,647+P$3,1)&lt;&gt;""),1,0),0)</f>
        <v/>
      </c>
      <c r="Q50">
        <f>IF(Q$4=1,IF(OR(INDEX('×入力'!$A$1:$L$800,647+Q$3,2+Q$2)&lt;&gt;"",INDEX('×入力'!$A$1:$L$800,646,2+Q$2)&lt;&gt;"",INDEX('×入力'!$A$1:$L$800,647+Q$3,1)&lt;&gt;""),1,0),0)</f>
        <v/>
      </c>
      <c r="R50">
        <f>IF(R$4=1,IF(OR(INDEX('×入力'!$A$1:$L$800,647+R$3,2+R$2)&lt;&gt;"",INDEX('×入力'!$A$1:$L$800,646,2+R$2)&lt;&gt;"",INDEX('×入力'!$A$1:$L$800,647+R$3,1)&lt;&gt;""),1,0),0)</f>
        <v/>
      </c>
      <c r="S50">
        <f>IF(S$4=1,IF(OR(INDEX('×入力'!$A$1:$L$800,647+S$3,2+S$2)&lt;&gt;"",INDEX('×入力'!$A$1:$L$800,646,2+S$2)&lt;&gt;"",INDEX('×入力'!$A$1:$L$800,647+S$3,1)&lt;&gt;""),1,0),0)</f>
        <v/>
      </c>
      <c r="T50">
        <f>IF(T$4=1,IF(OR(INDEX('×入力'!$A$1:$L$800,647+T$3,2+T$2)&lt;&gt;"",INDEX('×入力'!$A$1:$L$800,646,2+T$2)&lt;&gt;"",INDEX('×入力'!$A$1:$L$800,647+T$3,1)&lt;&gt;""),1,0),0)</f>
        <v/>
      </c>
      <c r="U50">
        <f>IF(U$4=1,IF(OR(INDEX('×入力'!$A$1:$L$800,647+U$3,2+U$2)&lt;&gt;"",INDEX('×入力'!$A$1:$L$800,646,2+U$2)&lt;&gt;"",INDEX('×入力'!$A$1:$L$800,647+U$3,1)&lt;&gt;""),1,0),0)</f>
        <v/>
      </c>
      <c r="V50">
        <f>IF(V$4=1,IF(OR(INDEX('×入力'!$A$1:$L$800,647+V$3,2+V$2)&lt;&gt;"",INDEX('×入力'!$A$1:$L$800,646,2+V$2)&lt;&gt;"",INDEX('×入力'!$A$1:$L$800,647+V$3,1)&lt;&gt;""),1,0),0)</f>
        <v/>
      </c>
      <c r="W50">
        <f>IF(W$4=1,IF(OR(INDEX('×入力'!$A$1:$L$800,647+W$3,2+W$2)&lt;&gt;"",INDEX('×入力'!$A$1:$L$800,646,2+W$2)&lt;&gt;"",INDEX('×入力'!$A$1:$L$800,647+W$3,1)&lt;&gt;""),1,0),0)</f>
        <v/>
      </c>
      <c r="X50">
        <f>IF(X$4=1,IF(OR(INDEX('×入力'!$A$1:$L$800,647+X$3,2+X$2)&lt;&gt;"",INDEX('×入力'!$A$1:$L$800,646,2+X$2)&lt;&gt;"",INDEX('×入力'!$A$1:$L$800,647+X$3,1)&lt;&gt;""),1,0),0)</f>
        <v/>
      </c>
      <c r="Y50">
        <f>IF(Y$4=1,IF(OR(INDEX('×入力'!$A$1:$L$800,647+Y$3,2+Y$2)&lt;&gt;"",INDEX('×入力'!$A$1:$L$800,646,2+Y$2)&lt;&gt;"",INDEX('×入力'!$A$1:$L$800,647+Y$3,1)&lt;&gt;""),1,0),0)</f>
        <v/>
      </c>
      <c r="Z50">
        <f>IF(Z$4=1,IF(OR(INDEX('×入力'!$A$1:$L$800,647+Z$3,2+Z$2)&lt;&gt;"",INDEX('×入力'!$A$1:$L$800,646,2+Z$2)&lt;&gt;"",INDEX('×入力'!$A$1:$L$800,647+Z$3,1)&lt;&gt;""),1,0),0)</f>
        <v/>
      </c>
      <c r="AA50">
        <f>IF(AA$4=1,IF(OR(INDEX('×入力'!$A$1:$L$800,647+AA$3,2+AA$2)&lt;&gt;"",INDEX('×入力'!$A$1:$L$800,646,2+AA$2)&lt;&gt;"",INDEX('×入力'!$A$1:$L$800,647+AA$3,1)&lt;&gt;""),1,0),0)</f>
        <v/>
      </c>
      <c r="AB50">
        <f>IF(AB$4=1,IF(OR(INDEX('×入力'!$A$1:$L$800,647+AB$3,2+AB$2)&lt;&gt;"",INDEX('×入力'!$A$1:$L$800,646,2+AB$2)&lt;&gt;"",INDEX('×入力'!$A$1:$L$800,647+AB$3,1)&lt;&gt;""),1,0),0)</f>
        <v/>
      </c>
      <c r="AC50">
        <f>IF(AC$4=1,IF(OR(INDEX('×入力'!$A$1:$L$800,647+AC$3,2+AC$2)&lt;&gt;"",INDEX('×入力'!$A$1:$L$800,646,2+AC$2)&lt;&gt;"",INDEX('×入力'!$A$1:$L$800,647+AC$3,1)&lt;&gt;""),1,0),0)</f>
        <v/>
      </c>
      <c r="AD50">
        <f>IF(AD$4=1,IF(OR(INDEX('×入力'!$A$1:$L$800,647+AD$3,2+AD$2)&lt;&gt;"",INDEX('×入力'!$A$1:$L$800,646,2+AD$2)&lt;&gt;"",INDEX('×入力'!$A$1:$L$800,647+AD$3,1)&lt;&gt;""),1,0),0)</f>
        <v/>
      </c>
      <c r="AE50">
        <f>IF(AE$4=1,IF(OR(INDEX('×入力'!$A$1:$L$800,647+AE$3,2+AE$2)&lt;&gt;"",INDEX('×入力'!$A$1:$L$800,646,2+AE$2)&lt;&gt;"",INDEX('×入力'!$A$1:$L$800,647+AE$3,1)&lt;&gt;""),1,0),0)</f>
        <v/>
      </c>
      <c r="AF50">
        <f>IF(AF$4=1,IF(OR(INDEX('×入力'!$A$1:$L$800,647+AF$3,2+AF$2)&lt;&gt;"",INDEX('×入力'!$A$1:$L$800,646,2+AF$2)&lt;&gt;"",INDEX('×入力'!$A$1:$L$800,647+AF$3,1)&lt;&gt;""),1,0),0)</f>
        <v/>
      </c>
      <c r="AG50">
        <f>IF(AG$4=1,IF(OR(INDEX('×入力'!$A$1:$L$800,647+AG$3,2+AG$2)&lt;&gt;"",INDEX('×入力'!$A$1:$L$800,646,2+AG$2)&lt;&gt;"",INDEX('×入力'!$A$1:$L$800,647+AG$3,1)&lt;&gt;""),1,0),0)</f>
        <v/>
      </c>
      <c r="AH50">
        <f>IF(AH$4=1,IF(OR(INDEX('×入力'!$A$1:$L$800,647+AH$3,2+AH$2)&lt;&gt;"",INDEX('×入力'!$A$1:$L$800,646,2+AH$2)&lt;&gt;"",INDEX('×入力'!$A$1:$L$800,647+AH$3,1)&lt;&gt;""),1,0),0)</f>
        <v/>
      </c>
      <c r="AI50">
        <f>IF(AI$4=1,IF(OR(INDEX('×入力'!$A$1:$L$800,647+AI$3,2+AI$2)&lt;&gt;"",INDEX('×入力'!$A$1:$L$800,646,2+AI$2)&lt;&gt;"",INDEX('×入力'!$A$1:$L$800,647+AI$3,1)&lt;&gt;""),1,0),0)</f>
        <v/>
      </c>
      <c r="AJ50">
        <f>IF(AJ$4=1,IF(OR(INDEX('×入力'!$A$1:$L$800,647+AJ$3,2+AJ$2)&lt;&gt;"",INDEX('×入力'!$A$1:$L$800,646,2+AJ$2)&lt;&gt;"",INDEX('×入力'!$A$1:$L$800,647+AJ$3,1)&lt;&gt;""),1,0),0)</f>
        <v/>
      </c>
      <c r="AK50">
        <f>IF(AK$4=1,IF(OR(INDEX('×入力'!$A$1:$L$800,647+AK$3,2+AK$2)&lt;&gt;"",INDEX('×入力'!$A$1:$L$800,646,2+AK$2)&lt;&gt;"",INDEX('×入力'!$A$1:$L$800,647+AK$3,1)&lt;&gt;""),1,0),0)</f>
        <v/>
      </c>
      <c r="AL50">
        <f>IF(AL$4=1,IF(OR(INDEX('×入力'!$A$1:$L$800,647+AL$3,2+AL$2)&lt;&gt;"",INDEX('×入力'!$A$1:$L$800,646,2+AL$2)&lt;&gt;"",INDEX('×入力'!$A$1:$L$800,647+AL$3,1)&lt;&gt;""),1,0),0)</f>
        <v/>
      </c>
      <c r="AM50">
        <f>IF(AM$4=1,IF(OR(INDEX('×入力'!$A$1:$L$800,647+AM$3,2+AM$2)&lt;&gt;"",INDEX('×入力'!$A$1:$L$800,646,2+AM$2)&lt;&gt;"",INDEX('×入力'!$A$1:$L$800,647+AM$3,1)&lt;&gt;""),1,0),0)</f>
        <v/>
      </c>
      <c r="AN50">
        <f>IF(AN$4=1,IF(OR(INDEX('×入力'!$A$1:$L$800,647+AN$3,2+AN$2)&lt;&gt;"",INDEX('×入力'!$A$1:$L$800,646,2+AN$2)&lt;&gt;"",INDEX('×入力'!$A$1:$L$800,647+AN$3,1)&lt;&gt;""),1,0),0)</f>
        <v/>
      </c>
      <c r="AO50">
        <f>IF(AO$4=1,IF(OR(INDEX('×入力'!$A$1:$L$800,647+AO$3,2+AO$2)&lt;&gt;"",INDEX('×入力'!$A$1:$L$800,646,2+AO$2)&lt;&gt;"",INDEX('×入力'!$A$1:$L$800,647+AO$3,1)&lt;&gt;""),1,0),0)</f>
        <v/>
      </c>
      <c r="AP50">
        <f>IF(AP$4=1,IF(OR(INDEX('×入力'!$A$1:$L$800,647+AP$3,2+AP$2)&lt;&gt;"",INDEX('×入力'!$A$1:$L$800,646,2+AP$2)&lt;&gt;"",INDEX('×入力'!$A$1:$L$800,647+AP$3,1)&lt;&gt;""),1,0),0)</f>
        <v/>
      </c>
      <c r="AQ50">
        <f>IF(AQ$4=1,IF(OR(INDEX('×入力'!$A$1:$L$800,647+AQ$3,2+AQ$2)&lt;&gt;"",INDEX('×入力'!$A$1:$L$800,646,2+AQ$2)&lt;&gt;"",INDEX('×入力'!$A$1:$L$800,647+AQ$3,1)&lt;&gt;""),1,0),0)</f>
        <v/>
      </c>
      <c r="AR50">
        <f>IF(AR$4=1,IF(OR(INDEX('×入力'!$A$1:$L$800,647+AR$3,2+AR$2)&lt;&gt;"",INDEX('×入力'!$A$1:$L$800,646,2+AR$2)&lt;&gt;"",INDEX('×入力'!$A$1:$L$800,647+AR$3,1)&lt;&gt;""),1,0),0)</f>
        <v/>
      </c>
      <c r="AS50">
        <f>IF(AS$4=1,IF(OR(INDEX('×入力'!$A$1:$L$800,647+AS$3,2+AS$2)&lt;&gt;"",INDEX('×入力'!$A$1:$L$800,646,2+AS$2)&lt;&gt;"",INDEX('×入力'!$A$1:$L$800,647+AS$3,1)&lt;&gt;""),1,0),0)</f>
        <v/>
      </c>
      <c r="AT50">
        <f>IF(AT$4=1,IF(OR(INDEX('×入力'!$A$1:$L$800,647+AT$3,2+AT$2)&lt;&gt;"",INDEX('×入力'!$A$1:$L$800,646,2+AT$2)&lt;&gt;"",INDEX('×入力'!$A$1:$L$800,647+AT$3,1)&lt;&gt;""),1,0),0)</f>
        <v/>
      </c>
      <c r="AU50">
        <f>IF(AU$4=1,IF(OR(INDEX('×入力'!$A$1:$L$800,647+AU$3,2+AU$2)&lt;&gt;"",INDEX('×入力'!$A$1:$L$800,646,2+AU$2)&lt;&gt;"",INDEX('×入力'!$A$1:$L$800,647+AU$3,1)&lt;&gt;""),1,0),0)</f>
        <v/>
      </c>
      <c r="AV50">
        <f>IF(AV$4=1,IF(OR(INDEX('×入力'!$A$1:$L$800,647+AV$3,2+AV$2)&lt;&gt;"",INDEX('×入力'!$A$1:$L$800,646,2+AV$2)&lt;&gt;"",INDEX('×入力'!$A$1:$L$800,647+AV$3,1)&lt;&gt;""),1,0),0)</f>
        <v/>
      </c>
      <c r="AW50">
        <f>IF(AW$4=1,IF(OR(INDEX('×入力'!$A$1:$L$800,647+AW$3,2+AW$2)&lt;&gt;"",INDEX('×入力'!$A$1:$L$800,646,2+AW$2)&lt;&gt;"",INDEX('×入力'!$A$1:$L$800,647+AW$3,1)&lt;&gt;""),1,0),0)</f>
        <v/>
      </c>
      <c r="AX50">
        <f>IF(AX$4=1,IF(OR(INDEX('×入力'!$A$1:$L$800,647+AX$3,2+AX$2)&lt;&gt;"",INDEX('×入力'!$A$1:$L$800,646,2+AX$2)&lt;&gt;"",INDEX('×入力'!$A$1:$L$800,647+AX$3,1)&lt;&gt;""),1,0),0)</f>
        <v/>
      </c>
      <c r="AY50">
        <f>IF(AY$4=1,IF(OR(INDEX('×入力'!$A$1:$L$800,647+AY$3,2+AY$2)&lt;&gt;"",INDEX('×入力'!$A$1:$L$800,646,2+AY$2)&lt;&gt;"",INDEX('×入力'!$A$1:$L$800,647+AY$3,1)&lt;&gt;""),1,0),0)</f>
        <v/>
      </c>
      <c r="AZ50">
        <f>IF(AZ$4=1,IF(OR(INDEX('×入力'!$A$1:$L$800,647+AZ$3,2+AZ$2)&lt;&gt;"",INDEX('×入力'!$A$1:$L$800,646,2+AZ$2)&lt;&gt;"",INDEX('×入力'!$A$1:$L$800,647+AZ$3,1)&lt;&gt;""),1,0),0)</f>
        <v/>
      </c>
      <c r="BA50">
        <f>IF(BA$4=1,IF(OR(INDEX('×入力'!$A$1:$L$800,647+BA$3,2+BA$2)&lt;&gt;"",INDEX('×入力'!$A$1:$L$800,646,2+BA$2)&lt;&gt;"",INDEX('×入力'!$A$1:$L$800,647+BA$3,1)&lt;&gt;""),1,0),0)</f>
        <v/>
      </c>
      <c r="BB50">
        <f>IF(BB$4=1,IF(OR(INDEX('×入力'!$A$1:$L$800,647+BB$3,2+BB$2)&lt;&gt;"",INDEX('×入力'!$A$1:$L$800,646,2+BB$2)&lt;&gt;"",INDEX('×入力'!$A$1:$L$800,647+BB$3,1)&lt;&gt;""),1,0),0)</f>
        <v/>
      </c>
      <c r="BC50">
        <f>IF(BC$4=1,IF(OR(INDEX('×入力'!$A$1:$L$800,647+BC$3,2+BC$2)&lt;&gt;"",INDEX('×入力'!$A$1:$L$800,646,2+BC$2)&lt;&gt;"",INDEX('×入力'!$A$1:$L$800,647+BC$3,1)&lt;&gt;""),1,0),0)</f>
        <v/>
      </c>
      <c r="BD50">
        <f>IF(BD$4=1,IF(OR(INDEX('×入力'!$A$1:$L$800,647+BD$3,2+BD$2)&lt;&gt;"",INDEX('×入力'!$A$1:$L$800,646,2+BD$2)&lt;&gt;"",INDEX('×入力'!$A$1:$L$800,647+BD$3,1)&lt;&gt;""),1,0),0)</f>
        <v/>
      </c>
      <c r="BE50">
        <f>IF(BE$4=1,IF(OR(INDEX('×入力'!$A$1:$L$800,647+BE$3,2+BE$2)&lt;&gt;"",INDEX('×入力'!$A$1:$L$800,646,2+BE$2)&lt;&gt;"",INDEX('×入力'!$A$1:$L$800,647+BE$3,1)&lt;&gt;""),1,0),0)</f>
        <v/>
      </c>
      <c r="BF50">
        <f>IF(BF$4=1,IF(OR(INDEX('×入力'!$A$1:$L$800,647+BF$3,2+BF$2)&lt;&gt;"",INDEX('×入力'!$A$1:$L$800,646,2+BF$2)&lt;&gt;"",INDEX('×入力'!$A$1:$L$800,647+BF$3,1)&lt;&gt;""),1,0),0)</f>
        <v/>
      </c>
      <c r="BG50">
        <f>IF(BG$4=1,IF(OR(INDEX('×入力'!$A$1:$L$800,647+BG$3,2+BG$2)&lt;&gt;"",INDEX('×入力'!$A$1:$L$800,646,2+BG$2)&lt;&gt;"",INDEX('×入力'!$A$1:$L$800,647+BG$3,1)&lt;&gt;""),1,0),0)</f>
        <v/>
      </c>
      <c r="BH50">
        <f>IF(BH$4=1,IF(OR(INDEX('×入力'!$A$1:$L$800,647+BH$3,2+BH$2)&lt;&gt;"",INDEX('×入力'!$A$1:$L$800,646,2+BH$2)&lt;&gt;"",INDEX('×入力'!$A$1:$L$800,647+BH$3,1)&lt;&gt;""),1,0),0)</f>
        <v/>
      </c>
      <c r="BI50">
        <f>IF(BI$4=1,IF(OR(INDEX('×入力'!$A$1:$L$800,647+BI$3,2+BI$2)&lt;&gt;"",INDEX('×入力'!$A$1:$L$800,646,2+BI$2)&lt;&gt;"",INDEX('×入力'!$A$1:$L$800,647+BI$3,1)&lt;&gt;""),1,0),0)</f>
        <v/>
      </c>
      <c r="BJ50">
        <f>IF(BJ$4=1,IF(OR(INDEX('×入力'!$A$1:$L$800,647+BJ$3,2+BJ$2)&lt;&gt;"",INDEX('×入力'!$A$1:$L$800,646,2+BJ$2)&lt;&gt;"",INDEX('×入力'!$A$1:$L$800,647+BJ$3,1)&lt;&gt;""),1,0),0)</f>
        <v/>
      </c>
      <c r="BK50">
        <f>IF(BK$4=1,IF(OR(INDEX('×入力'!$A$1:$L$800,647+BK$3,2+BK$2)&lt;&gt;"",INDEX('×入力'!$A$1:$L$800,646,2+BK$2)&lt;&gt;"",INDEX('×入力'!$A$1:$L$800,647+BK$3,1)&lt;&gt;""),1,0),0)</f>
        <v/>
      </c>
      <c r="BL50">
        <f>IF(BL$4=1,IF(OR(INDEX('×入力'!$A$1:$L$800,647+BL$3,2+BL$2)&lt;&gt;"",INDEX('×入力'!$A$1:$L$800,646,2+BL$2)&lt;&gt;"",INDEX('×入力'!$A$1:$L$800,647+BL$3,1)&lt;&gt;""),1,0),0)</f>
        <v/>
      </c>
      <c r="BM50">
        <f>IF(BM$4=1,IF(OR(INDEX('×入力'!$A$1:$L$800,647+BM$3,2+BM$2)&lt;&gt;"",INDEX('×入力'!$A$1:$L$800,646,2+BM$2)&lt;&gt;"",INDEX('×入力'!$A$1:$L$800,647+BM$3,1)&lt;&gt;""),1,0),0)</f>
        <v/>
      </c>
      <c r="BN50">
        <f>IF(BN$4=1,IF(OR(INDEX('×入力'!$A$1:$L$800,647+BN$3,2+BN$2)&lt;&gt;"",INDEX('×入力'!$A$1:$L$800,646,2+BN$2)&lt;&gt;"",INDEX('×入力'!$A$1:$L$800,647+BN$3,1)&lt;&gt;""),1,0),0)</f>
        <v/>
      </c>
      <c r="BO50">
        <f>IF(BO$4=1,IF(OR(INDEX('×入力'!$A$1:$L$800,647+BO$3,2+BO$2)&lt;&gt;"",INDEX('×入力'!$A$1:$L$800,646,2+BO$2)&lt;&gt;"",INDEX('×入力'!$A$1:$L$800,647+BO$3,1)&lt;&gt;""),1,0),0)</f>
        <v/>
      </c>
      <c r="BP50">
        <f>IF(BP$4=1,IF(OR(INDEX('×入力'!$A$1:$L$800,647+BP$3,2+BP$2)&lt;&gt;"",INDEX('×入力'!$A$1:$L$800,646,2+BP$2)&lt;&gt;"",INDEX('×入力'!$A$1:$L$800,647+BP$3,1)&lt;&gt;""),1,0),0)</f>
        <v/>
      </c>
      <c r="BQ50">
        <f>IF(BQ$4=1,IF(OR(INDEX('×入力'!$A$1:$L$800,647+BQ$3,2+BQ$2)&lt;&gt;"",INDEX('×入力'!$A$1:$L$800,646,2+BQ$2)&lt;&gt;"",INDEX('×入力'!$A$1:$L$800,647+BQ$3,1)&lt;&gt;""),1,0),0)</f>
        <v/>
      </c>
      <c r="BR50">
        <f>IF(BR$4=1,IF(OR(INDEX('×入力'!$A$1:$L$800,647+BR$3,2+BR$2)&lt;&gt;"",INDEX('×入力'!$A$1:$L$800,646,2+BR$2)&lt;&gt;"",INDEX('×入力'!$A$1:$L$800,647+BR$3,1)&lt;&gt;""),1,0),0)</f>
        <v/>
      </c>
      <c r="BS50">
        <f>IF(BS$4=1,IF(OR(INDEX('×入力'!$A$1:$L$800,647+BS$3,2+BS$2)&lt;&gt;"",INDEX('×入力'!$A$1:$L$800,646,2+BS$2)&lt;&gt;"",INDEX('×入力'!$A$1:$L$800,647+BS$3,1)&lt;&gt;""),1,0),0)</f>
        <v/>
      </c>
      <c r="BT50">
        <f>IF(BT$4=1,IF(OR(INDEX('×入力'!$A$1:$L$800,647+BT$3,2+BT$2)&lt;&gt;"",INDEX('×入力'!$A$1:$L$800,646,2+BT$2)&lt;&gt;"",INDEX('×入力'!$A$1:$L$800,647+BT$3,1)&lt;&gt;""),1,0),0)</f>
        <v/>
      </c>
      <c r="BU50">
        <f>IF(BU$4=1,IF(OR(INDEX('×入力'!$A$1:$L$800,647+BU$3,2+BU$2)&lt;&gt;"",INDEX('×入力'!$A$1:$L$800,646,2+BU$2)&lt;&gt;"",INDEX('×入力'!$A$1:$L$800,647+BU$3,1)&lt;&gt;""),1,0),0)</f>
        <v/>
      </c>
      <c r="BV50">
        <f>IF(BV$4=1,IF(OR(INDEX('×入力'!$A$1:$L$800,647+BV$3,2+BV$2)&lt;&gt;"",INDEX('×入力'!$A$1:$L$800,646,2+BV$2)&lt;&gt;"",INDEX('×入力'!$A$1:$L$800,647+BV$3,1)&lt;&gt;""),1,0),0)</f>
        <v/>
      </c>
      <c r="BW50">
        <f>IF(BW$4=1,IF(OR(INDEX('×入力'!$A$1:$L$800,647+BW$3,2+BW$2)&lt;&gt;"",INDEX('×入力'!$A$1:$L$800,646,2+BW$2)&lt;&gt;"",INDEX('×入力'!$A$1:$L$800,647+BW$3,1)&lt;&gt;""),1,0),0)</f>
        <v/>
      </c>
      <c r="BX50">
        <f>IF(BX$4=1,IF(OR(INDEX('×入力'!$A$1:$L$800,647+BX$3,2+BX$2)&lt;&gt;"",INDEX('×入力'!$A$1:$L$800,646,2+BX$2)&lt;&gt;"",INDEX('×入力'!$A$1:$L$800,647+BX$3,1)&lt;&gt;""),1,0),0)</f>
        <v/>
      </c>
      <c r="BY50">
        <f>IF(BY$4=1,IF(OR(INDEX('×入力'!$A$1:$L$800,647+BY$3,2+BY$2)&lt;&gt;"",INDEX('×入力'!$A$1:$L$800,646,2+BY$2)&lt;&gt;"",INDEX('×入力'!$A$1:$L$800,647+BY$3,1)&lt;&gt;""),1,0),0)</f>
        <v/>
      </c>
      <c r="BZ50">
        <f>IF(BZ$4=1,IF(OR(INDEX('×入力'!$A$1:$L$800,647+BZ$3,2+BZ$2)&lt;&gt;"",INDEX('×入力'!$A$1:$L$800,646,2+BZ$2)&lt;&gt;"",INDEX('×入力'!$A$1:$L$800,647+BZ$3,1)&lt;&gt;""),1,0),0)</f>
        <v/>
      </c>
      <c r="CA50">
        <f>IF(CA$4=1,IF(OR(INDEX('×入力'!$A$1:$L$800,647+CA$3,2+CA$2)&lt;&gt;"",INDEX('×入力'!$A$1:$L$800,646,2+CA$2)&lt;&gt;"",INDEX('×入力'!$A$1:$L$800,647+CA$3,1)&lt;&gt;""),1,0),0)</f>
        <v/>
      </c>
      <c r="CB50">
        <f>IF(CB$4=1,IF(OR(INDEX('×入力'!$A$1:$L$800,647+CB$3,2+CB$2)&lt;&gt;"",INDEX('×入力'!$A$1:$L$800,646,2+CB$2)&lt;&gt;"",INDEX('×入力'!$A$1:$L$800,647+CB$3,1)&lt;&gt;""),1,0),0)</f>
        <v/>
      </c>
      <c r="CC50">
        <f>IF(CC$4=1,IF(OR(INDEX('×入力'!$A$1:$L$800,647+CC$3,2+CC$2)&lt;&gt;"",INDEX('×入力'!$A$1:$L$800,646,2+CC$2)&lt;&gt;"",INDEX('×入力'!$A$1:$L$800,647+CC$3,1)&lt;&gt;""),1,0),0)</f>
        <v/>
      </c>
      <c r="CD50">
        <f>IF(CD$4=1,IF(OR(INDEX('×入力'!$A$1:$L$800,647+CD$3,2+CD$2)&lt;&gt;"",INDEX('×入力'!$A$1:$L$800,646,2+CD$2)&lt;&gt;"",INDEX('×入力'!$A$1:$L$800,647+CD$3,1)&lt;&gt;""),1,0),0)</f>
        <v/>
      </c>
      <c r="CE50">
        <f>IF(CE$4=1,IF(OR(INDEX('×入力'!$A$1:$L$800,647+CE$3,2+CE$2)&lt;&gt;"",INDEX('×入力'!$A$1:$L$800,646,2+CE$2)&lt;&gt;"",INDEX('×入力'!$A$1:$L$800,647+CE$3,1)&lt;&gt;""),1,0),0)</f>
        <v/>
      </c>
      <c r="CF50">
        <f>IF(CF$4=1,IF(OR(INDEX('×入力'!$A$1:$L$800,647+CF$3,2+CF$2)&lt;&gt;"",INDEX('×入力'!$A$1:$L$800,646,2+CF$2)&lt;&gt;"",INDEX('×入力'!$A$1:$L$800,647+CF$3,1)&lt;&gt;""),1,0),0)</f>
        <v/>
      </c>
      <c r="CG50">
        <f>IF(CG$4=1,IF(OR(INDEX('×入力'!$A$1:$L$800,647+CG$3,2+CG$2)&lt;&gt;"",INDEX('×入力'!$A$1:$L$800,646,2+CG$2)&lt;&gt;"",INDEX('×入力'!$A$1:$L$800,647+CG$3,1)&lt;&gt;""),1,0),0)</f>
        <v/>
      </c>
      <c r="CH50">
        <f>IF(CH$4=1,IF(OR(INDEX('×入力'!$A$1:$L$800,647+CH$3,2+CH$2)&lt;&gt;"",INDEX('×入力'!$A$1:$L$800,646,2+CH$2)&lt;&gt;"",INDEX('×入力'!$A$1:$L$800,647+CH$3,1)&lt;&gt;""),1,0),0)</f>
        <v/>
      </c>
      <c r="CI50">
        <f>IF(CI$4=1,IF(OR(INDEX('×入力'!$A$1:$L$800,647+CI$3,2+CI$2)&lt;&gt;"",INDEX('×入力'!$A$1:$L$800,646,2+CI$2)&lt;&gt;"",INDEX('×入力'!$A$1:$L$800,647+CI$3,1)&lt;&gt;""),1,0),0)</f>
        <v/>
      </c>
      <c r="CJ50">
        <f>IF(CJ$4=1,IF(OR(INDEX('×入力'!$A$1:$L$800,647+CJ$3,2+CJ$2)&lt;&gt;"",INDEX('×入力'!$A$1:$L$800,646,2+CJ$2)&lt;&gt;"",INDEX('×入力'!$A$1:$L$800,647+CJ$3,1)&lt;&gt;""),1,0),0)</f>
        <v/>
      </c>
      <c r="CK50">
        <f>IF(CK$4=1,IF(OR(INDEX('×入力'!$A$1:$L$800,647+CK$3,2+CK$2)&lt;&gt;"",INDEX('×入力'!$A$1:$L$800,646,2+CK$2)&lt;&gt;"",INDEX('×入力'!$A$1:$L$800,647+CK$3,1)&lt;&gt;""),1,0),0)</f>
        <v/>
      </c>
      <c r="CL50">
        <f>IF(CL$4=1,IF(OR(INDEX('×入力'!$A$1:$L$800,647+CL$3,2+CL$2)&lt;&gt;"",INDEX('×入力'!$A$1:$L$800,646,2+CL$2)&lt;&gt;"",INDEX('×入力'!$A$1:$L$800,647+CL$3,1)&lt;&gt;""),1,0),0)</f>
        <v/>
      </c>
      <c r="CM50">
        <f>IF(CM$4=1,IF(OR(INDEX('×入力'!$A$1:$L$800,647+CM$3,2+CM$2)&lt;&gt;"",INDEX('×入力'!$A$1:$L$800,646,2+CM$2)&lt;&gt;"",INDEX('×入力'!$A$1:$L$800,647+CM$3,1)&lt;&gt;""),1,0),0)</f>
        <v/>
      </c>
      <c r="CN50">
        <f>IF(CN$4=1,IF(OR(INDEX('×入力'!$A$1:$L$800,647+CN$3,2+CN$2)&lt;&gt;"",INDEX('×入力'!$A$1:$L$800,646,2+CN$2)&lt;&gt;"",INDEX('×入力'!$A$1:$L$800,647+CN$3,1)&lt;&gt;""),1,0),0)</f>
        <v/>
      </c>
      <c r="CO50">
        <f>IF(CO$4=1,IF(OR(INDEX('×入力'!$A$1:$L$800,647+CO$3,2+CO$2)&lt;&gt;"",INDEX('×入力'!$A$1:$L$800,646,2+CO$2)&lt;&gt;"",INDEX('×入力'!$A$1:$L$800,647+CO$3,1)&lt;&gt;""),1,0),0)</f>
        <v/>
      </c>
      <c r="CP50">
        <f>IF(CP$4=1,IF(OR(INDEX('×入力'!$A$1:$L$800,647+CP$3,2+CP$2)&lt;&gt;"",INDEX('×入力'!$A$1:$L$800,646,2+CP$2)&lt;&gt;"",INDEX('×入力'!$A$1:$L$800,647+CP$3,1)&lt;&gt;""),1,0),0)</f>
        <v/>
      </c>
      <c r="CQ50">
        <f>IF(CQ$4=1,IF(OR(INDEX('×入力'!$A$1:$L$800,647+CQ$3,2+CQ$2)&lt;&gt;"",INDEX('×入力'!$A$1:$L$800,646,2+CQ$2)&lt;&gt;"",INDEX('×入力'!$A$1:$L$800,647+CQ$3,1)&lt;&gt;""),1,0),0)</f>
        <v/>
      </c>
      <c r="CR50">
        <f>IF(CR$4=1,IF(OR(INDEX('×入力'!$A$1:$L$800,647+CR$3,2+CR$2)&lt;&gt;"",INDEX('×入力'!$A$1:$L$800,646,2+CR$2)&lt;&gt;"",INDEX('×入力'!$A$1:$L$800,647+CR$3,1)&lt;&gt;""),1,0),0)</f>
        <v/>
      </c>
      <c r="CS50">
        <f>IF(CS$4=1,IF(OR(INDEX('×入力'!$A$1:$L$800,647+CS$3,2+CS$2)&lt;&gt;"",INDEX('×入力'!$A$1:$L$800,646,2+CS$2)&lt;&gt;"",INDEX('×入力'!$A$1:$L$800,647+CS$3,1)&lt;&gt;""),1,0),0)</f>
        <v/>
      </c>
      <c r="CT50">
        <f>IF(CT$4=1,IF(OR(INDEX('×入力'!$A$1:$L$800,647+CT$3,2+CT$2)&lt;&gt;"",INDEX('×入力'!$A$1:$L$800,646,2+CT$2)&lt;&gt;"",INDEX('×入力'!$A$1:$L$800,647+CT$3,1)&lt;&gt;""),1,0),0)</f>
        <v/>
      </c>
      <c r="CU50">
        <f>IF(CU$4=1,IF(OR(INDEX('×入力'!$A$1:$L$800,647+CU$3,2+CU$2)&lt;&gt;"",INDEX('×入力'!$A$1:$L$800,646,2+CU$2)&lt;&gt;"",INDEX('×入力'!$A$1:$L$800,647+CU$3,1)&lt;&gt;""),1,0),0)</f>
        <v/>
      </c>
      <c r="CV50">
        <f>IF(CV$4=1,IF(OR(INDEX('×入力'!$A$1:$L$800,647+CV$3,2+CV$2)&lt;&gt;"",INDEX('×入力'!$A$1:$L$800,646,2+CV$2)&lt;&gt;"",INDEX('×入力'!$A$1:$L$800,647+CV$3,1)&lt;&gt;""),1,0),0)</f>
        <v/>
      </c>
      <c r="CW50">
        <f>IF(CW$4=1,IF(OR(INDEX('×入力'!$A$1:$L$800,647+CW$3,2+CW$2)&lt;&gt;"",INDEX('×入力'!$A$1:$L$800,646,2+CW$2)&lt;&gt;"",INDEX('×入力'!$A$1:$L$800,647+CW$3,1)&lt;&gt;""),1,0),0)</f>
        <v/>
      </c>
      <c r="CX50">
        <f>IF(CX$4=1,IF(OR(INDEX('×入力'!$A$1:$L$800,647+CX$3,2+CX$2)&lt;&gt;"",INDEX('×入力'!$A$1:$L$800,646,2+CX$2)&lt;&gt;"",INDEX('×入力'!$A$1:$L$800,647+CX$3,1)&lt;&gt;""),1,0),0)</f>
        <v/>
      </c>
      <c r="CY50">
        <f>IF(CY$4=1,IF(OR(INDEX('×入力'!$A$1:$L$800,647+CY$3,2+CY$2)&lt;&gt;"",INDEX('×入力'!$A$1:$L$800,646,2+CY$2)&lt;&gt;"",INDEX('×入力'!$A$1:$L$800,647+CY$3,1)&lt;&gt;""),1,0),0)</f>
        <v/>
      </c>
      <c r="CZ50">
        <f>IF(CZ$4=1,IF(OR(INDEX('×入力'!$A$1:$L$800,647+CZ$3,2+CZ$2)&lt;&gt;"",INDEX('×入力'!$A$1:$L$800,646,2+CZ$2)&lt;&gt;"",INDEX('×入力'!$A$1:$L$800,647+CZ$3,1)&lt;&gt;""),1,0),0)</f>
        <v/>
      </c>
      <c r="DA50">
        <f>IF(DA$4=1,IF(OR(INDEX('×入力'!$A$1:$L$800,647+DA$3,2+DA$2)&lt;&gt;"",INDEX('×入力'!$A$1:$L$800,646,2+DA$2)&lt;&gt;"",INDEX('×入力'!$A$1:$L$800,647+DA$3,1)&lt;&gt;""),1,0),0)</f>
        <v/>
      </c>
      <c r="DB50">
        <f>IF(DB$4=1,IF(OR(INDEX('×入力'!$A$1:$L$800,647+DB$3,2+DB$2)&lt;&gt;"",INDEX('×入力'!$A$1:$L$800,646,2+DB$2)&lt;&gt;"",INDEX('×入力'!$A$1:$L$800,647+DB$3,1)&lt;&gt;""),1,0),0)</f>
        <v/>
      </c>
      <c r="DC50">
        <f>IF(DC$4=1,IF(OR(INDEX('×入力'!$A$1:$L$800,647+DC$3,2+DC$2)&lt;&gt;"",INDEX('×入力'!$A$1:$L$800,646,2+DC$2)&lt;&gt;"",INDEX('×入力'!$A$1:$L$800,647+DC$3,1)&lt;&gt;""),1,0),0)</f>
        <v/>
      </c>
      <c r="DD50">
        <f>IF(DD$4=1,IF(OR(INDEX('×入力'!$A$1:$L$800,647+DD$3,2+DD$2)&lt;&gt;"",INDEX('×入力'!$A$1:$L$800,646,2+DD$2)&lt;&gt;"",INDEX('×入力'!$A$1:$L$800,647+DD$3,1)&lt;&gt;""),1,0),0)</f>
        <v/>
      </c>
      <c r="DE50">
        <f>IF(DE$4=1,IF(OR(INDEX('×入力'!$A$1:$L$800,647+DE$3,2+DE$2)&lt;&gt;"",INDEX('×入力'!$A$1:$L$800,646,2+DE$2)&lt;&gt;"",INDEX('×入力'!$A$1:$L$800,647+DE$3,1)&lt;&gt;""),1,0),0)</f>
        <v/>
      </c>
      <c r="DF50">
        <f>IF(DF$4=1,IF(OR(INDEX('×入力'!$A$1:$L$800,647+DF$3,2+DF$2)&lt;&gt;"",INDEX('×入力'!$A$1:$L$800,646,2+DF$2)&lt;&gt;"",INDEX('×入力'!$A$1:$L$800,647+DF$3,1)&lt;&gt;""),1,0),0)</f>
        <v/>
      </c>
      <c r="DG50">
        <f>IF(DG$4=1,IF(OR(INDEX('×入力'!$A$1:$L$800,647+DG$3,2+DG$2)&lt;&gt;"",INDEX('×入力'!$A$1:$L$800,646,2+DG$2)&lt;&gt;"",INDEX('×入力'!$A$1:$L$800,647+DG$3,1)&lt;&gt;""),1,0),0)</f>
        <v/>
      </c>
      <c r="DH50">
        <f>IF(DH$4=1,IF(OR(INDEX('×入力'!$A$1:$L$800,647+DH$3,2+DH$2)&lt;&gt;"",INDEX('×入力'!$A$1:$L$800,646,2+DH$2)&lt;&gt;"",INDEX('×入力'!$A$1:$L$800,647+DH$3,1)&lt;&gt;""),1,0),0)</f>
        <v/>
      </c>
      <c r="DI50">
        <f>IF(DI$4=1,IF(OR(INDEX('×入力'!$A$1:$L$800,647+DI$3,2+DI$2)&lt;&gt;"",INDEX('×入力'!$A$1:$L$800,646,2+DI$2)&lt;&gt;"",INDEX('×入力'!$A$1:$L$800,647+DI$3,1)&lt;&gt;""),1,0),0)</f>
        <v/>
      </c>
      <c r="DJ50">
        <f>IF(DJ$4=1,IF(OR(INDEX('×入力'!$A$1:$L$800,647+DJ$3,2+DJ$2)&lt;&gt;"",INDEX('×入力'!$A$1:$L$800,646,2+DJ$2)&lt;&gt;"",INDEX('×入力'!$A$1:$L$800,647+DJ$3,1)&lt;&gt;""),1,0),0)</f>
        <v/>
      </c>
      <c r="DK50">
        <f>IF(DK$4=1,IF(OR(INDEX('×入力'!$A$1:$L$800,647+DK$3,2+DK$2)&lt;&gt;"",INDEX('×入力'!$A$1:$L$800,646,2+DK$2)&lt;&gt;"",INDEX('×入力'!$A$1:$L$800,647+DK$3,1)&lt;&gt;""),1,0),0)</f>
        <v/>
      </c>
      <c r="DL50">
        <f>IF(DL$4=1,IF(OR(INDEX('×入力'!$A$1:$L$800,647+DL$3,2+DL$2)&lt;&gt;"",INDEX('×入力'!$A$1:$L$800,646,2+DL$2)&lt;&gt;"",INDEX('×入力'!$A$1:$L$800,647+DL$3,1)&lt;&gt;""),1,0),0)</f>
        <v/>
      </c>
      <c r="DM50">
        <f>IF(DM$4=1,IF(OR(INDEX('×入力'!$A$1:$L$800,647+DM$3,2+DM$2)&lt;&gt;"",INDEX('×入力'!$A$1:$L$800,646,2+DM$2)&lt;&gt;"",INDEX('×入力'!$A$1:$L$800,647+DM$3,1)&lt;&gt;""),1,0),0)</f>
        <v/>
      </c>
      <c r="DN50">
        <f>IF(DN$4=1,IF(OR(INDEX('×入力'!$A$1:$L$800,647+DN$3,2+DN$2)&lt;&gt;"",INDEX('×入力'!$A$1:$L$800,646,2+DN$2)&lt;&gt;"",INDEX('×入力'!$A$1:$L$800,647+DN$3,1)&lt;&gt;""),1,0),0)</f>
        <v/>
      </c>
      <c r="DO50">
        <f>IF(DO$4=1,IF(OR(INDEX('×入力'!$A$1:$L$800,647+DO$3,2+DO$2)&lt;&gt;"",INDEX('×入力'!$A$1:$L$800,646,2+DO$2)&lt;&gt;"",INDEX('×入力'!$A$1:$L$800,647+DO$3,1)&lt;&gt;""),1,0),0)</f>
        <v/>
      </c>
      <c r="DP50">
        <f>IF(DP$4=1,IF(OR(INDEX('×入力'!$A$1:$L$800,647+DP$3,2+DP$2)&lt;&gt;"",INDEX('×入力'!$A$1:$L$800,646,2+DP$2)&lt;&gt;"",INDEX('×入力'!$A$1:$L$800,647+DP$3,1)&lt;&gt;""),1,0),0)</f>
        <v/>
      </c>
      <c r="DQ50">
        <f>IF(DQ$4=1,IF(OR(INDEX('×入力'!$A$1:$L$800,647+DQ$3,2+DQ$2)&lt;&gt;"",INDEX('×入力'!$A$1:$L$800,646,2+DQ$2)&lt;&gt;"",INDEX('×入力'!$A$1:$L$800,647+DQ$3,1)&lt;&gt;""),1,0),0)</f>
        <v/>
      </c>
      <c r="DR50">
        <f>IF(DR$4=1,IF(OR(INDEX('×入力'!$A$1:$L$800,647+DR$3,2+DR$2)&lt;&gt;"",INDEX('×入力'!$A$1:$L$800,646,2+DR$2)&lt;&gt;"",INDEX('×入力'!$A$1:$L$800,647+DR$3,1)&lt;&gt;""),1,0),0)</f>
        <v/>
      </c>
      <c r="DS50">
        <f>IF(DS$4=1,IF(OR(INDEX('×入力'!$A$1:$L$800,647+DS$3,2+DS$2)&lt;&gt;"",INDEX('×入力'!$A$1:$L$800,646,2+DS$2)&lt;&gt;"",INDEX('×入力'!$A$1:$L$800,647+DS$3,1)&lt;&gt;""),1,0),0)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IF(D$4=1,IF(OR(INDEX('×入力'!$A$1:$L$800,663+D$3,2+D$2)&lt;&gt;"",INDEX('×入力'!$A$1:$L$800,662,2+D$2)&lt;&gt;"",INDEX('×入力'!$A$1:$L$800,663+D$3,1)&lt;&gt;""),1,0),0)</f>
        <v/>
      </c>
      <c r="E51">
        <f>IF(E$4=1,IF(OR(INDEX('×入力'!$A$1:$L$800,663+E$3,2+E$2)&lt;&gt;"",INDEX('×入力'!$A$1:$L$800,662,2+E$2)&lt;&gt;"",INDEX('×入力'!$A$1:$L$800,663+E$3,1)&lt;&gt;""),1,0),0)</f>
        <v/>
      </c>
      <c r="F51">
        <f>IF(F$4=1,IF(OR(INDEX('×入力'!$A$1:$L$800,663+F$3,2+F$2)&lt;&gt;"",INDEX('×入力'!$A$1:$L$800,662,2+F$2)&lt;&gt;"",INDEX('×入力'!$A$1:$L$800,663+F$3,1)&lt;&gt;""),1,0),0)</f>
        <v/>
      </c>
      <c r="G51">
        <f>IF(G$4=1,IF(OR(INDEX('×入力'!$A$1:$L$800,663+G$3,2+G$2)&lt;&gt;"",INDEX('×入力'!$A$1:$L$800,662,2+G$2)&lt;&gt;"",INDEX('×入力'!$A$1:$L$800,663+G$3,1)&lt;&gt;""),1,0),0)</f>
        <v/>
      </c>
      <c r="H51">
        <f>IF(H$4=1,IF(OR(INDEX('×入力'!$A$1:$L$800,663+H$3,2+H$2)&lt;&gt;"",INDEX('×入力'!$A$1:$L$800,662,2+H$2)&lt;&gt;"",INDEX('×入力'!$A$1:$L$800,663+H$3,1)&lt;&gt;""),1,0),0)</f>
        <v/>
      </c>
      <c r="I51">
        <f>IF(I$4=1,IF(OR(INDEX('×入力'!$A$1:$L$800,663+I$3,2+I$2)&lt;&gt;"",INDEX('×入力'!$A$1:$L$800,662,2+I$2)&lt;&gt;"",INDEX('×入力'!$A$1:$L$800,663+I$3,1)&lt;&gt;""),1,0),0)</f>
        <v/>
      </c>
      <c r="J51">
        <f>IF(J$4=1,IF(OR(INDEX('×入力'!$A$1:$L$800,663+J$3,2+J$2)&lt;&gt;"",INDEX('×入力'!$A$1:$L$800,662,2+J$2)&lt;&gt;"",INDEX('×入力'!$A$1:$L$800,663+J$3,1)&lt;&gt;""),1,0),0)</f>
        <v/>
      </c>
      <c r="K51">
        <f>IF(K$4=1,IF(OR(INDEX('×入力'!$A$1:$L$800,663+K$3,2+K$2)&lt;&gt;"",INDEX('×入力'!$A$1:$L$800,662,2+K$2)&lt;&gt;"",INDEX('×入力'!$A$1:$L$800,663+K$3,1)&lt;&gt;""),1,0),0)</f>
        <v/>
      </c>
      <c r="L51">
        <f>IF(L$4=1,IF(OR(INDEX('×入力'!$A$1:$L$800,663+L$3,2+L$2)&lt;&gt;"",INDEX('×入力'!$A$1:$L$800,662,2+L$2)&lt;&gt;"",INDEX('×入力'!$A$1:$L$800,663+L$3,1)&lt;&gt;""),1,0),0)</f>
        <v/>
      </c>
      <c r="M51">
        <f>IF(M$4=1,IF(OR(INDEX('×入力'!$A$1:$L$800,663+M$3,2+M$2)&lt;&gt;"",INDEX('×入力'!$A$1:$L$800,662,2+M$2)&lt;&gt;"",INDEX('×入力'!$A$1:$L$800,663+M$3,1)&lt;&gt;""),1,0),0)</f>
        <v/>
      </c>
      <c r="N51">
        <f>IF(N$4=1,IF(OR(INDEX('×入力'!$A$1:$L$800,663+N$3,2+N$2)&lt;&gt;"",INDEX('×入力'!$A$1:$L$800,662,2+N$2)&lt;&gt;"",INDEX('×入力'!$A$1:$L$800,663+N$3,1)&lt;&gt;""),1,0),0)</f>
        <v/>
      </c>
      <c r="O51">
        <f>IF(O$4=1,IF(OR(INDEX('×入力'!$A$1:$L$800,663+O$3,2+O$2)&lt;&gt;"",INDEX('×入力'!$A$1:$L$800,662,2+O$2)&lt;&gt;"",INDEX('×入力'!$A$1:$L$800,663+O$3,1)&lt;&gt;""),1,0),0)</f>
        <v/>
      </c>
      <c r="P51">
        <f>IF(P$4=1,IF(OR(INDEX('×入力'!$A$1:$L$800,663+P$3,2+P$2)&lt;&gt;"",INDEX('×入力'!$A$1:$L$800,662,2+P$2)&lt;&gt;"",INDEX('×入力'!$A$1:$L$800,663+P$3,1)&lt;&gt;""),1,0),0)</f>
        <v/>
      </c>
      <c r="Q51">
        <f>IF(Q$4=1,IF(OR(INDEX('×入力'!$A$1:$L$800,663+Q$3,2+Q$2)&lt;&gt;"",INDEX('×入力'!$A$1:$L$800,662,2+Q$2)&lt;&gt;"",INDEX('×入力'!$A$1:$L$800,663+Q$3,1)&lt;&gt;""),1,0),0)</f>
        <v/>
      </c>
      <c r="R51">
        <f>IF(R$4=1,IF(OR(INDEX('×入力'!$A$1:$L$800,663+R$3,2+R$2)&lt;&gt;"",INDEX('×入力'!$A$1:$L$800,662,2+R$2)&lt;&gt;"",INDEX('×入力'!$A$1:$L$800,663+R$3,1)&lt;&gt;""),1,0),0)</f>
        <v/>
      </c>
      <c r="S51">
        <f>IF(S$4=1,IF(OR(INDEX('×入力'!$A$1:$L$800,663+S$3,2+S$2)&lt;&gt;"",INDEX('×入力'!$A$1:$L$800,662,2+S$2)&lt;&gt;"",INDEX('×入力'!$A$1:$L$800,663+S$3,1)&lt;&gt;""),1,0),0)</f>
        <v/>
      </c>
      <c r="T51">
        <f>IF(T$4=1,IF(OR(INDEX('×入力'!$A$1:$L$800,663+T$3,2+T$2)&lt;&gt;"",INDEX('×入力'!$A$1:$L$800,662,2+T$2)&lt;&gt;"",INDEX('×入力'!$A$1:$L$800,663+T$3,1)&lt;&gt;""),1,0),0)</f>
        <v/>
      </c>
      <c r="U51">
        <f>IF(U$4=1,IF(OR(INDEX('×入力'!$A$1:$L$800,663+U$3,2+U$2)&lt;&gt;"",INDEX('×入力'!$A$1:$L$800,662,2+U$2)&lt;&gt;"",INDEX('×入力'!$A$1:$L$800,663+U$3,1)&lt;&gt;""),1,0),0)</f>
        <v/>
      </c>
      <c r="V51">
        <f>IF(V$4=1,IF(OR(INDEX('×入力'!$A$1:$L$800,663+V$3,2+V$2)&lt;&gt;"",INDEX('×入力'!$A$1:$L$800,662,2+V$2)&lt;&gt;"",INDEX('×入力'!$A$1:$L$800,663+V$3,1)&lt;&gt;""),1,0),0)</f>
        <v/>
      </c>
      <c r="W51">
        <f>IF(W$4=1,IF(OR(INDEX('×入力'!$A$1:$L$800,663+W$3,2+W$2)&lt;&gt;"",INDEX('×入力'!$A$1:$L$800,662,2+W$2)&lt;&gt;"",INDEX('×入力'!$A$1:$L$800,663+W$3,1)&lt;&gt;""),1,0),0)</f>
        <v/>
      </c>
      <c r="X51">
        <f>IF(X$4=1,IF(OR(INDEX('×入力'!$A$1:$L$800,663+X$3,2+X$2)&lt;&gt;"",INDEX('×入力'!$A$1:$L$800,662,2+X$2)&lt;&gt;"",INDEX('×入力'!$A$1:$L$800,663+X$3,1)&lt;&gt;""),1,0),0)</f>
        <v/>
      </c>
      <c r="Y51">
        <f>IF(Y$4=1,IF(OR(INDEX('×入力'!$A$1:$L$800,663+Y$3,2+Y$2)&lt;&gt;"",INDEX('×入力'!$A$1:$L$800,662,2+Y$2)&lt;&gt;"",INDEX('×入力'!$A$1:$L$800,663+Y$3,1)&lt;&gt;""),1,0),0)</f>
        <v/>
      </c>
      <c r="Z51">
        <f>IF(Z$4=1,IF(OR(INDEX('×入力'!$A$1:$L$800,663+Z$3,2+Z$2)&lt;&gt;"",INDEX('×入力'!$A$1:$L$800,662,2+Z$2)&lt;&gt;"",INDEX('×入力'!$A$1:$L$800,663+Z$3,1)&lt;&gt;""),1,0),0)</f>
        <v/>
      </c>
      <c r="AA51">
        <f>IF(AA$4=1,IF(OR(INDEX('×入力'!$A$1:$L$800,663+AA$3,2+AA$2)&lt;&gt;"",INDEX('×入力'!$A$1:$L$800,662,2+AA$2)&lt;&gt;"",INDEX('×入力'!$A$1:$L$800,663+AA$3,1)&lt;&gt;""),1,0),0)</f>
        <v/>
      </c>
      <c r="AB51">
        <f>IF(AB$4=1,IF(OR(INDEX('×入力'!$A$1:$L$800,663+AB$3,2+AB$2)&lt;&gt;"",INDEX('×入力'!$A$1:$L$800,662,2+AB$2)&lt;&gt;"",INDEX('×入力'!$A$1:$L$800,663+AB$3,1)&lt;&gt;""),1,0),0)</f>
        <v/>
      </c>
      <c r="AC51">
        <f>IF(AC$4=1,IF(OR(INDEX('×入力'!$A$1:$L$800,663+AC$3,2+AC$2)&lt;&gt;"",INDEX('×入力'!$A$1:$L$800,662,2+AC$2)&lt;&gt;"",INDEX('×入力'!$A$1:$L$800,663+AC$3,1)&lt;&gt;""),1,0),0)</f>
        <v/>
      </c>
      <c r="AD51">
        <f>IF(AD$4=1,IF(OR(INDEX('×入力'!$A$1:$L$800,663+AD$3,2+AD$2)&lt;&gt;"",INDEX('×入力'!$A$1:$L$800,662,2+AD$2)&lt;&gt;"",INDEX('×入力'!$A$1:$L$800,663+AD$3,1)&lt;&gt;""),1,0),0)</f>
        <v/>
      </c>
      <c r="AE51">
        <f>IF(AE$4=1,IF(OR(INDEX('×入力'!$A$1:$L$800,663+AE$3,2+AE$2)&lt;&gt;"",INDEX('×入力'!$A$1:$L$800,662,2+AE$2)&lt;&gt;"",INDEX('×入力'!$A$1:$L$800,663+AE$3,1)&lt;&gt;""),1,0),0)</f>
        <v/>
      </c>
      <c r="AF51">
        <f>IF(AF$4=1,IF(OR(INDEX('×入力'!$A$1:$L$800,663+AF$3,2+AF$2)&lt;&gt;"",INDEX('×入力'!$A$1:$L$800,662,2+AF$2)&lt;&gt;"",INDEX('×入力'!$A$1:$L$800,663+AF$3,1)&lt;&gt;""),1,0),0)</f>
        <v/>
      </c>
      <c r="AG51">
        <f>IF(AG$4=1,IF(OR(INDEX('×入力'!$A$1:$L$800,663+AG$3,2+AG$2)&lt;&gt;"",INDEX('×入力'!$A$1:$L$800,662,2+AG$2)&lt;&gt;"",INDEX('×入力'!$A$1:$L$800,663+AG$3,1)&lt;&gt;""),1,0),0)</f>
        <v/>
      </c>
      <c r="AH51">
        <f>IF(AH$4=1,IF(OR(INDEX('×入力'!$A$1:$L$800,663+AH$3,2+AH$2)&lt;&gt;"",INDEX('×入力'!$A$1:$L$800,662,2+AH$2)&lt;&gt;"",INDEX('×入力'!$A$1:$L$800,663+AH$3,1)&lt;&gt;""),1,0),0)</f>
        <v/>
      </c>
      <c r="AI51">
        <f>IF(AI$4=1,IF(OR(INDEX('×入力'!$A$1:$L$800,663+AI$3,2+AI$2)&lt;&gt;"",INDEX('×入力'!$A$1:$L$800,662,2+AI$2)&lt;&gt;"",INDEX('×入力'!$A$1:$L$800,663+AI$3,1)&lt;&gt;""),1,0),0)</f>
        <v/>
      </c>
      <c r="AJ51">
        <f>IF(AJ$4=1,IF(OR(INDEX('×入力'!$A$1:$L$800,663+AJ$3,2+AJ$2)&lt;&gt;"",INDEX('×入力'!$A$1:$L$800,662,2+AJ$2)&lt;&gt;"",INDEX('×入力'!$A$1:$L$800,663+AJ$3,1)&lt;&gt;""),1,0),0)</f>
        <v/>
      </c>
      <c r="AK51">
        <f>IF(AK$4=1,IF(OR(INDEX('×入力'!$A$1:$L$800,663+AK$3,2+AK$2)&lt;&gt;"",INDEX('×入力'!$A$1:$L$800,662,2+AK$2)&lt;&gt;"",INDEX('×入力'!$A$1:$L$800,663+AK$3,1)&lt;&gt;""),1,0),0)</f>
        <v/>
      </c>
      <c r="AL51">
        <f>IF(AL$4=1,IF(OR(INDEX('×入力'!$A$1:$L$800,663+AL$3,2+AL$2)&lt;&gt;"",INDEX('×入力'!$A$1:$L$800,662,2+AL$2)&lt;&gt;"",INDEX('×入力'!$A$1:$L$800,663+AL$3,1)&lt;&gt;""),1,0),0)</f>
        <v/>
      </c>
      <c r="AM51">
        <f>IF(AM$4=1,IF(OR(INDEX('×入力'!$A$1:$L$800,663+AM$3,2+AM$2)&lt;&gt;"",INDEX('×入力'!$A$1:$L$800,662,2+AM$2)&lt;&gt;"",INDEX('×入力'!$A$1:$L$800,663+AM$3,1)&lt;&gt;""),1,0),0)</f>
        <v/>
      </c>
      <c r="AN51">
        <f>IF(AN$4=1,IF(OR(INDEX('×入力'!$A$1:$L$800,663+AN$3,2+AN$2)&lt;&gt;"",INDEX('×入力'!$A$1:$L$800,662,2+AN$2)&lt;&gt;"",INDEX('×入力'!$A$1:$L$800,663+AN$3,1)&lt;&gt;""),1,0),0)</f>
        <v/>
      </c>
      <c r="AO51">
        <f>IF(AO$4=1,IF(OR(INDEX('×入力'!$A$1:$L$800,663+AO$3,2+AO$2)&lt;&gt;"",INDEX('×入力'!$A$1:$L$800,662,2+AO$2)&lt;&gt;"",INDEX('×入力'!$A$1:$L$800,663+AO$3,1)&lt;&gt;""),1,0),0)</f>
        <v/>
      </c>
      <c r="AP51">
        <f>IF(AP$4=1,IF(OR(INDEX('×入力'!$A$1:$L$800,663+AP$3,2+AP$2)&lt;&gt;"",INDEX('×入力'!$A$1:$L$800,662,2+AP$2)&lt;&gt;"",INDEX('×入力'!$A$1:$L$800,663+AP$3,1)&lt;&gt;""),1,0),0)</f>
        <v/>
      </c>
      <c r="AQ51">
        <f>IF(AQ$4=1,IF(OR(INDEX('×入力'!$A$1:$L$800,663+AQ$3,2+AQ$2)&lt;&gt;"",INDEX('×入力'!$A$1:$L$800,662,2+AQ$2)&lt;&gt;"",INDEX('×入力'!$A$1:$L$800,663+AQ$3,1)&lt;&gt;""),1,0),0)</f>
        <v/>
      </c>
      <c r="AR51">
        <f>IF(AR$4=1,IF(OR(INDEX('×入力'!$A$1:$L$800,663+AR$3,2+AR$2)&lt;&gt;"",INDEX('×入力'!$A$1:$L$800,662,2+AR$2)&lt;&gt;"",INDEX('×入力'!$A$1:$L$800,663+AR$3,1)&lt;&gt;""),1,0),0)</f>
        <v/>
      </c>
      <c r="AS51">
        <f>IF(AS$4=1,IF(OR(INDEX('×入力'!$A$1:$L$800,663+AS$3,2+AS$2)&lt;&gt;"",INDEX('×入力'!$A$1:$L$800,662,2+AS$2)&lt;&gt;"",INDEX('×入力'!$A$1:$L$800,663+AS$3,1)&lt;&gt;""),1,0),0)</f>
        <v/>
      </c>
      <c r="AT51">
        <f>IF(AT$4=1,IF(OR(INDEX('×入力'!$A$1:$L$800,663+AT$3,2+AT$2)&lt;&gt;"",INDEX('×入力'!$A$1:$L$800,662,2+AT$2)&lt;&gt;"",INDEX('×入力'!$A$1:$L$800,663+AT$3,1)&lt;&gt;""),1,0),0)</f>
        <v/>
      </c>
      <c r="AU51">
        <f>IF(AU$4=1,IF(OR(INDEX('×入力'!$A$1:$L$800,663+AU$3,2+AU$2)&lt;&gt;"",INDEX('×入力'!$A$1:$L$800,662,2+AU$2)&lt;&gt;"",INDEX('×入力'!$A$1:$L$800,663+AU$3,1)&lt;&gt;""),1,0),0)</f>
        <v/>
      </c>
      <c r="AV51">
        <f>IF(AV$4=1,IF(OR(INDEX('×入力'!$A$1:$L$800,663+AV$3,2+AV$2)&lt;&gt;"",INDEX('×入力'!$A$1:$L$800,662,2+AV$2)&lt;&gt;"",INDEX('×入力'!$A$1:$L$800,663+AV$3,1)&lt;&gt;""),1,0),0)</f>
        <v/>
      </c>
      <c r="AW51">
        <f>IF(AW$4=1,IF(OR(INDEX('×入力'!$A$1:$L$800,663+AW$3,2+AW$2)&lt;&gt;"",INDEX('×入力'!$A$1:$L$800,662,2+AW$2)&lt;&gt;"",INDEX('×入力'!$A$1:$L$800,663+AW$3,1)&lt;&gt;""),1,0),0)</f>
        <v/>
      </c>
      <c r="AX51">
        <f>IF(AX$4=1,IF(OR(INDEX('×入力'!$A$1:$L$800,663+AX$3,2+AX$2)&lt;&gt;"",INDEX('×入力'!$A$1:$L$800,662,2+AX$2)&lt;&gt;"",INDEX('×入力'!$A$1:$L$800,663+AX$3,1)&lt;&gt;""),1,0),0)</f>
        <v/>
      </c>
      <c r="AY51">
        <f>IF(AY$4=1,IF(OR(INDEX('×入力'!$A$1:$L$800,663+AY$3,2+AY$2)&lt;&gt;"",INDEX('×入力'!$A$1:$L$800,662,2+AY$2)&lt;&gt;"",INDEX('×入力'!$A$1:$L$800,663+AY$3,1)&lt;&gt;""),1,0),0)</f>
        <v/>
      </c>
      <c r="AZ51">
        <f>IF(AZ$4=1,IF(OR(INDEX('×入力'!$A$1:$L$800,663+AZ$3,2+AZ$2)&lt;&gt;"",INDEX('×入力'!$A$1:$L$800,662,2+AZ$2)&lt;&gt;"",INDEX('×入力'!$A$1:$L$800,663+AZ$3,1)&lt;&gt;""),1,0),0)</f>
        <v/>
      </c>
      <c r="BA51">
        <f>IF(BA$4=1,IF(OR(INDEX('×入力'!$A$1:$L$800,663+BA$3,2+BA$2)&lt;&gt;"",INDEX('×入力'!$A$1:$L$800,662,2+BA$2)&lt;&gt;"",INDEX('×入力'!$A$1:$L$800,663+BA$3,1)&lt;&gt;""),1,0),0)</f>
        <v/>
      </c>
      <c r="BB51">
        <f>IF(BB$4=1,IF(OR(INDEX('×入力'!$A$1:$L$800,663+BB$3,2+BB$2)&lt;&gt;"",INDEX('×入力'!$A$1:$L$800,662,2+BB$2)&lt;&gt;"",INDEX('×入力'!$A$1:$L$800,663+BB$3,1)&lt;&gt;""),1,0),0)</f>
        <v/>
      </c>
      <c r="BC51">
        <f>IF(BC$4=1,IF(OR(INDEX('×入力'!$A$1:$L$800,663+BC$3,2+BC$2)&lt;&gt;"",INDEX('×入力'!$A$1:$L$800,662,2+BC$2)&lt;&gt;"",INDEX('×入力'!$A$1:$L$800,663+BC$3,1)&lt;&gt;""),1,0),0)</f>
        <v/>
      </c>
      <c r="BD51">
        <f>IF(BD$4=1,IF(OR(INDEX('×入力'!$A$1:$L$800,663+BD$3,2+BD$2)&lt;&gt;"",INDEX('×入力'!$A$1:$L$800,662,2+BD$2)&lt;&gt;"",INDEX('×入力'!$A$1:$L$800,663+BD$3,1)&lt;&gt;""),1,0),0)</f>
        <v/>
      </c>
      <c r="BE51">
        <f>IF(BE$4=1,IF(OR(INDEX('×入力'!$A$1:$L$800,663+BE$3,2+BE$2)&lt;&gt;"",INDEX('×入力'!$A$1:$L$800,662,2+BE$2)&lt;&gt;"",INDEX('×入力'!$A$1:$L$800,663+BE$3,1)&lt;&gt;""),1,0),0)</f>
        <v/>
      </c>
      <c r="BF51">
        <f>IF(BF$4=1,IF(OR(INDEX('×入力'!$A$1:$L$800,663+BF$3,2+BF$2)&lt;&gt;"",INDEX('×入力'!$A$1:$L$800,662,2+BF$2)&lt;&gt;"",INDEX('×入力'!$A$1:$L$800,663+BF$3,1)&lt;&gt;""),1,0),0)</f>
        <v/>
      </c>
      <c r="BG51">
        <f>IF(BG$4=1,IF(OR(INDEX('×入力'!$A$1:$L$800,663+BG$3,2+BG$2)&lt;&gt;"",INDEX('×入力'!$A$1:$L$800,662,2+BG$2)&lt;&gt;"",INDEX('×入力'!$A$1:$L$800,663+BG$3,1)&lt;&gt;""),1,0),0)</f>
        <v/>
      </c>
      <c r="BH51">
        <f>IF(BH$4=1,IF(OR(INDEX('×入力'!$A$1:$L$800,663+BH$3,2+BH$2)&lt;&gt;"",INDEX('×入力'!$A$1:$L$800,662,2+BH$2)&lt;&gt;"",INDEX('×入力'!$A$1:$L$800,663+BH$3,1)&lt;&gt;""),1,0),0)</f>
        <v/>
      </c>
      <c r="BI51">
        <f>IF(BI$4=1,IF(OR(INDEX('×入力'!$A$1:$L$800,663+BI$3,2+BI$2)&lt;&gt;"",INDEX('×入力'!$A$1:$L$800,662,2+BI$2)&lt;&gt;"",INDEX('×入力'!$A$1:$L$800,663+BI$3,1)&lt;&gt;""),1,0),0)</f>
        <v/>
      </c>
      <c r="BJ51">
        <f>IF(BJ$4=1,IF(OR(INDEX('×入力'!$A$1:$L$800,663+BJ$3,2+BJ$2)&lt;&gt;"",INDEX('×入力'!$A$1:$L$800,662,2+BJ$2)&lt;&gt;"",INDEX('×入力'!$A$1:$L$800,663+BJ$3,1)&lt;&gt;""),1,0),0)</f>
        <v/>
      </c>
      <c r="BK51">
        <f>IF(BK$4=1,IF(OR(INDEX('×入力'!$A$1:$L$800,663+BK$3,2+BK$2)&lt;&gt;"",INDEX('×入力'!$A$1:$L$800,662,2+BK$2)&lt;&gt;"",INDEX('×入力'!$A$1:$L$800,663+BK$3,1)&lt;&gt;""),1,0),0)</f>
        <v/>
      </c>
      <c r="BL51">
        <f>IF(BL$4=1,IF(OR(INDEX('×入力'!$A$1:$L$800,663+BL$3,2+BL$2)&lt;&gt;"",INDEX('×入力'!$A$1:$L$800,662,2+BL$2)&lt;&gt;"",INDEX('×入力'!$A$1:$L$800,663+BL$3,1)&lt;&gt;""),1,0),0)</f>
        <v/>
      </c>
      <c r="BM51">
        <f>IF(BM$4=1,IF(OR(INDEX('×入力'!$A$1:$L$800,663+BM$3,2+BM$2)&lt;&gt;"",INDEX('×入力'!$A$1:$L$800,662,2+BM$2)&lt;&gt;"",INDEX('×入力'!$A$1:$L$800,663+BM$3,1)&lt;&gt;""),1,0),0)</f>
        <v/>
      </c>
      <c r="BN51">
        <f>IF(BN$4=1,IF(OR(INDEX('×入力'!$A$1:$L$800,663+BN$3,2+BN$2)&lt;&gt;"",INDEX('×入力'!$A$1:$L$800,662,2+BN$2)&lt;&gt;"",INDEX('×入力'!$A$1:$L$800,663+BN$3,1)&lt;&gt;""),1,0),0)</f>
        <v/>
      </c>
      <c r="BO51">
        <f>IF(BO$4=1,IF(OR(INDEX('×入力'!$A$1:$L$800,663+BO$3,2+BO$2)&lt;&gt;"",INDEX('×入力'!$A$1:$L$800,662,2+BO$2)&lt;&gt;"",INDEX('×入力'!$A$1:$L$800,663+BO$3,1)&lt;&gt;""),1,0),0)</f>
        <v/>
      </c>
      <c r="BP51">
        <f>IF(BP$4=1,IF(OR(INDEX('×入力'!$A$1:$L$800,663+BP$3,2+BP$2)&lt;&gt;"",INDEX('×入力'!$A$1:$L$800,662,2+BP$2)&lt;&gt;"",INDEX('×入力'!$A$1:$L$800,663+BP$3,1)&lt;&gt;""),1,0),0)</f>
        <v/>
      </c>
      <c r="BQ51">
        <f>IF(BQ$4=1,IF(OR(INDEX('×入力'!$A$1:$L$800,663+BQ$3,2+BQ$2)&lt;&gt;"",INDEX('×入力'!$A$1:$L$800,662,2+BQ$2)&lt;&gt;"",INDEX('×入力'!$A$1:$L$800,663+BQ$3,1)&lt;&gt;""),1,0),0)</f>
        <v/>
      </c>
      <c r="BR51">
        <f>IF(BR$4=1,IF(OR(INDEX('×入力'!$A$1:$L$800,663+BR$3,2+BR$2)&lt;&gt;"",INDEX('×入力'!$A$1:$L$800,662,2+BR$2)&lt;&gt;"",INDEX('×入力'!$A$1:$L$800,663+BR$3,1)&lt;&gt;""),1,0),0)</f>
        <v/>
      </c>
      <c r="BS51">
        <f>IF(BS$4=1,IF(OR(INDEX('×入力'!$A$1:$L$800,663+BS$3,2+BS$2)&lt;&gt;"",INDEX('×入力'!$A$1:$L$800,662,2+BS$2)&lt;&gt;"",INDEX('×入力'!$A$1:$L$800,663+BS$3,1)&lt;&gt;""),1,0),0)</f>
        <v/>
      </c>
      <c r="BT51">
        <f>IF(BT$4=1,IF(OR(INDEX('×入力'!$A$1:$L$800,663+BT$3,2+BT$2)&lt;&gt;"",INDEX('×入力'!$A$1:$L$800,662,2+BT$2)&lt;&gt;"",INDEX('×入力'!$A$1:$L$800,663+BT$3,1)&lt;&gt;""),1,0),0)</f>
        <v/>
      </c>
      <c r="BU51">
        <f>IF(BU$4=1,IF(OR(INDEX('×入力'!$A$1:$L$800,663+BU$3,2+BU$2)&lt;&gt;"",INDEX('×入力'!$A$1:$L$800,662,2+BU$2)&lt;&gt;"",INDEX('×入力'!$A$1:$L$800,663+BU$3,1)&lt;&gt;""),1,0),0)</f>
        <v/>
      </c>
      <c r="BV51">
        <f>IF(BV$4=1,IF(OR(INDEX('×入力'!$A$1:$L$800,663+BV$3,2+BV$2)&lt;&gt;"",INDEX('×入力'!$A$1:$L$800,662,2+BV$2)&lt;&gt;"",INDEX('×入力'!$A$1:$L$800,663+BV$3,1)&lt;&gt;""),1,0),0)</f>
        <v/>
      </c>
      <c r="BW51">
        <f>IF(BW$4=1,IF(OR(INDEX('×入力'!$A$1:$L$800,663+BW$3,2+BW$2)&lt;&gt;"",INDEX('×入力'!$A$1:$L$800,662,2+BW$2)&lt;&gt;"",INDEX('×入力'!$A$1:$L$800,663+BW$3,1)&lt;&gt;""),1,0),0)</f>
        <v/>
      </c>
      <c r="BX51">
        <f>IF(BX$4=1,IF(OR(INDEX('×入力'!$A$1:$L$800,663+BX$3,2+BX$2)&lt;&gt;"",INDEX('×入力'!$A$1:$L$800,662,2+BX$2)&lt;&gt;"",INDEX('×入力'!$A$1:$L$800,663+BX$3,1)&lt;&gt;""),1,0),0)</f>
        <v/>
      </c>
      <c r="BY51">
        <f>IF(BY$4=1,IF(OR(INDEX('×入力'!$A$1:$L$800,663+BY$3,2+BY$2)&lt;&gt;"",INDEX('×入力'!$A$1:$L$800,662,2+BY$2)&lt;&gt;"",INDEX('×入力'!$A$1:$L$800,663+BY$3,1)&lt;&gt;""),1,0),0)</f>
        <v/>
      </c>
      <c r="BZ51">
        <f>IF(BZ$4=1,IF(OR(INDEX('×入力'!$A$1:$L$800,663+BZ$3,2+BZ$2)&lt;&gt;"",INDEX('×入力'!$A$1:$L$800,662,2+BZ$2)&lt;&gt;"",INDEX('×入力'!$A$1:$L$800,663+BZ$3,1)&lt;&gt;""),1,0),0)</f>
        <v/>
      </c>
      <c r="CA51">
        <f>IF(CA$4=1,IF(OR(INDEX('×入力'!$A$1:$L$800,663+CA$3,2+CA$2)&lt;&gt;"",INDEX('×入力'!$A$1:$L$800,662,2+CA$2)&lt;&gt;"",INDEX('×入力'!$A$1:$L$800,663+CA$3,1)&lt;&gt;""),1,0),0)</f>
        <v/>
      </c>
      <c r="CB51">
        <f>IF(CB$4=1,IF(OR(INDEX('×入力'!$A$1:$L$800,663+CB$3,2+CB$2)&lt;&gt;"",INDEX('×入力'!$A$1:$L$800,662,2+CB$2)&lt;&gt;"",INDEX('×入力'!$A$1:$L$800,663+CB$3,1)&lt;&gt;""),1,0),0)</f>
        <v/>
      </c>
      <c r="CC51">
        <f>IF(CC$4=1,IF(OR(INDEX('×入力'!$A$1:$L$800,663+CC$3,2+CC$2)&lt;&gt;"",INDEX('×入力'!$A$1:$L$800,662,2+CC$2)&lt;&gt;"",INDEX('×入力'!$A$1:$L$800,663+CC$3,1)&lt;&gt;""),1,0),0)</f>
        <v/>
      </c>
      <c r="CD51">
        <f>IF(CD$4=1,IF(OR(INDEX('×入力'!$A$1:$L$800,663+CD$3,2+CD$2)&lt;&gt;"",INDEX('×入力'!$A$1:$L$800,662,2+CD$2)&lt;&gt;"",INDEX('×入力'!$A$1:$L$800,663+CD$3,1)&lt;&gt;""),1,0),0)</f>
        <v/>
      </c>
      <c r="CE51">
        <f>IF(CE$4=1,IF(OR(INDEX('×入力'!$A$1:$L$800,663+CE$3,2+CE$2)&lt;&gt;"",INDEX('×入力'!$A$1:$L$800,662,2+CE$2)&lt;&gt;"",INDEX('×入力'!$A$1:$L$800,663+CE$3,1)&lt;&gt;""),1,0),0)</f>
        <v/>
      </c>
      <c r="CF51">
        <f>IF(CF$4=1,IF(OR(INDEX('×入力'!$A$1:$L$800,663+CF$3,2+CF$2)&lt;&gt;"",INDEX('×入力'!$A$1:$L$800,662,2+CF$2)&lt;&gt;"",INDEX('×入力'!$A$1:$L$800,663+CF$3,1)&lt;&gt;""),1,0),0)</f>
        <v/>
      </c>
      <c r="CG51">
        <f>IF(CG$4=1,IF(OR(INDEX('×入力'!$A$1:$L$800,663+CG$3,2+CG$2)&lt;&gt;"",INDEX('×入力'!$A$1:$L$800,662,2+CG$2)&lt;&gt;"",INDEX('×入力'!$A$1:$L$800,663+CG$3,1)&lt;&gt;""),1,0),0)</f>
        <v/>
      </c>
      <c r="CH51">
        <f>IF(CH$4=1,IF(OR(INDEX('×入力'!$A$1:$L$800,663+CH$3,2+CH$2)&lt;&gt;"",INDEX('×入力'!$A$1:$L$800,662,2+CH$2)&lt;&gt;"",INDEX('×入力'!$A$1:$L$800,663+CH$3,1)&lt;&gt;""),1,0),0)</f>
        <v/>
      </c>
      <c r="CI51">
        <f>IF(CI$4=1,IF(OR(INDEX('×入力'!$A$1:$L$800,663+CI$3,2+CI$2)&lt;&gt;"",INDEX('×入力'!$A$1:$L$800,662,2+CI$2)&lt;&gt;"",INDEX('×入力'!$A$1:$L$800,663+CI$3,1)&lt;&gt;""),1,0),0)</f>
        <v/>
      </c>
      <c r="CJ51">
        <f>IF(CJ$4=1,IF(OR(INDEX('×入力'!$A$1:$L$800,663+CJ$3,2+CJ$2)&lt;&gt;"",INDEX('×入力'!$A$1:$L$800,662,2+CJ$2)&lt;&gt;"",INDEX('×入力'!$A$1:$L$800,663+CJ$3,1)&lt;&gt;""),1,0),0)</f>
        <v/>
      </c>
      <c r="CK51">
        <f>IF(CK$4=1,IF(OR(INDEX('×入力'!$A$1:$L$800,663+CK$3,2+CK$2)&lt;&gt;"",INDEX('×入力'!$A$1:$L$800,662,2+CK$2)&lt;&gt;"",INDEX('×入力'!$A$1:$L$800,663+CK$3,1)&lt;&gt;""),1,0),0)</f>
        <v/>
      </c>
      <c r="CL51">
        <f>IF(CL$4=1,IF(OR(INDEX('×入力'!$A$1:$L$800,663+CL$3,2+CL$2)&lt;&gt;"",INDEX('×入力'!$A$1:$L$800,662,2+CL$2)&lt;&gt;"",INDEX('×入力'!$A$1:$L$800,663+CL$3,1)&lt;&gt;""),1,0),0)</f>
        <v/>
      </c>
      <c r="CM51">
        <f>IF(CM$4=1,IF(OR(INDEX('×入力'!$A$1:$L$800,663+CM$3,2+CM$2)&lt;&gt;"",INDEX('×入力'!$A$1:$L$800,662,2+CM$2)&lt;&gt;"",INDEX('×入力'!$A$1:$L$800,663+CM$3,1)&lt;&gt;""),1,0),0)</f>
        <v/>
      </c>
      <c r="CN51">
        <f>IF(CN$4=1,IF(OR(INDEX('×入力'!$A$1:$L$800,663+CN$3,2+CN$2)&lt;&gt;"",INDEX('×入力'!$A$1:$L$800,662,2+CN$2)&lt;&gt;"",INDEX('×入力'!$A$1:$L$800,663+CN$3,1)&lt;&gt;""),1,0),0)</f>
        <v/>
      </c>
      <c r="CO51">
        <f>IF(CO$4=1,IF(OR(INDEX('×入力'!$A$1:$L$800,663+CO$3,2+CO$2)&lt;&gt;"",INDEX('×入力'!$A$1:$L$800,662,2+CO$2)&lt;&gt;"",INDEX('×入力'!$A$1:$L$800,663+CO$3,1)&lt;&gt;""),1,0),0)</f>
        <v/>
      </c>
      <c r="CP51">
        <f>IF(CP$4=1,IF(OR(INDEX('×入力'!$A$1:$L$800,663+CP$3,2+CP$2)&lt;&gt;"",INDEX('×入力'!$A$1:$L$800,662,2+CP$2)&lt;&gt;"",INDEX('×入力'!$A$1:$L$800,663+CP$3,1)&lt;&gt;""),1,0),0)</f>
        <v/>
      </c>
      <c r="CQ51">
        <f>IF(CQ$4=1,IF(OR(INDEX('×入力'!$A$1:$L$800,663+CQ$3,2+CQ$2)&lt;&gt;"",INDEX('×入力'!$A$1:$L$800,662,2+CQ$2)&lt;&gt;"",INDEX('×入力'!$A$1:$L$800,663+CQ$3,1)&lt;&gt;""),1,0),0)</f>
        <v/>
      </c>
      <c r="CR51">
        <f>IF(CR$4=1,IF(OR(INDEX('×入力'!$A$1:$L$800,663+CR$3,2+CR$2)&lt;&gt;"",INDEX('×入力'!$A$1:$L$800,662,2+CR$2)&lt;&gt;"",INDEX('×入力'!$A$1:$L$800,663+CR$3,1)&lt;&gt;""),1,0),0)</f>
        <v/>
      </c>
      <c r="CS51">
        <f>IF(CS$4=1,IF(OR(INDEX('×入力'!$A$1:$L$800,663+CS$3,2+CS$2)&lt;&gt;"",INDEX('×入力'!$A$1:$L$800,662,2+CS$2)&lt;&gt;"",INDEX('×入力'!$A$1:$L$800,663+CS$3,1)&lt;&gt;""),1,0),0)</f>
        <v/>
      </c>
      <c r="CT51">
        <f>IF(CT$4=1,IF(OR(INDEX('×入力'!$A$1:$L$800,663+CT$3,2+CT$2)&lt;&gt;"",INDEX('×入力'!$A$1:$L$800,662,2+CT$2)&lt;&gt;"",INDEX('×入力'!$A$1:$L$800,663+CT$3,1)&lt;&gt;""),1,0),0)</f>
        <v/>
      </c>
      <c r="CU51">
        <f>IF(CU$4=1,IF(OR(INDEX('×入力'!$A$1:$L$800,663+CU$3,2+CU$2)&lt;&gt;"",INDEX('×入力'!$A$1:$L$800,662,2+CU$2)&lt;&gt;"",INDEX('×入力'!$A$1:$L$800,663+CU$3,1)&lt;&gt;""),1,0),0)</f>
        <v/>
      </c>
      <c r="CV51">
        <f>IF(CV$4=1,IF(OR(INDEX('×入力'!$A$1:$L$800,663+CV$3,2+CV$2)&lt;&gt;"",INDEX('×入力'!$A$1:$L$800,662,2+CV$2)&lt;&gt;"",INDEX('×入力'!$A$1:$L$800,663+CV$3,1)&lt;&gt;""),1,0),0)</f>
        <v/>
      </c>
      <c r="CW51">
        <f>IF(CW$4=1,IF(OR(INDEX('×入力'!$A$1:$L$800,663+CW$3,2+CW$2)&lt;&gt;"",INDEX('×入力'!$A$1:$L$800,662,2+CW$2)&lt;&gt;"",INDEX('×入力'!$A$1:$L$800,663+CW$3,1)&lt;&gt;""),1,0),0)</f>
        <v/>
      </c>
      <c r="CX51">
        <f>IF(CX$4=1,IF(OR(INDEX('×入力'!$A$1:$L$800,663+CX$3,2+CX$2)&lt;&gt;"",INDEX('×入力'!$A$1:$L$800,662,2+CX$2)&lt;&gt;"",INDEX('×入力'!$A$1:$L$800,663+CX$3,1)&lt;&gt;""),1,0),0)</f>
        <v/>
      </c>
      <c r="CY51">
        <f>IF(CY$4=1,IF(OR(INDEX('×入力'!$A$1:$L$800,663+CY$3,2+CY$2)&lt;&gt;"",INDEX('×入力'!$A$1:$L$800,662,2+CY$2)&lt;&gt;"",INDEX('×入力'!$A$1:$L$800,663+CY$3,1)&lt;&gt;""),1,0),0)</f>
        <v/>
      </c>
      <c r="CZ51">
        <f>IF(CZ$4=1,IF(OR(INDEX('×入力'!$A$1:$L$800,663+CZ$3,2+CZ$2)&lt;&gt;"",INDEX('×入力'!$A$1:$L$800,662,2+CZ$2)&lt;&gt;"",INDEX('×入力'!$A$1:$L$800,663+CZ$3,1)&lt;&gt;""),1,0),0)</f>
        <v/>
      </c>
      <c r="DA51">
        <f>IF(DA$4=1,IF(OR(INDEX('×入力'!$A$1:$L$800,663+DA$3,2+DA$2)&lt;&gt;"",INDEX('×入力'!$A$1:$L$800,662,2+DA$2)&lt;&gt;"",INDEX('×入力'!$A$1:$L$800,663+DA$3,1)&lt;&gt;""),1,0),0)</f>
        <v/>
      </c>
      <c r="DB51">
        <f>IF(DB$4=1,IF(OR(INDEX('×入力'!$A$1:$L$800,663+DB$3,2+DB$2)&lt;&gt;"",INDEX('×入力'!$A$1:$L$800,662,2+DB$2)&lt;&gt;"",INDEX('×入力'!$A$1:$L$800,663+DB$3,1)&lt;&gt;""),1,0),0)</f>
        <v/>
      </c>
      <c r="DC51">
        <f>IF(DC$4=1,IF(OR(INDEX('×入力'!$A$1:$L$800,663+DC$3,2+DC$2)&lt;&gt;"",INDEX('×入力'!$A$1:$L$800,662,2+DC$2)&lt;&gt;"",INDEX('×入力'!$A$1:$L$800,663+DC$3,1)&lt;&gt;""),1,0),0)</f>
        <v/>
      </c>
      <c r="DD51">
        <f>IF(DD$4=1,IF(OR(INDEX('×入力'!$A$1:$L$800,663+DD$3,2+DD$2)&lt;&gt;"",INDEX('×入力'!$A$1:$L$800,662,2+DD$2)&lt;&gt;"",INDEX('×入力'!$A$1:$L$800,663+DD$3,1)&lt;&gt;""),1,0),0)</f>
        <v/>
      </c>
      <c r="DE51">
        <f>IF(DE$4=1,IF(OR(INDEX('×入力'!$A$1:$L$800,663+DE$3,2+DE$2)&lt;&gt;"",INDEX('×入力'!$A$1:$L$800,662,2+DE$2)&lt;&gt;"",INDEX('×入力'!$A$1:$L$800,663+DE$3,1)&lt;&gt;""),1,0),0)</f>
        <v/>
      </c>
      <c r="DF51">
        <f>IF(DF$4=1,IF(OR(INDEX('×入力'!$A$1:$L$800,663+DF$3,2+DF$2)&lt;&gt;"",INDEX('×入力'!$A$1:$L$800,662,2+DF$2)&lt;&gt;"",INDEX('×入力'!$A$1:$L$800,663+DF$3,1)&lt;&gt;""),1,0),0)</f>
        <v/>
      </c>
      <c r="DG51">
        <f>IF(DG$4=1,IF(OR(INDEX('×入力'!$A$1:$L$800,663+DG$3,2+DG$2)&lt;&gt;"",INDEX('×入力'!$A$1:$L$800,662,2+DG$2)&lt;&gt;"",INDEX('×入力'!$A$1:$L$800,663+DG$3,1)&lt;&gt;""),1,0),0)</f>
        <v/>
      </c>
      <c r="DH51">
        <f>IF(DH$4=1,IF(OR(INDEX('×入力'!$A$1:$L$800,663+DH$3,2+DH$2)&lt;&gt;"",INDEX('×入力'!$A$1:$L$800,662,2+DH$2)&lt;&gt;"",INDEX('×入力'!$A$1:$L$800,663+DH$3,1)&lt;&gt;""),1,0),0)</f>
        <v/>
      </c>
      <c r="DI51">
        <f>IF(DI$4=1,IF(OR(INDEX('×入力'!$A$1:$L$800,663+DI$3,2+DI$2)&lt;&gt;"",INDEX('×入力'!$A$1:$L$800,662,2+DI$2)&lt;&gt;"",INDEX('×入力'!$A$1:$L$800,663+DI$3,1)&lt;&gt;""),1,0),0)</f>
        <v/>
      </c>
      <c r="DJ51">
        <f>IF(DJ$4=1,IF(OR(INDEX('×入力'!$A$1:$L$800,663+DJ$3,2+DJ$2)&lt;&gt;"",INDEX('×入力'!$A$1:$L$800,662,2+DJ$2)&lt;&gt;"",INDEX('×入力'!$A$1:$L$800,663+DJ$3,1)&lt;&gt;""),1,0),0)</f>
        <v/>
      </c>
      <c r="DK51">
        <f>IF(DK$4=1,IF(OR(INDEX('×入力'!$A$1:$L$800,663+DK$3,2+DK$2)&lt;&gt;"",INDEX('×入力'!$A$1:$L$800,662,2+DK$2)&lt;&gt;"",INDEX('×入力'!$A$1:$L$800,663+DK$3,1)&lt;&gt;""),1,0),0)</f>
        <v/>
      </c>
      <c r="DL51">
        <f>IF(DL$4=1,IF(OR(INDEX('×入力'!$A$1:$L$800,663+DL$3,2+DL$2)&lt;&gt;"",INDEX('×入力'!$A$1:$L$800,662,2+DL$2)&lt;&gt;"",INDEX('×入力'!$A$1:$L$800,663+DL$3,1)&lt;&gt;""),1,0),0)</f>
        <v/>
      </c>
      <c r="DM51">
        <f>IF(DM$4=1,IF(OR(INDEX('×入力'!$A$1:$L$800,663+DM$3,2+DM$2)&lt;&gt;"",INDEX('×入力'!$A$1:$L$800,662,2+DM$2)&lt;&gt;"",INDEX('×入力'!$A$1:$L$800,663+DM$3,1)&lt;&gt;""),1,0),0)</f>
        <v/>
      </c>
      <c r="DN51">
        <f>IF(DN$4=1,IF(OR(INDEX('×入力'!$A$1:$L$800,663+DN$3,2+DN$2)&lt;&gt;"",INDEX('×入力'!$A$1:$L$800,662,2+DN$2)&lt;&gt;"",INDEX('×入力'!$A$1:$L$800,663+DN$3,1)&lt;&gt;""),1,0),0)</f>
        <v/>
      </c>
      <c r="DO51">
        <f>IF(DO$4=1,IF(OR(INDEX('×入力'!$A$1:$L$800,663+DO$3,2+DO$2)&lt;&gt;"",INDEX('×入力'!$A$1:$L$800,662,2+DO$2)&lt;&gt;"",INDEX('×入力'!$A$1:$L$800,663+DO$3,1)&lt;&gt;""),1,0),0)</f>
        <v/>
      </c>
      <c r="DP51">
        <f>IF(DP$4=1,IF(OR(INDEX('×入力'!$A$1:$L$800,663+DP$3,2+DP$2)&lt;&gt;"",INDEX('×入力'!$A$1:$L$800,662,2+DP$2)&lt;&gt;"",INDEX('×入力'!$A$1:$L$800,663+DP$3,1)&lt;&gt;""),1,0),0)</f>
        <v/>
      </c>
      <c r="DQ51">
        <f>IF(DQ$4=1,IF(OR(INDEX('×入力'!$A$1:$L$800,663+DQ$3,2+DQ$2)&lt;&gt;"",INDEX('×入力'!$A$1:$L$800,662,2+DQ$2)&lt;&gt;"",INDEX('×入力'!$A$1:$L$800,663+DQ$3,1)&lt;&gt;""),1,0),0)</f>
        <v/>
      </c>
      <c r="DR51">
        <f>IF(DR$4=1,IF(OR(INDEX('×入力'!$A$1:$L$800,663+DR$3,2+DR$2)&lt;&gt;"",INDEX('×入力'!$A$1:$L$800,662,2+DR$2)&lt;&gt;"",INDEX('×入力'!$A$1:$L$800,663+DR$3,1)&lt;&gt;""),1,0),0)</f>
        <v/>
      </c>
      <c r="DS51">
        <f>IF(DS$4=1,IF(OR(INDEX('×入力'!$A$1:$L$800,663+DS$3,2+DS$2)&lt;&gt;"",INDEX('×入力'!$A$1:$L$800,662,2+DS$2)&lt;&gt;"",INDEX('×入力'!$A$1:$L$800,663+DS$3,1)&lt;&gt;""),1,0),0)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IF(D$4=1,IF(OR(INDEX('×入力'!$A$1:$L$800,679+D$3,2+D$2)&lt;&gt;"",INDEX('×入力'!$A$1:$L$800,678,2+D$2)&lt;&gt;"",INDEX('×入力'!$A$1:$L$800,679+D$3,1)&lt;&gt;""),1,0),0)</f>
        <v/>
      </c>
      <c r="E52">
        <f>IF(E$4=1,IF(OR(INDEX('×入力'!$A$1:$L$800,679+E$3,2+E$2)&lt;&gt;"",INDEX('×入力'!$A$1:$L$800,678,2+E$2)&lt;&gt;"",INDEX('×入力'!$A$1:$L$800,679+E$3,1)&lt;&gt;""),1,0),0)</f>
        <v/>
      </c>
      <c r="F52">
        <f>IF(F$4=1,IF(OR(INDEX('×入力'!$A$1:$L$800,679+F$3,2+F$2)&lt;&gt;"",INDEX('×入力'!$A$1:$L$800,678,2+F$2)&lt;&gt;"",INDEX('×入力'!$A$1:$L$800,679+F$3,1)&lt;&gt;""),1,0),0)</f>
        <v/>
      </c>
      <c r="G52">
        <f>IF(G$4=1,IF(OR(INDEX('×入力'!$A$1:$L$800,679+G$3,2+G$2)&lt;&gt;"",INDEX('×入力'!$A$1:$L$800,678,2+G$2)&lt;&gt;"",INDEX('×入力'!$A$1:$L$800,679+G$3,1)&lt;&gt;""),1,0),0)</f>
        <v/>
      </c>
      <c r="H52">
        <f>IF(H$4=1,IF(OR(INDEX('×入力'!$A$1:$L$800,679+H$3,2+H$2)&lt;&gt;"",INDEX('×入力'!$A$1:$L$800,678,2+H$2)&lt;&gt;"",INDEX('×入力'!$A$1:$L$800,679+H$3,1)&lt;&gt;""),1,0),0)</f>
        <v/>
      </c>
      <c r="I52">
        <f>IF(I$4=1,IF(OR(INDEX('×入力'!$A$1:$L$800,679+I$3,2+I$2)&lt;&gt;"",INDEX('×入力'!$A$1:$L$800,678,2+I$2)&lt;&gt;"",INDEX('×入力'!$A$1:$L$800,679+I$3,1)&lt;&gt;""),1,0),0)</f>
        <v/>
      </c>
      <c r="J52">
        <f>IF(J$4=1,IF(OR(INDEX('×入力'!$A$1:$L$800,679+J$3,2+J$2)&lt;&gt;"",INDEX('×入力'!$A$1:$L$800,678,2+J$2)&lt;&gt;"",INDEX('×入力'!$A$1:$L$800,679+J$3,1)&lt;&gt;""),1,0),0)</f>
        <v/>
      </c>
      <c r="K52">
        <f>IF(K$4=1,IF(OR(INDEX('×入力'!$A$1:$L$800,679+K$3,2+K$2)&lt;&gt;"",INDEX('×入力'!$A$1:$L$800,678,2+K$2)&lt;&gt;"",INDEX('×入力'!$A$1:$L$800,679+K$3,1)&lt;&gt;""),1,0),0)</f>
        <v/>
      </c>
      <c r="L52">
        <f>IF(L$4=1,IF(OR(INDEX('×入力'!$A$1:$L$800,679+L$3,2+L$2)&lt;&gt;"",INDEX('×入力'!$A$1:$L$800,678,2+L$2)&lt;&gt;"",INDEX('×入力'!$A$1:$L$800,679+L$3,1)&lt;&gt;""),1,0),0)</f>
        <v/>
      </c>
      <c r="M52">
        <f>IF(M$4=1,IF(OR(INDEX('×入力'!$A$1:$L$800,679+M$3,2+M$2)&lt;&gt;"",INDEX('×入力'!$A$1:$L$800,678,2+M$2)&lt;&gt;"",INDEX('×入力'!$A$1:$L$800,679+M$3,1)&lt;&gt;""),1,0),0)</f>
        <v/>
      </c>
      <c r="N52">
        <f>IF(N$4=1,IF(OR(INDEX('×入力'!$A$1:$L$800,679+N$3,2+N$2)&lt;&gt;"",INDEX('×入力'!$A$1:$L$800,678,2+N$2)&lt;&gt;"",INDEX('×入力'!$A$1:$L$800,679+N$3,1)&lt;&gt;""),1,0),0)</f>
        <v/>
      </c>
      <c r="O52">
        <f>IF(O$4=1,IF(OR(INDEX('×入力'!$A$1:$L$800,679+O$3,2+O$2)&lt;&gt;"",INDEX('×入力'!$A$1:$L$800,678,2+O$2)&lt;&gt;"",INDEX('×入力'!$A$1:$L$800,679+O$3,1)&lt;&gt;""),1,0),0)</f>
        <v/>
      </c>
      <c r="P52">
        <f>IF(P$4=1,IF(OR(INDEX('×入力'!$A$1:$L$800,679+P$3,2+P$2)&lt;&gt;"",INDEX('×入力'!$A$1:$L$800,678,2+P$2)&lt;&gt;"",INDEX('×入力'!$A$1:$L$800,679+P$3,1)&lt;&gt;""),1,0),0)</f>
        <v/>
      </c>
      <c r="Q52">
        <f>IF(Q$4=1,IF(OR(INDEX('×入力'!$A$1:$L$800,679+Q$3,2+Q$2)&lt;&gt;"",INDEX('×入力'!$A$1:$L$800,678,2+Q$2)&lt;&gt;"",INDEX('×入力'!$A$1:$L$800,679+Q$3,1)&lt;&gt;""),1,0),0)</f>
        <v/>
      </c>
      <c r="R52">
        <f>IF(R$4=1,IF(OR(INDEX('×入力'!$A$1:$L$800,679+R$3,2+R$2)&lt;&gt;"",INDEX('×入力'!$A$1:$L$800,678,2+R$2)&lt;&gt;"",INDEX('×入力'!$A$1:$L$800,679+R$3,1)&lt;&gt;""),1,0),0)</f>
        <v/>
      </c>
      <c r="S52">
        <f>IF(S$4=1,IF(OR(INDEX('×入力'!$A$1:$L$800,679+S$3,2+S$2)&lt;&gt;"",INDEX('×入力'!$A$1:$L$800,678,2+S$2)&lt;&gt;"",INDEX('×入力'!$A$1:$L$800,679+S$3,1)&lt;&gt;""),1,0),0)</f>
        <v/>
      </c>
      <c r="T52">
        <f>IF(T$4=1,IF(OR(INDEX('×入力'!$A$1:$L$800,679+T$3,2+T$2)&lt;&gt;"",INDEX('×入力'!$A$1:$L$800,678,2+T$2)&lt;&gt;"",INDEX('×入力'!$A$1:$L$800,679+T$3,1)&lt;&gt;""),1,0),0)</f>
        <v/>
      </c>
      <c r="U52">
        <f>IF(U$4=1,IF(OR(INDEX('×入力'!$A$1:$L$800,679+U$3,2+U$2)&lt;&gt;"",INDEX('×入力'!$A$1:$L$800,678,2+U$2)&lt;&gt;"",INDEX('×入力'!$A$1:$L$800,679+U$3,1)&lt;&gt;""),1,0),0)</f>
        <v/>
      </c>
      <c r="V52">
        <f>IF(V$4=1,IF(OR(INDEX('×入力'!$A$1:$L$800,679+V$3,2+V$2)&lt;&gt;"",INDEX('×入力'!$A$1:$L$800,678,2+V$2)&lt;&gt;"",INDEX('×入力'!$A$1:$L$800,679+V$3,1)&lt;&gt;""),1,0),0)</f>
        <v/>
      </c>
      <c r="W52">
        <f>IF(W$4=1,IF(OR(INDEX('×入力'!$A$1:$L$800,679+W$3,2+W$2)&lt;&gt;"",INDEX('×入力'!$A$1:$L$800,678,2+W$2)&lt;&gt;"",INDEX('×入力'!$A$1:$L$800,679+W$3,1)&lt;&gt;""),1,0),0)</f>
        <v/>
      </c>
      <c r="X52">
        <f>IF(X$4=1,IF(OR(INDEX('×入力'!$A$1:$L$800,679+X$3,2+X$2)&lt;&gt;"",INDEX('×入力'!$A$1:$L$800,678,2+X$2)&lt;&gt;"",INDEX('×入力'!$A$1:$L$800,679+X$3,1)&lt;&gt;""),1,0),0)</f>
        <v/>
      </c>
      <c r="Y52">
        <f>IF(Y$4=1,IF(OR(INDEX('×入力'!$A$1:$L$800,679+Y$3,2+Y$2)&lt;&gt;"",INDEX('×入力'!$A$1:$L$800,678,2+Y$2)&lt;&gt;"",INDEX('×入力'!$A$1:$L$800,679+Y$3,1)&lt;&gt;""),1,0),0)</f>
        <v/>
      </c>
      <c r="Z52">
        <f>IF(Z$4=1,IF(OR(INDEX('×入力'!$A$1:$L$800,679+Z$3,2+Z$2)&lt;&gt;"",INDEX('×入力'!$A$1:$L$800,678,2+Z$2)&lt;&gt;"",INDEX('×入力'!$A$1:$L$800,679+Z$3,1)&lt;&gt;""),1,0),0)</f>
        <v/>
      </c>
      <c r="AA52">
        <f>IF(AA$4=1,IF(OR(INDEX('×入力'!$A$1:$L$800,679+AA$3,2+AA$2)&lt;&gt;"",INDEX('×入力'!$A$1:$L$800,678,2+AA$2)&lt;&gt;"",INDEX('×入力'!$A$1:$L$800,679+AA$3,1)&lt;&gt;""),1,0),0)</f>
        <v/>
      </c>
      <c r="AB52">
        <f>IF(AB$4=1,IF(OR(INDEX('×入力'!$A$1:$L$800,679+AB$3,2+AB$2)&lt;&gt;"",INDEX('×入力'!$A$1:$L$800,678,2+AB$2)&lt;&gt;"",INDEX('×入力'!$A$1:$L$800,679+AB$3,1)&lt;&gt;""),1,0),0)</f>
        <v/>
      </c>
      <c r="AC52">
        <f>IF(AC$4=1,IF(OR(INDEX('×入力'!$A$1:$L$800,679+AC$3,2+AC$2)&lt;&gt;"",INDEX('×入力'!$A$1:$L$800,678,2+AC$2)&lt;&gt;"",INDEX('×入力'!$A$1:$L$800,679+AC$3,1)&lt;&gt;""),1,0),0)</f>
        <v/>
      </c>
      <c r="AD52">
        <f>IF(AD$4=1,IF(OR(INDEX('×入力'!$A$1:$L$800,679+AD$3,2+AD$2)&lt;&gt;"",INDEX('×入力'!$A$1:$L$800,678,2+AD$2)&lt;&gt;"",INDEX('×入力'!$A$1:$L$800,679+AD$3,1)&lt;&gt;""),1,0),0)</f>
        <v/>
      </c>
      <c r="AE52">
        <f>IF(AE$4=1,IF(OR(INDEX('×入力'!$A$1:$L$800,679+AE$3,2+AE$2)&lt;&gt;"",INDEX('×入力'!$A$1:$L$800,678,2+AE$2)&lt;&gt;"",INDEX('×入力'!$A$1:$L$800,679+AE$3,1)&lt;&gt;""),1,0),0)</f>
        <v/>
      </c>
      <c r="AF52">
        <f>IF(AF$4=1,IF(OR(INDEX('×入力'!$A$1:$L$800,679+AF$3,2+AF$2)&lt;&gt;"",INDEX('×入力'!$A$1:$L$800,678,2+AF$2)&lt;&gt;"",INDEX('×入力'!$A$1:$L$800,679+AF$3,1)&lt;&gt;""),1,0),0)</f>
        <v/>
      </c>
      <c r="AG52">
        <f>IF(AG$4=1,IF(OR(INDEX('×入力'!$A$1:$L$800,679+AG$3,2+AG$2)&lt;&gt;"",INDEX('×入力'!$A$1:$L$800,678,2+AG$2)&lt;&gt;"",INDEX('×入力'!$A$1:$L$800,679+AG$3,1)&lt;&gt;""),1,0),0)</f>
        <v/>
      </c>
      <c r="AH52">
        <f>IF(AH$4=1,IF(OR(INDEX('×入力'!$A$1:$L$800,679+AH$3,2+AH$2)&lt;&gt;"",INDEX('×入力'!$A$1:$L$800,678,2+AH$2)&lt;&gt;"",INDEX('×入力'!$A$1:$L$800,679+AH$3,1)&lt;&gt;""),1,0),0)</f>
        <v/>
      </c>
      <c r="AI52">
        <f>IF(AI$4=1,IF(OR(INDEX('×入力'!$A$1:$L$800,679+AI$3,2+AI$2)&lt;&gt;"",INDEX('×入力'!$A$1:$L$800,678,2+AI$2)&lt;&gt;"",INDEX('×入力'!$A$1:$L$800,679+AI$3,1)&lt;&gt;""),1,0),0)</f>
        <v/>
      </c>
      <c r="AJ52">
        <f>IF(AJ$4=1,IF(OR(INDEX('×入力'!$A$1:$L$800,679+AJ$3,2+AJ$2)&lt;&gt;"",INDEX('×入力'!$A$1:$L$800,678,2+AJ$2)&lt;&gt;"",INDEX('×入力'!$A$1:$L$800,679+AJ$3,1)&lt;&gt;""),1,0),0)</f>
        <v/>
      </c>
      <c r="AK52">
        <f>IF(AK$4=1,IF(OR(INDEX('×入力'!$A$1:$L$800,679+AK$3,2+AK$2)&lt;&gt;"",INDEX('×入力'!$A$1:$L$800,678,2+AK$2)&lt;&gt;"",INDEX('×入力'!$A$1:$L$800,679+AK$3,1)&lt;&gt;""),1,0),0)</f>
        <v/>
      </c>
      <c r="AL52">
        <f>IF(AL$4=1,IF(OR(INDEX('×入力'!$A$1:$L$800,679+AL$3,2+AL$2)&lt;&gt;"",INDEX('×入力'!$A$1:$L$800,678,2+AL$2)&lt;&gt;"",INDEX('×入力'!$A$1:$L$800,679+AL$3,1)&lt;&gt;""),1,0),0)</f>
        <v/>
      </c>
      <c r="AM52">
        <f>IF(AM$4=1,IF(OR(INDEX('×入力'!$A$1:$L$800,679+AM$3,2+AM$2)&lt;&gt;"",INDEX('×入力'!$A$1:$L$800,678,2+AM$2)&lt;&gt;"",INDEX('×入力'!$A$1:$L$800,679+AM$3,1)&lt;&gt;""),1,0),0)</f>
        <v/>
      </c>
      <c r="AN52">
        <f>IF(AN$4=1,IF(OR(INDEX('×入力'!$A$1:$L$800,679+AN$3,2+AN$2)&lt;&gt;"",INDEX('×入力'!$A$1:$L$800,678,2+AN$2)&lt;&gt;"",INDEX('×入力'!$A$1:$L$800,679+AN$3,1)&lt;&gt;""),1,0),0)</f>
        <v/>
      </c>
      <c r="AO52">
        <f>IF(AO$4=1,IF(OR(INDEX('×入力'!$A$1:$L$800,679+AO$3,2+AO$2)&lt;&gt;"",INDEX('×入力'!$A$1:$L$800,678,2+AO$2)&lt;&gt;"",INDEX('×入力'!$A$1:$L$800,679+AO$3,1)&lt;&gt;""),1,0),0)</f>
        <v/>
      </c>
      <c r="AP52">
        <f>IF(AP$4=1,IF(OR(INDEX('×入力'!$A$1:$L$800,679+AP$3,2+AP$2)&lt;&gt;"",INDEX('×入力'!$A$1:$L$800,678,2+AP$2)&lt;&gt;"",INDEX('×入力'!$A$1:$L$800,679+AP$3,1)&lt;&gt;""),1,0),0)</f>
        <v/>
      </c>
      <c r="AQ52">
        <f>IF(AQ$4=1,IF(OR(INDEX('×入力'!$A$1:$L$800,679+AQ$3,2+AQ$2)&lt;&gt;"",INDEX('×入力'!$A$1:$L$800,678,2+AQ$2)&lt;&gt;"",INDEX('×入力'!$A$1:$L$800,679+AQ$3,1)&lt;&gt;""),1,0),0)</f>
        <v/>
      </c>
      <c r="AR52">
        <f>IF(AR$4=1,IF(OR(INDEX('×入力'!$A$1:$L$800,679+AR$3,2+AR$2)&lt;&gt;"",INDEX('×入力'!$A$1:$L$800,678,2+AR$2)&lt;&gt;"",INDEX('×入力'!$A$1:$L$800,679+AR$3,1)&lt;&gt;""),1,0),0)</f>
        <v/>
      </c>
      <c r="AS52">
        <f>IF(AS$4=1,IF(OR(INDEX('×入力'!$A$1:$L$800,679+AS$3,2+AS$2)&lt;&gt;"",INDEX('×入力'!$A$1:$L$800,678,2+AS$2)&lt;&gt;"",INDEX('×入力'!$A$1:$L$800,679+AS$3,1)&lt;&gt;""),1,0),0)</f>
        <v/>
      </c>
      <c r="AT52">
        <f>IF(AT$4=1,IF(OR(INDEX('×入力'!$A$1:$L$800,679+AT$3,2+AT$2)&lt;&gt;"",INDEX('×入力'!$A$1:$L$800,678,2+AT$2)&lt;&gt;"",INDEX('×入力'!$A$1:$L$800,679+AT$3,1)&lt;&gt;""),1,0),0)</f>
        <v/>
      </c>
      <c r="AU52">
        <f>IF(AU$4=1,IF(OR(INDEX('×入力'!$A$1:$L$800,679+AU$3,2+AU$2)&lt;&gt;"",INDEX('×入力'!$A$1:$L$800,678,2+AU$2)&lt;&gt;"",INDEX('×入力'!$A$1:$L$800,679+AU$3,1)&lt;&gt;""),1,0),0)</f>
        <v/>
      </c>
      <c r="AV52">
        <f>IF(AV$4=1,IF(OR(INDEX('×入力'!$A$1:$L$800,679+AV$3,2+AV$2)&lt;&gt;"",INDEX('×入力'!$A$1:$L$800,678,2+AV$2)&lt;&gt;"",INDEX('×入力'!$A$1:$L$800,679+AV$3,1)&lt;&gt;""),1,0),0)</f>
        <v/>
      </c>
      <c r="AW52">
        <f>IF(AW$4=1,IF(OR(INDEX('×入力'!$A$1:$L$800,679+AW$3,2+AW$2)&lt;&gt;"",INDEX('×入力'!$A$1:$L$800,678,2+AW$2)&lt;&gt;"",INDEX('×入力'!$A$1:$L$800,679+AW$3,1)&lt;&gt;""),1,0),0)</f>
        <v/>
      </c>
      <c r="AX52">
        <f>IF(AX$4=1,IF(OR(INDEX('×入力'!$A$1:$L$800,679+AX$3,2+AX$2)&lt;&gt;"",INDEX('×入力'!$A$1:$L$800,678,2+AX$2)&lt;&gt;"",INDEX('×入力'!$A$1:$L$800,679+AX$3,1)&lt;&gt;""),1,0),0)</f>
        <v/>
      </c>
      <c r="AY52">
        <f>IF(AY$4=1,IF(OR(INDEX('×入力'!$A$1:$L$800,679+AY$3,2+AY$2)&lt;&gt;"",INDEX('×入力'!$A$1:$L$800,678,2+AY$2)&lt;&gt;"",INDEX('×入力'!$A$1:$L$800,679+AY$3,1)&lt;&gt;""),1,0),0)</f>
        <v/>
      </c>
      <c r="AZ52">
        <f>IF(AZ$4=1,IF(OR(INDEX('×入力'!$A$1:$L$800,679+AZ$3,2+AZ$2)&lt;&gt;"",INDEX('×入力'!$A$1:$L$800,678,2+AZ$2)&lt;&gt;"",INDEX('×入力'!$A$1:$L$800,679+AZ$3,1)&lt;&gt;""),1,0),0)</f>
        <v/>
      </c>
      <c r="BA52">
        <f>IF(BA$4=1,IF(OR(INDEX('×入力'!$A$1:$L$800,679+BA$3,2+BA$2)&lt;&gt;"",INDEX('×入力'!$A$1:$L$800,678,2+BA$2)&lt;&gt;"",INDEX('×入力'!$A$1:$L$800,679+BA$3,1)&lt;&gt;""),1,0),0)</f>
        <v/>
      </c>
      <c r="BB52">
        <f>IF(BB$4=1,IF(OR(INDEX('×入力'!$A$1:$L$800,679+BB$3,2+BB$2)&lt;&gt;"",INDEX('×入力'!$A$1:$L$800,678,2+BB$2)&lt;&gt;"",INDEX('×入力'!$A$1:$L$800,679+BB$3,1)&lt;&gt;""),1,0),0)</f>
        <v/>
      </c>
      <c r="BC52">
        <f>IF(BC$4=1,IF(OR(INDEX('×入力'!$A$1:$L$800,679+BC$3,2+BC$2)&lt;&gt;"",INDEX('×入力'!$A$1:$L$800,678,2+BC$2)&lt;&gt;"",INDEX('×入力'!$A$1:$L$800,679+BC$3,1)&lt;&gt;""),1,0),0)</f>
        <v/>
      </c>
      <c r="BD52">
        <f>IF(BD$4=1,IF(OR(INDEX('×入力'!$A$1:$L$800,679+BD$3,2+BD$2)&lt;&gt;"",INDEX('×入力'!$A$1:$L$800,678,2+BD$2)&lt;&gt;"",INDEX('×入力'!$A$1:$L$800,679+BD$3,1)&lt;&gt;""),1,0),0)</f>
        <v/>
      </c>
      <c r="BE52">
        <f>IF(BE$4=1,IF(OR(INDEX('×入力'!$A$1:$L$800,679+BE$3,2+BE$2)&lt;&gt;"",INDEX('×入力'!$A$1:$L$800,678,2+BE$2)&lt;&gt;"",INDEX('×入力'!$A$1:$L$800,679+BE$3,1)&lt;&gt;""),1,0),0)</f>
        <v/>
      </c>
      <c r="BF52">
        <f>IF(BF$4=1,IF(OR(INDEX('×入力'!$A$1:$L$800,679+BF$3,2+BF$2)&lt;&gt;"",INDEX('×入力'!$A$1:$L$800,678,2+BF$2)&lt;&gt;"",INDEX('×入力'!$A$1:$L$800,679+BF$3,1)&lt;&gt;""),1,0),0)</f>
        <v/>
      </c>
      <c r="BG52">
        <f>IF(BG$4=1,IF(OR(INDEX('×入力'!$A$1:$L$800,679+BG$3,2+BG$2)&lt;&gt;"",INDEX('×入力'!$A$1:$L$800,678,2+BG$2)&lt;&gt;"",INDEX('×入力'!$A$1:$L$800,679+BG$3,1)&lt;&gt;""),1,0),0)</f>
        <v/>
      </c>
      <c r="BH52">
        <f>IF(BH$4=1,IF(OR(INDEX('×入力'!$A$1:$L$800,679+BH$3,2+BH$2)&lt;&gt;"",INDEX('×入力'!$A$1:$L$800,678,2+BH$2)&lt;&gt;"",INDEX('×入力'!$A$1:$L$800,679+BH$3,1)&lt;&gt;""),1,0),0)</f>
        <v/>
      </c>
      <c r="BI52">
        <f>IF(BI$4=1,IF(OR(INDEX('×入力'!$A$1:$L$800,679+BI$3,2+BI$2)&lt;&gt;"",INDEX('×入力'!$A$1:$L$800,678,2+BI$2)&lt;&gt;"",INDEX('×入力'!$A$1:$L$800,679+BI$3,1)&lt;&gt;""),1,0),0)</f>
        <v/>
      </c>
      <c r="BJ52">
        <f>IF(BJ$4=1,IF(OR(INDEX('×入力'!$A$1:$L$800,679+BJ$3,2+BJ$2)&lt;&gt;"",INDEX('×入力'!$A$1:$L$800,678,2+BJ$2)&lt;&gt;"",INDEX('×入力'!$A$1:$L$800,679+BJ$3,1)&lt;&gt;""),1,0),0)</f>
        <v/>
      </c>
      <c r="BK52">
        <f>IF(BK$4=1,IF(OR(INDEX('×入力'!$A$1:$L$800,679+BK$3,2+BK$2)&lt;&gt;"",INDEX('×入力'!$A$1:$L$800,678,2+BK$2)&lt;&gt;"",INDEX('×入力'!$A$1:$L$800,679+BK$3,1)&lt;&gt;""),1,0),0)</f>
        <v/>
      </c>
      <c r="BL52">
        <f>IF(BL$4=1,IF(OR(INDEX('×入力'!$A$1:$L$800,679+BL$3,2+BL$2)&lt;&gt;"",INDEX('×入力'!$A$1:$L$800,678,2+BL$2)&lt;&gt;"",INDEX('×入力'!$A$1:$L$800,679+BL$3,1)&lt;&gt;""),1,0),0)</f>
        <v/>
      </c>
      <c r="BM52">
        <f>IF(BM$4=1,IF(OR(INDEX('×入力'!$A$1:$L$800,679+BM$3,2+BM$2)&lt;&gt;"",INDEX('×入力'!$A$1:$L$800,678,2+BM$2)&lt;&gt;"",INDEX('×入力'!$A$1:$L$800,679+BM$3,1)&lt;&gt;""),1,0),0)</f>
        <v/>
      </c>
      <c r="BN52">
        <f>IF(BN$4=1,IF(OR(INDEX('×入力'!$A$1:$L$800,679+BN$3,2+BN$2)&lt;&gt;"",INDEX('×入力'!$A$1:$L$800,678,2+BN$2)&lt;&gt;"",INDEX('×入力'!$A$1:$L$800,679+BN$3,1)&lt;&gt;""),1,0),0)</f>
        <v/>
      </c>
      <c r="BO52">
        <f>IF(BO$4=1,IF(OR(INDEX('×入力'!$A$1:$L$800,679+BO$3,2+BO$2)&lt;&gt;"",INDEX('×入力'!$A$1:$L$800,678,2+BO$2)&lt;&gt;"",INDEX('×入力'!$A$1:$L$800,679+BO$3,1)&lt;&gt;""),1,0),0)</f>
        <v/>
      </c>
      <c r="BP52">
        <f>IF(BP$4=1,IF(OR(INDEX('×入力'!$A$1:$L$800,679+BP$3,2+BP$2)&lt;&gt;"",INDEX('×入力'!$A$1:$L$800,678,2+BP$2)&lt;&gt;"",INDEX('×入力'!$A$1:$L$800,679+BP$3,1)&lt;&gt;""),1,0),0)</f>
        <v/>
      </c>
      <c r="BQ52">
        <f>IF(BQ$4=1,IF(OR(INDEX('×入力'!$A$1:$L$800,679+BQ$3,2+BQ$2)&lt;&gt;"",INDEX('×入力'!$A$1:$L$800,678,2+BQ$2)&lt;&gt;"",INDEX('×入力'!$A$1:$L$800,679+BQ$3,1)&lt;&gt;""),1,0),0)</f>
        <v/>
      </c>
      <c r="BR52">
        <f>IF(BR$4=1,IF(OR(INDEX('×入力'!$A$1:$L$800,679+BR$3,2+BR$2)&lt;&gt;"",INDEX('×入力'!$A$1:$L$800,678,2+BR$2)&lt;&gt;"",INDEX('×入力'!$A$1:$L$800,679+BR$3,1)&lt;&gt;""),1,0),0)</f>
        <v/>
      </c>
      <c r="BS52">
        <f>IF(BS$4=1,IF(OR(INDEX('×入力'!$A$1:$L$800,679+BS$3,2+BS$2)&lt;&gt;"",INDEX('×入力'!$A$1:$L$800,678,2+BS$2)&lt;&gt;"",INDEX('×入力'!$A$1:$L$800,679+BS$3,1)&lt;&gt;""),1,0),0)</f>
        <v/>
      </c>
      <c r="BT52">
        <f>IF(BT$4=1,IF(OR(INDEX('×入力'!$A$1:$L$800,679+BT$3,2+BT$2)&lt;&gt;"",INDEX('×入力'!$A$1:$L$800,678,2+BT$2)&lt;&gt;"",INDEX('×入力'!$A$1:$L$800,679+BT$3,1)&lt;&gt;""),1,0),0)</f>
        <v/>
      </c>
      <c r="BU52">
        <f>IF(BU$4=1,IF(OR(INDEX('×入力'!$A$1:$L$800,679+BU$3,2+BU$2)&lt;&gt;"",INDEX('×入力'!$A$1:$L$800,678,2+BU$2)&lt;&gt;"",INDEX('×入力'!$A$1:$L$800,679+BU$3,1)&lt;&gt;""),1,0),0)</f>
        <v/>
      </c>
      <c r="BV52">
        <f>IF(BV$4=1,IF(OR(INDEX('×入力'!$A$1:$L$800,679+BV$3,2+BV$2)&lt;&gt;"",INDEX('×入力'!$A$1:$L$800,678,2+BV$2)&lt;&gt;"",INDEX('×入力'!$A$1:$L$800,679+BV$3,1)&lt;&gt;""),1,0),0)</f>
        <v/>
      </c>
      <c r="BW52">
        <f>IF(BW$4=1,IF(OR(INDEX('×入力'!$A$1:$L$800,679+BW$3,2+BW$2)&lt;&gt;"",INDEX('×入力'!$A$1:$L$800,678,2+BW$2)&lt;&gt;"",INDEX('×入力'!$A$1:$L$800,679+BW$3,1)&lt;&gt;""),1,0),0)</f>
        <v/>
      </c>
      <c r="BX52">
        <f>IF(BX$4=1,IF(OR(INDEX('×入力'!$A$1:$L$800,679+BX$3,2+BX$2)&lt;&gt;"",INDEX('×入力'!$A$1:$L$800,678,2+BX$2)&lt;&gt;"",INDEX('×入力'!$A$1:$L$800,679+BX$3,1)&lt;&gt;""),1,0),0)</f>
        <v/>
      </c>
      <c r="BY52">
        <f>IF(BY$4=1,IF(OR(INDEX('×入力'!$A$1:$L$800,679+BY$3,2+BY$2)&lt;&gt;"",INDEX('×入力'!$A$1:$L$800,678,2+BY$2)&lt;&gt;"",INDEX('×入力'!$A$1:$L$800,679+BY$3,1)&lt;&gt;""),1,0),0)</f>
        <v/>
      </c>
      <c r="BZ52">
        <f>IF(BZ$4=1,IF(OR(INDEX('×入力'!$A$1:$L$800,679+BZ$3,2+BZ$2)&lt;&gt;"",INDEX('×入力'!$A$1:$L$800,678,2+BZ$2)&lt;&gt;"",INDEX('×入力'!$A$1:$L$800,679+BZ$3,1)&lt;&gt;""),1,0),0)</f>
        <v/>
      </c>
      <c r="CA52">
        <f>IF(CA$4=1,IF(OR(INDEX('×入力'!$A$1:$L$800,679+CA$3,2+CA$2)&lt;&gt;"",INDEX('×入力'!$A$1:$L$800,678,2+CA$2)&lt;&gt;"",INDEX('×入力'!$A$1:$L$800,679+CA$3,1)&lt;&gt;""),1,0),0)</f>
        <v/>
      </c>
      <c r="CB52">
        <f>IF(CB$4=1,IF(OR(INDEX('×入力'!$A$1:$L$800,679+CB$3,2+CB$2)&lt;&gt;"",INDEX('×入力'!$A$1:$L$800,678,2+CB$2)&lt;&gt;"",INDEX('×入力'!$A$1:$L$800,679+CB$3,1)&lt;&gt;""),1,0),0)</f>
        <v/>
      </c>
      <c r="CC52">
        <f>IF(CC$4=1,IF(OR(INDEX('×入力'!$A$1:$L$800,679+CC$3,2+CC$2)&lt;&gt;"",INDEX('×入力'!$A$1:$L$800,678,2+CC$2)&lt;&gt;"",INDEX('×入力'!$A$1:$L$800,679+CC$3,1)&lt;&gt;""),1,0),0)</f>
        <v/>
      </c>
      <c r="CD52">
        <f>IF(CD$4=1,IF(OR(INDEX('×入力'!$A$1:$L$800,679+CD$3,2+CD$2)&lt;&gt;"",INDEX('×入力'!$A$1:$L$800,678,2+CD$2)&lt;&gt;"",INDEX('×入力'!$A$1:$L$800,679+CD$3,1)&lt;&gt;""),1,0),0)</f>
        <v/>
      </c>
      <c r="CE52">
        <f>IF(CE$4=1,IF(OR(INDEX('×入力'!$A$1:$L$800,679+CE$3,2+CE$2)&lt;&gt;"",INDEX('×入力'!$A$1:$L$800,678,2+CE$2)&lt;&gt;"",INDEX('×入力'!$A$1:$L$800,679+CE$3,1)&lt;&gt;""),1,0),0)</f>
        <v/>
      </c>
      <c r="CF52">
        <f>IF(CF$4=1,IF(OR(INDEX('×入力'!$A$1:$L$800,679+CF$3,2+CF$2)&lt;&gt;"",INDEX('×入力'!$A$1:$L$800,678,2+CF$2)&lt;&gt;"",INDEX('×入力'!$A$1:$L$800,679+CF$3,1)&lt;&gt;""),1,0),0)</f>
        <v/>
      </c>
      <c r="CG52">
        <f>IF(CG$4=1,IF(OR(INDEX('×入力'!$A$1:$L$800,679+CG$3,2+CG$2)&lt;&gt;"",INDEX('×入力'!$A$1:$L$800,678,2+CG$2)&lt;&gt;"",INDEX('×入力'!$A$1:$L$800,679+CG$3,1)&lt;&gt;""),1,0),0)</f>
        <v/>
      </c>
      <c r="CH52">
        <f>IF(CH$4=1,IF(OR(INDEX('×入力'!$A$1:$L$800,679+CH$3,2+CH$2)&lt;&gt;"",INDEX('×入力'!$A$1:$L$800,678,2+CH$2)&lt;&gt;"",INDEX('×入力'!$A$1:$L$800,679+CH$3,1)&lt;&gt;""),1,0),0)</f>
        <v/>
      </c>
      <c r="CI52">
        <f>IF(CI$4=1,IF(OR(INDEX('×入力'!$A$1:$L$800,679+CI$3,2+CI$2)&lt;&gt;"",INDEX('×入力'!$A$1:$L$800,678,2+CI$2)&lt;&gt;"",INDEX('×入力'!$A$1:$L$800,679+CI$3,1)&lt;&gt;""),1,0),0)</f>
        <v/>
      </c>
      <c r="CJ52">
        <f>IF(CJ$4=1,IF(OR(INDEX('×入力'!$A$1:$L$800,679+CJ$3,2+CJ$2)&lt;&gt;"",INDEX('×入力'!$A$1:$L$800,678,2+CJ$2)&lt;&gt;"",INDEX('×入力'!$A$1:$L$800,679+CJ$3,1)&lt;&gt;""),1,0),0)</f>
        <v/>
      </c>
      <c r="CK52">
        <f>IF(CK$4=1,IF(OR(INDEX('×入力'!$A$1:$L$800,679+CK$3,2+CK$2)&lt;&gt;"",INDEX('×入力'!$A$1:$L$800,678,2+CK$2)&lt;&gt;"",INDEX('×入力'!$A$1:$L$800,679+CK$3,1)&lt;&gt;""),1,0),0)</f>
        <v/>
      </c>
      <c r="CL52">
        <f>IF(CL$4=1,IF(OR(INDEX('×入力'!$A$1:$L$800,679+CL$3,2+CL$2)&lt;&gt;"",INDEX('×入力'!$A$1:$L$800,678,2+CL$2)&lt;&gt;"",INDEX('×入力'!$A$1:$L$800,679+CL$3,1)&lt;&gt;""),1,0),0)</f>
        <v/>
      </c>
      <c r="CM52">
        <f>IF(CM$4=1,IF(OR(INDEX('×入力'!$A$1:$L$800,679+CM$3,2+CM$2)&lt;&gt;"",INDEX('×入力'!$A$1:$L$800,678,2+CM$2)&lt;&gt;"",INDEX('×入力'!$A$1:$L$800,679+CM$3,1)&lt;&gt;""),1,0),0)</f>
        <v/>
      </c>
      <c r="CN52">
        <f>IF(CN$4=1,IF(OR(INDEX('×入力'!$A$1:$L$800,679+CN$3,2+CN$2)&lt;&gt;"",INDEX('×入力'!$A$1:$L$800,678,2+CN$2)&lt;&gt;"",INDEX('×入力'!$A$1:$L$800,679+CN$3,1)&lt;&gt;""),1,0),0)</f>
        <v/>
      </c>
      <c r="CO52">
        <f>IF(CO$4=1,IF(OR(INDEX('×入力'!$A$1:$L$800,679+CO$3,2+CO$2)&lt;&gt;"",INDEX('×入力'!$A$1:$L$800,678,2+CO$2)&lt;&gt;"",INDEX('×入力'!$A$1:$L$800,679+CO$3,1)&lt;&gt;""),1,0),0)</f>
        <v/>
      </c>
      <c r="CP52">
        <f>IF(CP$4=1,IF(OR(INDEX('×入力'!$A$1:$L$800,679+CP$3,2+CP$2)&lt;&gt;"",INDEX('×入力'!$A$1:$L$800,678,2+CP$2)&lt;&gt;"",INDEX('×入力'!$A$1:$L$800,679+CP$3,1)&lt;&gt;""),1,0),0)</f>
        <v/>
      </c>
      <c r="CQ52">
        <f>IF(CQ$4=1,IF(OR(INDEX('×入力'!$A$1:$L$800,679+CQ$3,2+CQ$2)&lt;&gt;"",INDEX('×入力'!$A$1:$L$800,678,2+CQ$2)&lt;&gt;"",INDEX('×入力'!$A$1:$L$800,679+CQ$3,1)&lt;&gt;""),1,0),0)</f>
        <v/>
      </c>
      <c r="CR52">
        <f>IF(CR$4=1,IF(OR(INDEX('×入力'!$A$1:$L$800,679+CR$3,2+CR$2)&lt;&gt;"",INDEX('×入力'!$A$1:$L$800,678,2+CR$2)&lt;&gt;"",INDEX('×入力'!$A$1:$L$800,679+CR$3,1)&lt;&gt;""),1,0),0)</f>
        <v/>
      </c>
      <c r="CS52">
        <f>IF(CS$4=1,IF(OR(INDEX('×入力'!$A$1:$L$800,679+CS$3,2+CS$2)&lt;&gt;"",INDEX('×入力'!$A$1:$L$800,678,2+CS$2)&lt;&gt;"",INDEX('×入力'!$A$1:$L$800,679+CS$3,1)&lt;&gt;""),1,0),0)</f>
        <v/>
      </c>
      <c r="CT52">
        <f>IF(CT$4=1,IF(OR(INDEX('×入力'!$A$1:$L$800,679+CT$3,2+CT$2)&lt;&gt;"",INDEX('×入力'!$A$1:$L$800,678,2+CT$2)&lt;&gt;"",INDEX('×入力'!$A$1:$L$800,679+CT$3,1)&lt;&gt;""),1,0),0)</f>
        <v/>
      </c>
      <c r="CU52">
        <f>IF(CU$4=1,IF(OR(INDEX('×入力'!$A$1:$L$800,679+CU$3,2+CU$2)&lt;&gt;"",INDEX('×入力'!$A$1:$L$800,678,2+CU$2)&lt;&gt;"",INDEX('×入力'!$A$1:$L$800,679+CU$3,1)&lt;&gt;""),1,0),0)</f>
        <v/>
      </c>
      <c r="CV52">
        <f>IF(CV$4=1,IF(OR(INDEX('×入力'!$A$1:$L$800,679+CV$3,2+CV$2)&lt;&gt;"",INDEX('×入力'!$A$1:$L$800,678,2+CV$2)&lt;&gt;"",INDEX('×入力'!$A$1:$L$800,679+CV$3,1)&lt;&gt;""),1,0),0)</f>
        <v/>
      </c>
      <c r="CW52">
        <f>IF(CW$4=1,IF(OR(INDEX('×入力'!$A$1:$L$800,679+CW$3,2+CW$2)&lt;&gt;"",INDEX('×入力'!$A$1:$L$800,678,2+CW$2)&lt;&gt;"",INDEX('×入力'!$A$1:$L$800,679+CW$3,1)&lt;&gt;""),1,0),0)</f>
        <v/>
      </c>
      <c r="CX52">
        <f>IF(CX$4=1,IF(OR(INDEX('×入力'!$A$1:$L$800,679+CX$3,2+CX$2)&lt;&gt;"",INDEX('×入力'!$A$1:$L$800,678,2+CX$2)&lt;&gt;"",INDEX('×入力'!$A$1:$L$800,679+CX$3,1)&lt;&gt;""),1,0),0)</f>
        <v/>
      </c>
      <c r="CY52">
        <f>IF(CY$4=1,IF(OR(INDEX('×入力'!$A$1:$L$800,679+CY$3,2+CY$2)&lt;&gt;"",INDEX('×入力'!$A$1:$L$800,678,2+CY$2)&lt;&gt;"",INDEX('×入力'!$A$1:$L$800,679+CY$3,1)&lt;&gt;""),1,0),0)</f>
        <v/>
      </c>
      <c r="CZ52">
        <f>IF(CZ$4=1,IF(OR(INDEX('×入力'!$A$1:$L$800,679+CZ$3,2+CZ$2)&lt;&gt;"",INDEX('×入力'!$A$1:$L$800,678,2+CZ$2)&lt;&gt;"",INDEX('×入力'!$A$1:$L$800,679+CZ$3,1)&lt;&gt;""),1,0),0)</f>
        <v/>
      </c>
      <c r="DA52">
        <f>IF(DA$4=1,IF(OR(INDEX('×入力'!$A$1:$L$800,679+DA$3,2+DA$2)&lt;&gt;"",INDEX('×入力'!$A$1:$L$800,678,2+DA$2)&lt;&gt;"",INDEX('×入力'!$A$1:$L$800,679+DA$3,1)&lt;&gt;""),1,0),0)</f>
        <v/>
      </c>
      <c r="DB52">
        <f>IF(DB$4=1,IF(OR(INDEX('×入力'!$A$1:$L$800,679+DB$3,2+DB$2)&lt;&gt;"",INDEX('×入力'!$A$1:$L$800,678,2+DB$2)&lt;&gt;"",INDEX('×入力'!$A$1:$L$800,679+DB$3,1)&lt;&gt;""),1,0),0)</f>
        <v/>
      </c>
      <c r="DC52">
        <f>IF(DC$4=1,IF(OR(INDEX('×入力'!$A$1:$L$800,679+DC$3,2+DC$2)&lt;&gt;"",INDEX('×入力'!$A$1:$L$800,678,2+DC$2)&lt;&gt;"",INDEX('×入力'!$A$1:$L$800,679+DC$3,1)&lt;&gt;""),1,0),0)</f>
        <v/>
      </c>
      <c r="DD52">
        <f>IF(DD$4=1,IF(OR(INDEX('×入力'!$A$1:$L$800,679+DD$3,2+DD$2)&lt;&gt;"",INDEX('×入力'!$A$1:$L$800,678,2+DD$2)&lt;&gt;"",INDEX('×入力'!$A$1:$L$800,679+DD$3,1)&lt;&gt;""),1,0),0)</f>
        <v/>
      </c>
      <c r="DE52">
        <f>IF(DE$4=1,IF(OR(INDEX('×入力'!$A$1:$L$800,679+DE$3,2+DE$2)&lt;&gt;"",INDEX('×入力'!$A$1:$L$800,678,2+DE$2)&lt;&gt;"",INDEX('×入力'!$A$1:$L$800,679+DE$3,1)&lt;&gt;""),1,0),0)</f>
        <v/>
      </c>
      <c r="DF52">
        <f>IF(DF$4=1,IF(OR(INDEX('×入力'!$A$1:$L$800,679+DF$3,2+DF$2)&lt;&gt;"",INDEX('×入力'!$A$1:$L$800,678,2+DF$2)&lt;&gt;"",INDEX('×入力'!$A$1:$L$800,679+DF$3,1)&lt;&gt;""),1,0),0)</f>
        <v/>
      </c>
      <c r="DG52">
        <f>IF(DG$4=1,IF(OR(INDEX('×入力'!$A$1:$L$800,679+DG$3,2+DG$2)&lt;&gt;"",INDEX('×入力'!$A$1:$L$800,678,2+DG$2)&lt;&gt;"",INDEX('×入力'!$A$1:$L$800,679+DG$3,1)&lt;&gt;""),1,0),0)</f>
        <v/>
      </c>
      <c r="DH52">
        <f>IF(DH$4=1,IF(OR(INDEX('×入力'!$A$1:$L$800,679+DH$3,2+DH$2)&lt;&gt;"",INDEX('×入力'!$A$1:$L$800,678,2+DH$2)&lt;&gt;"",INDEX('×入力'!$A$1:$L$800,679+DH$3,1)&lt;&gt;""),1,0),0)</f>
        <v/>
      </c>
      <c r="DI52">
        <f>IF(DI$4=1,IF(OR(INDEX('×入力'!$A$1:$L$800,679+DI$3,2+DI$2)&lt;&gt;"",INDEX('×入力'!$A$1:$L$800,678,2+DI$2)&lt;&gt;"",INDEX('×入力'!$A$1:$L$800,679+DI$3,1)&lt;&gt;""),1,0),0)</f>
        <v/>
      </c>
      <c r="DJ52">
        <f>IF(DJ$4=1,IF(OR(INDEX('×入力'!$A$1:$L$800,679+DJ$3,2+DJ$2)&lt;&gt;"",INDEX('×入力'!$A$1:$L$800,678,2+DJ$2)&lt;&gt;"",INDEX('×入力'!$A$1:$L$800,679+DJ$3,1)&lt;&gt;""),1,0),0)</f>
        <v/>
      </c>
      <c r="DK52">
        <f>IF(DK$4=1,IF(OR(INDEX('×入力'!$A$1:$L$800,679+DK$3,2+DK$2)&lt;&gt;"",INDEX('×入力'!$A$1:$L$800,678,2+DK$2)&lt;&gt;"",INDEX('×入力'!$A$1:$L$800,679+DK$3,1)&lt;&gt;""),1,0),0)</f>
        <v/>
      </c>
      <c r="DL52">
        <f>IF(DL$4=1,IF(OR(INDEX('×入力'!$A$1:$L$800,679+DL$3,2+DL$2)&lt;&gt;"",INDEX('×入力'!$A$1:$L$800,678,2+DL$2)&lt;&gt;"",INDEX('×入力'!$A$1:$L$800,679+DL$3,1)&lt;&gt;""),1,0),0)</f>
        <v/>
      </c>
      <c r="DM52">
        <f>IF(DM$4=1,IF(OR(INDEX('×入力'!$A$1:$L$800,679+DM$3,2+DM$2)&lt;&gt;"",INDEX('×入力'!$A$1:$L$800,678,2+DM$2)&lt;&gt;"",INDEX('×入力'!$A$1:$L$800,679+DM$3,1)&lt;&gt;""),1,0),0)</f>
        <v/>
      </c>
      <c r="DN52">
        <f>IF(DN$4=1,IF(OR(INDEX('×入力'!$A$1:$L$800,679+DN$3,2+DN$2)&lt;&gt;"",INDEX('×入力'!$A$1:$L$800,678,2+DN$2)&lt;&gt;"",INDEX('×入力'!$A$1:$L$800,679+DN$3,1)&lt;&gt;""),1,0),0)</f>
        <v/>
      </c>
      <c r="DO52">
        <f>IF(DO$4=1,IF(OR(INDEX('×入力'!$A$1:$L$800,679+DO$3,2+DO$2)&lt;&gt;"",INDEX('×入力'!$A$1:$L$800,678,2+DO$2)&lt;&gt;"",INDEX('×入力'!$A$1:$L$800,679+DO$3,1)&lt;&gt;""),1,0),0)</f>
        <v/>
      </c>
      <c r="DP52">
        <f>IF(DP$4=1,IF(OR(INDEX('×入力'!$A$1:$L$800,679+DP$3,2+DP$2)&lt;&gt;"",INDEX('×入力'!$A$1:$L$800,678,2+DP$2)&lt;&gt;"",INDEX('×入力'!$A$1:$L$800,679+DP$3,1)&lt;&gt;""),1,0),0)</f>
        <v/>
      </c>
      <c r="DQ52">
        <f>IF(DQ$4=1,IF(OR(INDEX('×入力'!$A$1:$L$800,679+DQ$3,2+DQ$2)&lt;&gt;"",INDEX('×入力'!$A$1:$L$800,678,2+DQ$2)&lt;&gt;"",INDEX('×入力'!$A$1:$L$800,679+DQ$3,1)&lt;&gt;""),1,0),0)</f>
        <v/>
      </c>
      <c r="DR52">
        <f>IF(DR$4=1,IF(OR(INDEX('×入力'!$A$1:$L$800,679+DR$3,2+DR$2)&lt;&gt;"",INDEX('×入力'!$A$1:$L$800,678,2+DR$2)&lt;&gt;"",INDEX('×入力'!$A$1:$L$800,679+DR$3,1)&lt;&gt;""),1,0),0)</f>
        <v/>
      </c>
      <c r="DS52">
        <f>IF(DS$4=1,IF(OR(INDEX('×入力'!$A$1:$L$800,679+DS$3,2+DS$2)&lt;&gt;"",INDEX('×入力'!$A$1:$L$800,678,2+DS$2)&lt;&gt;"",INDEX('×入力'!$A$1:$L$800,679+DS$3,1)&lt;&gt;""),1,0),0)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IF(D$4=1,IF(OR(INDEX('×入力'!$A$1:$L$800,695+D$3,2+D$2)&lt;&gt;"",INDEX('×入力'!$A$1:$L$800,694,2+D$2)&lt;&gt;"",INDEX('×入力'!$A$1:$L$800,695+D$3,1)&lt;&gt;""),1,0),0)</f>
        <v/>
      </c>
      <c r="E53">
        <f>IF(E$4=1,IF(OR(INDEX('×入力'!$A$1:$L$800,695+E$3,2+E$2)&lt;&gt;"",INDEX('×入力'!$A$1:$L$800,694,2+E$2)&lt;&gt;"",INDEX('×入力'!$A$1:$L$800,695+E$3,1)&lt;&gt;""),1,0),0)</f>
        <v/>
      </c>
      <c r="F53">
        <f>IF(F$4=1,IF(OR(INDEX('×入力'!$A$1:$L$800,695+F$3,2+F$2)&lt;&gt;"",INDEX('×入力'!$A$1:$L$800,694,2+F$2)&lt;&gt;"",INDEX('×入力'!$A$1:$L$800,695+F$3,1)&lt;&gt;""),1,0),0)</f>
        <v/>
      </c>
      <c r="G53">
        <f>IF(G$4=1,IF(OR(INDEX('×入力'!$A$1:$L$800,695+G$3,2+G$2)&lt;&gt;"",INDEX('×入力'!$A$1:$L$800,694,2+G$2)&lt;&gt;"",INDEX('×入力'!$A$1:$L$800,695+G$3,1)&lt;&gt;""),1,0),0)</f>
        <v/>
      </c>
      <c r="H53">
        <f>IF(H$4=1,IF(OR(INDEX('×入力'!$A$1:$L$800,695+H$3,2+H$2)&lt;&gt;"",INDEX('×入力'!$A$1:$L$800,694,2+H$2)&lt;&gt;"",INDEX('×入力'!$A$1:$L$800,695+H$3,1)&lt;&gt;""),1,0),0)</f>
        <v/>
      </c>
      <c r="I53">
        <f>IF(I$4=1,IF(OR(INDEX('×入力'!$A$1:$L$800,695+I$3,2+I$2)&lt;&gt;"",INDEX('×入力'!$A$1:$L$800,694,2+I$2)&lt;&gt;"",INDEX('×入力'!$A$1:$L$800,695+I$3,1)&lt;&gt;""),1,0),0)</f>
        <v/>
      </c>
      <c r="J53">
        <f>IF(J$4=1,IF(OR(INDEX('×入力'!$A$1:$L$800,695+J$3,2+J$2)&lt;&gt;"",INDEX('×入力'!$A$1:$L$800,694,2+J$2)&lt;&gt;"",INDEX('×入力'!$A$1:$L$800,695+J$3,1)&lt;&gt;""),1,0),0)</f>
        <v/>
      </c>
      <c r="K53">
        <f>IF(K$4=1,IF(OR(INDEX('×入力'!$A$1:$L$800,695+K$3,2+K$2)&lt;&gt;"",INDEX('×入力'!$A$1:$L$800,694,2+K$2)&lt;&gt;"",INDEX('×入力'!$A$1:$L$800,695+K$3,1)&lt;&gt;""),1,0),0)</f>
        <v/>
      </c>
      <c r="L53">
        <f>IF(L$4=1,IF(OR(INDEX('×入力'!$A$1:$L$800,695+L$3,2+L$2)&lt;&gt;"",INDEX('×入力'!$A$1:$L$800,694,2+L$2)&lt;&gt;"",INDEX('×入力'!$A$1:$L$800,695+L$3,1)&lt;&gt;""),1,0),0)</f>
        <v/>
      </c>
      <c r="M53">
        <f>IF(M$4=1,IF(OR(INDEX('×入力'!$A$1:$L$800,695+M$3,2+M$2)&lt;&gt;"",INDEX('×入力'!$A$1:$L$800,694,2+M$2)&lt;&gt;"",INDEX('×入力'!$A$1:$L$800,695+M$3,1)&lt;&gt;""),1,0),0)</f>
        <v/>
      </c>
      <c r="N53">
        <f>IF(N$4=1,IF(OR(INDEX('×入力'!$A$1:$L$800,695+N$3,2+N$2)&lt;&gt;"",INDEX('×入力'!$A$1:$L$800,694,2+N$2)&lt;&gt;"",INDEX('×入力'!$A$1:$L$800,695+N$3,1)&lt;&gt;""),1,0),0)</f>
        <v/>
      </c>
      <c r="O53">
        <f>IF(O$4=1,IF(OR(INDEX('×入力'!$A$1:$L$800,695+O$3,2+O$2)&lt;&gt;"",INDEX('×入力'!$A$1:$L$800,694,2+O$2)&lt;&gt;"",INDEX('×入力'!$A$1:$L$800,695+O$3,1)&lt;&gt;""),1,0),0)</f>
        <v/>
      </c>
      <c r="P53">
        <f>IF(P$4=1,IF(OR(INDEX('×入力'!$A$1:$L$800,695+P$3,2+P$2)&lt;&gt;"",INDEX('×入力'!$A$1:$L$800,694,2+P$2)&lt;&gt;"",INDEX('×入力'!$A$1:$L$800,695+P$3,1)&lt;&gt;""),1,0),0)</f>
        <v/>
      </c>
      <c r="Q53">
        <f>IF(Q$4=1,IF(OR(INDEX('×入力'!$A$1:$L$800,695+Q$3,2+Q$2)&lt;&gt;"",INDEX('×入力'!$A$1:$L$800,694,2+Q$2)&lt;&gt;"",INDEX('×入力'!$A$1:$L$800,695+Q$3,1)&lt;&gt;""),1,0),0)</f>
        <v/>
      </c>
      <c r="R53">
        <f>IF(R$4=1,IF(OR(INDEX('×入力'!$A$1:$L$800,695+R$3,2+R$2)&lt;&gt;"",INDEX('×入力'!$A$1:$L$800,694,2+R$2)&lt;&gt;"",INDEX('×入力'!$A$1:$L$800,695+R$3,1)&lt;&gt;""),1,0),0)</f>
        <v/>
      </c>
      <c r="S53">
        <f>IF(S$4=1,IF(OR(INDEX('×入力'!$A$1:$L$800,695+S$3,2+S$2)&lt;&gt;"",INDEX('×入力'!$A$1:$L$800,694,2+S$2)&lt;&gt;"",INDEX('×入力'!$A$1:$L$800,695+S$3,1)&lt;&gt;""),1,0),0)</f>
        <v/>
      </c>
      <c r="T53">
        <f>IF(T$4=1,IF(OR(INDEX('×入力'!$A$1:$L$800,695+T$3,2+T$2)&lt;&gt;"",INDEX('×入力'!$A$1:$L$800,694,2+T$2)&lt;&gt;"",INDEX('×入力'!$A$1:$L$800,695+T$3,1)&lt;&gt;""),1,0),0)</f>
        <v/>
      </c>
      <c r="U53">
        <f>IF(U$4=1,IF(OR(INDEX('×入力'!$A$1:$L$800,695+U$3,2+U$2)&lt;&gt;"",INDEX('×入力'!$A$1:$L$800,694,2+U$2)&lt;&gt;"",INDEX('×入力'!$A$1:$L$800,695+U$3,1)&lt;&gt;""),1,0),0)</f>
        <v/>
      </c>
      <c r="V53">
        <f>IF(V$4=1,IF(OR(INDEX('×入力'!$A$1:$L$800,695+V$3,2+V$2)&lt;&gt;"",INDEX('×入力'!$A$1:$L$800,694,2+V$2)&lt;&gt;"",INDEX('×入力'!$A$1:$L$800,695+V$3,1)&lt;&gt;""),1,0),0)</f>
        <v/>
      </c>
      <c r="W53">
        <f>IF(W$4=1,IF(OR(INDEX('×入力'!$A$1:$L$800,695+W$3,2+W$2)&lt;&gt;"",INDEX('×入力'!$A$1:$L$800,694,2+W$2)&lt;&gt;"",INDEX('×入力'!$A$1:$L$800,695+W$3,1)&lt;&gt;""),1,0),0)</f>
        <v/>
      </c>
      <c r="X53">
        <f>IF(X$4=1,IF(OR(INDEX('×入力'!$A$1:$L$800,695+X$3,2+X$2)&lt;&gt;"",INDEX('×入力'!$A$1:$L$800,694,2+X$2)&lt;&gt;"",INDEX('×入力'!$A$1:$L$800,695+X$3,1)&lt;&gt;""),1,0),0)</f>
        <v/>
      </c>
      <c r="Y53">
        <f>IF(Y$4=1,IF(OR(INDEX('×入力'!$A$1:$L$800,695+Y$3,2+Y$2)&lt;&gt;"",INDEX('×入力'!$A$1:$L$800,694,2+Y$2)&lt;&gt;"",INDEX('×入力'!$A$1:$L$800,695+Y$3,1)&lt;&gt;""),1,0),0)</f>
        <v/>
      </c>
      <c r="Z53">
        <f>IF(Z$4=1,IF(OR(INDEX('×入力'!$A$1:$L$800,695+Z$3,2+Z$2)&lt;&gt;"",INDEX('×入力'!$A$1:$L$800,694,2+Z$2)&lt;&gt;"",INDEX('×入力'!$A$1:$L$800,695+Z$3,1)&lt;&gt;""),1,0),0)</f>
        <v/>
      </c>
      <c r="AA53">
        <f>IF(AA$4=1,IF(OR(INDEX('×入力'!$A$1:$L$800,695+AA$3,2+AA$2)&lt;&gt;"",INDEX('×入力'!$A$1:$L$800,694,2+AA$2)&lt;&gt;"",INDEX('×入力'!$A$1:$L$800,695+AA$3,1)&lt;&gt;""),1,0),0)</f>
        <v/>
      </c>
      <c r="AB53">
        <f>IF(AB$4=1,IF(OR(INDEX('×入力'!$A$1:$L$800,695+AB$3,2+AB$2)&lt;&gt;"",INDEX('×入力'!$A$1:$L$800,694,2+AB$2)&lt;&gt;"",INDEX('×入力'!$A$1:$L$800,695+AB$3,1)&lt;&gt;""),1,0),0)</f>
        <v/>
      </c>
      <c r="AC53">
        <f>IF(AC$4=1,IF(OR(INDEX('×入力'!$A$1:$L$800,695+AC$3,2+AC$2)&lt;&gt;"",INDEX('×入力'!$A$1:$L$800,694,2+AC$2)&lt;&gt;"",INDEX('×入力'!$A$1:$L$800,695+AC$3,1)&lt;&gt;""),1,0),0)</f>
        <v/>
      </c>
      <c r="AD53">
        <f>IF(AD$4=1,IF(OR(INDEX('×入力'!$A$1:$L$800,695+AD$3,2+AD$2)&lt;&gt;"",INDEX('×入力'!$A$1:$L$800,694,2+AD$2)&lt;&gt;"",INDEX('×入力'!$A$1:$L$800,695+AD$3,1)&lt;&gt;""),1,0),0)</f>
        <v/>
      </c>
      <c r="AE53">
        <f>IF(AE$4=1,IF(OR(INDEX('×入力'!$A$1:$L$800,695+AE$3,2+AE$2)&lt;&gt;"",INDEX('×入力'!$A$1:$L$800,694,2+AE$2)&lt;&gt;"",INDEX('×入力'!$A$1:$L$800,695+AE$3,1)&lt;&gt;""),1,0),0)</f>
        <v/>
      </c>
      <c r="AF53">
        <f>IF(AF$4=1,IF(OR(INDEX('×入力'!$A$1:$L$800,695+AF$3,2+AF$2)&lt;&gt;"",INDEX('×入力'!$A$1:$L$800,694,2+AF$2)&lt;&gt;"",INDEX('×入力'!$A$1:$L$800,695+AF$3,1)&lt;&gt;""),1,0),0)</f>
        <v/>
      </c>
      <c r="AG53">
        <f>IF(AG$4=1,IF(OR(INDEX('×入力'!$A$1:$L$800,695+AG$3,2+AG$2)&lt;&gt;"",INDEX('×入力'!$A$1:$L$800,694,2+AG$2)&lt;&gt;"",INDEX('×入力'!$A$1:$L$800,695+AG$3,1)&lt;&gt;""),1,0),0)</f>
        <v/>
      </c>
      <c r="AH53">
        <f>IF(AH$4=1,IF(OR(INDEX('×入力'!$A$1:$L$800,695+AH$3,2+AH$2)&lt;&gt;"",INDEX('×入力'!$A$1:$L$800,694,2+AH$2)&lt;&gt;"",INDEX('×入力'!$A$1:$L$800,695+AH$3,1)&lt;&gt;""),1,0),0)</f>
        <v/>
      </c>
      <c r="AI53">
        <f>IF(AI$4=1,IF(OR(INDEX('×入力'!$A$1:$L$800,695+AI$3,2+AI$2)&lt;&gt;"",INDEX('×入力'!$A$1:$L$800,694,2+AI$2)&lt;&gt;"",INDEX('×入力'!$A$1:$L$800,695+AI$3,1)&lt;&gt;""),1,0),0)</f>
        <v/>
      </c>
      <c r="AJ53">
        <f>IF(AJ$4=1,IF(OR(INDEX('×入力'!$A$1:$L$800,695+AJ$3,2+AJ$2)&lt;&gt;"",INDEX('×入力'!$A$1:$L$800,694,2+AJ$2)&lt;&gt;"",INDEX('×入力'!$A$1:$L$800,695+AJ$3,1)&lt;&gt;""),1,0),0)</f>
        <v/>
      </c>
      <c r="AK53">
        <f>IF(AK$4=1,IF(OR(INDEX('×入力'!$A$1:$L$800,695+AK$3,2+AK$2)&lt;&gt;"",INDEX('×入力'!$A$1:$L$800,694,2+AK$2)&lt;&gt;"",INDEX('×入力'!$A$1:$L$800,695+AK$3,1)&lt;&gt;""),1,0),0)</f>
        <v/>
      </c>
      <c r="AL53">
        <f>IF(AL$4=1,IF(OR(INDEX('×入力'!$A$1:$L$800,695+AL$3,2+AL$2)&lt;&gt;"",INDEX('×入力'!$A$1:$L$800,694,2+AL$2)&lt;&gt;"",INDEX('×入力'!$A$1:$L$800,695+AL$3,1)&lt;&gt;""),1,0),0)</f>
        <v/>
      </c>
      <c r="AM53">
        <f>IF(AM$4=1,IF(OR(INDEX('×入力'!$A$1:$L$800,695+AM$3,2+AM$2)&lt;&gt;"",INDEX('×入力'!$A$1:$L$800,694,2+AM$2)&lt;&gt;"",INDEX('×入力'!$A$1:$L$800,695+AM$3,1)&lt;&gt;""),1,0),0)</f>
        <v/>
      </c>
      <c r="AN53">
        <f>IF(AN$4=1,IF(OR(INDEX('×入力'!$A$1:$L$800,695+AN$3,2+AN$2)&lt;&gt;"",INDEX('×入力'!$A$1:$L$800,694,2+AN$2)&lt;&gt;"",INDEX('×入力'!$A$1:$L$800,695+AN$3,1)&lt;&gt;""),1,0),0)</f>
        <v/>
      </c>
      <c r="AO53">
        <f>IF(AO$4=1,IF(OR(INDEX('×入力'!$A$1:$L$800,695+AO$3,2+AO$2)&lt;&gt;"",INDEX('×入力'!$A$1:$L$800,694,2+AO$2)&lt;&gt;"",INDEX('×入力'!$A$1:$L$800,695+AO$3,1)&lt;&gt;""),1,0),0)</f>
        <v/>
      </c>
      <c r="AP53">
        <f>IF(AP$4=1,IF(OR(INDEX('×入力'!$A$1:$L$800,695+AP$3,2+AP$2)&lt;&gt;"",INDEX('×入力'!$A$1:$L$800,694,2+AP$2)&lt;&gt;"",INDEX('×入力'!$A$1:$L$800,695+AP$3,1)&lt;&gt;""),1,0),0)</f>
        <v/>
      </c>
      <c r="AQ53">
        <f>IF(AQ$4=1,IF(OR(INDEX('×入力'!$A$1:$L$800,695+AQ$3,2+AQ$2)&lt;&gt;"",INDEX('×入力'!$A$1:$L$800,694,2+AQ$2)&lt;&gt;"",INDEX('×入力'!$A$1:$L$800,695+AQ$3,1)&lt;&gt;""),1,0),0)</f>
        <v/>
      </c>
      <c r="AR53">
        <f>IF(AR$4=1,IF(OR(INDEX('×入力'!$A$1:$L$800,695+AR$3,2+AR$2)&lt;&gt;"",INDEX('×入力'!$A$1:$L$800,694,2+AR$2)&lt;&gt;"",INDEX('×入力'!$A$1:$L$800,695+AR$3,1)&lt;&gt;""),1,0),0)</f>
        <v/>
      </c>
      <c r="AS53">
        <f>IF(AS$4=1,IF(OR(INDEX('×入力'!$A$1:$L$800,695+AS$3,2+AS$2)&lt;&gt;"",INDEX('×入力'!$A$1:$L$800,694,2+AS$2)&lt;&gt;"",INDEX('×入力'!$A$1:$L$800,695+AS$3,1)&lt;&gt;""),1,0),0)</f>
        <v/>
      </c>
      <c r="AT53">
        <f>IF(AT$4=1,IF(OR(INDEX('×入力'!$A$1:$L$800,695+AT$3,2+AT$2)&lt;&gt;"",INDEX('×入力'!$A$1:$L$800,694,2+AT$2)&lt;&gt;"",INDEX('×入力'!$A$1:$L$800,695+AT$3,1)&lt;&gt;""),1,0),0)</f>
        <v/>
      </c>
      <c r="AU53">
        <f>IF(AU$4=1,IF(OR(INDEX('×入力'!$A$1:$L$800,695+AU$3,2+AU$2)&lt;&gt;"",INDEX('×入力'!$A$1:$L$800,694,2+AU$2)&lt;&gt;"",INDEX('×入力'!$A$1:$L$800,695+AU$3,1)&lt;&gt;""),1,0),0)</f>
        <v/>
      </c>
      <c r="AV53">
        <f>IF(AV$4=1,IF(OR(INDEX('×入力'!$A$1:$L$800,695+AV$3,2+AV$2)&lt;&gt;"",INDEX('×入力'!$A$1:$L$800,694,2+AV$2)&lt;&gt;"",INDEX('×入力'!$A$1:$L$800,695+AV$3,1)&lt;&gt;""),1,0),0)</f>
        <v/>
      </c>
      <c r="AW53">
        <f>IF(AW$4=1,IF(OR(INDEX('×入力'!$A$1:$L$800,695+AW$3,2+AW$2)&lt;&gt;"",INDEX('×入力'!$A$1:$L$800,694,2+AW$2)&lt;&gt;"",INDEX('×入力'!$A$1:$L$800,695+AW$3,1)&lt;&gt;""),1,0),0)</f>
        <v/>
      </c>
      <c r="AX53">
        <f>IF(AX$4=1,IF(OR(INDEX('×入力'!$A$1:$L$800,695+AX$3,2+AX$2)&lt;&gt;"",INDEX('×入力'!$A$1:$L$800,694,2+AX$2)&lt;&gt;"",INDEX('×入力'!$A$1:$L$800,695+AX$3,1)&lt;&gt;""),1,0),0)</f>
        <v/>
      </c>
      <c r="AY53">
        <f>IF(AY$4=1,IF(OR(INDEX('×入力'!$A$1:$L$800,695+AY$3,2+AY$2)&lt;&gt;"",INDEX('×入力'!$A$1:$L$800,694,2+AY$2)&lt;&gt;"",INDEX('×入力'!$A$1:$L$800,695+AY$3,1)&lt;&gt;""),1,0),0)</f>
        <v/>
      </c>
      <c r="AZ53">
        <f>IF(AZ$4=1,IF(OR(INDEX('×入力'!$A$1:$L$800,695+AZ$3,2+AZ$2)&lt;&gt;"",INDEX('×入力'!$A$1:$L$800,694,2+AZ$2)&lt;&gt;"",INDEX('×入力'!$A$1:$L$800,695+AZ$3,1)&lt;&gt;""),1,0),0)</f>
        <v/>
      </c>
      <c r="BA53">
        <f>IF(BA$4=1,IF(OR(INDEX('×入力'!$A$1:$L$800,695+BA$3,2+BA$2)&lt;&gt;"",INDEX('×入力'!$A$1:$L$800,694,2+BA$2)&lt;&gt;"",INDEX('×入力'!$A$1:$L$800,695+BA$3,1)&lt;&gt;""),1,0),0)</f>
        <v/>
      </c>
      <c r="BB53">
        <f>IF(BB$4=1,IF(OR(INDEX('×入力'!$A$1:$L$800,695+BB$3,2+BB$2)&lt;&gt;"",INDEX('×入力'!$A$1:$L$800,694,2+BB$2)&lt;&gt;"",INDEX('×入力'!$A$1:$L$800,695+BB$3,1)&lt;&gt;""),1,0),0)</f>
        <v/>
      </c>
      <c r="BC53">
        <f>IF(BC$4=1,IF(OR(INDEX('×入力'!$A$1:$L$800,695+BC$3,2+BC$2)&lt;&gt;"",INDEX('×入力'!$A$1:$L$800,694,2+BC$2)&lt;&gt;"",INDEX('×入力'!$A$1:$L$800,695+BC$3,1)&lt;&gt;""),1,0),0)</f>
        <v/>
      </c>
      <c r="BD53">
        <f>IF(BD$4=1,IF(OR(INDEX('×入力'!$A$1:$L$800,695+BD$3,2+BD$2)&lt;&gt;"",INDEX('×入力'!$A$1:$L$800,694,2+BD$2)&lt;&gt;"",INDEX('×入力'!$A$1:$L$800,695+BD$3,1)&lt;&gt;""),1,0),0)</f>
        <v/>
      </c>
      <c r="BE53">
        <f>IF(BE$4=1,IF(OR(INDEX('×入力'!$A$1:$L$800,695+BE$3,2+BE$2)&lt;&gt;"",INDEX('×入力'!$A$1:$L$800,694,2+BE$2)&lt;&gt;"",INDEX('×入力'!$A$1:$L$800,695+BE$3,1)&lt;&gt;""),1,0),0)</f>
        <v/>
      </c>
      <c r="BF53">
        <f>IF(BF$4=1,IF(OR(INDEX('×入力'!$A$1:$L$800,695+BF$3,2+BF$2)&lt;&gt;"",INDEX('×入力'!$A$1:$L$800,694,2+BF$2)&lt;&gt;"",INDEX('×入力'!$A$1:$L$800,695+BF$3,1)&lt;&gt;""),1,0),0)</f>
        <v/>
      </c>
      <c r="BG53">
        <f>IF(BG$4=1,IF(OR(INDEX('×入力'!$A$1:$L$800,695+BG$3,2+BG$2)&lt;&gt;"",INDEX('×入力'!$A$1:$L$800,694,2+BG$2)&lt;&gt;"",INDEX('×入力'!$A$1:$L$800,695+BG$3,1)&lt;&gt;""),1,0),0)</f>
        <v/>
      </c>
      <c r="BH53">
        <f>IF(BH$4=1,IF(OR(INDEX('×入力'!$A$1:$L$800,695+BH$3,2+BH$2)&lt;&gt;"",INDEX('×入力'!$A$1:$L$800,694,2+BH$2)&lt;&gt;"",INDEX('×入力'!$A$1:$L$800,695+BH$3,1)&lt;&gt;""),1,0),0)</f>
        <v/>
      </c>
      <c r="BI53">
        <f>IF(BI$4=1,IF(OR(INDEX('×入力'!$A$1:$L$800,695+BI$3,2+BI$2)&lt;&gt;"",INDEX('×入力'!$A$1:$L$800,694,2+BI$2)&lt;&gt;"",INDEX('×入力'!$A$1:$L$800,695+BI$3,1)&lt;&gt;""),1,0),0)</f>
        <v/>
      </c>
      <c r="BJ53">
        <f>IF(BJ$4=1,IF(OR(INDEX('×入力'!$A$1:$L$800,695+BJ$3,2+BJ$2)&lt;&gt;"",INDEX('×入力'!$A$1:$L$800,694,2+BJ$2)&lt;&gt;"",INDEX('×入力'!$A$1:$L$800,695+BJ$3,1)&lt;&gt;""),1,0),0)</f>
        <v/>
      </c>
      <c r="BK53">
        <f>IF(BK$4=1,IF(OR(INDEX('×入力'!$A$1:$L$800,695+BK$3,2+BK$2)&lt;&gt;"",INDEX('×入力'!$A$1:$L$800,694,2+BK$2)&lt;&gt;"",INDEX('×入力'!$A$1:$L$800,695+BK$3,1)&lt;&gt;""),1,0),0)</f>
        <v/>
      </c>
      <c r="BL53">
        <f>IF(BL$4=1,IF(OR(INDEX('×入力'!$A$1:$L$800,695+BL$3,2+BL$2)&lt;&gt;"",INDEX('×入力'!$A$1:$L$800,694,2+BL$2)&lt;&gt;"",INDEX('×入力'!$A$1:$L$800,695+BL$3,1)&lt;&gt;""),1,0),0)</f>
        <v/>
      </c>
      <c r="BM53">
        <f>IF(BM$4=1,IF(OR(INDEX('×入力'!$A$1:$L$800,695+BM$3,2+BM$2)&lt;&gt;"",INDEX('×入力'!$A$1:$L$800,694,2+BM$2)&lt;&gt;"",INDEX('×入力'!$A$1:$L$800,695+BM$3,1)&lt;&gt;""),1,0),0)</f>
        <v/>
      </c>
      <c r="BN53">
        <f>IF(BN$4=1,IF(OR(INDEX('×入力'!$A$1:$L$800,695+BN$3,2+BN$2)&lt;&gt;"",INDEX('×入力'!$A$1:$L$800,694,2+BN$2)&lt;&gt;"",INDEX('×入力'!$A$1:$L$800,695+BN$3,1)&lt;&gt;""),1,0),0)</f>
        <v/>
      </c>
      <c r="BO53">
        <f>IF(BO$4=1,IF(OR(INDEX('×入力'!$A$1:$L$800,695+BO$3,2+BO$2)&lt;&gt;"",INDEX('×入力'!$A$1:$L$800,694,2+BO$2)&lt;&gt;"",INDEX('×入力'!$A$1:$L$800,695+BO$3,1)&lt;&gt;""),1,0),0)</f>
        <v/>
      </c>
      <c r="BP53">
        <f>IF(BP$4=1,IF(OR(INDEX('×入力'!$A$1:$L$800,695+BP$3,2+BP$2)&lt;&gt;"",INDEX('×入力'!$A$1:$L$800,694,2+BP$2)&lt;&gt;"",INDEX('×入力'!$A$1:$L$800,695+BP$3,1)&lt;&gt;""),1,0),0)</f>
        <v/>
      </c>
      <c r="BQ53">
        <f>IF(BQ$4=1,IF(OR(INDEX('×入力'!$A$1:$L$800,695+BQ$3,2+BQ$2)&lt;&gt;"",INDEX('×入力'!$A$1:$L$800,694,2+BQ$2)&lt;&gt;"",INDEX('×入力'!$A$1:$L$800,695+BQ$3,1)&lt;&gt;""),1,0),0)</f>
        <v/>
      </c>
      <c r="BR53">
        <f>IF(BR$4=1,IF(OR(INDEX('×入力'!$A$1:$L$800,695+BR$3,2+BR$2)&lt;&gt;"",INDEX('×入力'!$A$1:$L$800,694,2+BR$2)&lt;&gt;"",INDEX('×入力'!$A$1:$L$800,695+BR$3,1)&lt;&gt;""),1,0),0)</f>
        <v/>
      </c>
      <c r="BS53">
        <f>IF(BS$4=1,IF(OR(INDEX('×入力'!$A$1:$L$800,695+BS$3,2+BS$2)&lt;&gt;"",INDEX('×入力'!$A$1:$L$800,694,2+BS$2)&lt;&gt;"",INDEX('×入力'!$A$1:$L$800,695+BS$3,1)&lt;&gt;""),1,0),0)</f>
        <v/>
      </c>
      <c r="BT53">
        <f>IF(BT$4=1,IF(OR(INDEX('×入力'!$A$1:$L$800,695+BT$3,2+BT$2)&lt;&gt;"",INDEX('×入力'!$A$1:$L$800,694,2+BT$2)&lt;&gt;"",INDEX('×入力'!$A$1:$L$800,695+BT$3,1)&lt;&gt;""),1,0),0)</f>
        <v/>
      </c>
      <c r="BU53">
        <f>IF(BU$4=1,IF(OR(INDEX('×入力'!$A$1:$L$800,695+BU$3,2+BU$2)&lt;&gt;"",INDEX('×入力'!$A$1:$L$800,694,2+BU$2)&lt;&gt;"",INDEX('×入力'!$A$1:$L$800,695+BU$3,1)&lt;&gt;""),1,0),0)</f>
        <v/>
      </c>
      <c r="BV53">
        <f>IF(BV$4=1,IF(OR(INDEX('×入力'!$A$1:$L$800,695+BV$3,2+BV$2)&lt;&gt;"",INDEX('×入力'!$A$1:$L$800,694,2+BV$2)&lt;&gt;"",INDEX('×入力'!$A$1:$L$800,695+BV$3,1)&lt;&gt;""),1,0),0)</f>
        <v/>
      </c>
      <c r="BW53">
        <f>IF(BW$4=1,IF(OR(INDEX('×入力'!$A$1:$L$800,695+BW$3,2+BW$2)&lt;&gt;"",INDEX('×入力'!$A$1:$L$800,694,2+BW$2)&lt;&gt;"",INDEX('×入力'!$A$1:$L$800,695+BW$3,1)&lt;&gt;""),1,0),0)</f>
        <v/>
      </c>
      <c r="BX53">
        <f>IF(BX$4=1,IF(OR(INDEX('×入力'!$A$1:$L$800,695+BX$3,2+BX$2)&lt;&gt;"",INDEX('×入力'!$A$1:$L$800,694,2+BX$2)&lt;&gt;"",INDEX('×入力'!$A$1:$L$800,695+BX$3,1)&lt;&gt;""),1,0),0)</f>
        <v/>
      </c>
      <c r="BY53">
        <f>IF(BY$4=1,IF(OR(INDEX('×入力'!$A$1:$L$800,695+BY$3,2+BY$2)&lt;&gt;"",INDEX('×入力'!$A$1:$L$800,694,2+BY$2)&lt;&gt;"",INDEX('×入力'!$A$1:$L$800,695+BY$3,1)&lt;&gt;""),1,0),0)</f>
        <v/>
      </c>
      <c r="BZ53">
        <f>IF(BZ$4=1,IF(OR(INDEX('×入力'!$A$1:$L$800,695+BZ$3,2+BZ$2)&lt;&gt;"",INDEX('×入力'!$A$1:$L$800,694,2+BZ$2)&lt;&gt;"",INDEX('×入力'!$A$1:$L$800,695+BZ$3,1)&lt;&gt;""),1,0),0)</f>
        <v/>
      </c>
      <c r="CA53">
        <f>IF(CA$4=1,IF(OR(INDEX('×入力'!$A$1:$L$800,695+CA$3,2+CA$2)&lt;&gt;"",INDEX('×入力'!$A$1:$L$800,694,2+CA$2)&lt;&gt;"",INDEX('×入力'!$A$1:$L$800,695+CA$3,1)&lt;&gt;""),1,0),0)</f>
        <v/>
      </c>
      <c r="CB53">
        <f>IF(CB$4=1,IF(OR(INDEX('×入力'!$A$1:$L$800,695+CB$3,2+CB$2)&lt;&gt;"",INDEX('×入力'!$A$1:$L$800,694,2+CB$2)&lt;&gt;"",INDEX('×入力'!$A$1:$L$800,695+CB$3,1)&lt;&gt;""),1,0),0)</f>
        <v/>
      </c>
      <c r="CC53">
        <f>IF(CC$4=1,IF(OR(INDEX('×入力'!$A$1:$L$800,695+CC$3,2+CC$2)&lt;&gt;"",INDEX('×入力'!$A$1:$L$800,694,2+CC$2)&lt;&gt;"",INDEX('×入力'!$A$1:$L$800,695+CC$3,1)&lt;&gt;""),1,0),0)</f>
        <v/>
      </c>
      <c r="CD53">
        <f>IF(CD$4=1,IF(OR(INDEX('×入力'!$A$1:$L$800,695+CD$3,2+CD$2)&lt;&gt;"",INDEX('×入力'!$A$1:$L$800,694,2+CD$2)&lt;&gt;"",INDEX('×入力'!$A$1:$L$800,695+CD$3,1)&lt;&gt;""),1,0),0)</f>
        <v/>
      </c>
      <c r="CE53">
        <f>IF(CE$4=1,IF(OR(INDEX('×入力'!$A$1:$L$800,695+CE$3,2+CE$2)&lt;&gt;"",INDEX('×入力'!$A$1:$L$800,694,2+CE$2)&lt;&gt;"",INDEX('×入力'!$A$1:$L$800,695+CE$3,1)&lt;&gt;""),1,0),0)</f>
        <v/>
      </c>
      <c r="CF53">
        <f>IF(CF$4=1,IF(OR(INDEX('×入力'!$A$1:$L$800,695+CF$3,2+CF$2)&lt;&gt;"",INDEX('×入力'!$A$1:$L$800,694,2+CF$2)&lt;&gt;"",INDEX('×入力'!$A$1:$L$800,695+CF$3,1)&lt;&gt;""),1,0),0)</f>
        <v/>
      </c>
      <c r="CG53">
        <f>IF(CG$4=1,IF(OR(INDEX('×入力'!$A$1:$L$800,695+CG$3,2+CG$2)&lt;&gt;"",INDEX('×入力'!$A$1:$L$800,694,2+CG$2)&lt;&gt;"",INDEX('×入力'!$A$1:$L$800,695+CG$3,1)&lt;&gt;""),1,0),0)</f>
        <v/>
      </c>
      <c r="CH53">
        <f>IF(CH$4=1,IF(OR(INDEX('×入力'!$A$1:$L$800,695+CH$3,2+CH$2)&lt;&gt;"",INDEX('×入力'!$A$1:$L$800,694,2+CH$2)&lt;&gt;"",INDEX('×入力'!$A$1:$L$800,695+CH$3,1)&lt;&gt;""),1,0),0)</f>
        <v/>
      </c>
      <c r="CI53">
        <f>IF(CI$4=1,IF(OR(INDEX('×入力'!$A$1:$L$800,695+CI$3,2+CI$2)&lt;&gt;"",INDEX('×入力'!$A$1:$L$800,694,2+CI$2)&lt;&gt;"",INDEX('×入力'!$A$1:$L$800,695+CI$3,1)&lt;&gt;""),1,0),0)</f>
        <v/>
      </c>
      <c r="CJ53">
        <f>IF(CJ$4=1,IF(OR(INDEX('×入力'!$A$1:$L$800,695+CJ$3,2+CJ$2)&lt;&gt;"",INDEX('×入力'!$A$1:$L$800,694,2+CJ$2)&lt;&gt;"",INDEX('×入力'!$A$1:$L$800,695+CJ$3,1)&lt;&gt;""),1,0),0)</f>
        <v/>
      </c>
      <c r="CK53">
        <f>IF(CK$4=1,IF(OR(INDEX('×入力'!$A$1:$L$800,695+CK$3,2+CK$2)&lt;&gt;"",INDEX('×入力'!$A$1:$L$800,694,2+CK$2)&lt;&gt;"",INDEX('×入力'!$A$1:$L$800,695+CK$3,1)&lt;&gt;""),1,0),0)</f>
        <v/>
      </c>
      <c r="CL53">
        <f>IF(CL$4=1,IF(OR(INDEX('×入力'!$A$1:$L$800,695+CL$3,2+CL$2)&lt;&gt;"",INDEX('×入力'!$A$1:$L$800,694,2+CL$2)&lt;&gt;"",INDEX('×入力'!$A$1:$L$800,695+CL$3,1)&lt;&gt;""),1,0),0)</f>
        <v/>
      </c>
      <c r="CM53">
        <f>IF(CM$4=1,IF(OR(INDEX('×入力'!$A$1:$L$800,695+CM$3,2+CM$2)&lt;&gt;"",INDEX('×入力'!$A$1:$L$800,694,2+CM$2)&lt;&gt;"",INDEX('×入力'!$A$1:$L$800,695+CM$3,1)&lt;&gt;""),1,0),0)</f>
        <v/>
      </c>
      <c r="CN53">
        <f>IF(CN$4=1,IF(OR(INDEX('×入力'!$A$1:$L$800,695+CN$3,2+CN$2)&lt;&gt;"",INDEX('×入力'!$A$1:$L$800,694,2+CN$2)&lt;&gt;"",INDEX('×入力'!$A$1:$L$800,695+CN$3,1)&lt;&gt;""),1,0),0)</f>
        <v/>
      </c>
      <c r="CO53">
        <f>IF(CO$4=1,IF(OR(INDEX('×入力'!$A$1:$L$800,695+CO$3,2+CO$2)&lt;&gt;"",INDEX('×入力'!$A$1:$L$800,694,2+CO$2)&lt;&gt;"",INDEX('×入力'!$A$1:$L$800,695+CO$3,1)&lt;&gt;""),1,0),0)</f>
        <v/>
      </c>
      <c r="CP53">
        <f>IF(CP$4=1,IF(OR(INDEX('×入力'!$A$1:$L$800,695+CP$3,2+CP$2)&lt;&gt;"",INDEX('×入力'!$A$1:$L$800,694,2+CP$2)&lt;&gt;"",INDEX('×入力'!$A$1:$L$800,695+CP$3,1)&lt;&gt;""),1,0),0)</f>
        <v/>
      </c>
      <c r="CQ53">
        <f>IF(CQ$4=1,IF(OR(INDEX('×入力'!$A$1:$L$800,695+CQ$3,2+CQ$2)&lt;&gt;"",INDEX('×入力'!$A$1:$L$800,694,2+CQ$2)&lt;&gt;"",INDEX('×入力'!$A$1:$L$800,695+CQ$3,1)&lt;&gt;""),1,0),0)</f>
        <v/>
      </c>
      <c r="CR53">
        <f>IF(CR$4=1,IF(OR(INDEX('×入力'!$A$1:$L$800,695+CR$3,2+CR$2)&lt;&gt;"",INDEX('×入力'!$A$1:$L$800,694,2+CR$2)&lt;&gt;"",INDEX('×入力'!$A$1:$L$800,695+CR$3,1)&lt;&gt;""),1,0),0)</f>
        <v/>
      </c>
      <c r="CS53">
        <f>IF(CS$4=1,IF(OR(INDEX('×入力'!$A$1:$L$800,695+CS$3,2+CS$2)&lt;&gt;"",INDEX('×入力'!$A$1:$L$800,694,2+CS$2)&lt;&gt;"",INDEX('×入力'!$A$1:$L$800,695+CS$3,1)&lt;&gt;""),1,0),0)</f>
        <v/>
      </c>
      <c r="CT53">
        <f>IF(CT$4=1,IF(OR(INDEX('×入力'!$A$1:$L$800,695+CT$3,2+CT$2)&lt;&gt;"",INDEX('×入力'!$A$1:$L$800,694,2+CT$2)&lt;&gt;"",INDEX('×入力'!$A$1:$L$800,695+CT$3,1)&lt;&gt;""),1,0),0)</f>
        <v/>
      </c>
      <c r="CU53">
        <f>IF(CU$4=1,IF(OR(INDEX('×入力'!$A$1:$L$800,695+CU$3,2+CU$2)&lt;&gt;"",INDEX('×入力'!$A$1:$L$800,694,2+CU$2)&lt;&gt;"",INDEX('×入力'!$A$1:$L$800,695+CU$3,1)&lt;&gt;""),1,0),0)</f>
        <v/>
      </c>
      <c r="CV53">
        <f>IF(CV$4=1,IF(OR(INDEX('×入力'!$A$1:$L$800,695+CV$3,2+CV$2)&lt;&gt;"",INDEX('×入力'!$A$1:$L$800,694,2+CV$2)&lt;&gt;"",INDEX('×入力'!$A$1:$L$800,695+CV$3,1)&lt;&gt;""),1,0),0)</f>
        <v/>
      </c>
      <c r="CW53">
        <f>IF(CW$4=1,IF(OR(INDEX('×入力'!$A$1:$L$800,695+CW$3,2+CW$2)&lt;&gt;"",INDEX('×入力'!$A$1:$L$800,694,2+CW$2)&lt;&gt;"",INDEX('×入力'!$A$1:$L$800,695+CW$3,1)&lt;&gt;""),1,0),0)</f>
        <v/>
      </c>
      <c r="CX53">
        <f>IF(CX$4=1,IF(OR(INDEX('×入力'!$A$1:$L$800,695+CX$3,2+CX$2)&lt;&gt;"",INDEX('×入力'!$A$1:$L$800,694,2+CX$2)&lt;&gt;"",INDEX('×入力'!$A$1:$L$800,695+CX$3,1)&lt;&gt;""),1,0),0)</f>
        <v/>
      </c>
      <c r="CY53">
        <f>IF(CY$4=1,IF(OR(INDEX('×入力'!$A$1:$L$800,695+CY$3,2+CY$2)&lt;&gt;"",INDEX('×入力'!$A$1:$L$800,694,2+CY$2)&lt;&gt;"",INDEX('×入力'!$A$1:$L$800,695+CY$3,1)&lt;&gt;""),1,0),0)</f>
        <v/>
      </c>
      <c r="CZ53">
        <f>IF(CZ$4=1,IF(OR(INDEX('×入力'!$A$1:$L$800,695+CZ$3,2+CZ$2)&lt;&gt;"",INDEX('×入力'!$A$1:$L$800,694,2+CZ$2)&lt;&gt;"",INDEX('×入力'!$A$1:$L$800,695+CZ$3,1)&lt;&gt;""),1,0),0)</f>
        <v/>
      </c>
      <c r="DA53">
        <f>IF(DA$4=1,IF(OR(INDEX('×入力'!$A$1:$L$800,695+DA$3,2+DA$2)&lt;&gt;"",INDEX('×入力'!$A$1:$L$800,694,2+DA$2)&lt;&gt;"",INDEX('×入力'!$A$1:$L$800,695+DA$3,1)&lt;&gt;""),1,0),0)</f>
        <v/>
      </c>
      <c r="DB53">
        <f>IF(DB$4=1,IF(OR(INDEX('×入力'!$A$1:$L$800,695+DB$3,2+DB$2)&lt;&gt;"",INDEX('×入力'!$A$1:$L$800,694,2+DB$2)&lt;&gt;"",INDEX('×入力'!$A$1:$L$800,695+DB$3,1)&lt;&gt;""),1,0),0)</f>
        <v/>
      </c>
      <c r="DC53">
        <f>IF(DC$4=1,IF(OR(INDEX('×入力'!$A$1:$L$800,695+DC$3,2+DC$2)&lt;&gt;"",INDEX('×入力'!$A$1:$L$800,694,2+DC$2)&lt;&gt;"",INDEX('×入力'!$A$1:$L$800,695+DC$3,1)&lt;&gt;""),1,0),0)</f>
        <v/>
      </c>
      <c r="DD53">
        <f>IF(DD$4=1,IF(OR(INDEX('×入力'!$A$1:$L$800,695+DD$3,2+DD$2)&lt;&gt;"",INDEX('×入力'!$A$1:$L$800,694,2+DD$2)&lt;&gt;"",INDEX('×入力'!$A$1:$L$800,695+DD$3,1)&lt;&gt;""),1,0),0)</f>
        <v/>
      </c>
      <c r="DE53">
        <f>IF(DE$4=1,IF(OR(INDEX('×入力'!$A$1:$L$800,695+DE$3,2+DE$2)&lt;&gt;"",INDEX('×入力'!$A$1:$L$800,694,2+DE$2)&lt;&gt;"",INDEX('×入力'!$A$1:$L$800,695+DE$3,1)&lt;&gt;""),1,0),0)</f>
        <v/>
      </c>
      <c r="DF53">
        <f>IF(DF$4=1,IF(OR(INDEX('×入力'!$A$1:$L$800,695+DF$3,2+DF$2)&lt;&gt;"",INDEX('×入力'!$A$1:$L$800,694,2+DF$2)&lt;&gt;"",INDEX('×入力'!$A$1:$L$800,695+DF$3,1)&lt;&gt;""),1,0),0)</f>
        <v/>
      </c>
      <c r="DG53">
        <f>IF(DG$4=1,IF(OR(INDEX('×入力'!$A$1:$L$800,695+DG$3,2+DG$2)&lt;&gt;"",INDEX('×入力'!$A$1:$L$800,694,2+DG$2)&lt;&gt;"",INDEX('×入力'!$A$1:$L$800,695+DG$3,1)&lt;&gt;""),1,0),0)</f>
        <v/>
      </c>
      <c r="DH53">
        <f>IF(DH$4=1,IF(OR(INDEX('×入力'!$A$1:$L$800,695+DH$3,2+DH$2)&lt;&gt;"",INDEX('×入力'!$A$1:$L$800,694,2+DH$2)&lt;&gt;"",INDEX('×入力'!$A$1:$L$800,695+DH$3,1)&lt;&gt;""),1,0),0)</f>
        <v/>
      </c>
      <c r="DI53">
        <f>IF(DI$4=1,IF(OR(INDEX('×入力'!$A$1:$L$800,695+DI$3,2+DI$2)&lt;&gt;"",INDEX('×入力'!$A$1:$L$800,694,2+DI$2)&lt;&gt;"",INDEX('×入力'!$A$1:$L$800,695+DI$3,1)&lt;&gt;""),1,0),0)</f>
        <v/>
      </c>
      <c r="DJ53">
        <f>IF(DJ$4=1,IF(OR(INDEX('×入力'!$A$1:$L$800,695+DJ$3,2+DJ$2)&lt;&gt;"",INDEX('×入力'!$A$1:$L$800,694,2+DJ$2)&lt;&gt;"",INDEX('×入力'!$A$1:$L$800,695+DJ$3,1)&lt;&gt;""),1,0),0)</f>
        <v/>
      </c>
      <c r="DK53">
        <f>IF(DK$4=1,IF(OR(INDEX('×入力'!$A$1:$L$800,695+DK$3,2+DK$2)&lt;&gt;"",INDEX('×入力'!$A$1:$L$800,694,2+DK$2)&lt;&gt;"",INDEX('×入力'!$A$1:$L$800,695+DK$3,1)&lt;&gt;""),1,0),0)</f>
        <v/>
      </c>
      <c r="DL53">
        <f>IF(DL$4=1,IF(OR(INDEX('×入力'!$A$1:$L$800,695+DL$3,2+DL$2)&lt;&gt;"",INDEX('×入力'!$A$1:$L$800,694,2+DL$2)&lt;&gt;"",INDEX('×入力'!$A$1:$L$800,695+DL$3,1)&lt;&gt;""),1,0),0)</f>
        <v/>
      </c>
      <c r="DM53">
        <f>IF(DM$4=1,IF(OR(INDEX('×入力'!$A$1:$L$800,695+DM$3,2+DM$2)&lt;&gt;"",INDEX('×入力'!$A$1:$L$800,694,2+DM$2)&lt;&gt;"",INDEX('×入力'!$A$1:$L$800,695+DM$3,1)&lt;&gt;""),1,0),0)</f>
        <v/>
      </c>
      <c r="DN53">
        <f>IF(DN$4=1,IF(OR(INDEX('×入力'!$A$1:$L$800,695+DN$3,2+DN$2)&lt;&gt;"",INDEX('×入力'!$A$1:$L$800,694,2+DN$2)&lt;&gt;"",INDEX('×入力'!$A$1:$L$800,695+DN$3,1)&lt;&gt;""),1,0),0)</f>
        <v/>
      </c>
      <c r="DO53">
        <f>IF(DO$4=1,IF(OR(INDEX('×入力'!$A$1:$L$800,695+DO$3,2+DO$2)&lt;&gt;"",INDEX('×入力'!$A$1:$L$800,694,2+DO$2)&lt;&gt;"",INDEX('×入力'!$A$1:$L$800,695+DO$3,1)&lt;&gt;""),1,0),0)</f>
        <v/>
      </c>
      <c r="DP53">
        <f>IF(DP$4=1,IF(OR(INDEX('×入力'!$A$1:$L$800,695+DP$3,2+DP$2)&lt;&gt;"",INDEX('×入力'!$A$1:$L$800,694,2+DP$2)&lt;&gt;"",INDEX('×入力'!$A$1:$L$800,695+DP$3,1)&lt;&gt;""),1,0),0)</f>
        <v/>
      </c>
      <c r="DQ53">
        <f>IF(DQ$4=1,IF(OR(INDEX('×入力'!$A$1:$L$800,695+DQ$3,2+DQ$2)&lt;&gt;"",INDEX('×入力'!$A$1:$L$800,694,2+DQ$2)&lt;&gt;"",INDEX('×入力'!$A$1:$L$800,695+DQ$3,1)&lt;&gt;""),1,0),0)</f>
        <v/>
      </c>
      <c r="DR53">
        <f>IF(DR$4=1,IF(OR(INDEX('×入力'!$A$1:$L$800,695+DR$3,2+DR$2)&lt;&gt;"",INDEX('×入力'!$A$1:$L$800,694,2+DR$2)&lt;&gt;"",INDEX('×入力'!$A$1:$L$800,695+DR$3,1)&lt;&gt;""),1,0),0)</f>
        <v/>
      </c>
      <c r="DS53">
        <f>IF(DS$4=1,IF(OR(INDEX('×入力'!$A$1:$L$800,695+DS$3,2+DS$2)&lt;&gt;"",INDEX('×入力'!$A$1:$L$800,694,2+DS$2)&lt;&gt;"",INDEX('×入力'!$A$1:$L$800,695+DS$3,1)&lt;&gt;""),1,0),0)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IF(D$4=1,IF(OR(INDEX('×入力'!$A$1:$L$800,711+D$3,2+D$2)&lt;&gt;"",INDEX('×入力'!$A$1:$L$800,710,2+D$2)&lt;&gt;"",INDEX('×入力'!$A$1:$L$800,711+D$3,1)&lt;&gt;""),1,0),0)</f>
        <v/>
      </c>
      <c r="E54">
        <f>IF(E$4=1,IF(OR(INDEX('×入力'!$A$1:$L$800,711+E$3,2+E$2)&lt;&gt;"",INDEX('×入力'!$A$1:$L$800,710,2+E$2)&lt;&gt;"",INDEX('×入力'!$A$1:$L$800,711+E$3,1)&lt;&gt;""),1,0),0)</f>
        <v/>
      </c>
      <c r="F54">
        <f>IF(F$4=1,IF(OR(INDEX('×入力'!$A$1:$L$800,711+F$3,2+F$2)&lt;&gt;"",INDEX('×入力'!$A$1:$L$800,710,2+F$2)&lt;&gt;"",INDEX('×入力'!$A$1:$L$800,711+F$3,1)&lt;&gt;""),1,0),0)</f>
        <v/>
      </c>
      <c r="G54">
        <f>IF(G$4=1,IF(OR(INDEX('×入力'!$A$1:$L$800,711+G$3,2+G$2)&lt;&gt;"",INDEX('×入力'!$A$1:$L$800,710,2+G$2)&lt;&gt;"",INDEX('×入力'!$A$1:$L$800,711+G$3,1)&lt;&gt;""),1,0),0)</f>
        <v/>
      </c>
      <c r="H54">
        <f>IF(H$4=1,IF(OR(INDEX('×入力'!$A$1:$L$800,711+H$3,2+H$2)&lt;&gt;"",INDEX('×入力'!$A$1:$L$800,710,2+H$2)&lt;&gt;"",INDEX('×入力'!$A$1:$L$800,711+H$3,1)&lt;&gt;""),1,0),0)</f>
        <v/>
      </c>
      <c r="I54">
        <f>IF(I$4=1,IF(OR(INDEX('×入力'!$A$1:$L$800,711+I$3,2+I$2)&lt;&gt;"",INDEX('×入力'!$A$1:$L$800,710,2+I$2)&lt;&gt;"",INDEX('×入力'!$A$1:$L$800,711+I$3,1)&lt;&gt;""),1,0),0)</f>
        <v/>
      </c>
      <c r="J54">
        <f>IF(J$4=1,IF(OR(INDEX('×入力'!$A$1:$L$800,711+J$3,2+J$2)&lt;&gt;"",INDEX('×入力'!$A$1:$L$800,710,2+J$2)&lt;&gt;"",INDEX('×入力'!$A$1:$L$800,711+J$3,1)&lt;&gt;""),1,0),0)</f>
        <v/>
      </c>
      <c r="K54">
        <f>IF(K$4=1,IF(OR(INDEX('×入力'!$A$1:$L$800,711+K$3,2+K$2)&lt;&gt;"",INDEX('×入力'!$A$1:$L$800,710,2+K$2)&lt;&gt;"",INDEX('×入力'!$A$1:$L$800,711+K$3,1)&lt;&gt;""),1,0),0)</f>
        <v/>
      </c>
      <c r="L54">
        <f>IF(L$4=1,IF(OR(INDEX('×入力'!$A$1:$L$800,711+L$3,2+L$2)&lt;&gt;"",INDEX('×入力'!$A$1:$L$800,710,2+L$2)&lt;&gt;"",INDEX('×入力'!$A$1:$L$800,711+L$3,1)&lt;&gt;""),1,0),0)</f>
        <v/>
      </c>
      <c r="M54">
        <f>IF(M$4=1,IF(OR(INDEX('×入力'!$A$1:$L$800,711+M$3,2+M$2)&lt;&gt;"",INDEX('×入力'!$A$1:$L$800,710,2+M$2)&lt;&gt;"",INDEX('×入力'!$A$1:$L$800,711+M$3,1)&lt;&gt;""),1,0),0)</f>
        <v/>
      </c>
      <c r="N54">
        <f>IF(N$4=1,IF(OR(INDEX('×入力'!$A$1:$L$800,711+N$3,2+N$2)&lt;&gt;"",INDEX('×入力'!$A$1:$L$800,710,2+N$2)&lt;&gt;"",INDEX('×入力'!$A$1:$L$800,711+N$3,1)&lt;&gt;""),1,0),0)</f>
        <v/>
      </c>
      <c r="O54">
        <f>IF(O$4=1,IF(OR(INDEX('×入力'!$A$1:$L$800,711+O$3,2+O$2)&lt;&gt;"",INDEX('×入力'!$A$1:$L$800,710,2+O$2)&lt;&gt;"",INDEX('×入力'!$A$1:$L$800,711+O$3,1)&lt;&gt;""),1,0),0)</f>
        <v/>
      </c>
      <c r="P54">
        <f>IF(P$4=1,IF(OR(INDEX('×入力'!$A$1:$L$800,711+P$3,2+P$2)&lt;&gt;"",INDEX('×入力'!$A$1:$L$800,710,2+P$2)&lt;&gt;"",INDEX('×入力'!$A$1:$L$800,711+P$3,1)&lt;&gt;""),1,0),0)</f>
        <v/>
      </c>
      <c r="Q54">
        <f>IF(Q$4=1,IF(OR(INDEX('×入力'!$A$1:$L$800,711+Q$3,2+Q$2)&lt;&gt;"",INDEX('×入力'!$A$1:$L$800,710,2+Q$2)&lt;&gt;"",INDEX('×入力'!$A$1:$L$800,711+Q$3,1)&lt;&gt;""),1,0),0)</f>
        <v/>
      </c>
      <c r="R54">
        <f>IF(R$4=1,IF(OR(INDEX('×入力'!$A$1:$L$800,711+R$3,2+R$2)&lt;&gt;"",INDEX('×入力'!$A$1:$L$800,710,2+R$2)&lt;&gt;"",INDEX('×入力'!$A$1:$L$800,711+R$3,1)&lt;&gt;""),1,0),0)</f>
        <v/>
      </c>
      <c r="S54">
        <f>IF(S$4=1,IF(OR(INDEX('×入力'!$A$1:$L$800,711+S$3,2+S$2)&lt;&gt;"",INDEX('×入力'!$A$1:$L$800,710,2+S$2)&lt;&gt;"",INDEX('×入力'!$A$1:$L$800,711+S$3,1)&lt;&gt;""),1,0),0)</f>
        <v/>
      </c>
      <c r="T54">
        <f>IF(T$4=1,IF(OR(INDEX('×入力'!$A$1:$L$800,711+T$3,2+T$2)&lt;&gt;"",INDEX('×入力'!$A$1:$L$800,710,2+T$2)&lt;&gt;"",INDEX('×入力'!$A$1:$L$800,711+T$3,1)&lt;&gt;""),1,0),0)</f>
        <v/>
      </c>
      <c r="U54">
        <f>IF(U$4=1,IF(OR(INDEX('×入力'!$A$1:$L$800,711+U$3,2+U$2)&lt;&gt;"",INDEX('×入力'!$A$1:$L$800,710,2+U$2)&lt;&gt;"",INDEX('×入力'!$A$1:$L$800,711+U$3,1)&lt;&gt;""),1,0),0)</f>
        <v/>
      </c>
      <c r="V54">
        <f>IF(V$4=1,IF(OR(INDEX('×入力'!$A$1:$L$800,711+V$3,2+V$2)&lt;&gt;"",INDEX('×入力'!$A$1:$L$800,710,2+V$2)&lt;&gt;"",INDEX('×入力'!$A$1:$L$800,711+V$3,1)&lt;&gt;""),1,0),0)</f>
        <v/>
      </c>
      <c r="W54">
        <f>IF(W$4=1,IF(OR(INDEX('×入力'!$A$1:$L$800,711+W$3,2+W$2)&lt;&gt;"",INDEX('×入力'!$A$1:$L$800,710,2+W$2)&lt;&gt;"",INDEX('×入力'!$A$1:$L$800,711+W$3,1)&lt;&gt;""),1,0),0)</f>
        <v/>
      </c>
      <c r="X54">
        <f>IF(X$4=1,IF(OR(INDEX('×入力'!$A$1:$L$800,711+X$3,2+X$2)&lt;&gt;"",INDEX('×入力'!$A$1:$L$800,710,2+X$2)&lt;&gt;"",INDEX('×入力'!$A$1:$L$800,711+X$3,1)&lt;&gt;""),1,0),0)</f>
        <v/>
      </c>
      <c r="Y54">
        <f>IF(Y$4=1,IF(OR(INDEX('×入力'!$A$1:$L$800,711+Y$3,2+Y$2)&lt;&gt;"",INDEX('×入力'!$A$1:$L$800,710,2+Y$2)&lt;&gt;"",INDEX('×入力'!$A$1:$L$800,711+Y$3,1)&lt;&gt;""),1,0),0)</f>
        <v/>
      </c>
      <c r="Z54">
        <f>IF(Z$4=1,IF(OR(INDEX('×入力'!$A$1:$L$800,711+Z$3,2+Z$2)&lt;&gt;"",INDEX('×入力'!$A$1:$L$800,710,2+Z$2)&lt;&gt;"",INDEX('×入力'!$A$1:$L$800,711+Z$3,1)&lt;&gt;""),1,0),0)</f>
        <v/>
      </c>
      <c r="AA54">
        <f>IF(AA$4=1,IF(OR(INDEX('×入力'!$A$1:$L$800,711+AA$3,2+AA$2)&lt;&gt;"",INDEX('×入力'!$A$1:$L$800,710,2+AA$2)&lt;&gt;"",INDEX('×入力'!$A$1:$L$800,711+AA$3,1)&lt;&gt;""),1,0),0)</f>
        <v/>
      </c>
      <c r="AB54">
        <f>IF(AB$4=1,IF(OR(INDEX('×入力'!$A$1:$L$800,711+AB$3,2+AB$2)&lt;&gt;"",INDEX('×入力'!$A$1:$L$800,710,2+AB$2)&lt;&gt;"",INDEX('×入力'!$A$1:$L$800,711+AB$3,1)&lt;&gt;""),1,0),0)</f>
        <v/>
      </c>
      <c r="AC54">
        <f>IF(AC$4=1,IF(OR(INDEX('×入力'!$A$1:$L$800,711+AC$3,2+AC$2)&lt;&gt;"",INDEX('×入力'!$A$1:$L$800,710,2+AC$2)&lt;&gt;"",INDEX('×入力'!$A$1:$L$800,711+AC$3,1)&lt;&gt;""),1,0),0)</f>
        <v/>
      </c>
      <c r="AD54">
        <f>IF(AD$4=1,IF(OR(INDEX('×入力'!$A$1:$L$800,711+AD$3,2+AD$2)&lt;&gt;"",INDEX('×入力'!$A$1:$L$800,710,2+AD$2)&lt;&gt;"",INDEX('×入力'!$A$1:$L$800,711+AD$3,1)&lt;&gt;""),1,0),0)</f>
        <v/>
      </c>
      <c r="AE54">
        <f>IF(AE$4=1,IF(OR(INDEX('×入力'!$A$1:$L$800,711+AE$3,2+AE$2)&lt;&gt;"",INDEX('×入力'!$A$1:$L$800,710,2+AE$2)&lt;&gt;"",INDEX('×入力'!$A$1:$L$800,711+AE$3,1)&lt;&gt;""),1,0),0)</f>
        <v/>
      </c>
      <c r="AF54">
        <f>IF(AF$4=1,IF(OR(INDEX('×入力'!$A$1:$L$800,711+AF$3,2+AF$2)&lt;&gt;"",INDEX('×入力'!$A$1:$L$800,710,2+AF$2)&lt;&gt;"",INDEX('×入力'!$A$1:$L$800,711+AF$3,1)&lt;&gt;""),1,0),0)</f>
        <v/>
      </c>
      <c r="AG54">
        <f>IF(AG$4=1,IF(OR(INDEX('×入力'!$A$1:$L$800,711+AG$3,2+AG$2)&lt;&gt;"",INDEX('×入力'!$A$1:$L$800,710,2+AG$2)&lt;&gt;"",INDEX('×入力'!$A$1:$L$800,711+AG$3,1)&lt;&gt;""),1,0),0)</f>
        <v/>
      </c>
      <c r="AH54">
        <f>IF(AH$4=1,IF(OR(INDEX('×入力'!$A$1:$L$800,711+AH$3,2+AH$2)&lt;&gt;"",INDEX('×入力'!$A$1:$L$800,710,2+AH$2)&lt;&gt;"",INDEX('×入力'!$A$1:$L$800,711+AH$3,1)&lt;&gt;""),1,0),0)</f>
        <v/>
      </c>
      <c r="AI54">
        <f>IF(AI$4=1,IF(OR(INDEX('×入力'!$A$1:$L$800,711+AI$3,2+AI$2)&lt;&gt;"",INDEX('×入力'!$A$1:$L$800,710,2+AI$2)&lt;&gt;"",INDEX('×入力'!$A$1:$L$800,711+AI$3,1)&lt;&gt;""),1,0),0)</f>
        <v/>
      </c>
      <c r="AJ54">
        <f>IF(AJ$4=1,IF(OR(INDEX('×入力'!$A$1:$L$800,711+AJ$3,2+AJ$2)&lt;&gt;"",INDEX('×入力'!$A$1:$L$800,710,2+AJ$2)&lt;&gt;"",INDEX('×入力'!$A$1:$L$800,711+AJ$3,1)&lt;&gt;""),1,0),0)</f>
        <v/>
      </c>
      <c r="AK54">
        <f>IF(AK$4=1,IF(OR(INDEX('×入力'!$A$1:$L$800,711+AK$3,2+AK$2)&lt;&gt;"",INDEX('×入力'!$A$1:$L$800,710,2+AK$2)&lt;&gt;"",INDEX('×入力'!$A$1:$L$800,711+AK$3,1)&lt;&gt;""),1,0),0)</f>
        <v/>
      </c>
      <c r="AL54">
        <f>IF(AL$4=1,IF(OR(INDEX('×入力'!$A$1:$L$800,711+AL$3,2+AL$2)&lt;&gt;"",INDEX('×入力'!$A$1:$L$800,710,2+AL$2)&lt;&gt;"",INDEX('×入力'!$A$1:$L$800,711+AL$3,1)&lt;&gt;""),1,0),0)</f>
        <v/>
      </c>
      <c r="AM54">
        <f>IF(AM$4=1,IF(OR(INDEX('×入力'!$A$1:$L$800,711+AM$3,2+AM$2)&lt;&gt;"",INDEX('×入力'!$A$1:$L$800,710,2+AM$2)&lt;&gt;"",INDEX('×入力'!$A$1:$L$800,711+AM$3,1)&lt;&gt;""),1,0),0)</f>
        <v/>
      </c>
      <c r="AN54">
        <f>IF(AN$4=1,IF(OR(INDEX('×入力'!$A$1:$L$800,711+AN$3,2+AN$2)&lt;&gt;"",INDEX('×入力'!$A$1:$L$800,710,2+AN$2)&lt;&gt;"",INDEX('×入力'!$A$1:$L$800,711+AN$3,1)&lt;&gt;""),1,0),0)</f>
        <v/>
      </c>
      <c r="AO54">
        <f>IF(AO$4=1,IF(OR(INDEX('×入力'!$A$1:$L$800,711+AO$3,2+AO$2)&lt;&gt;"",INDEX('×入力'!$A$1:$L$800,710,2+AO$2)&lt;&gt;"",INDEX('×入力'!$A$1:$L$800,711+AO$3,1)&lt;&gt;""),1,0),0)</f>
        <v/>
      </c>
      <c r="AP54">
        <f>IF(AP$4=1,IF(OR(INDEX('×入力'!$A$1:$L$800,711+AP$3,2+AP$2)&lt;&gt;"",INDEX('×入力'!$A$1:$L$800,710,2+AP$2)&lt;&gt;"",INDEX('×入力'!$A$1:$L$800,711+AP$3,1)&lt;&gt;""),1,0),0)</f>
        <v/>
      </c>
      <c r="AQ54">
        <f>IF(AQ$4=1,IF(OR(INDEX('×入力'!$A$1:$L$800,711+AQ$3,2+AQ$2)&lt;&gt;"",INDEX('×入力'!$A$1:$L$800,710,2+AQ$2)&lt;&gt;"",INDEX('×入力'!$A$1:$L$800,711+AQ$3,1)&lt;&gt;""),1,0),0)</f>
        <v/>
      </c>
      <c r="AR54">
        <f>IF(AR$4=1,IF(OR(INDEX('×入力'!$A$1:$L$800,711+AR$3,2+AR$2)&lt;&gt;"",INDEX('×入力'!$A$1:$L$800,710,2+AR$2)&lt;&gt;"",INDEX('×入力'!$A$1:$L$800,711+AR$3,1)&lt;&gt;""),1,0),0)</f>
        <v/>
      </c>
      <c r="AS54">
        <f>IF(AS$4=1,IF(OR(INDEX('×入力'!$A$1:$L$800,711+AS$3,2+AS$2)&lt;&gt;"",INDEX('×入力'!$A$1:$L$800,710,2+AS$2)&lt;&gt;"",INDEX('×入力'!$A$1:$L$800,711+AS$3,1)&lt;&gt;""),1,0),0)</f>
        <v/>
      </c>
      <c r="AT54">
        <f>IF(AT$4=1,IF(OR(INDEX('×入力'!$A$1:$L$800,711+AT$3,2+AT$2)&lt;&gt;"",INDEX('×入力'!$A$1:$L$800,710,2+AT$2)&lt;&gt;"",INDEX('×入力'!$A$1:$L$800,711+AT$3,1)&lt;&gt;""),1,0),0)</f>
        <v/>
      </c>
      <c r="AU54">
        <f>IF(AU$4=1,IF(OR(INDEX('×入力'!$A$1:$L$800,711+AU$3,2+AU$2)&lt;&gt;"",INDEX('×入力'!$A$1:$L$800,710,2+AU$2)&lt;&gt;"",INDEX('×入力'!$A$1:$L$800,711+AU$3,1)&lt;&gt;""),1,0),0)</f>
        <v/>
      </c>
      <c r="AV54">
        <f>IF(AV$4=1,IF(OR(INDEX('×入力'!$A$1:$L$800,711+AV$3,2+AV$2)&lt;&gt;"",INDEX('×入力'!$A$1:$L$800,710,2+AV$2)&lt;&gt;"",INDEX('×入力'!$A$1:$L$800,711+AV$3,1)&lt;&gt;""),1,0),0)</f>
        <v/>
      </c>
      <c r="AW54">
        <f>IF(AW$4=1,IF(OR(INDEX('×入力'!$A$1:$L$800,711+AW$3,2+AW$2)&lt;&gt;"",INDEX('×入力'!$A$1:$L$800,710,2+AW$2)&lt;&gt;"",INDEX('×入力'!$A$1:$L$800,711+AW$3,1)&lt;&gt;""),1,0),0)</f>
        <v/>
      </c>
      <c r="AX54">
        <f>IF(AX$4=1,IF(OR(INDEX('×入力'!$A$1:$L$800,711+AX$3,2+AX$2)&lt;&gt;"",INDEX('×入力'!$A$1:$L$800,710,2+AX$2)&lt;&gt;"",INDEX('×入力'!$A$1:$L$800,711+AX$3,1)&lt;&gt;""),1,0),0)</f>
        <v/>
      </c>
      <c r="AY54">
        <f>IF(AY$4=1,IF(OR(INDEX('×入力'!$A$1:$L$800,711+AY$3,2+AY$2)&lt;&gt;"",INDEX('×入力'!$A$1:$L$800,710,2+AY$2)&lt;&gt;"",INDEX('×入力'!$A$1:$L$800,711+AY$3,1)&lt;&gt;""),1,0),0)</f>
        <v/>
      </c>
      <c r="AZ54">
        <f>IF(AZ$4=1,IF(OR(INDEX('×入力'!$A$1:$L$800,711+AZ$3,2+AZ$2)&lt;&gt;"",INDEX('×入力'!$A$1:$L$800,710,2+AZ$2)&lt;&gt;"",INDEX('×入力'!$A$1:$L$800,711+AZ$3,1)&lt;&gt;""),1,0),0)</f>
        <v/>
      </c>
      <c r="BA54">
        <f>IF(BA$4=1,IF(OR(INDEX('×入力'!$A$1:$L$800,711+BA$3,2+BA$2)&lt;&gt;"",INDEX('×入力'!$A$1:$L$800,710,2+BA$2)&lt;&gt;"",INDEX('×入力'!$A$1:$L$800,711+BA$3,1)&lt;&gt;""),1,0),0)</f>
        <v/>
      </c>
      <c r="BB54">
        <f>IF(BB$4=1,IF(OR(INDEX('×入力'!$A$1:$L$800,711+BB$3,2+BB$2)&lt;&gt;"",INDEX('×入力'!$A$1:$L$800,710,2+BB$2)&lt;&gt;"",INDEX('×入力'!$A$1:$L$800,711+BB$3,1)&lt;&gt;""),1,0),0)</f>
        <v/>
      </c>
      <c r="BC54">
        <f>IF(BC$4=1,IF(OR(INDEX('×入力'!$A$1:$L$800,711+BC$3,2+BC$2)&lt;&gt;"",INDEX('×入力'!$A$1:$L$800,710,2+BC$2)&lt;&gt;"",INDEX('×入力'!$A$1:$L$800,711+BC$3,1)&lt;&gt;""),1,0),0)</f>
        <v/>
      </c>
      <c r="BD54">
        <f>IF(BD$4=1,IF(OR(INDEX('×入力'!$A$1:$L$800,711+BD$3,2+BD$2)&lt;&gt;"",INDEX('×入力'!$A$1:$L$800,710,2+BD$2)&lt;&gt;"",INDEX('×入力'!$A$1:$L$800,711+BD$3,1)&lt;&gt;""),1,0),0)</f>
        <v/>
      </c>
      <c r="BE54">
        <f>IF(BE$4=1,IF(OR(INDEX('×入力'!$A$1:$L$800,711+BE$3,2+BE$2)&lt;&gt;"",INDEX('×入力'!$A$1:$L$800,710,2+BE$2)&lt;&gt;"",INDEX('×入力'!$A$1:$L$800,711+BE$3,1)&lt;&gt;""),1,0),0)</f>
        <v/>
      </c>
      <c r="BF54">
        <f>IF(BF$4=1,IF(OR(INDEX('×入力'!$A$1:$L$800,711+BF$3,2+BF$2)&lt;&gt;"",INDEX('×入力'!$A$1:$L$800,710,2+BF$2)&lt;&gt;"",INDEX('×入力'!$A$1:$L$800,711+BF$3,1)&lt;&gt;""),1,0),0)</f>
        <v/>
      </c>
      <c r="BG54">
        <f>IF(BG$4=1,IF(OR(INDEX('×入力'!$A$1:$L$800,711+BG$3,2+BG$2)&lt;&gt;"",INDEX('×入力'!$A$1:$L$800,710,2+BG$2)&lt;&gt;"",INDEX('×入力'!$A$1:$L$800,711+BG$3,1)&lt;&gt;""),1,0),0)</f>
        <v/>
      </c>
      <c r="BH54">
        <f>IF(BH$4=1,IF(OR(INDEX('×入力'!$A$1:$L$800,711+BH$3,2+BH$2)&lt;&gt;"",INDEX('×入力'!$A$1:$L$800,710,2+BH$2)&lt;&gt;"",INDEX('×入力'!$A$1:$L$800,711+BH$3,1)&lt;&gt;""),1,0),0)</f>
        <v/>
      </c>
      <c r="BI54">
        <f>IF(BI$4=1,IF(OR(INDEX('×入力'!$A$1:$L$800,711+BI$3,2+BI$2)&lt;&gt;"",INDEX('×入力'!$A$1:$L$800,710,2+BI$2)&lt;&gt;"",INDEX('×入力'!$A$1:$L$800,711+BI$3,1)&lt;&gt;""),1,0),0)</f>
        <v/>
      </c>
      <c r="BJ54">
        <f>IF(BJ$4=1,IF(OR(INDEX('×入力'!$A$1:$L$800,711+BJ$3,2+BJ$2)&lt;&gt;"",INDEX('×入力'!$A$1:$L$800,710,2+BJ$2)&lt;&gt;"",INDEX('×入力'!$A$1:$L$800,711+BJ$3,1)&lt;&gt;""),1,0),0)</f>
        <v/>
      </c>
      <c r="BK54">
        <f>IF(BK$4=1,IF(OR(INDEX('×入力'!$A$1:$L$800,711+BK$3,2+BK$2)&lt;&gt;"",INDEX('×入力'!$A$1:$L$800,710,2+BK$2)&lt;&gt;"",INDEX('×入力'!$A$1:$L$800,711+BK$3,1)&lt;&gt;""),1,0),0)</f>
        <v/>
      </c>
      <c r="BL54">
        <f>IF(BL$4=1,IF(OR(INDEX('×入力'!$A$1:$L$800,711+BL$3,2+BL$2)&lt;&gt;"",INDEX('×入力'!$A$1:$L$800,710,2+BL$2)&lt;&gt;"",INDEX('×入力'!$A$1:$L$800,711+BL$3,1)&lt;&gt;""),1,0),0)</f>
        <v/>
      </c>
      <c r="BM54">
        <f>IF(BM$4=1,IF(OR(INDEX('×入力'!$A$1:$L$800,711+BM$3,2+BM$2)&lt;&gt;"",INDEX('×入力'!$A$1:$L$800,710,2+BM$2)&lt;&gt;"",INDEX('×入力'!$A$1:$L$800,711+BM$3,1)&lt;&gt;""),1,0),0)</f>
        <v/>
      </c>
      <c r="BN54">
        <f>IF(BN$4=1,IF(OR(INDEX('×入力'!$A$1:$L$800,711+BN$3,2+BN$2)&lt;&gt;"",INDEX('×入力'!$A$1:$L$800,710,2+BN$2)&lt;&gt;"",INDEX('×入力'!$A$1:$L$800,711+BN$3,1)&lt;&gt;""),1,0),0)</f>
        <v/>
      </c>
      <c r="BO54">
        <f>IF(BO$4=1,IF(OR(INDEX('×入力'!$A$1:$L$800,711+BO$3,2+BO$2)&lt;&gt;"",INDEX('×入力'!$A$1:$L$800,710,2+BO$2)&lt;&gt;"",INDEX('×入力'!$A$1:$L$800,711+BO$3,1)&lt;&gt;""),1,0),0)</f>
        <v/>
      </c>
      <c r="BP54">
        <f>IF(BP$4=1,IF(OR(INDEX('×入力'!$A$1:$L$800,711+BP$3,2+BP$2)&lt;&gt;"",INDEX('×入力'!$A$1:$L$800,710,2+BP$2)&lt;&gt;"",INDEX('×入力'!$A$1:$L$800,711+BP$3,1)&lt;&gt;""),1,0),0)</f>
        <v/>
      </c>
      <c r="BQ54">
        <f>IF(BQ$4=1,IF(OR(INDEX('×入力'!$A$1:$L$800,711+BQ$3,2+BQ$2)&lt;&gt;"",INDEX('×入力'!$A$1:$L$800,710,2+BQ$2)&lt;&gt;"",INDEX('×入力'!$A$1:$L$800,711+BQ$3,1)&lt;&gt;""),1,0),0)</f>
        <v/>
      </c>
      <c r="BR54">
        <f>IF(BR$4=1,IF(OR(INDEX('×入力'!$A$1:$L$800,711+BR$3,2+BR$2)&lt;&gt;"",INDEX('×入力'!$A$1:$L$800,710,2+BR$2)&lt;&gt;"",INDEX('×入力'!$A$1:$L$800,711+BR$3,1)&lt;&gt;""),1,0),0)</f>
        <v/>
      </c>
      <c r="BS54">
        <f>IF(BS$4=1,IF(OR(INDEX('×入力'!$A$1:$L$800,711+BS$3,2+BS$2)&lt;&gt;"",INDEX('×入力'!$A$1:$L$800,710,2+BS$2)&lt;&gt;"",INDEX('×入力'!$A$1:$L$800,711+BS$3,1)&lt;&gt;""),1,0),0)</f>
        <v/>
      </c>
      <c r="BT54">
        <f>IF(BT$4=1,IF(OR(INDEX('×入力'!$A$1:$L$800,711+BT$3,2+BT$2)&lt;&gt;"",INDEX('×入力'!$A$1:$L$800,710,2+BT$2)&lt;&gt;"",INDEX('×入力'!$A$1:$L$800,711+BT$3,1)&lt;&gt;""),1,0),0)</f>
        <v/>
      </c>
      <c r="BU54">
        <f>IF(BU$4=1,IF(OR(INDEX('×入力'!$A$1:$L$800,711+BU$3,2+BU$2)&lt;&gt;"",INDEX('×入力'!$A$1:$L$800,710,2+BU$2)&lt;&gt;"",INDEX('×入力'!$A$1:$L$800,711+BU$3,1)&lt;&gt;""),1,0),0)</f>
        <v/>
      </c>
      <c r="BV54">
        <f>IF(BV$4=1,IF(OR(INDEX('×入力'!$A$1:$L$800,711+BV$3,2+BV$2)&lt;&gt;"",INDEX('×入力'!$A$1:$L$800,710,2+BV$2)&lt;&gt;"",INDEX('×入力'!$A$1:$L$800,711+BV$3,1)&lt;&gt;""),1,0),0)</f>
        <v/>
      </c>
      <c r="BW54">
        <f>IF(BW$4=1,IF(OR(INDEX('×入力'!$A$1:$L$800,711+BW$3,2+BW$2)&lt;&gt;"",INDEX('×入力'!$A$1:$L$800,710,2+BW$2)&lt;&gt;"",INDEX('×入力'!$A$1:$L$800,711+BW$3,1)&lt;&gt;""),1,0),0)</f>
        <v/>
      </c>
      <c r="BX54">
        <f>IF(BX$4=1,IF(OR(INDEX('×入力'!$A$1:$L$800,711+BX$3,2+BX$2)&lt;&gt;"",INDEX('×入力'!$A$1:$L$800,710,2+BX$2)&lt;&gt;"",INDEX('×入力'!$A$1:$L$800,711+BX$3,1)&lt;&gt;""),1,0),0)</f>
        <v/>
      </c>
      <c r="BY54">
        <f>IF(BY$4=1,IF(OR(INDEX('×入力'!$A$1:$L$800,711+BY$3,2+BY$2)&lt;&gt;"",INDEX('×入力'!$A$1:$L$800,710,2+BY$2)&lt;&gt;"",INDEX('×入力'!$A$1:$L$800,711+BY$3,1)&lt;&gt;""),1,0),0)</f>
        <v/>
      </c>
      <c r="BZ54">
        <f>IF(BZ$4=1,IF(OR(INDEX('×入力'!$A$1:$L$800,711+BZ$3,2+BZ$2)&lt;&gt;"",INDEX('×入力'!$A$1:$L$800,710,2+BZ$2)&lt;&gt;"",INDEX('×入力'!$A$1:$L$800,711+BZ$3,1)&lt;&gt;""),1,0),0)</f>
        <v/>
      </c>
      <c r="CA54">
        <f>IF(CA$4=1,IF(OR(INDEX('×入力'!$A$1:$L$800,711+CA$3,2+CA$2)&lt;&gt;"",INDEX('×入力'!$A$1:$L$800,710,2+CA$2)&lt;&gt;"",INDEX('×入力'!$A$1:$L$800,711+CA$3,1)&lt;&gt;""),1,0),0)</f>
        <v/>
      </c>
      <c r="CB54">
        <f>IF(CB$4=1,IF(OR(INDEX('×入力'!$A$1:$L$800,711+CB$3,2+CB$2)&lt;&gt;"",INDEX('×入力'!$A$1:$L$800,710,2+CB$2)&lt;&gt;"",INDEX('×入力'!$A$1:$L$800,711+CB$3,1)&lt;&gt;""),1,0),0)</f>
        <v/>
      </c>
      <c r="CC54">
        <f>IF(CC$4=1,IF(OR(INDEX('×入力'!$A$1:$L$800,711+CC$3,2+CC$2)&lt;&gt;"",INDEX('×入力'!$A$1:$L$800,710,2+CC$2)&lt;&gt;"",INDEX('×入力'!$A$1:$L$800,711+CC$3,1)&lt;&gt;""),1,0),0)</f>
        <v/>
      </c>
      <c r="CD54">
        <f>IF(CD$4=1,IF(OR(INDEX('×入力'!$A$1:$L$800,711+CD$3,2+CD$2)&lt;&gt;"",INDEX('×入力'!$A$1:$L$800,710,2+CD$2)&lt;&gt;"",INDEX('×入力'!$A$1:$L$800,711+CD$3,1)&lt;&gt;""),1,0),0)</f>
        <v/>
      </c>
      <c r="CE54">
        <f>IF(CE$4=1,IF(OR(INDEX('×入力'!$A$1:$L$800,711+CE$3,2+CE$2)&lt;&gt;"",INDEX('×入力'!$A$1:$L$800,710,2+CE$2)&lt;&gt;"",INDEX('×入力'!$A$1:$L$800,711+CE$3,1)&lt;&gt;""),1,0),0)</f>
        <v/>
      </c>
      <c r="CF54">
        <f>IF(CF$4=1,IF(OR(INDEX('×入力'!$A$1:$L$800,711+CF$3,2+CF$2)&lt;&gt;"",INDEX('×入力'!$A$1:$L$800,710,2+CF$2)&lt;&gt;"",INDEX('×入力'!$A$1:$L$800,711+CF$3,1)&lt;&gt;""),1,0),0)</f>
        <v/>
      </c>
      <c r="CG54">
        <f>IF(CG$4=1,IF(OR(INDEX('×入力'!$A$1:$L$800,711+CG$3,2+CG$2)&lt;&gt;"",INDEX('×入力'!$A$1:$L$800,710,2+CG$2)&lt;&gt;"",INDEX('×入力'!$A$1:$L$800,711+CG$3,1)&lt;&gt;""),1,0),0)</f>
        <v/>
      </c>
      <c r="CH54">
        <f>IF(CH$4=1,IF(OR(INDEX('×入力'!$A$1:$L$800,711+CH$3,2+CH$2)&lt;&gt;"",INDEX('×入力'!$A$1:$L$800,710,2+CH$2)&lt;&gt;"",INDEX('×入力'!$A$1:$L$800,711+CH$3,1)&lt;&gt;""),1,0),0)</f>
        <v/>
      </c>
      <c r="CI54">
        <f>IF(CI$4=1,IF(OR(INDEX('×入力'!$A$1:$L$800,711+CI$3,2+CI$2)&lt;&gt;"",INDEX('×入力'!$A$1:$L$800,710,2+CI$2)&lt;&gt;"",INDEX('×入力'!$A$1:$L$800,711+CI$3,1)&lt;&gt;""),1,0),0)</f>
        <v/>
      </c>
      <c r="CJ54">
        <f>IF(CJ$4=1,IF(OR(INDEX('×入力'!$A$1:$L$800,711+CJ$3,2+CJ$2)&lt;&gt;"",INDEX('×入力'!$A$1:$L$800,710,2+CJ$2)&lt;&gt;"",INDEX('×入力'!$A$1:$L$800,711+CJ$3,1)&lt;&gt;""),1,0),0)</f>
        <v/>
      </c>
      <c r="CK54">
        <f>IF(CK$4=1,IF(OR(INDEX('×入力'!$A$1:$L$800,711+CK$3,2+CK$2)&lt;&gt;"",INDEX('×入力'!$A$1:$L$800,710,2+CK$2)&lt;&gt;"",INDEX('×入力'!$A$1:$L$800,711+CK$3,1)&lt;&gt;""),1,0),0)</f>
        <v/>
      </c>
      <c r="CL54">
        <f>IF(CL$4=1,IF(OR(INDEX('×入力'!$A$1:$L$800,711+CL$3,2+CL$2)&lt;&gt;"",INDEX('×入力'!$A$1:$L$800,710,2+CL$2)&lt;&gt;"",INDEX('×入力'!$A$1:$L$800,711+CL$3,1)&lt;&gt;""),1,0),0)</f>
        <v/>
      </c>
      <c r="CM54">
        <f>IF(CM$4=1,IF(OR(INDEX('×入力'!$A$1:$L$800,711+CM$3,2+CM$2)&lt;&gt;"",INDEX('×入力'!$A$1:$L$800,710,2+CM$2)&lt;&gt;"",INDEX('×入力'!$A$1:$L$800,711+CM$3,1)&lt;&gt;""),1,0),0)</f>
        <v/>
      </c>
      <c r="CN54">
        <f>IF(CN$4=1,IF(OR(INDEX('×入力'!$A$1:$L$800,711+CN$3,2+CN$2)&lt;&gt;"",INDEX('×入力'!$A$1:$L$800,710,2+CN$2)&lt;&gt;"",INDEX('×入力'!$A$1:$L$800,711+CN$3,1)&lt;&gt;""),1,0),0)</f>
        <v/>
      </c>
      <c r="CO54">
        <f>IF(CO$4=1,IF(OR(INDEX('×入力'!$A$1:$L$800,711+CO$3,2+CO$2)&lt;&gt;"",INDEX('×入力'!$A$1:$L$800,710,2+CO$2)&lt;&gt;"",INDEX('×入力'!$A$1:$L$800,711+CO$3,1)&lt;&gt;""),1,0),0)</f>
        <v/>
      </c>
      <c r="CP54">
        <f>IF(CP$4=1,IF(OR(INDEX('×入力'!$A$1:$L$800,711+CP$3,2+CP$2)&lt;&gt;"",INDEX('×入力'!$A$1:$L$800,710,2+CP$2)&lt;&gt;"",INDEX('×入力'!$A$1:$L$800,711+CP$3,1)&lt;&gt;""),1,0),0)</f>
        <v/>
      </c>
      <c r="CQ54">
        <f>IF(CQ$4=1,IF(OR(INDEX('×入力'!$A$1:$L$800,711+CQ$3,2+CQ$2)&lt;&gt;"",INDEX('×入力'!$A$1:$L$800,710,2+CQ$2)&lt;&gt;"",INDEX('×入力'!$A$1:$L$800,711+CQ$3,1)&lt;&gt;""),1,0),0)</f>
        <v/>
      </c>
      <c r="CR54">
        <f>IF(CR$4=1,IF(OR(INDEX('×入力'!$A$1:$L$800,711+CR$3,2+CR$2)&lt;&gt;"",INDEX('×入力'!$A$1:$L$800,710,2+CR$2)&lt;&gt;"",INDEX('×入力'!$A$1:$L$800,711+CR$3,1)&lt;&gt;""),1,0),0)</f>
        <v/>
      </c>
      <c r="CS54">
        <f>IF(CS$4=1,IF(OR(INDEX('×入力'!$A$1:$L$800,711+CS$3,2+CS$2)&lt;&gt;"",INDEX('×入力'!$A$1:$L$800,710,2+CS$2)&lt;&gt;"",INDEX('×入力'!$A$1:$L$800,711+CS$3,1)&lt;&gt;""),1,0),0)</f>
        <v/>
      </c>
      <c r="CT54">
        <f>IF(CT$4=1,IF(OR(INDEX('×入力'!$A$1:$L$800,711+CT$3,2+CT$2)&lt;&gt;"",INDEX('×入力'!$A$1:$L$800,710,2+CT$2)&lt;&gt;"",INDEX('×入力'!$A$1:$L$800,711+CT$3,1)&lt;&gt;""),1,0),0)</f>
        <v/>
      </c>
      <c r="CU54">
        <f>IF(CU$4=1,IF(OR(INDEX('×入力'!$A$1:$L$800,711+CU$3,2+CU$2)&lt;&gt;"",INDEX('×入力'!$A$1:$L$800,710,2+CU$2)&lt;&gt;"",INDEX('×入力'!$A$1:$L$800,711+CU$3,1)&lt;&gt;""),1,0),0)</f>
        <v/>
      </c>
      <c r="CV54">
        <f>IF(CV$4=1,IF(OR(INDEX('×入力'!$A$1:$L$800,711+CV$3,2+CV$2)&lt;&gt;"",INDEX('×入力'!$A$1:$L$800,710,2+CV$2)&lt;&gt;"",INDEX('×入力'!$A$1:$L$800,711+CV$3,1)&lt;&gt;""),1,0),0)</f>
        <v/>
      </c>
      <c r="CW54">
        <f>IF(CW$4=1,IF(OR(INDEX('×入力'!$A$1:$L$800,711+CW$3,2+CW$2)&lt;&gt;"",INDEX('×入力'!$A$1:$L$800,710,2+CW$2)&lt;&gt;"",INDEX('×入力'!$A$1:$L$800,711+CW$3,1)&lt;&gt;""),1,0),0)</f>
        <v/>
      </c>
      <c r="CX54">
        <f>IF(CX$4=1,IF(OR(INDEX('×入力'!$A$1:$L$800,711+CX$3,2+CX$2)&lt;&gt;"",INDEX('×入力'!$A$1:$L$800,710,2+CX$2)&lt;&gt;"",INDEX('×入力'!$A$1:$L$800,711+CX$3,1)&lt;&gt;""),1,0),0)</f>
        <v/>
      </c>
      <c r="CY54">
        <f>IF(CY$4=1,IF(OR(INDEX('×入力'!$A$1:$L$800,711+CY$3,2+CY$2)&lt;&gt;"",INDEX('×入力'!$A$1:$L$800,710,2+CY$2)&lt;&gt;"",INDEX('×入力'!$A$1:$L$800,711+CY$3,1)&lt;&gt;""),1,0),0)</f>
        <v/>
      </c>
      <c r="CZ54">
        <f>IF(CZ$4=1,IF(OR(INDEX('×入力'!$A$1:$L$800,711+CZ$3,2+CZ$2)&lt;&gt;"",INDEX('×入力'!$A$1:$L$800,710,2+CZ$2)&lt;&gt;"",INDEX('×入力'!$A$1:$L$800,711+CZ$3,1)&lt;&gt;""),1,0),0)</f>
        <v/>
      </c>
      <c r="DA54">
        <f>IF(DA$4=1,IF(OR(INDEX('×入力'!$A$1:$L$800,711+DA$3,2+DA$2)&lt;&gt;"",INDEX('×入力'!$A$1:$L$800,710,2+DA$2)&lt;&gt;"",INDEX('×入力'!$A$1:$L$800,711+DA$3,1)&lt;&gt;""),1,0),0)</f>
        <v/>
      </c>
      <c r="DB54">
        <f>IF(DB$4=1,IF(OR(INDEX('×入力'!$A$1:$L$800,711+DB$3,2+DB$2)&lt;&gt;"",INDEX('×入力'!$A$1:$L$800,710,2+DB$2)&lt;&gt;"",INDEX('×入力'!$A$1:$L$800,711+DB$3,1)&lt;&gt;""),1,0),0)</f>
        <v/>
      </c>
      <c r="DC54">
        <f>IF(DC$4=1,IF(OR(INDEX('×入力'!$A$1:$L$800,711+DC$3,2+DC$2)&lt;&gt;"",INDEX('×入力'!$A$1:$L$800,710,2+DC$2)&lt;&gt;"",INDEX('×入力'!$A$1:$L$800,711+DC$3,1)&lt;&gt;""),1,0),0)</f>
        <v/>
      </c>
      <c r="DD54">
        <f>IF(DD$4=1,IF(OR(INDEX('×入力'!$A$1:$L$800,711+DD$3,2+DD$2)&lt;&gt;"",INDEX('×入力'!$A$1:$L$800,710,2+DD$2)&lt;&gt;"",INDEX('×入力'!$A$1:$L$800,711+DD$3,1)&lt;&gt;""),1,0),0)</f>
        <v/>
      </c>
      <c r="DE54">
        <f>IF(DE$4=1,IF(OR(INDEX('×入力'!$A$1:$L$800,711+DE$3,2+DE$2)&lt;&gt;"",INDEX('×入力'!$A$1:$L$800,710,2+DE$2)&lt;&gt;"",INDEX('×入力'!$A$1:$L$800,711+DE$3,1)&lt;&gt;""),1,0),0)</f>
        <v/>
      </c>
      <c r="DF54">
        <f>IF(DF$4=1,IF(OR(INDEX('×入力'!$A$1:$L$800,711+DF$3,2+DF$2)&lt;&gt;"",INDEX('×入力'!$A$1:$L$800,710,2+DF$2)&lt;&gt;"",INDEX('×入力'!$A$1:$L$800,711+DF$3,1)&lt;&gt;""),1,0),0)</f>
        <v/>
      </c>
      <c r="DG54">
        <f>IF(DG$4=1,IF(OR(INDEX('×入力'!$A$1:$L$800,711+DG$3,2+DG$2)&lt;&gt;"",INDEX('×入力'!$A$1:$L$800,710,2+DG$2)&lt;&gt;"",INDEX('×入力'!$A$1:$L$800,711+DG$3,1)&lt;&gt;""),1,0),0)</f>
        <v/>
      </c>
      <c r="DH54">
        <f>IF(DH$4=1,IF(OR(INDEX('×入力'!$A$1:$L$800,711+DH$3,2+DH$2)&lt;&gt;"",INDEX('×入力'!$A$1:$L$800,710,2+DH$2)&lt;&gt;"",INDEX('×入力'!$A$1:$L$800,711+DH$3,1)&lt;&gt;""),1,0),0)</f>
        <v/>
      </c>
      <c r="DI54">
        <f>IF(DI$4=1,IF(OR(INDEX('×入力'!$A$1:$L$800,711+DI$3,2+DI$2)&lt;&gt;"",INDEX('×入力'!$A$1:$L$800,710,2+DI$2)&lt;&gt;"",INDEX('×入力'!$A$1:$L$800,711+DI$3,1)&lt;&gt;""),1,0),0)</f>
        <v/>
      </c>
      <c r="DJ54">
        <f>IF(DJ$4=1,IF(OR(INDEX('×入力'!$A$1:$L$800,711+DJ$3,2+DJ$2)&lt;&gt;"",INDEX('×入力'!$A$1:$L$800,710,2+DJ$2)&lt;&gt;"",INDEX('×入力'!$A$1:$L$800,711+DJ$3,1)&lt;&gt;""),1,0),0)</f>
        <v/>
      </c>
      <c r="DK54">
        <f>IF(DK$4=1,IF(OR(INDEX('×入力'!$A$1:$L$800,711+DK$3,2+DK$2)&lt;&gt;"",INDEX('×入力'!$A$1:$L$800,710,2+DK$2)&lt;&gt;"",INDEX('×入力'!$A$1:$L$800,711+DK$3,1)&lt;&gt;""),1,0),0)</f>
        <v/>
      </c>
      <c r="DL54">
        <f>IF(DL$4=1,IF(OR(INDEX('×入力'!$A$1:$L$800,711+DL$3,2+DL$2)&lt;&gt;"",INDEX('×入力'!$A$1:$L$800,710,2+DL$2)&lt;&gt;"",INDEX('×入力'!$A$1:$L$800,711+DL$3,1)&lt;&gt;""),1,0),0)</f>
        <v/>
      </c>
      <c r="DM54">
        <f>IF(DM$4=1,IF(OR(INDEX('×入力'!$A$1:$L$800,711+DM$3,2+DM$2)&lt;&gt;"",INDEX('×入力'!$A$1:$L$800,710,2+DM$2)&lt;&gt;"",INDEX('×入力'!$A$1:$L$800,711+DM$3,1)&lt;&gt;""),1,0),0)</f>
        <v/>
      </c>
      <c r="DN54">
        <f>IF(DN$4=1,IF(OR(INDEX('×入力'!$A$1:$L$800,711+DN$3,2+DN$2)&lt;&gt;"",INDEX('×入力'!$A$1:$L$800,710,2+DN$2)&lt;&gt;"",INDEX('×入力'!$A$1:$L$800,711+DN$3,1)&lt;&gt;""),1,0),0)</f>
        <v/>
      </c>
      <c r="DO54">
        <f>IF(DO$4=1,IF(OR(INDEX('×入力'!$A$1:$L$800,711+DO$3,2+DO$2)&lt;&gt;"",INDEX('×入力'!$A$1:$L$800,710,2+DO$2)&lt;&gt;"",INDEX('×入力'!$A$1:$L$800,711+DO$3,1)&lt;&gt;""),1,0),0)</f>
        <v/>
      </c>
      <c r="DP54">
        <f>IF(DP$4=1,IF(OR(INDEX('×入力'!$A$1:$L$800,711+DP$3,2+DP$2)&lt;&gt;"",INDEX('×入力'!$A$1:$L$800,710,2+DP$2)&lt;&gt;"",INDEX('×入力'!$A$1:$L$800,711+DP$3,1)&lt;&gt;""),1,0),0)</f>
        <v/>
      </c>
      <c r="DQ54">
        <f>IF(DQ$4=1,IF(OR(INDEX('×入力'!$A$1:$L$800,711+DQ$3,2+DQ$2)&lt;&gt;"",INDEX('×入力'!$A$1:$L$800,710,2+DQ$2)&lt;&gt;"",INDEX('×入力'!$A$1:$L$800,711+DQ$3,1)&lt;&gt;""),1,0),0)</f>
        <v/>
      </c>
      <c r="DR54">
        <f>IF(DR$4=1,IF(OR(INDEX('×入力'!$A$1:$L$800,711+DR$3,2+DR$2)&lt;&gt;"",INDEX('×入力'!$A$1:$L$800,710,2+DR$2)&lt;&gt;"",INDEX('×入力'!$A$1:$L$800,711+DR$3,1)&lt;&gt;""),1,0),0)</f>
        <v/>
      </c>
      <c r="DS54">
        <f>IF(DS$4=1,IF(OR(INDEX('×入力'!$A$1:$L$800,711+DS$3,2+DS$2)&lt;&gt;"",INDEX('×入力'!$A$1:$L$800,710,2+DS$2)&lt;&gt;"",INDEX('×入力'!$A$1:$L$800,711+DS$3,1)&lt;&gt;""),1,0),0)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62"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2026-10-22T05:06:19Z</dcterms:created>
  <dcterms:modified xmlns:dcterms="http://purl.org/dc/terms/" xmlns:xsi="http://www.w3.org/2001/XMLSchema-instance" xsi:type="dcterms:W3CDTF">2026-10-22T05:06:20Z</dcterms:modified>
</cp:coreProperties>
</file>